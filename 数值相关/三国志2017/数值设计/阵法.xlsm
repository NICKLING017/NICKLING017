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51806336-9417-44DA-8D77-959D6E9A1877}" xr6:coauthVersionLast="47" xr6:coauthVersionMax="47" xr10:uidLastSave="{00000000-0000-0000-0000-000000000000}"/>
  <bookViews>
    <workbookView xWindow="-120" yWindow="-120" windowWidth="29040" windowHeight="15840" tabRatio="822" activeTab="5" xr2:uid="{00000000-000D-0000-FFFF-FFFF00000000}"/>
  </bookViews>
  <sheets>
    <sheet name="节奏总纲" sheetId="52" r:id="rId1"/>
    <sheet name="其他调用" sheetId="70" r:id="rId2"/>
    <sheet name="洗练相关资料" sheetId="66" r:id="rId3"/>
    <sheet name="节奏预期" sheetId="60" r:id="rId4"/>
    <sheet name="阵法升星" sheetId="63" r:id="rId5"/>
    <sheet name="阵旗升级" sheetId="64" r:id="rId6"/>
    <sheet name="精英野怪" sheetId="71" r:id="rId7"/>
    <sheet name="投放验证" sheetId="61" r:id="rId8"/>
    <sheet name="阵法实力" sheetId="72" r:id="rId9"/>
    <sheet name="效用汇总" sheetId="67" r:id="rId10"/>
    <sheet name="属性计算" sheetId="35" state="hidden" r:id="rId11"/>
  </sheets>
  <functionGroups builtInGroupCount="19"/>
  <externalReferences>
    <externalReference r:id="rId12"/>
    <externalReference r:id="rId13"/>
    <externalReference r:id="rId14"/>
  </externalReferenc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58" i="71" l="1"/>
  <c r="F30" i="63" l="1"/>
  <c r="F31" i="63" s="1"/>
  <c r="F32" i="63" s="1"/>
  <c r="F33" i="63" s="1"/>
  <c r="F34" i="63" s="1"/>
  <c r="F35" i="63" s="1"/>
  <c r="Q98" i="61" l="1"/>
  <c r="Q97" i="61"/>
  <c r="Q96" i="61"/>
  <c r="Q95" i="61"/>
  <c r="Q94" i="61"/>
  <c r="Q93" i="61"/>
  <c r="Q92" i="61"/>
  <c r="Q91" i="61"/>
  <c r="Q90" i="61"/>
  <c r="Q89" i="61"/>
  <c r="Q88" i="61"/>
  <c r="Q87" i="61"/>
  <c r="Q86" i="61"/>
  <c r="Q85" i="61"/>
  <c r="Q84" i="61"/>
  <c r="Q83" i="61"/>
  <c r="Q79" i="61"/>
  <c r="Q78" i="61"/>
  <c r="Q77" i="61"/>
  <c r="Q76" i="61"/>
  <c r="Q75" i="61"/>
  <c r="Q74" i="61"/>
  <c r="Q73" i="61"/>
  <c r="Q72" i="61"/>
  <c r="Q71" i="61"/>
  <c r="Q70" i="61"/>
  <c r="Q69" i="61"/>
  <c r="Q68" i="61"/>
  <c r="Q67" i="61"/>
  <c r="Q66" i="61"/>
  <c r="Q65" i="61"/>
  <c r="Q64" i="61"/>
  <c r="Q60" i="61"/>
  <c r="Q59" i="61"/>
  <c r="Q58" i="61"/>
  <c r="Q57" i="61"/>
  <c r="Q56" i="61"/>
  <c r="Q55" i="61"/>
  <c r="Q54" i="61"/>
  <c r="Q53" i="61"/>
  <c r="Q52" i="61"/>
  <c r="Q51" i="61"/>
  <c r="Q50" i="61"/>
  <c r="Q49" i="61"/>
  <c r="Q48" i="61"/>
  <c r="Q47" i="61"/>
  <c r="Q46" i="61"/>
  <c r="Q45" i="61"/>
  <c r="Q41" i="61"/>
  <c r="Q40" i="61"/>
  <c r="Q39" i="61"/>
  <c r="Q38" i="61"/>
  <c r="Q37" i="61"/>
  <c r="Q36" i="61"/>
  <c r="Q35" i="61"/>
  <c r="Q34" i="61"/>
  <c r="Q33" i="61"/>
  <c r="Q32" i="61"/>
  <c r="Q31" i="61"/>
  <c r="Q30" i="61"/>
  <c r="Q29" i="61"/>
  <c r="Q28" i="61"/>
  <c r="Q27" i="61"/>
  <c r="Q26" i="61"/>
  <c r="Q8" i="61"/>
  <c r="Q9" i="61"/>
  <c r="Q10" i="61"/>
  <c r="Q11" i="61"/>
  <c r="Q12" i="61"/>
  <c r="Q13" i="61"/>
  <c r="Q14" i="61"/>
  <c r="Q15" i="61"/>
  <c r="Q16" i="61"/>
  <c r="Q17" i="61"/>
  <c r="Q18" i="61"/>
  <c r="Q19" i="61"/>
  <c r="Q20" i="61"/>
  <c r="Q21" i="61"/>
  <c r="Q22" i="61"/>
  <c r="Q7" i="61"/>
  <c r="G26" i="61"/>
  <c r="G27" i="61" s="1"/>
  <c r="D34" i="61"/>
  <c r="D35" i="61" s="1"/>
  <c r="E34" i="61"/>
  <c r="E35" i="61" s="1"/>
  <c r="G33" i="61"/>
  <c r="H34" i="61"/>
  <c r="H35" i="61" s="1"/>
  <c r="F33" i="61"/>
  <c r="F34" i="61" s="1"/>
  <c r="D26" i="61"/>
  <c r="D27" i="61" s="1"/>
  <c r="H26" i="61"/>
  <c r="H27" i="61" s="1"/>
  <c r="G34" i="61" l="1"/>
  <c r="G35" i="61" s="1"/>
  <c r="F35" i="61"/>
  <c r="J24" i="61"/>
  <c r="J27" i="61" s="1"/>
  <c r="E25" i="61"/>
  <c r="E26" i="61" s="1"/>
  <c r="E27" i="61" s="1"/>
  <c r="F25" i="61"/>
  <c r="F26" i="61" s="1"/>
  <c r="F27" i="61" s="1"/>
  <c r="AL5" i="70" l="1"/>
  <c r="AM5" i="70"/>
  <c r="AN5" i="70"/>
  <c r="AO5" i="70"/>
  <c r="AP5" i="70"/>
  <c r="AL6" i="70"/>
  <c r="AM6" i="70"/>
  <c r="AN6" i="70"/>
  <c r="AO6" i="70"/>
  <c r="AP6" i="70"/>
  <c r="AL7" i="70"/>
  <c r="AM7" i="70"/>
  <c r="AN7" i="70"/>
  <c r="AO7" i="70"/>
  <c r="AP7" i="70"/>
  <c r="AL8" i="70"/>
  <c r="AM8" i="70"/>
  <c r="AN8" i="70"/>
  <c r="AO8" i="70"/>
  <c r="AP8" i="70"/>
  <c r="AL9" i="70"/>
  <c r="AM9" i="70"/>
  <c r="AN9" i="70"/>
  <c r="AO9" i="70"/>
  <c r="AP9" i="70"/>
  <c r="AL10" i="70"/>
  <c r="AM10" i="70"/>
  <c r="AN10" i="70"/>
  <c r="AO10" i="70"/>
  <c r="AP10" i="70"/>
  <c r="AL11" i="70"/>
  <c r="AM11" i="70"/>
  <c r="AN11" i="70"/>
  <c r="AO11" i="70"/>
  <c r="AP11" i="70"/>
  <c r="AL12" i="70"/>
  <c r="AM12" i="70"/>
  <c r="AN12" i="70"/>
  <c r="AO12" i="70"/>
  <c r="AP12" i="70"/>
  <c r="AL13" i="70"/>
  <c r="AM13" i="70"/>
  <c r="AN13" i="70"/>
  <c r="AO13" i="70"/>
  <c r="AP13" i="70"/>
  <c r="AL14" i="70"/>
  <c r="AM14" i="70"/>
  <c r="AN14" i="70"/>
  <c r="AO14" i="70"/>
  <c r="AP14" i="70"/>
  <c r="AL15" i="70"/>
  <c r="AM15" i="70"/>
  <c r="AN15" i="70"/>
  <c r="AO15" i="70"/>
  <c r="AP15" i="70"/>
  <c r="AL16" i="70"/>
  <c r="AM16" i="70"/>
  <c r="AN16" i="70"/>
  <c r="AO16" i="70"/>
  <c r="AP16" i="70"/>
  <c r="AL17" i="70"/>
  <c r="AM17" i="70"/>
  <c r="AN17" i="70"/>
  <c r="AO17" i="70"/>
  <c r="AP17" i="70"/>
  <c r="AL18" i="70"/>
  <c r="AM18" i="70"/>
  <c r="AN18" i="70"/>
  <c r="AO18" i="70"/>
  <c r="AP18" i="70"/>
  <c r="AL19" i="70"/>
  <c r="AM19" i="70"/>
  <c r="AN19" i="70"/>
  <c r="AO19" i="70"/>
  <c r="AP19" i="70"/>
  <c r="AL20" i="70"/>
  <c r="AM20" i="70"/>
  <c r="AN20" i="70"/>
  <c r="AO20" i="70"/>
  <c r="AP20" i="70"/>
  <c r="AL21" i="70"/>
  <c r="AM21" i="70"/>
  <c r="AN21" i="70"/>
  <c r="AO21" i="70"/>
  <c r="AP21" i="70"/>
  <c r="AL22" i="70"/>
  <c r="AM22" i="70"/>
  <c r="AN22" i="70"/>
  <c r="AO22" i="70"/>
  <c r="AP22" i="70"/>
  <c r="AL23" i="70"/>
  <c r="AM23" i="70"/>
  <c r="AN23" i="70"/>
  <c r="AO23" i="70"/>
  <c r="AP23" i="70"/>
  <c r="AL24" i="70"/>
  <c r="AM24" i="70"/>
  <c r="AN24" i="70"/>
  <c r="AO24" i="70"/>
  <c r="AP24" i="70"/>
  <c r="AL25" i="70"/>
  <c r="AM25" i="70"/>
  <c r="AN25" i="70"/>
  <c r="AO25" i="70"/>
  <c r="AP25" i="70"/>
  <c r="AL26" i="70"/>
  <c r="AM26" i="70"/>
  <c r="AN26" i="70"/>
  <c r="AO26" i="70"/>
  <c r="AP26" i="70"/>
  <c r="AL27" i="70"/>
  <c r="AM27" i="70"/>
  <c r="AN27" i="70"/>
  <c r="AO27" i="70"/>
  <c r="AP27" i="70"/>
  <c r="AL28" i="70"/>
  <c r="AM28" i="70"/>
  <c r="AN28" i="70"/>
  <c r="AO28" i="70"/>
  <c r="AP28" i="70"/>
  <c r="AL29" i="70"/>
  <c r="AM29" i="70"/>
  <c r="AN29" i="70"/>
  <c r="AO29" i="70"/>
  <c r="AP29" i="70"/>
  <c r="AL30" i="70"/>
  <c r="AM30" i="70"/>
  <c r="AN30" i="70"/>
  <c r="AO30" i="70"/>
  <c r="AP30" i="70"/>
  <c r="AL31" i="70"/>
  <c r="AM31" i="70"/>
  <c r="AN31" i="70"/>
  <c r="AO31" i="70"/>
  <c r="AP31" i="70"/>
  <c r="AL32" i="70"/>
  <c r="AM32" i="70"/>
  <c r="AN32" i="70"/>
  <c r="AO32" i="70"/>
  <c r="AP32" i="70"/>
  <c r="AL33" i="70"/>
  <c r="AM33" i="70"/>
  <c r="AN33" i="70"/>
  <c r="AO33" i="70"/>
  <c r="AP33" i="70"/>
  <c r="AL34" i="70"/>
  <c r="AM34" i="70"/>
  <c r="AN34" i="70"/>
  <c r="AO34" i="70"/>
  <c r="AP34" i="70"/>
  <c r="AL35" i="70"/>
  <c r="AM35" i="70"/>
  <c r="AN35" i="70"/>
  <c r="AO35" i="70"/>
  <c r="AP35" i="70"/>
  <c r="AL36" i="70"/>
  <c r="AM36" i="70"/>
  <c r="AN36" i="70"/>
  <c r="AO36" i="70"/>
  <c r="AP36" i="70"/>
  <c r="AL37" i="70"/>
  <c r="AM37" i="70"/>
  <c r="AN37" i="70"/>
  <c r="AO37" i="70"/>
  <c r="AP37" i="70"/>
  <c r="AL38" i="70"/>
  <c r="AM38" i="70"/>
  <c r="AN38" i="70"/>
  <c r="AO38" i="70"/>
  <c r="AP38" i="70"/>
  <c r="AL39" i="70"/>
  <c r="AM39" i="70"/>
  <c r="AN39" i="70"/>
  <c r="AO39" i="70"/>
  <c r="AP39" i="70"/>
  <c r="AL40" i="70"/>
  <c r="AM40" i="70"/>
  <c r="AN40" i="70"/>
  <c r="AO40" i="70"/>
  <c r="AP40" i="70"/>
  <c r="AL41" i="70"/>
  <c r="AM41" i="70"/>
  <c r="AN41" i="70"/>
  <c r="AO41" i="70"/>
  <c r="AP41" i="70"/>
  <c r="AL42" i="70"/>
  <c r="AM42" i="70"/>
  <c r="AN42" i="70"/>
  <c r="AO42" i="70"/>
  <c r="AP42" i="70"/>
  <c r="AL43" i="70"/>
  <c r="AM43" i="70"/>
  <c r="AN43" i="70"/>
  <c r="AO43" i="70"/>
  <c r="AP43" i="70"/>
  <c r="AL44" i="70"/>
  <c r="AM44" i="70"/>
  <c r="AN44" i="70"/>
  <c r="AO44" i="70"/>
  <c r="AP44" i="70"/>
  <c r="AL45" i="70"/>
  <c r="AM45" i="70"/>
  <c r="AN45" i="70"/>
  <c r="AO45" i="70"/>
  <c r="AP45" i="70"/>
  <c r="AL46" i="70"/>
  <c r="AM46" i="70"/>
  <c r="AN46" i="70"/>
  <c r="AO46" i="70"/>
  <c r="AP46" i="70"/>
  <c r="AL47" i="70"/>
  <c r="AM47" i="70"/>
  <c r="AN47" i="70"/>
  <c r="AO47" i="70"/>
  <c r="AP47" i="70"/>
  <c r="AL48" i="70"/>
  <c r="AM48" i="70"/>
  <c r="AN48" i="70"/>
  <c r="AO48" i="70"/>
  <c r="AP48" i="70"/>
  <c r="AL49" i="70"/>
  <c r="AM49" i="70"/>
  <c r="AN49" i="70"/>
  <c r="AO49" i="70"/>
  <c r="AP49" i="70"/>
  <c r="AL50" i="70"/>
  <c r="AM50" i="70"/>
  <c r="AN50" i="70"/>
  <c r="AO50" i="70"/>
  <c r="AP50" i="70"/>
  <c r="AL51" i="70"/>
  <c r="AM51" i="70"/>
  <c r="AN51" i="70"/>
  <c r="AO51" i="70"/>
  <c r="AP51" i="70"/>
  <c r="AL52" i="70"/>
  <c r="AM52" i="70"/>
  <c r="AN52" i="70"/>
  <c r="AO52" i="70"/>
  <c r="AP52" i="70"/>
  <c r="AL53" i="70"/>
  <c r="AM53" i="70"/>
  <c r="AN53" i="70"/>
  <c r="AO53" i="70"/>
  <c r="AP53" i="70"/>
  <c r="AL54" i="70"/>
  <c r="AM54" i="70"/>
  <c r="AN54" i="70"/>
  <c r="AO54" i="70"/>
  <c r="AP54" i="70"/>
  <c r="AL55" i="70"/>
  <c r="AM55" i="70"/>
  <c r="AN55" i="70"/>
  <c r="AO55" i="70"/>
  <c r="AP55" i="70"/>
  <c r="AL56" i="70"/>
  <c r="AM56" i="70"/>
  <c r="AN56" i="70"/>
  <c r="AO56" i="70"/>
  <c r="AP56" i="70"/>
  <c r="AL57" i="70"/>
  <c r="AM57" i="70"/>
  <c r="AN57" i="70"/>
  <c r="AO57" i="70"/>
  <c r="AP57" i="70"/>
  <c r="AL58" i="70"/>
  <c r="AM58" i="70"/>
  <c r="AN58" i="70"/>
  <c r="AO58" i="70"/>
  <c r="AP58" i="70"/>
  <c r="AL59" i="70"/>
  <c r="AM59" i="70"/>
  <c r="AN59" i="70"/>
  <c r="AO59" i="70"/>
  <c r="AP59" i="70"/>
  <c r="AL60" i="70"/>
  <c r="AM60" i="70"/>
  <c r="AN60" i="70"/>
  <c r="AO60" i="70"/>
  <c r="AP60" i="70"/>
  <c r="AL61" i="70"/>
  <c r="AM61" i="70"/>
  <c r="AN61" i="70"/>
  <c r="AO61" i="70"/>
  <c r="AP61" i="70"/>
  <c r="AL62" i="70"/>
  <c r="AM62" i="70"/>
  <c r="AN62" i="70"/>
  <c r="AO62" i="70"/>
  <c r="AP62" i="70"/>
  <c r="AL63" i="70"/>
  <c r="AM63" i="70"/>
  <c r="AN63" i="70"/>
  <c r="AO63" i="70"/>
  <c r="AP63" i="70"/>
  <c r="AL64" i="70"/>
  <c r="AM64" i="70"/>
  <c r="AN64" i="70"/>
  <c r="AO64" i="70"/>
  <c r="AP64" i="70"/>
  <c r="AL65" i="70"/>
  <c r="AM65" i="70"/>
  <c r="AN65" i="70"/>
  <c r="AO65" i="70"/>
  <c r="AP65" i="70"/>
  <c r="AL66" i="70"/>
  <c r="AM66" i="70"/>
  <c r="AN66" i="70"/>
  <c r="AO66" i="70"/>
  <c r="AP66" i="70"/>
  <c r="AL67" i="70"/>
  <c r="AM67" i="70"/>
  <c r="AN67" i="70"/>
  <c r="AO67" i="70"/>
  <c r="AP67" i="70"/>
  <c r="AL68" i="70"/>
  <c r="AM68" i="70"/>
  <c r="AN68" i="70"/>
  <c r="AO68" i="70"/>
  <c r="AP68" i="70"/>
  <c r="AL69" i="70"/>
  <c r="AM69" i="70"/>
  <c r="AN69" i="70"/>
  <c r="AO69" i="70"/>
  <c r="AP69" i="70"/>
  <c r="AL70" i="70"/>
  <c r="AM70" i="70"/>
  <c r="AN70" i="70"/>
  <c r="AO70" i="70"/>
  <c r="AP70" i="70"/>
  <c r="AL71" i="70"/>
  <c r="AM71" i="70"/>
  <c r="AN71" i="70"/>
  <c r="AO71" i="70"/>
  <c r="AP71" i="70"/>
  <c r="AL72" i="70"/>
  <c r="AM72" i="70"/>
  <c r="AN72" i="70"/>
  <c r="AO72" i="70"/>
  <c r="AP72" i="70"/>
  <c r="AL73" i="70"/>
  <c r="AM73" i="70"/>
  <c r="AN73" i="70"/>
  <c r="AO73" i="70"/>
  <c r="AP73" i="70"/>
  <c r="AL74" i="70"/>
  <c r="AM74" i="70"/>
  <c r="AN74" i="70"/>
  <c r="AO74" i="70"/>
  <c r="AP74" i="70"/>
  <c r="AL75" i="70"/>
  <c r="AM75" i="70"/>
  <c r="AN75" i="70"/>
  <c r="AO75" i="70"/>
  <c r="AP75" i="70"/>
  <c r="AL76" i="70"/>
  <c r="AM76" i="70"/>
  <c r="AN76" i="70"/>
  <c r="AO76" i="70"/>
  <c r="AP76" i="70"/>
  <c r="AL77" i="70"/>
  <c r="AM77" i="70"/>
  <c r="AN77" i="70"/>
  <c r="AO77" i="70"/>
  <c r="AP77" i="70"/>
  <c r="AL78" i="70"/>
  <c r="AM78" i="70"/>
  <c r="AN78" i="70"/>
  <c r="AO78" i="70"/>
  <c r="AP78" i="70"/>
  <c r="AL79" i="70"/>
  <c r="AM79" i="70"/>
  <c r="AN79" i="70"/>
  <c r="AO79" i="70"/>
  <c r="AP79" i="70"/>
  <c r="AL80" i="70"/>
  <c r="AM80" i="70"/>
  <c r="AN80" i="70"/>
  <c r="AO80" i="70"/>
  <c r="AP80" i="70"/>
  <c r="AL81" i="70"/>
  <c r="AM81" i="70"/>
  <c r="AN81" i="70"/>
  <c r="AO81" i="70"/>
  <c r="AP81" i="70"/>
  <c r="AL82" i="70"/>
  <c r="AM82" i="70"/>
  <c r="AN82" i="70"/>
  <c r="AO82" i="70"/>
  <c r="AP82" i="70"/>
  <c r="AL83" i="70"/>
  <c r="AM83" i="70"/>
  <c r="AN83" i="70"/>
  <c r="AO83" i="70"/>
  <c r="AP83" i="70"/>
  <c r="AL84" i="70"/>
  <c r="AM84" i="70"/>
  <c r="AN84" i="70"/>
  <c r="AO84" i="70"/>
  <c r="AP84" i="70"/>
  <c r="AL85" i="70"/>
  <c r="AM85" i="70"/>
  <c r="AN85" i="70"/>
  <c r="AO85" i="70"/>
  <c r="AP85" i="70"/>
  <c r="AL86" i="70"/>
  <c r="AM86" i="70"/>
  <c r="AN86" i="70"/>
  <c r="AO86" i="70"/>
  <c r="AP86" i="70"/>
  <c r="AL87" i="70"/>
  <c r="AM87" i="70"/>
  <c r="AN87" i="70"/>
  <c r="AO87" i="70"/>
  <c r="AP87" i="70"/>
  <c r="AL88" i="70"/>
  <c r="AM88" i="70"/>
  <c r="AN88" i="70"/>
  <c r="AO88" i="70"/>
  <c r="AP88" i="70"/>
  <c r="AL89" i="70"/>
  <c r="AM89" i="70"/>
  <c r="AN89" i="70"/>
  <c r="AO89" i="70"/>
  <c r="AP89" i="70"/>
  <c r="AL90" i="70"/>
  <c r="AM90" i="70"/>
  <c r="AN90" i="70"/>
  <c r="AO90" i="70"/>
  <c r="AP90" i="70"/>
  <c r="AL91" i="70"/>
  <c r="AM91" i="70"/>
  <c r="AN91" i="70"/>
  <c r="AO91" i="70"/>
  <c r="AP91" i="70"/>
  <c r="AL92" i="70"/>
  <c r="AM92" i="70"/>
  <c r="AN92" i="70"/>
  <c r="AO92" i="70"/>
  <c r="AP92" i="70"/>
  <c r="AL93" i="70"/>
  <c r="AM93" i="70"/>
  <c r="AN93" i="70"/>
  <c r="AO93" i="70"/>
  <c r="AP93" i="70"/>
  <c r="AL94" i="70"/>
  <c r="AM94" i="70"/>
  <c r="AN94" i="70"/>
  <c r="AO94" i="70"/>
  <c r="AP94" i="70"/>
  <c r="AL95" i="70"/>
  <c r="AM95" i="70"/>
  <c r="AN95" i="70"/>
  <c r="AO95" i="70"/>
  <c r="AP95" i="70"/>
  <c r="AL96" i="70"/>
  <c r="AM96" i="70"/>
  <c r="AN96" i="70"/>
  <c r="AO96" i="70"/>
  <c r="AP96" i="70"/>
  <c r="AL97" i="70"/>
  <c r="AM97" i="70"/>
  <c r="AN97" i="70"/>
  <c r="AO97" i="70"/>
  <c r="AP97" i="70"/>
  <c r="AL98" i="70"/>
  <c r="AM98" i="70"/>
  <c r="AN98" i="70"/>
  <c r="AO98" i="70"/>
  <c r="AP98" i="70"/>
  <c r="AL99" i="70"/>
  <c r="AM99" i="70"/>
  <c r="AN99" i="70"/>
  <c r="AO99" i="70"/>
  <c r="AP99" i="70"/>
  <c r="AL100" i="70"/>
  <c r="AM100" i="70"/>
  <c r="AN100" i="70"/>
  <c r="AO100" i="70"/>
  <c r="AP100" i="70"/>
  <c r="AL101" i="70"/>
  <c r="AM101" i="70"/>
  <c r="AN101" i="70"/>
  <c r="AO101" i="70"/>
  <c r="AP101" i="70"/>
  <c r="AL102" i="70"/>
  <c r="AM102" i="70"/>
  <c r="AN102" i="70"/>
  <c r="AO102" i="70"/>
  <c r="AP102" i="70"/>
  <c r="AL103" i="70"/>
  <c r="AM103" i="70"/>
  <c r="AN103" i="70"/>
  <c r="AO103" i="70"/>
  <c r="AP103" i="70"/>
  <c r="AL104" i="70"/>
  <c r="AM104" i="70"/>
  <c r="AN104" i="70"/>
  <c r="AO104" i="70"/>
  <c r="AP104" i="70"/>
  <c r="AL105" i="70"/>
  <c r="AM105" i="70"/>
  <c r="AN105" i="70"/>
  <c r="AO105" i="70"/>
  <c r="AP105" i="70"/>
  <c r="AL106" i="70"/>
  <c r="AM106" i="70"/>
  <c r="AN106" i="70"/>
  <c r="AO106" i="70"/>
  <c r="AP106" i="70"/>
  <c r="AL107" i="70"/>
  <c r="AM107" i="70"/>
  <c r="AN107" i="70"/>
  <c r="AO107" i="70"/>
  <c r="AP107" i="70"/>
  <c r="AL108" i="70"/>
  <c r="AM108" i="70"/>
  <c r="AN108" i="70"/>
  <c r="AO108" i="70"/>
  <c r="AP108" i="70"/>
  <c r="AL109" i="70"/>
  <c r="AM109" i="70"/>
  <c r="AN109" i="70"/>
  <c r="AO109" i="70"/>
  <c r="AP109" i="70"/>
  <c r="AL110" i="70"/>
  <c r="AM110" i="70"/>
  <c r="AN110" i="70"/>
  <c r="AO110" i="70"/>
  <c r="AP110" i="70"/>
  <c r="AL111" i="70"/>
  <c r="AM111" i="70"/>
  <c r="AN111" i="70"/>
  <c r="AO111" i="70"/>
  <c r="AP111" i="70"/>
  <c r="AL112" i="70"/>
  <c r="AM112" i="70"/>
  <c r="AN112" i="70"/>
  <c r="AO112" i="70"/>
  <c r="AP112" i="70"/>
  <c r="AL113" i="70"/>
  <c r="AM113" i="70"/>
  <c r="AN113" i="70"/>
  <c r="AO113" i="70"/>
  <c r="AP113" i="70"/>
  <c r="AL114" i="70"/>
  <c r="AM114" i="70"/>
  <c r="AN114" i="70"/>
  <c r="AO114" i="70"/>
  <c r="AP114" i="70"/>
  <c r="AL115" i="70"/>
  <c r="AM115" i="70"/>
  <c r="AN115" i="70"/>
  <c r="AO115" i="70"/>
  <c r="AP115" i="70"/>
  <c r="AL116" i="70"/>
  <c r="AM116" i="70"/>
  <c r="AN116" i="70"/>
  <c r="AO116" i="70"/>
  <c r="AP116" i="70"/>
  <c r="AL117" i="70"/>
  <c r="AM117" i="70"/>
  <c r="AN117" i="70"/>
  <c r="AO117" i="70"/>
  <c r="AP117" i="70"/>
  <c r="AL118" i="70"/>
  <c r="AM118" i="70"/>
  <c r="AN118" i="70"/>
  <c r="AO118" i="70"/>
  <c r="AP118" i="70"/>
  <c r="AL119" i="70"/>
  <c r="AM119" i="70"/>
  <c r="AN119" i="70"/>
  <c r="AO119" i="70"/>
  <c r="AP119" i="70"/>
  <c r="AL120" i="70"/>
  <c r="AM120" i="70"/>
  <c r="AN120" i="70"/>
  <c r="AO120" i="70"/>
  <c r="AP120" i="70"/>
  <c r="AL121" i="70"/>
  <c r="AM121" i="70"/>
  <c r="AN121" i="70"/>
  <c r="AO121" i="70"/>
  <c r="AP121" i="70"/>
  <c r="AL122" i="70"/>
  <c r="AM122" i="70"/>
  <c r="AN122" i="70"/>
  <c r="AO122" i="70"/>
  <c r="AP122" i="70"/>
  <c r="AL123" i="70"/>
  <c r="AM123" i="70"/>
  <c r="AN123" i="70"/>
  <c r="AO123" i="70"/>
  <c r="AP123" i="70"/>
  <c r="AL124" i="70"/>
  <c r="AM124" i="70"/>
  <c r="AN124" i="70"/>
  <c r="AO124" i="70"/>
  <c r="AP124" i="70"/>
  <c r="AL125" i="70"/>
  <c r="AM125" i="70"/>
  <c r="AN125" i="70"/>
  <c r="AO125" i="70"/>
  <c r="AP125" i="70"/>
  <c r="AL126" i="70"/>
  <c r="AM126" i="70"/>
  <c r="AN126" i="70"/>
  <c r="AO126" i="70"/>
  <c r="AP126" i="70"/>
  <c r="AL127" i="70"/>
  <c r="AM127" i="70"/>
  <c r="AN127" i="70"/>
  <c r="AO127" i="70"/>
  <c r="AP127" i="70"/>
  <c r="AL128" i="70"/>
  <c r="AM128" i="70"/>
  <c r="AN128" i="70"/>
  <c r="AO128" i="70"/>
  <c r="AP128" i="70"/>
  <c r="AL129" i="70"/>
  <c r="AM129" i="70"/>
  <c r="AN129" i="70"/>
  <c r="AO129" i="70"/>
  <c r="AP129" i="70"/>
  <c r="AL130" i="70"/>
  <c r="AM130" i="70"/>
  <c r="AN130" i="70"/>
  <c r="AO130" i="70"/>
  <c r="AP130" i="70"/>
  <c r="AL131" i="70"/>
  <c r="AM131" i="70"/>
  <c r="AN131" i="70"/>
  <c r="AO131" i="70"/>
  <c r="AP131" i="70"/>
  <c r="AL132" i="70"/>
  <c r="AM132" i="70"/>
  <c r="AN132" i="70"/>
  <c r="AO132" i="70"/>
  <c r="AP132" i="70"/>
  <c r="AL133" i="70"/>
  <c r="AM133" i="70"/>
  <c r="AN133" i="70"/>
  <c r="AO133" i="70"/>
  <c r="AP133" i="70"/>
  <c r="AL134" i="70"/>
  <c r="AM134" i="70"/>
  <c r="AN134" i="70"/>
  <c r="AO134" i="70"/>
  <c r="AP134" i="70"/>
  <c r="AL135" i="70"/>
  <c r="AM135" i="70"/>
  <c r="AN135" i="70"/>
  <c r="AO135" i="70"/>
  <c r="AP135" i="70"/>
  <c r="AL136" i="70"/>
  <c r="AM136" i="70"/>
  <c r="AN136" i="70"/>
  <c r="AO136" i="70"/>
  <c r="AP136" i="70"/>
  <c r="AL137" i="70"/>
  <c r="AM137" i="70"/>
  <c r="AN137" i="70"/>
  <c r="AO137" i="70"/>
  <c r="AP137" i="70"/>
  <c r="AL138" i="70"/>
  <c r="AM138" i="70"/>
  <c r="AN138" i="70"/>
  <c r="AO138" i="70"/>
  <c r="AP138" i="70"/>
  <c r="AL139" i="70"/>
  <c r="AM139" i="70"/>
  <c r="AN139" i="70"/>
  <c r="AO139" i="70"/>
  <c r="AP139" i="70"/>
  <c r="AL140" i="70"/>
  <c r="AM140" i="70"/>
  <c r="AN140" i="70"/>
  <c r="AO140" i="70"/>
  <c r="AP140" i="70"/>
  <c r="AL141" i="70"/>
  <c r="AM141" i="70"/>
  <c r="AN141" i="70"/>
  <c r="AO141" i="70"/>
  <c r="AP141" i="70"/>
  <c r="AL142" i="70"/>
  <c r="AM142" i="70"/>
  <c r="AN142" i="70"/>
  <c r="AO142" i="70"/>
  <c r="AP142" i="70"/>
  <c r="AL143" i="70"/>
  <c r="AM143" i="70"/>
  <c r="AN143" i="70"/>
  <c r="AO143" i="70"/>
  <c r="AP143" i="70"/>
  <c r="AL144" i="70"/>
  <c r="AM144" i="70"/>
  <c r="AN144" i="70"/>
  <c r="AO144" i="70"/>
  <c r="AP144" i="70"/>
  <c r="AL145" i="70"/>
  <c r="AM145" i="70"/>
  <c r="AN145" i="70"/>
  <c r="AO145" i="70"/>
  <c r="AP145" i="70"/>
  <c r="AL146" i="70"/>
  <c r="AM146" i="70"/>
  <c r="AN146" i="70"/>
  <c r="AO146" i="70"/>
  <c r="AP146" i="70"/>
  <c r="AL147" i="70"/>
  <c r="AM147" i="70"/>
  <c r="AN147" i="70"/>
  <c r="AO147" i="70"/>
  <c r="AP147" i="70"/>
  <c r="AL148" i="70"/>
  <c r="AM148" i="70"/>
  <c r="AN148" i="70"/>
  <c r="AO148" i="70"/>
  <c r="AP148" i="70"/>
  <c r="AL149" i="70"/>
  <c r="AM149" i="70"/>
  <c r="AN149" i="70"/>
  <c r="AO149" i="70"/>
  <c r="AP149" i="70"/>
  <c r="AL150" i="70"/>
  <c r="AM150" i="70"/>
  <c r="AN150" i="70"/>
  <c r="AO150" i="70"/>
  <c r="AP150" i="70"/>
  <c r="AL151" i="70"/>
  <c r="AM151" i="70"/>
  <c r="AN151" i="70"/>
  <c r="AO151" i="70"/>
  <c r="AP151" i="70"/>
  <c r="AL152" i="70"/>
  <c r="AM152" i="70"/>
  <c r="AN152" i="70"/>
  <c r="AO152" i="70"/>
  <c r="AP152" i="70"/>
  <c r="AL153" i="70"/>
  <c r="AM153" i="70"/>
  <c r="AN153" i="70"/>
  <c r="AO153" i="70"/>
  <c r="AP153" i="70"/>
  <c r="AL154" i="70"/>
  <c r="AM154" i="70"/>
  <c r="AN154" i="70"/>
  <c r="AO154" i="70"/>
  <c r="AP154" i="70"/>
  <c r="AL155" i="70"/>
  <c r="AM155" i="70"/>
  <c r="AN155" i="70"/>
  <c r="AO155" i="70"/>
  <c r="AP155" i="70"/>
  <c r="AL156" i="70"/>
  <c r="AM156" i="70"/>
  <c r="AN156" i="70"/>
  <c r="AO156" i="70"/>
  <c r="AP156" i="70"/>
  <c r="AL157" i="70"/>
  <c r="AM157" i="70"/>
  <c r="AN157" i="70"/>
  <c r="AO157" i="70"/>
  <c r="AP157" i="70"/>
  <c r="AL158" i="70"/>
  <c r="AM158" i="70"/>
  <c r="AN158" i="70"/>
  <c r="AO158" i="70"/>
  <c r="AP158" i="70"/>
  <c r="AL159" i="70"/>
  <c r="AM159" i="70"/>
  <c r="AN159" i="70"/>
  <c r="AO159" i="70"/>
  <c r="AP159" i="70"/>
  <c r="AL160" i="70"/>
  <c r="AM160" i="70"/>
  <c r="AN160" i="70"/>
  <c r="AO160" i="70"/>
  <c r="AP160" i="70"/>
  <c r="AL161" i="70"/>
  <c r="AM161" i="70"/>
  <c r="AN161" i="70"/>
  <c r="AO161" i="70"/>
  <c r="AP161" i="70"/>
  <c r="AL162" i="70"/>
  <c r="AM162" i="70"/>
  <c r="AN162" i="70"/>
  <c r="AO162" i="70"/>
  <c r="AP162" i="70"/>
  <c r="AL163" i="70"/>
  <c r="AM163" i="70"/>
  <c r="AN163" i="70"/>
  <c r="AO163" i="70"/>
  <c r="AP163" i="70"/>
  <c r="AM4" i="70"/>
  <c r="AN4" i="70"/>
  <c r="AO4" i="70"/>
  <c r="AP4" i="70"/>
  <c r="AL4" i="70"/>
  <c r="AT5" i="70"/>
  <c r="AU5" i="70"/>
  <c r="AV5" i="70"/>
  <c r="AW5" i="70"/>
  <c r="AX5" i="70"/>
  <c r="AT6" i="70"/>
  <c r="AU6" i="70"/>
  <c r="AV6" i="70"/>
  <c r="AW6" i="70"/>
  <c r="AX6" i="70"/>
  <c r="AT7" i="70"/>
  <c r="AU7" i="70"/>
  <c r="AV7" i="70"/>
  <c r="AW7" i="70"/>
  <c r="AX7" i="70"/>
  <c r="AT8" i="70"/>
  <c r="AU8" i="70"/>
  <c r="AV8" i="70"/>
  <c r="AW8" i="70"/>
  <c r="AX8" i="70"/>
  <c r="AT9" i="70"/>
  <c r="AU9" i="70"/>
  <c r="AV9" i="70"/>
  <c r="AW9" i="70"/>
  <c r="AX9" i="70"/>
  <c r="AT10" i="70"/>
  <c r="AU10" i="70"/>
  <c r="AV10" i="70"/>
  <c r="AW10" i="70"/>
  <c r="AX10" i="70"/>
  <c r="AT11" i="70"/>
  <c r="AU11" i="70"/>
  <c r="AV11" i="70"/>
  <c r="AW11" i="70"/>
  <c r="AX11" i="70"/>
  <c r="AT12" i="70"/>
  <c r="AU12" i="70"/>
  <c r="AV12" i="70"/>
  <c r="AW12" i="70"/>
  <c r="AX12" i="70"/>
  <c r="AT13" i="70"/>
  <c r="AU13" i="70"/>
  <c r="AV13" i="70"/>
  <c r="AW13" i="70"/>
  <c r="AX13" i="70"/>
  <c r="AT14" i="70"/>
  <c r="AU14" i="70"/>
  <c r="AV14" i="70"/>
  <c r="AW14" i="70"/>
  <c r="AX14" i="70"/>
  <c r="AT15" i="70"/>
  <c r="AU15" i="70"/>
  <c r="AV15" i="70"/>
  <c r="AW15" i="70"/>
  <c r="AX15" i="70"/>
  <c r="AT16" i="70"/>
  <c r="AU16" i="70"/>
  <c r="AV16" i="70"/>
  <c r="AW16" i="70"/>
  <c r="AX16" i="70"/>
  <c r="AT17" i="70"/>
  <c r="AU17" i="70"/>
  <c r="AV17" i="70"/>
  <c r="AW17" i="70"/>
  <c r="AX17" i="70"/>
  <c r="AT18" i="70"/>
  <c r="AU18" i="70"/>
  <c r="AV18" i="70"/>
  <c r="AW18" i="70"/>
  <c r="AX18" i="70"/>
  <c r="AT19" i="70"/>
  <c r="AU19" i="70"/>
  <c r="AV19" i="70"/>
  <c r="AW19" i="70"/>
  <c r="AX19" i="70"/>
  <c r="AT20" i="70"/>
  <c r="AU20" i="70"/>
  <c r="AV20" i="70"/>
  <c r="AW20" i="70"/>
  <c r="AX20" i="70"/>
  <c r="AT21" i="70"/>
  <c r="AU21" i="70"/>
  <c r="AV21" i="70"/>
  <c r="AW21" i="70"/>
  <c r="AX21" i="70"/>
  <c r="AT22" i="70"/>
  <c r="AU22" i="70"/>
  <c r="AV22" i="70"/>
  <c r="AW22" i="70"/>
  <c r="AX22" i="70"/>
  <c r="AT23" i="70"/>
  <c r="AU23" i="70"/>
  <c r="AV23" i="70"/>
  <c r="AW23" i="70"/>
  <c r="AX23" i="70"/>
  <c r="AT24" i="70"/>
  <c r="AU24" i="70"/>
  <c r="AV24" i="70"/>
  <c r="AW24" i="70"/>
  <c r="AX24" i="70"/>
  <c r="AT25" i="70"/>
  <c r="AU25" i="70"/>
  <c r="AV25" i="70"/>
  <c r="AW25" i="70"/>
  <c r="AX25" i="70"/>
  <c r="AT26" i="70"/>
  <c r="AU26" i="70"/>
  <c r="AV26" i="70"/>
  <c r="AW26" i="70"/>
  <c r="AX26" i="70"/>
  <c r="AT27" i="70"/>
  <c r="AU27" i="70"/>
  <c r="AV27" i="70"/>
  <c r="AW27" i="70"/>
  <c r="AX27" i="70"/>
  <c r="AT28" i="70"/>
  <c r="AU28" i="70"/>
  <c r="AV28" i="70"/>
  <c r="AW28" i="70"/>
  <c r="AX28" i="70"/>
  <c r="AT29" i="70"/>
  <c r="AU29" i="70"/>
  <c r="AV29" i="70"/>
  <c r="AW29" i="70"/>
  <c r="AX29" i="70"/>
  <c r="AT30" i="70"/>
  <c r="AU30" i="70"/>
  <c r="AV30" i="70"/>
  <c r="AW30" i="70"/>
  <c r="AX30" i="70"/>
  <c r="AT31" i="70"/>
  <c r="AU31" i="70"/>
  <c r="AV31" i="70"/>
  <c r="AW31" i="70"/>
  <c r="AX31" i="70"/>
  <c r="AT32" i="70"/>
  <c r="AU32" i="70"/>
  <c r="AV32" i="70"/>
  <c r="AW32" i="70"/>
  <c r="AX32" i="70"/>
  <c r="AT33" i="70"/>
  <c r="AU33" i="70"/>
  <c r="AV33" i="70"/>
  <c r="AW33" i="70"/>
  <c r="AX33" i="70"/>
  <c r="AT34" i="70"/>
  <c r="AU34" i="70"/>
  <c r="AV34" i="70"/>
  <c r="AW34" i="70"/>
  <c r="AX34" i="70"/>
  <c r="AT35" i="70"/>
  <c r="AU35" i="70"/>
  <c r="AV35" i="70"/>
  <c r="AW35" i="70"/>
  <c r="AX35" i="70"/>
  <c r="AT36" i="70"/>
  <c r="AU36" i="70"/>
  <c r="AV36" i="70"/>
  <c r="AW36" i="70"/>
  <c r="AX36" i="70"/>
  <c r="AT37" i="70"/>
  <c r="AU37" i="70"/>
  <c r="AV37" i="70"/>
  <c r="AW37" i="70"/>
  <c r="AX37" i="70"/>
  <c r="AT38" i="70"/>
  <c r="AU38" i="70"/>
  <c r="AV38" i="70"/>
  <c r="AW38" i="70"/>
  <c r="AX38" i="70"/>
  <c r="AT39" i="70"/>
  <c r="AU39" i="70"/>
  <c r="AV39" i="70"/>
  <c r="AW39" i="70"/>
  <c r="AX39" i="70"/>
  <c r="AT40" i="70"/>
  <c r="AU40" i="70"/>
  <c r="AV40" i="70"/>
  <c r="AW40" i="70"/>
  <c r="AX40" i="70"/>
  <c r="AT41" i="70"/>
  <c r="AU41" i="70"/>
  <c r="AV41" i="70"/>
  <c r="AW41" i="70"/>
  <c r="AX41" i="70"/>
  <c r="AT42" i="70"/>
  <c r="AU42" i="70"/>
  <c r="AV42" i="70"/>
  <c r="AW42" i="70"/>
  <c r="AX42" i="70"/>
  <c r="AT43" i="70"/>
  <c r="AU43" i="70"/>
  <c r="AV43" i="70"/>
  <c r="AW43" i="70"/>
  <c r="AX43" i="70"/>
  <c r="AT44" i="70"/>
  <c r="AU44" i="70"/>
  <c r="AV44" i="70"/>
  <c r="AW44" i="70"/>
  <c r="AX44" i="70"/>
  <c r="AT45" i="70"/>
  <c r="AU45" i="70"/>
  <c r="AV45" i="70"/>
  <c r="AW45" i="70"/>
  <c r="AX45" i="70"/>
  <c r="AT46" i="70"/>
  <c r="AU46" i="70"/>
  <c r="AV46" i="70"/>
  <c r="AW46" i="70"/>
  <c r="AX46" i="70"/>
  <c r="AT47" i="70"/>
  <c r="AU47" i="70"/>
  <c r="AV47" i="70"/>
  <c r="AW47" i="70"/>
  <c r="AX47" i="70"/>
  <c r="AT48" i="70"/>
  <c r="AU48" i="70"/>
  <c r="AV48" i="70"/>
  <c r="AW48" i="70"/>
  <c r="AX48" i="70"/>
  <c r="AT49" i="70"/>
  <c r="AU49" i="70"/>
  <c r="AV49" i="70"/>
  <c r="AW49" i="70"/>
  <c r="AX49" i="70"/>
  <c r="AT50" i="70"/>
  <c r="AU50" i="70"/>
  <c r="AV50" i="70"/>
  <c r="AW50" i="70"/>
  <c r="AX50" i="70"/>
  <c r="AT51" i="70"/>
  <c r="AU51" i="70"/>
  <c r="AV51" i="70"/>
  <c r="AW51" i="70"/>
  <c r="AX51" i="70"/>
  <c r="AT52" i="70"/>
  <c r="AU52" i="70"/>
  <c r="AV52" i="70"/>
  <c r="AW52" i="70"/>
  <c r="AX52" i="70"/>
  <c r="AT53" i="70"/>
  <c r="AU53" i="70"/>
  <c r="AV53" i="70"/>
  <c r="AW53" i="70"/>
  <c r="AX53" i="70"/>
  <c r="AT54" i="70"/>
  <c r="AU54" i="70"/>
  <c r="AV54" i="70"/>
  <c r="AW54" i="70"/>
  <c r="AX54" i="70"/>
  <c r="AT55" i="70"/>
  <c r="AU55" i="70"/>
  <c r="AV55" i="70"/>
  <c r="AW55" i="70"/>
  <c r="AX55" i="70"/>
  <c r="AT56" i="70"/>
  <c r="AU56" i="70"/>
  <c r="AV56" i="70"/>
  <c r="AW56" i="70"/>
  <c r="AX56" i="70"/>
  <c r="AT57" i="70"/>
  <c r="AU57" i="70"/>
  <c r="AV57" i="70"/>
  <c r="AW57" i="70"/>
  <c r="AX57" i="70"/>
  <c r="AT58" i="70"/>
  <c r="AU58" i="70"/>
  <c r="AV58" i="70"/>
  <c r="AW58" i="70"/>
  <c r="AX58" i="70"/>
  <c r="AT59" i="70"/>
  <c r="AU59" i="70"/>
  <c r="AV59" i="70"/>
  <c r="AW59" i="70"/>
  <c r="AX59" i="70"/>
  <c r="AT60" i="70"/>
  <c r="AU60" i="70"/>
  <c r="AV60" i="70"/>
  <c r="AW60" i="70"/>
  <c r="AX60" i="70"/>
  <c r="AT61" i="70"/>
  <c r="AU61" i="70"/>
  <c r="AV61" i="70"/>
  <c r="AW61" i="70"/>
  <c r="AX61" i="70"/>
  <c r="AT62" i="70"/>
  <c r="AU62" i="70"/>
  <c r="AV62" i="70"/>
  <c r="AW62" i="70"/>
  <c r="AX62" i="70"/>
  <c r="AT63" i="70"/>
  <c r="AU63" i="70"/>
  <c r="AV63" i="70"/>
  <c r="AW63" i="70"/>
  <c r="AX63" i="70"/>
  <c r="AT64" i="70"/>
  <c r="AU64" i="70"/>
  <c r="AV64" i="70"/>
  <c r="AW64" i="70"/>
  <c r="AX64" i="70"/>
  <c r="AT65" i="70"/>
  <c r="AU65" i="70"/>
  <c r="AV65" i="70"/>
  <c r="AW65" i="70"/>
  <c r="AX65" i="70"/>
  <c r="AT66" i="70"/>
  <c r="AU66" i="70"/>
  <c r="AV66" i="70"/>
  <c r="AW66" i="70"/>
  <c r="AX66" i="70"/>
  <c r="AT67" i="70"/>
  <c r="AU67" i="70"/>
  <c r="AV67" i="70"/>
  <c r="AW67" i="70"/>
  <c r="AX67" i="70"/>
  <c r="AT68" i="70"/>
  <c r="AU68" i="70"/>
  <c r="AV68" i="70"/>
  <c r="AW68" i="70"/>
  <c r="AX68" i="70"/>
  <c r="AT69" i="70"/>
  <c r="AU69" i="70"/>
  <c r="AV69" i="70"/>
  <c r="AW69" i="70"/>
  <c r="AX69" i="70"/>
  <c r="AT70" i="70"/>
  <c r="AU70" i="70"/>
  <c r="AV70" i="70"/>
  <c r="AW70" i="70"/>
  <c r="AX70" i="70"/>
  <c r="AT71" i="70"/>
  <c r="AU71" i="70"/>
  <c r="AV71" i="70"/>
  <c r="AW71" i="70"/>
  <c r="AX71" i="70"/>
  <c r="AT72" i="70"/>
  <c r="AU72" i="70"/>
  <c r="AV72" i="70"/>
  <c r="AW72" i="70"/>
  <c r="AX72" i="70"/>
  <c r="AT73" i="70"/>
  <c r="AU73" i="70"/>
  <c r="AV73" i="70"/>
  <c r="AW73" i="70"/>
  <c r="AX73" i="70"/>
  <c r="AT74" i="70"/>
  <c r="AU74" i="70"/>
  <c r="AV74" i="70"/>
  <c r="AW74" i="70"/>
  <c r="AX74" i="70"/>
  <c r="AT75" i="70"/>
  <c r="AU75" i="70"/>
  <c r="AV75" i="70"/>
  <c r="AW75" i="70"/>
  <c r="AX75" i="70"/>
  <c r="AT76" i="70"/>
  <c r="AU76" i="70"/>
  <c r="AV76" i="70"/>
  <c r="AW76" i="70"/>
  <c r="AX76" i="70"/>
  <c r="AT77" i="70"/>
  <c r="AU77" i="70"/>
  <c r="AV77" i="70"/>
  <c r="AW77" i="70"/>
  <c r="AX77" i="70"/>
  <c r="AT78" i="70"/>
  <c r="AU78" i="70"/>
  <c r="AV78" i="70"/>
  <c r="AW78" i="70"/>
  <c r="AX78" i="70"/>
  <c r="AT79" i="70"/>
  <c r="AU79" i="70"/>
  <c r="AV79" i="70"/>
  <c r="AW79" i="70"/>
  <c r="AX79" i="70"/>
  <c r="AT80" i="70"/>
  <c r="AU80" i="70"/>
  <c r="AV80" i="70"/>
  <c r="AW80" i="70"/>
  <c r="AX80" i="70"/>
  <c r="AT81" i="70"/>
  <c r="AU81" i="70"/>
  <c r="AV81" i="70"/>
  <c r="AW81" i="70"/>
  <c r="AX81" i="70"/>
  <c r="AT82" i="70"/>
  <c r="AU82" i="70"/>
  <c r="AV82" i="70"/>
  <c r="AW82" i="70"/>
  <c r="AX82" i="70"/>
  <c r="AT83" i="70"/>
  <c r="AU83" i="70"/>
  <c r="AV83" i="70"/>
  <c r="AW83" i="70"/>
  <c r="AX83" i="70"/>
  <c r="AT84" i="70"/>
  <c r="AU84" i="70"/>
  <c r="AV84" i="70"/>
  <c r="AW84" i="70"/>
  <c r="AX84" i="70"/>
  <c r="AT85" i="70"/>
  <c r="AU85" i="70"/>
  <c r="AV85" i="70"/>
  <c r="AW85" i="70"/>
  <c r="AX85" i="70"/>
  <c r="AT86" i="70"/>
  <c r="AU86" i="70"/>
  <c r="AV86" i="70"/>
  <c r="AW86" i="70"/>
  <c r="AX86" i="70"/>
  <c r="AT87" i="70"/>
  <c r="AU87" i="70"/>
  <c r="AV87" i="70"/>
  <c r="AW87" i="70"/>
  <c r="AX87" i="70"/>
  <c r="AT88" i="70"/>
  <c r="AU88" i="70"/>
  <c r="AV88" i="70"/>
  <c r="AW88" i="70"/>
  <c r="AX88" i="70"/>
  <c r="AT89" i="70"/>
  <c r="AU89" i="70"/>
  <c r="AV89" i="70"/>
  <c r="AW89" i="70"/>
  <c r="AX89" i="70"/>
  <c r="AT90" i="70"/>
  <c r="AU90" i="70"/>
  <c r="AV90" i="70"/>
  <c r="AW90" i="70"/>
  <c r="AX90" i="70"/>
  <c r="AT91" i="70"/>
  <c r="AU91" i="70"/>
  <c r="AV91" i="70"/>
  <c r="AW91" i="70"/>
  <c r="AX91" i="70"/>
  <c r="AT92" i="70"/>
  <c r="AU92" i="70"/>
  <c r="AV92" i="70"/>
  <c r="AW92" i="70"/>
  <c r="AX92" i="70"/>
  <c r="AT93" i="70"/>
  <c r="AU93" i="70"/>
  <c r="AV93" i="70"/>
  <c r="AW93" i="70"/>
  <c r="AX93" i="70"/>
  <c r="AT94" i="70"/>
  <c r="AU94" i="70"/>
  <c r="AV94" i="70"/>
  <c r="AW94" i="70"/>
  <c r="AX94" i="70"/>
  <c r="AT95" i="70"/>
  <c r="AU95" i="70"/>
  <c r="AV95" i="70"/>
  <c r="AW95" i="70"/>
  <c r="AX95" i="70"/>
  <c r="AT96" i="70"/>
  <c r="AU96" i="70"/>
  <c r="AV96" i="70"/>
  <c r="AW96" i="70"/>
  <c r="AX96" i="70"/>
  <c r="AT97" i="70"/>
  <c r="AU97" i="70"/>
  <c r="AV97" i="70"/>
  <c r="AW97" i="70"/>
  <c r="AX97" i="70"/>
  <c r="AT98" i="70"/>
  <c r="AU98" i="70"/>
  <c r="AV98" i="70"/>
  <c r="AW98" i="70"/>
  <c r="AX98" i="70"/>
  <c r="AT99" i="70"/>
  <c r="AU99" i="70"/>
  <c r="AV99" i="70"/>
  <c r="AW99" i="70"/>
  <c r="AX99" i="70"/>
  <c r="AT100" i="70"/>
  <c r="AU100" i="70"/>
  <c r="AV100" i="70"/>
  <c r="AW100" i="70"/>
  <c r="AX100" i="70"/>
  <c r="AT101" i="70"/>
  <c r="AU101" i="70"/>
  <c r="AV101" i="70"/>
  <c r="AW101" i="70"/>
  <c r="AX101" i="70"/>
  <c r="AT102" i="70"/>
  <c r="AU102" i="70"/>
  <c r="AV102" i="70"/>
  <c r="AW102" i="70"/>
  <c r="AX102" i="70"/>
  <c r="AT103" i="70"/>
  <c r="AU103" i="70"/>
  <c r="AV103" i="70"/>
  <c r="AW103" i="70"/>
  <c r="AX103" i="70"/>
  <c r="AT104" i="70"/>
  <c r="AU104" i="70"/>
  <c r="AV104" i="70"/>
  <c r="AW104" i="70"/>
  <c r="AX104" i="70"/>
  <c r="AT105" i="70"/>
  <c r="AU105" i="70"/>
  <c r="AV105" i="70"/>
  <c r="AW105" i="70"/>
  <c r="AX105" i="70"/>
  <c r="AT106" i="70"/>
  <c r="AU106" i="70"/>
  <c r="AV106" i="70"/>
  <c r="AW106" i="70"/>
  <c r="AX106" i="70"/>
  <c r="AT107" i="70"/>
  <c r="AU107" i="70"/>
  <c r="AV107" i="70"/>
  <c r="AW107" i="70"/>
  <c r="AX107" i="70"/>
  <c r="AT108" i="70"/>
  <c r="AU108" i="70"/>
  <c r="AV108" i="70"/>
  <c r="AW108" i="70"/>
  <c r="AX108" i="70"/>
  <c r="AT109" i="70"/>
  <c r="AU109" i="70"/>
  <c r="AV109" i="70"/>
  <c r="AW109" i="70"/>
  <c r="AX109" i="70"/>
  <c r="AT110" i="70"/>
  <c r="AU110" i="70"/>
  <c r="AV110" i="70"/>
  <c r="AW110" i="70"/>
  <c r="AX110" i="70"/>
  <c r="AT111" i="70"/>
  <c r="AU111" i="70"/>
  <c r="AV111" i="70"/>
  <c r="AW111" i="70"/>
  <c r="AX111" i="70"/>
  <c r="AT112" i="70"/>
  <c r="AU112" i="70"/>
  <c r="AV112" i="70"/>
  <c r="AW112" i="70"/>
  <c r="AX112" i="70"/>
  <c r="AT113" i="70"/>
  <c r="AU113" i="70"/>
  <c r="AV113" i="70"/>
  <c r="AW113" i="70"/>
  <c r="AX113" i="70"/>
  <c r="AT114" i="70"/>
  <c r="AU114" i="70"/>
  <c r="AV114" i="70"/>
  <c r="AW114" i="70"/>
  <c r="AX114" i="70"/>
  <c r="AT115" i="70"/>
  <c r="AU115" i="70"/>
  <c r="AV115" i="70"/>
  <c r="AW115" i="70"/>
  <c r="AX115" i="70"/>
  <c r="AT116" i="70"/>
  <c r="AU116" i="70"/>
  <c r="AV116" i="70"/>
  <c r="AW116" i="70"/>
  <c r="AX116" i="70"/>
  <c r="AT117" i="70"/>
  <c r="AU117" i="70"/>
  <c r="AV117" i="70"/>
  <c r="AW117" i="70"/>
  <c r="AX117" i="70"/>
  <c r="AT118" i="70"/>
  <c r="AU118" i="70"/>
  <c r="AV118" i="70"/>
  <c r="AW118" i="70"/>
  <c r="AX118" i="70"/>
  <c r="AT119" i="70"/>
  <c r="AU119" i="70"/>
  <c r="AV119" i="70"/>
  <c r="AW119" i="70"/>
  <c r="AX119" i="70"/>
  <c r="AT120" i="70"/>
  <c r="AU120" i="70"/>
  <c r="AV120" i="70"/>
  <c r="AW120" i="70"/>
  <c r="AX120" i="70"/>
  <c r="AT121" i="70"/>
  <c r="AU121" i="70"/>
  <c r="AV121" i="70"/>
  <c r="AW121" i="70"/>
  <c r="AX121" i="70"/>
  <c r="AT122" i="70"/>
  <c r="AU122" i="70"/>
  <c r="AV122" i="70"/>
  <c r="AW122" i="70"/>
  <c r="AX122" i="70"/>
  <c r="AT123" i="70"/>
  <c r="AU123" i="70"/>
  <c r="AV123" i="70"/>
  <c r="AW123" i="70"/>
  <c r="AX123" i="70"/>
  <c r="AT124" i="70"/>
  <c r="AU124" i="70"/>
  <c r="AV124" i="70"/>
  <c r="AW124" i="70"/>
  <c r="AX124" i="70"/>
  <c r="AT125" i="70"/>
  <c r="AU125" i="70"/>
  <c r="AV125" i="70"/>
  <c r="AW125" i="70"/>
  <c r="AX125" i="70"/>
  <c r="AT126" i="70"/>
  <c r="AU126" i="70"/>
  <c r="AV126" i="70"/>
  <c r="AW126" i="70"/>
  <c r="AX126" i="70"/>
  <c r="AT127" i="70"/>
  <c r="AU127" i="70"/>
  <c r="AV127" i="70"/>
  <c r="AW127" i="70"/>
  <c r="AX127" i="70"/>
  <c r="AT128" i="70"/>
  <c r="AU128" i="70"/>
  <c r="AV128" i="70"/>
  <c r="AW128" i="70"/>
  <c r="AX128" i="70"/>
  <c r="AT129" i="70"/>
  <c r="AU129" i="70"/>
  <c r="AV129" i="70"/>
  <c r="AW129" i="70"/>
  <c r="AX129" i="70"/>
  <c r="AT130" i="70"/>
  <c r="AU130" i="70"/>
  <c r="AV130" i="70"/>
  <c r="AW130" i="70"/>
  <c r="AX130" i="70"/>
  <c r="AT131" i="70"/>
  <c r="AU131" i="70"/>
  <c r="AV131" i="70"/>
  <c r="AW131" i="70"/>
  <c r="AX131" i="70"/>
  <c r="AT132" i="70"/>
  <c r="AU132" i="70"/>
  <c r="AV132" i="70"/>
  <c r="AW132" i="70"/>
  <c r="AX132" i="70"/>
  <c r="AT133" i="70"/>
  <c r="AU133" i="70"/>
  <c r="AV133" i="70"/>
  <c r="AW133" i="70"/>
  <c r="AX133" i="70"/>
  <c r="AT134" i="70"/>
  <c r="AU134" i="70"/>
  <c r="AV134" i="70"/>
  <c r="AW134" i="70"/>
  <c r="AX134" i="70"/>
  <c r="AT135" i="70"/>
  <c r="AU135" i="70"/>
  <c r="AV135" i="70"/>
  <c r="AW135" i="70"/>
  <c r="AX135" i="70"/>
  <c r="AT136" i="70"/>
  <c r="AU136" i="70"/>
  <c r="AV136" i="70"/>
  <c r="AW136" i="70"/>
  <c r="AX136" i="70"/>
  <c r="AT137" i="70"/>
  <c r="AU137" i="70"/>
  <c r="AV137" i="70"/>
  <c r="AW137" i="70"/>
  <c r="AX137" i="70"/>
  <c r="AT138" i="70"/>
  <c r="AU138" i="70"/>
  <c r="AV138" i="70"/>
  <c r="AW138" i="70"/>
  <c r="AX138" i="70"/>
  <c r="AT139" i="70"/>
  <c r="AU139" i="70"/>
  <c r="AV139" i="70"/>
  <c r="AW139" i="70"/>
  <c r="AX139" i="70"/>
  <c r="AT140" i="70"/>
  <c r="AU140" i="70"/>
  <c r="AV140" i="70"/>
  <c r="AW140" i="70"/>
  <c r="AX140" i="70"/>
  <c r="AT141" i="70"/>
  <c r="AU141" i="70"/>
  <c r="AV141" i="70"/>
  <c r="AW141" i="70"/>
  <c r="AX141" i="70"/>
  <c r="AT142" i="70"/>
  <c r="AU142" i="70"/>
  <c r="AV142" i="70"/>
  <c r="AW142" i="70"/>
  <c r="AX142" i="70"/>
  <c r="AT143" i="70"/>
  <c r="AU143" i="70"/>
  <c r="AV143" i="70"/>
  <c r="AW143" i="70"/>
  <c r="AX143" i="70"/>
  <c r="AT144" i="70"/>
  <c r="AU144" i="70"/>
  <c r="AV144" i="70"/>
  <c r="AW144" i="70"/>
  <c r="AX144" i="70"/>
  <c r="AT145" i="70"/>
  <c r="AU145" i="70"/>
  <c r="AV145" i="70"/>
  <c r="AW145" i="70"/>
  <c r="AX145" i="70"/>
  <c r="AT146" i="70"/>
  <c r="AU146" i="70"/>
  <c r="AV146" i="70"/>
  <c r="AW146" i="70"/>
  <c r="AX146" i="70"/>
  <c r="AT147" i="70"/>
  <c r="AU147" i="70"/>
  <c r="AV147" i="70"/>
  <c r="AW147" i="70"/>
  <c r="AX147" i="70"/>
  <c r="AT148" i="70"/>
  <c r="AU148" i="70"/>
  <c r="AV148" i="70"/>
  <c r="AW148" i="70"/>
  <c r="AX148" i="70"/>
  <c r="AT149" i="70"/>
  <c r="AU149" i="70"/>
  <c r="AV149" i="70"/>
  <c r="AW149" i="70"/>
  <c r="AX149" i="70"/>
  <c r="AT150" i="70"/>
  <c r="AU150" i="70"/>
  <c r="AV150" i="70"/>
  <c r="AW150" i="70"/>
  <c r="AX150" i="70"/>
  <c r="AT151" i="70"/>
  <c r="AU151" i="70"/>
  <c r="AV151" i="70"/>
  <c r="AW151" i="70"/>
  <c r="AX151" i="70"/>
  <c r="AT152" i="70"/>
  <c r="AU152" i="70"/>
  <c r="AV152" i="70"/>
  <c r="AW152" i="70"/>
  <c r="AX152" i="70"/>
  <c r="AT153" i="70"/>
  <c r="AU153" i="70"/>
  <c r="AV153" i="70"/>
  <c r="AW153" i="70"/>
  <c r="AX153" i="70"/>
  <c r="AT154" i="70"/>
  <c r="AU154" i="70"/>
  <c r="AV154" i="70"/>
  <c r="AW154" i="70"/>
  <c r="AX154" i="70"/>
  <c r="AT155" i="70"/>
  <c r="AU155" i="70"/>
  <c r="AV155" i="70"/>
  <c r="AW155" i="70"/>
  <c r="AX155" i="70"/>
  <c r="AT156" i="70"/>
  <c r="AU156" i="70"/>
  <c r="AV156" i="70"/>
  <c r="AW156" i="70"/>
  <c r="AX156" i="70"/>
  <c r="AT157" i="70"/>
  <c r="AU157" i="70"/>
  <c r="AV157" i="70"/>
  <c r="AW157" i="70"/>
  <c r="AX157" i="70"/>
  <c r="AT158" i="70"/>
  <c r="AU158" i="70"/>
  <c r="AV158" i="70"/>
  <c r="AW158" i="70"/>
  <c r="AX158" i="70"/>
  <c r="AT159" i="70"/>
  <c r="AU159" i="70"/>
  <c r="AV159" i="70"/>
  <c r="AW159" i="70"/>
  <c r="AX159" i="70"/>
  <c r="AT160" i="70"/>
  <c r="AU160" i="70"/>
  <c r="AV160" i="70"/>
  <c r="AW160" i="70"/>
  <c r="AX160" i="70"/>
  <c r="AT161" i="70"/>
  <c r="AU161" i="70"/>
  <c r="AV161" i="70"/>
  <c r="AW161" i="70"/>
  <c r="AX161" i="70"/>
  <c r="AT162" i="70"/>
  <c r="AU162" i="70"/>
  <c r="AV162" i="70"/>
  <c r="AW162" i="70"/>
  <c r="AX162" i="70"/>
  <c r="AT163" i="70"/>
  <c r="AU163" i="70"/>
  <c r="AV163" i="70"/>
  <c r="AW163" i="70"/>
  <c r="AX163" i="70"/>
  <c r="AU4" i="70"/>
  <c r="AV4" i="70"/>
  <c r="AW4" i="70"/>
  <c r="AX4" i="70"/>
  <c r="AT4" i="70"/>
  <c r="F76" i="64" l="1"/>
  <c r="F77" i="64"/>
  <c r="F78" i="64"/>
  <c r="F79" i="64"/>
  <c r="F80" i="64"/>
  <c r="F81" i="64"/>
  <c r="F82" i="64"/>
  <c r="F83" i="64"/>
  <c r="F84" i="64"/>
  <c r="F85" i="64"/>
  <c r="F86" i="64"/>
  <c r="F87" i="64"/>
  <c r="F88" i="64"/>
  <c r="F89" i="64"/>
  <c r="F90" i="64"/>
  <c r="F91" i="64"/>
  <c r="F92" i="64"/>
  <c r="F93" i="64"/>
  <c r="F75" i="64"/>
  <c r="F5" i="64" l="1"/>
  <c r="D6" i="64"/>
  <c r="D7" i="64" l="1"/>
  <c r="I6" i="64"/>
  <c r="AQ84" i="61"/>
  <c r="AQ85" i="61"/>
  <c r="AQ86" i="61"/>
  <c r="AQ87" i="61"/>
  <c r="AQ88" i="61"/>
  <c r="AQ83" i="61"/>
  <c r="AQ65" i="61"/>
  <c r="AQ66" i="61"/>
  <c r="AQ67" i="61"/>
  <c r="AQ68" i="61"/>
  <c r="AQ69" i="61"/>
  <c r="AQ64" i="61"/>
  <c r="AQ46" i="61"/>
  <c r="AQ47" i="61"/>
  <c r="AQ48" i="61"/>
  <c r="AQ49" i="61"/>
  <c r="AQ50" i="61"/>
  <c r="AQ45" i="61"/>
  <c r="AQ27" i="61"/>
  <c r="AQ28" i="61"/>
  <c r="AQ29" i="61"/>
  <c r="AQ30" i="61"/>
  <c r="AQ31" i="61"/>
  <c r="AQ26" i="61"/>
  <c r="AQ8" i="61"/>
  <c r="AQ9" i="61"/>
  <c r="AQ10" i="61"/>
  <c r="AQ11" i="61"/>
  <c r="AQ12" i="61"/>
  <c r="AQ7" i="61"/>
  <c r="AI84" i="61"/>
  <c r="AI85" i="61"/>
  <c r="AI86" i="61"/>
  <c r="AI87" i="61"/>
  <c r="AI88" i="61"/>
  <c r="AI83" i="61"/>
  <c r="AI65" i="61"/>
  <c r="AI66" i="61"/>
  <c r="AI67" i="61"/>
  <c r="AI68" i="61"/>
  <c r="AI69" i="61"/>
  <c r="AI64" i="61"/>
  <c r="AI46" i="61"/>
  <c r="AI47" i="61"/>
  <c r="AI48" i="61"/>
  <c r="AI49" i="61"/>
  <c r="AI50" i="61"/>
  <c r="AI45" i="61"/>
  <c r="AI27" i="61"/>
  <c r="AI28" i="61"/>
  <c r="AI29" i="61"/>
  <c r="AI30" i="61"/>
  <c r="AI31" i="61"/>
  <c r="AI26" i="61"/>
  <c r="AI8" i="61"/>
  <c r="AI9" i="61"/>
  <c r="AI10" i="61"/>
  <c r="AI11" i="61"/>
  <c r="AI12" i="61"/>
  <c r="AI7" i="61"/>
  <c r="O84" i="61"/>
  <c r="O85" i="61"/>
  <c r="O86" i="61"/>
  <c r="O87" i="61"/>
  <c r="O88" i="61"/>
  <c r="O83" i="61"/>
  <c r="O65" i="61"/>
  <c r="O66" i="61"/>
  <c r="O67" i="61"/>
  <c r="O68" i="61"/>
  <c r="O69" i="61"/>
  <c r="O64" i="61"/>
  <c r="O46" i="61"/>
  <c r="O47" i="61"/>
  <c r="O48" i="61"/>
  <c r="O49" i="61"/>
  <c r="O50" i="61"/>
  <c r="O45" i="61"/>
  <c r="O27" i="61"/>
  <c r="O28" i="61"/>
  <c r="O29" i="61"/>
  <c r="O30" i="61"/>
  <c r="O31" i="61"/>
  <c r="O26" i="61"/>
  <c r="O8" i="61"/>
  <c r="O9" i="61"/>
  <c r="O10" i="61"/>
  <c r="O11" i="61"/>
  <c r="O12" i="61"/>
  <c r="O7" i="61"/>
  <c r="D8" i="64" l="1"/>
  <c r="I7" i="64"/>
  <c r="U26" i="61"/>
  <c r="U27" i="61" s="1"/>
  <c r="U28" i="61" s="1"/>
  <c r="U29" i="61" s="1"/>
  <c r="U30" i="61" s="1"/>
  <c r="U31" i="61" s="1"/>
  <c r="T26" i="61"/>
  <c r="T27" i="61" s="1"/>
  <c r="T28" i="61" s="1"/>
  <c r="T29" i="61" s="1"/>
  <c r="T30" i="61" s="1"/>
  <c r="T31" i="61" s="1"/>
  <c r="R26" i="61"/>
  <c r="R27" i="61" s="1"/>
  <c r="R28" i="61" s="1"/>
  <c r="R29" i="61" s="1"/>
  <c r="R30" i="61" s="1"/>
  <c r="R31" i="61" s="1"/>
  <c r="S26" i="61"/>
  <c r="S27" i="61" s="1"/>
  <c r="S28" i="61" s="1"/>
  <c r="S29" i="61" s="1"/>
  <c r="S30" i="61" s="1"/>
  <c r="S31" i="61" s="1"/>
  <c r="R64" i="61"/>
  <c r="R65" i="61" s="1"/>
  <c r="R66" i="61" s="1"/>
  <c r="R67" i="61" s="1"/>
  <c r="R68" i="61" s="1"/>
  <c r="R69" i="61" s="1"/>
  <c r="U64" i="61"/>
  <c r="U65" i="61" s="1"/>
  <c r="U66" i="61" s="1"/>
  <c r="U67" i="61" s="1"/>
  <c r="U68" i="61" s="1"/>
  <c r="U69" i="61" s="1"/>
  <c r="T64" i="61"/>
  <c r="T65" i="61" s="1"/>
  <c r="T66" i="61" s="1"/>
  <c r="T67" i="61" s="1"/>
  <c r="T68" i="61" s="1"/>
  <c r="T69" i="61" s="1"/>
  <c r="S64" i="61"/>
  <c r="S65" i="61" s="1"/>
  <c r="S66" i="61" s="1"/>
  <c r="S67" i="61" s="1"/>
  <c r="S68" i="61" s="1"/>
  <c r="S69" i="61" s="1"/>
  <c r="U83" i="61"/>
  <c r="U84" i="61" s="1"/>
  <c r="U85" i="61" s="1"/>
  <c r="U86" i="61" s="1"/>
  <c r="U87" i="61" s="1"/>
  <c r="U88" i="61" s="1"/>
  <c r="T83" i="61"/>
  <c r="T84" i="61" s="1"/>
  <c r="T85" i="61" s="1"/>
  <c r="T86" i="61" s="1"/>
  <c r="T87" i="61" s="1"/>
  <c r="T88" i="61" s="1"/>
  <c r="S83" i="61"/>
  <c r="S84" i="61" s="1"/>
  <c r="S85" i="61" s="1"/>
  <c r="S86" i="61" s="1"/>
  <c r="S87" i="61" s="1"/>
  <c r="S88" i="61" s="1"/>
  <c r="R83" i="61"/>
  <c r="R84" i="61" s="1"/>
  <c r="R85" i="61" s="1"/>
  <c r="R86" i="61" s="1"/>
  <c r="R87" i="61" s="1"/>
  <c r="R88" i="61" s="1"/>
  <c r="U45" i="61"/>
  <c r="U46" i="61" s="1"/>
  <c r="U47" i="61" s="1"/>
  <c r="U48" i="61" s="1"/>
  <c r="U49" i="61" s="1"/>
  <c r="U50" i="61" s="1"/>
  <c r="T45" i="61"/>
  <c r="T46" i="61" s="1"/>
  <c r="T47" i="61" s="1"/>
  <c r="T48" i="61" s="1"/>
  <c r="T49" i="61" s="1"/>
  <c r="T50" i="61" s="1"/>
  <c r="S45" i="61"/>
  <c r="S46" i="61" s="1"/>
  <c r="S47" i="61" s="1"/>
  <c r="S48" i="61" s="1"/>
  <c r="S49" i="61" s="1"/>
  <c r="S50" i="61" s="1"/>
  <c r="R45" i="61"/>
  <c r="R46" i="61" s="1"/>
  <c r="R47" i="61" s="1"/>
  <c r="R48" i="61" s="1"/>
  <c r="R49" i="61" s="1"/>
  <c r="R50" i="61" s="1"/>
  <c r="S7" i="61"/>
  <c r="S8" i="61" s="1"/>
  <c r="S9" i="61" s="1"/>
  <c r="S10" i="61" s="1"/>
  <c r="S11" i="61" s="1"/>
  <c r="S12" i="61" s="1"/>
  <c r="T7" i="61"/>
  <c r="T8" i="61" s="1"/>
  <c r="T9" i="61" s="1"/>
  <c r="T10" i="61" s="1"/>
  <c r="T11" i="61" s="1"/>
  <c r="T12" i="61" s="1"/>
  <c r="U7" i="61"/>
  <c r="U8" i="61" s="1"/>
  <c r="U9" i="61" s="1"/>
  <c r="U10" i="61" s="1"/>
  <c r="U11" i="61" s="1"/>
  <c r="U12" i="61" s="1"/>
  <c r="R7" i="61"/>
  <c r="R8" i="61" s="1"/>
  <c r="R9" i="61" s="1"/>
  <c r="R10" i="61" s="1"/>
  <c r="R11" i="61" s="1"/>
  <c r="R12" i="61" s="1"/>
  <c r="G30" i="63"/>
  <c r="G31" i="63" s="1"/>
  <c r="G32" i="63" s="1"/>
  <c r="G33" i="63" s="1"/>
  <c r="G34" i="63" s="1"/>
  <c r="G35" i="63" s="1"/>
  <c r="AM81" i="63"/>
  <c r="AM82" i="63" s="1"/>
  <c r="AM83" i="63" s="1"/>
  <c r="AM84" i="63" s="1"/>
  <c r="AM85" i="63" s="1"/>
  <c r="AM86" i="63" s="1"/>
  <c r="AM62" i="63"/>
  <c r="AM63" i="63" s="1"/>
  <c r="AM64" i="63" s="1"/>
  <c r="AM65" i="63" s="1"/>
  <c r="AM66" i="63" s="1"/>
  <c r="AM67" i="63" s="1"/>
  <c r="AM43" i="63"/>
  <c r="AM44" i="63" s="1"/>
  <c r="AM45" i="63" s="1"/>
  <c r="AM46" i="63" s="1"/>
  <c r="AM47" i="63" s="1"/>
  <c r="AM48" i="63" s="1"/>
  <c r="AM24" i="63"/>
  <c r="AM25" i="63" s="1"/>
  <c r="AM26" i="63" s="1"/>
  <c r="AM27" i="63" s="1"/>
  <c r="AM28" i="63" s="1"/>
  <c r="AM29" i="63" s="1"/>
  <c r="AM5" i="63"/>
  <c r="AM6" i="63" s="1"/>
  <c r="AM7" i="63" s="1"/>
  <c r="AM8" i="63" s="1"/>
  <c r="AM9" i="63" s="1"/>
  <c r="AM10" i="63" s="1"/>
  <c r="E31" i="63"/>
  <c r="E32" i="63"/>
  <c r="E33" i="63" s="1"/>
  <c r="E30" i="63"/>
  <c r="D9" i="64" l="1"/>
  <c r="I8" i="64"/>
  <c r="O101" i="60"/>
  <c r="O100" i="60"/>
  <c r="O99" i="60"/>
  <c r="O98" i="60"/>
  <c r="O97" i="60"/>
  <c r="O96" i="60"/>
  <c r="O82" i="60"/>
  <c r="O81" i="60"/>
  <c r="O80" i="60"/>
  <c r="O79" i="60"/>
  <c r="O78" i="60"/>
  <c r="O77" i="60"/>
  <c r="O63" i="60"/>
  <c r="O62" i="60"/>
  <c r="O61" i="60"/>
  <c r="O60" i="60"/>
  <c r="O59" i="60"/>
  <c r="O58" i="60"/>
  <c r="O44" i="60"/>
  <c r="O43" i="60"/>
  <c r="O42" i="60"/>
  <c r="O41" i="60"/>
  <c r="O40" i="60"/>
  <c r="O39" i="60"/>
  <c r="O21" i="60"/>
  <c r="O22" i="60"/>
  <c r="O23" i="60"/>
  <c r="O24" i="60"/>
  <c r="O25" i="60"/>
  <c r="O20" i="60"/>
  <c r="N101" i="60"/>
  <c r="N100" i="60"/>
  <c r="N99" i="60"/>
  <c r="N98" i="60"/>
  <c r="N97" i="60"/>
  <c r="N96" i="60"/>
  <c r="N82" i="60"/>
  <c r="N81" i="60"/>
  <c r="N80" i="60"/>
  <c r="N79" i="60"/>
  <c r="N78" i="60"/>
  <c r="N77" i="60"/>
  <c r="N63" i="60"/>
  <c r="N62" i="60"/>
  <c r="N61" i="60"/>
  <c r="N60" i="60"/>
  <c r="N59" i="60"/>
  <c r="N58" i="60"/>
  <c r="N44" i="60"/>
  <c r="N43" i="60"/>
  <c r="N42" i="60"/>
  <c r="N41" i="60"/>
  <c r="N40" i="60"/>
  <c r="N39" i="60"/>
  <c r="N21" i="60"/>
  <c r="N22" i="60"/>
  <c r="N23" i="60"/>
  <c r="N24" i="60"/>
  <c r="N25" i="60"/>
  <c r="N20" i="60"/>
  <c r="D10" i="64" l="1"/>
  <c r="I9" i="64"/>
  <c r="E28" i="71"/>
  <c r="Y52" i="71" s="1"/>
  <c r="Y70" i="71"/>
  <c r="Y72" i="71"/>
  <c r="Y73" i="71"/>
  <c r="Y71" i="71"/>
  <c r="Y77" i="71"/>
  <c r="Y122" i="71"/>
  <c r="Y105" i="71"/>
  <c r="Y90" i="71"/>
  <c r="Y149" i="71"/>
  <c r="Y84" i="71"/>
  <c r="Y110" i="71"/>
  <c r="Y125" i="71"/>
  <c r="Y101" i="71"/>
  <c r="Y111" i="71"/>
  <c r="Y112" i="71"/>
  <c r="Y97" i="71"/>
  <c r="Y94" i="71"/>
  <c r="Y152" i="71"/>
  <c r="Y126" i="71"/>
  <c r="Y160" i="71"/>
  <c r="Y140" i="71"/>
  <c r="Y153" i="71"/>
  <c r="Y151" i="71"/>
  <c r="Y74" i="71"/>
  <c r="Y156" i="71"/>
  <c r="Y164" i="71"/>
  <c r="Y145" i="71"/>
  <c r="Y148" i="71"/>
  <c r="Y135" i="71"/>
  <c r="Y107" i="71"/>
  <c r="Y157" i="71"/>
  <c r="Y136" i="71"/>
  <c r="Y95" i="71"/>
  <c r="Y115" i="71"/>
  <c r="Y87" i="71"/>
  <c r="Y137" i="71"/>
  <c r="Y127" i="71"/>
  <c r="Y154" i="71"/>
  <c r="Y96" i="71"/>
  <c r="Y106" i="71"/>
  <c r="Y88" i="71"/>
  <c r="Y147" i="71"/>
  <c r="Y134" i="71"/>
  <c r="Y75" i="71"/>
  <c r="Y123" i="71"/>
  <c r="Y81" i="71"/>
  <c r="Y158" i="71"/>
  <c r="Y114" i="71"/>
  <c r="Y133" i="71"/>
  <c r="Y82" i="71"/>
  <c r="Y121" i="71"/>
  <c r="Y159" i="71"/>
  <c r="Y146" i="71"/>
  <c r="Y162" i="71"/>
  <c r="Y131" i="71"/>
  <c r="Y143" i="71"/>
  <c r="Y124" i="71"/>
  <c r="Y85" i="71"/>
  <c r="Y138" i="71"/>
  <c r="Y119" i="71"/>
  <c r="Y130" i="71"/>
  <c r="Y104" i="71"/>
  <c r="Y120" i="71"/>
  <c r="Y139" i="71"/>
  <c r="Y129" i="71"/>
  <c r="Y117" i="71"/>
  <c r="Y141" i="71"/>
  <c r="Y91" i="71"/>
  <c r="Y155" i="71"/>
  <c r="Y142" i="71"/>
  <c r="Y99" i="71"/>
  <c r="Y102" i="71"/>
  <c r="Y163" i="71"/>
  <c r="Y103" i="71"/>
  <c r="Y76" i="71"/>
  <c r="Y100" i="71"/>
  <c r="Y161" i="71"/>
  <c r="Y80" i="71"/>
  <c r="Y109" i="71"/>
  <c r="Y98" i="71"/>
  <c r="Y118" i="71"/>
  <c r="Y116" i="71"/>
  <c r="Y92" i="71"/>
  <c r="Y83" i="71"/>
  <c r="Y128" i="71"/>
  <c r="Y132" i="71"/>
  <c r="Y113" i="71"/>
  <c r="Y150" i="71"/>
  <c r="Y86" i="71"/>
  <c r="Y93" i="71"/>
  <c r="D11" i="64" l="1"/>
  <c r="I10" i="64"/>
  <c r="Y31" i="71"/>
  <c r="Y66" i="71"/>
  <c r="Y19" i="71"/>
  <c r="Y54" i="71"/>
  <c r="Y8" i="71"/>
  <c r="Y20" i="71"/>
  <c r="Y32" i="71"/>
  <c r="Y44" i="71"/>
  <c r="Y56" i="71"/>
  <c r="Y68" i="71"/>
  <c r="Y9" i="71"/>
  <c r="Y21" i="71"/>
  <c r="Y33" i="71"/>
  <c r="Y45" i="71"/>
  <c r="Y57" i="71"/>
  <c r="Y69" i="71"/>
  <c r="Y10" i="71"/>
  <c r="Y22" i="71"/>
  <c r="Y34" i="71"/>
  <c r="Y46" i="71"/>
  <c r="Y58" i="71"/>
  <c r="Y6" i="71"/>
  <c r="Y11" i="71"/>
  <c r="Y23" i="71"/>
  <c r="Y35" i="71"/>
  <c r="Y47" i="71"/>
  <c r="Y59" i="71"/>
  <c r="Y12" i="71"/>
  <c r="Y24" i="71"/>
  <c r="Y36" i="71"/>
  <c r="Y48" i="71"/>
  <c r="Y60" i="71"/>
  <c r="Y13" i="71"/>
  <c r="Y25" i="71"/>
  <c r="Y14" i="71"/>
  <c r="Y26" i="71"/>
  <c r="Y38" i="71"/>
  <c r="Y50" i="71"/>
  <c r="Y62" i="71"/>
  <c r="Y15" i="71"/>
  <c r="Y27" i="71"/>
  <c r="Y39" i="71"/>
  <c r="Y51" i="71"/>
  <c r="Y63" i="71"/>
  <c r="Y17" i="71"/>
  <c r="Y29" i="71"/>
  <c r="Y41" i="71"/>
  <c r="Y53" i="71"/>
  <c r="Y65" i="71"/>
  <c r="Y18" i="71"/>
  <c r="Y30" i="71"/>
  <c r="Y28" i="71"/>
  <c r="Y61" i="71"/>
  <c r="Y49" i="71"/>
  <c r="Y43" i="71"/>
  <c r="Y42" i="71"/>
  <c r="Y40" i="71"/>
  <c r="Y37" i="71"/>
  <c r="Y67" i="71"/>
  <c r="Y64" i="71"/>
  <c r="Y16" i="71"/>
  <c r="Y55" i="71"/>
  <c r="Y7" i="71"/>
  <c r="Y89" i="71"/>
  <c r="Y79" i="71"/>
  <c r="Y78" i="71"/>
  <c r="Y144" i="71"/>
  <c r="Y108" i="71"/>
  <c r="D12" i="64" l="1"/>
  <c r="I11" i="64"/>
  <c r="J61" i="71"/>
  <c r="J60" i="71"/>
  <c r="J59" i="71"/>
  <c r="J58" i="71"/>
  <c r="F63" i="71" s="1"/>
  <c r="D15" i="71" s="1"/>
  <c r="E15" i="71" s="1"/>
  <c r="D13" i="64" l="1"/>
  <c r="I12" i="64"/>
  <c r="H56" i="71"/>
  <c r="E56" i="71"/>
  <c r="G50" i="71"/>
  <c r="F50" i="71"/>
  <c r="E50" i="71"/>
  <c r="G49" i="71"/>
  <c r="F49" i="71"/>
  <c r="E49" i="71"/>
  <c r="G48" i="71"/>
  <c r="F48" i="71"/>
  <c r="E48" i="71"/>
  <c r="G47" i="71"/>
  <c r="F47" i="71"/>
  <c r="E47" i="71"/>
  <c r="G46" i="71"/>
  <c r="F46" i="71"/>
  <c r="E46" i="71"/>
  <c r="G45" i="71"/>
  <c r="F45" i="71"/>
  <c r="E45" i="71"/>
  <c r="G42" i="71"/>
  <c r="F42" i="71"/>
  <c r="E42" i="71"/>
  <c r="G41" i="71"/>
  <c r="F41" i="71"/>
  <c r="E41" i="71"/>
  <c r="L19" i="71"/>
  <c r="M19" i="71" s="1"/>
  <c r="M18" i="71"/>
  <c r="L18" i="71"/>
  <c r="K18" i="71"/>
  <c r="J18" i="71"/>
  <c r="I18" i="71"/>
  <c r="H18" i="71"/>
  <c r="G18" i="71"/>
  <c r="F18" i="71"/>
  <c r="D18" i="71"/>
  <c r="C18" i="71"/>
  <c r="AN86" i="63"/>
  <c r="AN85" i="63"/>
  <c r="AN84" i="63"/>
  <c r="AN83" i="63"/>
  <c r="AN82" i="63"/>
  <c r="AN81" i="63"/>
  <c r="AN67" i="63"/>
  <c r="AN66" i="63"/>
  <c r="AN65" i="63"/>
  <c r="AN64" i="63"/>
  <c r="AN63" i="63"/>
  <c r="AN62" i="63"/>
  <c r="AN48" i="63"/>
  <c r="AN47" i="63"/>
  <c r="AN46" i="63"/>
  <c r="AN45" i="63"/>
  <c r="AN44" i="63"/>
  <c r="AN43" i="63"/>
  <c r="AN29" i="63"/>
  <c r="AN28" i="63"/>
  <c r="AN27" i="63"/>
  <c r="AN26" i="63"/>
  <c r="AN25" i="63"/>
  <c r="AN24" i="63"/>
  <c r="AN6" i="63"/>
  <c r="AN7" i="63"/>
  <c r="AN8" i="63"/>
  <c r="AN9" i="63"/>
  <c r="AN10" i="63"/>
  <c r="AN5" i="63"/>
  <c r="H101" i="60"/>
  <c r="G101" i="60"/>
  <c r="F101" i="60"/>
  <c r="E101" i="60"/>
  <c r="H100" i="60"/>
  <c r="G100" i="60"/>
  <c r="F100" i="60"/>
  <c r="E100" i="60"/>
  <c r="H99" i="60"/>
  <c r="G99" i="60"/>
  <c r="F99" i="60"/>
  <c r="E99" i="60"/>
  <c r="H98" i="60"/>
  <c r="G98" i="60"/>
  <c r="F98" i="60"/>
  <c r="E98" i="60"/>
  <c r="H97" i="60"/>
  <c r="G97" i="60"/>
  <c r="F97" i="60"/>
  <c r="E97" i="60"/>
  <c r="H96" i="60"/>
  <c r="G96" i="60"/>
  <c r="F96" i="60"/>
  <c r="E96" i="60"/>
  <c r="H82" i="60"/>
  <c r="G82" i="60"/>
  <c r="F82" i="60"/>
  <c r="E82" i="60"/>
  <c r="H81" i="60"/>
  <c r="G81" i="60"/>
  <c r="F81" i="60"/>
  <c r="E81" i="60"/>
  <c r="H80" i="60"/>
  <c r="G80" i="60"/>
  <c r="F80" i="60"/>
  <c r="E80" i="60"/>
  <c r="H79" i="60"/>
  <c r="G79" i="60"/>
  <c r="F79" i="60"/>
  <c r="E79" i="60"/>
  <c r="H78" i="60"/>
  <c r="G78" i="60"/>
  <c r="F78" i="60"/>
  <c r="E78" i="60"/>
  <c r="H77" i="60"/>
  <c r="G77" i="60"/>
  <c r="F77" i="60"/>
  <c r="E77" i="60"/>
  <c r="H63" i="60"/>
  <c r="G63" i="60"/>
  <c r="F63" i="60"/>
  <c r="E63" i="60"/>
  <c r="H62" i="60"/>
  <c r="G62" i="60"/>
  <c r="F62" i="60"/>
  <c r="E62" i="60"/>
  <c r="H61" i="60"/>
  <c r="G61" i="60"/>
  <c r="F61" i="60"/>
  <c r="E61" i="60"/>
  <c r="H60" i="60"/>
  <c r="G60" i="60"/>
  <c r="F60" i="60"/>
  <c r="E60" i="60"/>
  <c r="H59" i="60"/>
  <c r="G59" i="60"/>
  <c r="F59" i="60"/>
  <c r="E59" i="60"/>
  <c r="H58" i="60"/>
  <c r="G58" i="60"/>
  <c r="F58" i="60"/>
  <c r="E58" i="60"/>
  <c r="H44" i="60"/>
  <c r="G44" i="60"/>
  <c r="F44" i="60"/>
  <c r="E44" i="60"/>
  <c r="H43" i="60"/>
  <c r="G43" i="60"/>
  <c r="F43" i="60"/>
  <c r="E43" i="60"/>
  <c r="H42" i="60"/>
  <c r="G42" i="60"/>
  <c r="F42" i="60"/>
  <c r="E42" i="60"/>
  <c r="H41" i="60"/>
  <c r="G41" i="60"/>
  <c r="F41" i="60"/>
  <c r="E41" i="60"/>
  <c r="H40" i="60"/>
  <c r="G40" i="60"/>
  <c r="F40" i="60"/>
  <c r="E40" i="60"/>
  <c r="H39" i="60"/>
  <c r="G39" i="60"/>
  <c r="F39" i="60"/>
  <c r="E39" i="60"/>
  <c r="E21" i="60"/>
  <c r="F21" i="60"/>
  <c r="G21" i="60"/>
  <c r="H21" i="60"/>
  <c r="E22" i="60"/>
  <c r="F22" i="60"/>
  <c r="G22" i="60"/>
  <c r="H22" i="60"/>
  <c r="E23" i="60"/>
  <c r="F23" i="60"/>
  <c r="G23" i="60"/>
  <c r="H23" i="60"/>
  <c r="E24" i="60"/>
  <c r="F24" i="60"/>
  <c r="G24" i="60"/>
  <c r="H24" i="60"/>
  <c r="E25" i="60"/>
  <c r="F25" i="60"/>
  <c r="G25" i="60"/>
  <c r="H25" i="60"/>
  <c r="F20" i="60"/>
  <c r="G20" i="60"/>
  <c r="H20" i="60"/>
  <c r="E20" i="60"/>
  <c r="AJ98" i="61"/>
  <c r="AJ97" i="61"/>
  <c r="AJ96" i="61"/>
  <c r="AJ95" i="61"/>
  <c r="AJ94" i="61"/>
  <c r="AJ93" i="61"/>
  <c r="AJ92" i="61"/>
  <c r="AJ91" i="61"/>
  <c r="AJ90" i="61"/>
  <c r="AJ89" i="61"/>
  <c r="AJ88" i="61"/>
  <c r="AJ87" i="61"/>
  <c r="AJ86" i="61"/>
  <c r="AJ85" i="61"/>
  <c r="AJ84" i="61"/>
  <c r="AJ83" i="61"/>
  <c r="AJ79" i="61"/>
  <c r="AJ78" i="61"/>
  <c r="AJ77" i="61"/>
  <c r="AJ76" i="61"/>
  <c r="AJ75" i="61"/>
  <c r="AJ74" i="61"/>
  <c r="AJ73" i="61"/>
  <c r="AJ72" i="61"/>
  <c r="AJ71" i="61"/>
  <c r="AJ70" i="61"/>
  <c r="AJ69" i="61"/>
  <c r="AJ68" i="61"/>
  <c r="AJ67" i="61"/>
  <c r="AJ66" i="61"/>
  <c r="AJ65" i="61"/>
  <c r="AJ64" i="61"/>
  <c r="AJ60" i="61"/>
  <c r="AJ59" i="61"/>
  <c r="AJ58" i="61"/>
  <c r="AJ57" i="61"/>
  <c r="AJ56" i="61"/>
  <c r="AJ55" i="61"/>
  <c r="AJ54" i="61"/>
  <c r="AJ53" i="61"/>
  <c r="AJ52" i="61"/>
  <c r="AJ51" i="61"/>
  <c r="AJ50" i="61"/>
  <c r="AJ49" i="61"/>
  <c r="AJ48" i="61"/>
  <c r="AJ47" i="61"/>
  <c r="AJ46" i="61"/>
  <c r="AJ45" i="61"/>
  <c r="AJ41" i="61"/>
  <c r="AJ40" i="61"/>
  <c r="AJ39" i="61"/>
  <c r="AJ38" i="61"/>
  <c r="AJ37" i="61"/>
  <c r="AJ36" i="61"/>
  <c r="AJ35" i="61"/>
  <c r="AJ34" i="61"/>
  <c r="AJ33" i="61"/>
  <c r="AJ32" i="61"/>
  <c r="AJ31" i="61"/>
  <c r="AJ30" i="61"/>
  <c r="AJ29" i="61"/>
  <c r="AJ28" i="61"/>
  <c r="AJ27" i="61"/>
  <c r="AJ26" i="61"/>
  <c r="BC12" i="61"/>
  <c r="BI12" i="61" s="1"/>
  <c r="BC10" i="61"/>
  <c r="BI10" i="61" s="1"/>
  <c r="BC9" i="61"/>
  <c r="BI9" i="61" s="1"/>
  <c r="BC8" i="61"/>
  <c r="BI8" i="61" s="1"/>
  <c r="BC7" i="61"/>
  <c r="BI7" i="61" s="1"/>
  <c r="O10" i="72"/>
  <c r="N67" i="72"/>
  <c r="M48" i="72"/>
  <c r="L86" i="72"/>
  <c r="O64" i="72"/>
  <c r="M85" i="72"/>
  <c r="N65" i="72"/>
  <c r="O24" i="72"/>
  <c r="L44" i="72"/>
  <c r="N8" i="72"/>
  <c r="M45" i="72"/>
  <c r="N29" i="72"/>
  <c r="L67" i="72"/>
  <c r="L83" i="72"/>
  <c r="N9" i="72"/>
  <c r="M82" i="72"/>
  <c r="M25" i="72"/>
  <c r="L85" i="72"/>
  <c r="N44" i="72"/>
  <c r="M10" i="72"/>
  <c r="O7" i="72"/>
  <c r="M43" i="72"/>
  <c r="M63" i="72"/>
  <c r="O46" i="72"/>
  <c r="O67" i="72"/>
  <c r="N10" i="72"/>
  <c r="N46" i="72"/>
  <c r="M64" i="72"/>
  <c r="N84" i="72"/>
  <c r="M26" i="72"/>
  <c r="M83" i="72"/>
  <c r="N5" i="72"/>
  <c r="O29" i="72"/>
  <c r="N28" i="72"/>
  <c r="O9" i="72"/>
  <c r="L82" i="72"/>
  <c r="M81" i="72"/>
  <c r="M28" i="72"/>
  <c r="O43" i="72"/>
  <c r="M84" i="72"/>
  <c r="N43" i="72"/>
  <c r="L27" i="72"/>
  <c r="N45" i="72"/>
  <c r="L47" i="72"/>
  <c r="M8" i="72"/>
  <c r="O65" i="72"/>
  <c r="L5" i="72"/>
  <c r="N82" i="72"/>
  <c r="N24" i="72"/>
  <c r="M24" i="72"/>
  <c r="O27" i="72"/>
  <c r="L26" i="72"/>
  <c r="N6" i="72"/>
  <c r="M86" i="72"/>
  <c r="O6" i="72"/>
  <c r="M65" i="72"/>
  <c r="L66" i="72"/>
  <c r="M9" i="72"/>
  <c r="N62" i="72"/>
  <c r="L63" i="72"/>
  <c r="M27" i="72"/>
  <c r="L45" i="72"/>
  <c r="L43" i="72"/>
  <c r="O5" i="72"/>
  <c r="L46" i="72"/>
  <c r="N63" i="72"/>
  <c r="L25" i="72"/>
  <c r="L10" i="72"/>
  <c r="N47" i="72"/>
  <c r="N86" i="72"/>
  <c r="O25" i="72"/>
  <c r="N26" i="72"/>
  <c r="N83" i="72"/>
  <c r="O26" i="72"/>
  <c r="M66" i="72"/>
  <c r="L81" i="72"/>
  <c r="L62" i="72"/>
  <c r="M62" i="72"/>
  <c r="O86" i="72"/>
  <c r="M6" i="72"/>
  <c r="O45" i="72"/>
  <c r="N64" i="72"/>
  <c r="M67" i="72"/>
  <c r="L65" i="72"/>
  <c r="L29" i="72"/>
  <c r="O28" i="72"/>
  <c r="O85" i="72"/>
  <c r="N27" i="72"/>
  <c r="O84" i="72"/>
  <c r="N25" i="72"/>
  <c r="L28" i="72"/>
  <c r="M5" i="72"/>
  <c r="N81" i="72"/>
  <c r="M29" i="72"/>
  <c r="L7" i="72"/>
  <c r="N7" i="72"/>
  <c r="O62" i="72"/>
  <c r="O48" i="72"/>
  <c r="M46" i="72"/>
  <c r="L6" i="72"/>
  <c r="O63" i="72"/>
  <c r="L24" i="72"/>
  <c r="O83" i="72"/>
  <c r="O82" i="72"/>
  <c r="L48" i="72"/>
  <c r="N66" i="72"/>
  <c r="L84" i="72"/>
  <c r="O8" i="72"/>
  <c r="L8" i="72"/>
  <c r="N48" i="72"/>
  <c r="O44" i="72"/>
  <c r="M44" i="72"/>
  <c r="N85" i="72"/>
  <c r="L9" i="72"/>
  <c r="O81" i="72"/>
  <c r="O47" i="72"/>
  <c r="L64" i="72"/>
  <c r="M7" i="72"/>
  <c r="M47" i="72"/>
  <c r="O66" i="72"/>
  <c r="M63" i="60" l="1"/>
  <c r="M41" i="60"/>
  <c r="M79" i="60"/>
  <c r="D14" i="64"/>
  <c r="I13" i="64"/>
  <c r="M81" i="60"/>
  <c r="M40" i="60"/>
  <c r="M60" i="60"/>
  <c r="M62" i="60"/>
  <c r="M43" i="60"/>
  <c r="M97" i="60"/>
  <c r="M39" i="60"/>
  <c r="M42" i="60"/>
  <c r="M58" i="60"/>
  <c r="M61" i="60"/>
  <c r="M77" i="60"/>
  <c r="M80" i="60"/>
  <c r="M96" i="60"/>
  <c r="M100" i="60"/>
  <c r="M59" i="60"/>
  <c r="M44" i="60"/>
  <c r="M78" i="60"/>
  <c r="M24" i="60"/>
  <c r="M21" i="60"/>
  <c r="M82" i="60"/>
  <c r="M98" i="60"/>
  <c r="M101" i="60"/>
  <c r="M23" i="60"/>
  <c r="M20" i="60"/>
  <c r="M99" i="60"/>
  <c r="M25" i="60"/>
  <c r="M22" i="60"/>
  <c r="BJ9" i="61"/>
  <c r="BJ10" i="61"/>
  <c r="P26" i="72"/>
  <c r="P45" i="72"/>
  <c r="P64" i="72"/>
  <c r="P67" i="72"/>
  <c r="P86" i="72"/>
  <c r="P29" i="72"/>
  <c r="P48" i="72"/>
  <c r="P83" i="72"/>
  <c r="P24" i="72"/>
  <c r="P62" i="72"/>
  <c r="P65" i="72"/>
  <c r="P81" i="72"/>
  <c r="P84" i="72"/>
  <c r="P46" i="72"/>
  <c r="P6" i="72"/>
  <c r="P43" i="72"/>
  <c r="P9" i="72"/>
  <c r="P27" i="72"/>
  <c r="P8" i="72"/>
  <c r="P25" i="72"/>
  <c r="P28" i="72"/>
  <c r="P44" i="72"/>
  <c r="P47" i="72"/>
  <c r="P63" i="72"/>
  <c r="P66" i="72"/>
  <c r="P82" i="72"/>
  <c r="P85" i="72"/>
  <c r="P5" i="72"/>
  <c r="P10" i="72"/>
  <c r="P7" i="72"/>
  <c r="F56" i="71"/>
  <c r="G56" i="71"/>
  <c r="BJ8" i="61"/>
  <c r="BJ7" i="61"/>
  <c r="N503" i="70"/>
  <c r="M503" i="70"/>
  <c r="L503" i="70"/>
  <c r="K503" i="70"/>
  <c r="J503" i="70"/>
  <c r="N502" i="70"/>
  <c r="M502" i="70"/>
  <c r="L502" i="70"/>
  <c r="K502" i="70"/>
  <c r="J502" i="70"/>
  <c r="N501" i="70"/>
  <c r="M501" i="70"/>
  <c r="L501" i="70"/>
  <c r="K501" i="70"/>
  <c r="J501" i="70"/>
  <c r="N500" i="70"/>
  <c r="M500" i="70"/>
  <c r="L500" i="70"/>
  <c r="K500" i="70"/>
  <c r="J500" i="70"/>
  <c r="N499" i="70"/>
  <c r="M499" i="70"/>
  <c r="L499" i="70"/>
  <c r="K499" i="70"/>
  <c r="J499" i="70"/>
  <c r="N498" i="70"/>
  <c r="M498" i="70"/>
  <c r="L498" i="70"/>
  <c r="K498" i="70"/>
  <c r="J498" i="70"/>
  <c r="N497" i="70"/>
  <c r="M497" i="70"/>
  <c r="L497" i="70"/>
  <c r="K497" i="70"/>
  <c r="J497" i="70"/>
  <c r="N496" i="70"/>
  <c r="M496" i="70"/>
  <c r="L496" i="70"/>
  <c r="K496" i="70"/>
  <c r="J496" i="70"/>
  <c r="N495" i="70"/>
  <c r="M495" i="70"/>
  <c r="L495" i="70"/>
  <c r="K495" i="70"/>
  <c r="J495" i="70"/>
  <c r="N494" i="70"/>
  <c r="M494" i="70"/>
  <c r="L494" i="70"/>
  <c r="K494" i="70"/>
  <c r="J494" i="70"/>
  <c r="N493" i="70"/>
  <c r="M493" i="70"/>
  <c r="L493" i="70"/>
  <c r="K493" i="70"/>
  <c r="J493" i="70"/>
  <c r="N492" i="70"/>
  <c r="M492" i="70"/>
  <c r="L492" i="70"/>
  <c r="K492" i="70"/>
  <c r="J492" i="70"/>
  <c r="N491" i="70"/>
  <c r="M491" i="70"/>
  <c r="L491" i="70"/>
  <c r="K491" i="70"/>
  <c r="J491" i="70"/>
  <c r="N490" i="70"/>
  <c r="M490" i="70"/>
  <c r="L490" i="70"/>
  <c r="K490" i="70"/>
  <c r="J490" i="70"/>
  <c r="N489" i="70"/>
  <c r="M489" i="70"/>
  <c r="L489" i="70"/>
  <c r="K489" i="70"/>
  <c r="J489" i="70"/>
  <c r="N488" i="70"/>
  <c r="M488" i="70"/>
  <c r="L488" i="70"/>
  <c r="K488" i="70"/>
  <c r="J488" i="70"/>
  <c r="N487" i="70"/>
  <c r="M487" i="70"/>
  <c r="L487" i="70"/>
  <c r="K487" i="70"/>
  <c r="J487" i="70"/>
  <c r="N486" i="70"/>
  <c r="M486" i="70"/>
  <c r="L486" i="70"/>
  <c r="K486" i="70"/>
  <c r="J486" i="70"/>
  <c r="N485" i="70"/>
  <c r="M485" i="70"/>
  <c r="L485" i="70"/>
  <c r="K485" i="70"/>
  <c r="J485" i="70"/>
  <c r="N484" i="70"/>
  <c r="M484" i="70"/>
  <c r="L484" i="70"/>
  <c r="K484" i="70"/>
  <c r="J484" i="70"/>
  <c r="N483" i="70"/>
  <c r="M483" i="70"/>
  <c r="L483" i="70"/>
  <c r="K483" i="70"/>
  <c r="J483" i="70"/>
  <c r="N482" i="70"/>
  <c r="M482" i="70"/>
  <c r="L482" i="70"/>
  <c r="K482" i="70"/>
  <c r="J482" i="70"/>
  <c r="N481" i="70"/>
  <c r="M481" i="70"/>
  <c r="L481" i="70"/>
  <c r="K481" i="70"/>
  <c r="J481" i="70"/>
  <c r="N480" i="70"/>
  <c r="M480" i="70"/>
  <c r="L480" i="70"/>
  <c r="K480" i="70"/>
  <c r="J480" i="70"/>
  <c r="N479" i="70"/>
  <c r="M479" i="70"/>
  <c r="L479" i="70"/>
  <c r="K479" i="70"/>
  <c r="J479" i="70"/>
  <c r="N478" i="70"/>
  <c r="M478" i="70"/>
  <c r="L478" i="70"/>
  <c r="K478" i="70"/>
  <c r="J478" i="70"/>
  <c r="N477" i="70"/>
  <c r="M477" i="70"/>
  <c r="L477" i="70"/>
  <c r="K477" i="70"/>
  <c r="J477" i="70"/>
  <c r="N476" i="70"/>
  <c r="M476" i="70"/>
  <c r="L476" i="70"/>
  <c r="K476" i="70"/>
  <c r="J476" i="70"/>
  <c r="N475" i="70"/>
  <c r="M475" i="70"/>
  <c r="L475" i="70"/>
  <c r="K475" i="70"/>
  <c r="J475" i="70"/>
  <c r="N474" i="70"/>
  <c r="M474" i="70"/>
  <c r="L474" i="70"/>
  <c r="K474" i="70"/>
  <c r="J474" i="70"/>
  <c r="N473" i="70"/>
  <c r="M473" i="70"/>
  <c r="L473" i="70"/>
  <c r="K473" i="70"/>
  <c r="J473" i="70"/>
  <c r="N472" i="70"/>
  <c r="M472" i="70"/>
  <c r="L472" i="70"/>
  <c r="K472" i="70"/>
  <c r="J472" i="70"/>
  <c r="N471" i="70"/>
  <c r="M471" i="70"/>
  <c r="L471" i="70"/>
  <c r="K471" i="70"/>
  <c r="J471" i="70"/>
  <c r="N470" i="70"/>
  <c r="M470" i="70"/>
  <c r="L470" i="70"/>
  <c r="K470" i="70"/>
  <c r="J470" i="70"/>
  <c r="N469" i="70"/>
  <c r="M469" i="70"/>
  <c r="L469" i="70"/>
  <c r="K469" i="70"/>
  <c r="J469" i="70"/>
  <c r="N468" i="70"/>
  <c r="M468" i="70"/>
  <c r="L468" i="70"/>
  <c r="K468" i="70"/>
  <c r="J468" i="70"/>
  <c r="N467" i="70"/>
  <c r="M467" i="70"/>
  <c r="L467" i="70"/>
  <c r="K467" i="70"/>
  <c r="J467" i="70"/>
  <c r="N466" i="70"/>
  <c r="M466" i="70"/>
  <c r="L466" i="70"/>
  <c r="K466" i="70"/>
  <c r="J466" i="70"/>
  <c r="N465" i="70"/>
  <c r="M465" i="70"/>
  <c r="L465" i="70"/>
  <c r="K465" i="70"/>
  <c r="J465" i="70"/>
  <c r="N464" i="70"/>
  <c r="M464" i="70"/>
  <c r="L464" i="70"/>
  <c r="K464" i="70"/>
  <c r="J464" i="70"/>
  <c r="N463" i="70"/>
  <c r="M463" i="70"/>
  <c r="L463" i="70"/>
  <c r="K463" i="70"/>
  <c r="J463" i="70"/>
  <c r="N462" i="70"/>
  <c r="M462" i="70"/>
  <c r="L462" i="70"/>
  <c r="K462" i="70"/>
  <c r="J462" i="70"/>
  <c r="N461" i="70"/>
  <c r="M461" i="70"/>
  <c r="L461" i="70"/>
  <c r="K461" i="70"/>
  <c r="J461" i="70"/>
  <c r="N460" i="70"/>
  <c r="M460" i="70"/>
  <c r="L460" i="70"/>
  <c r="K460" i="70"/>
  <c r="J460" i="70"/>
  <c r="N459" i="70"/>
  <c r="M459" i="70"/>
  <c r="L459" i="70"/>
  <c r="K459" i="70"/>
  <c r="J459" i="70"/>
  <c r="N458" i="70"/>
  <c r="M458" i="70"/>
  <c r="L458" i="70"/>
  <c r="K458" i="70"/>
  <c r="J458" i="70"/>
  <c r="N457" i="70"/>
  <c r="M457" i="70"/>
  <c r="L457" i="70"/>
  <c r="K457" i="70"/>
  <c r="J457" i="70"/>
  <c r="N456" i="70"/>
  <c r="M456" i="70"/>
  <c r="L456" i="70"/>
  <c r="K456" i="70"/>
  <c r="J456" i="70"/>
  <c r="N455" i="70"/>
  <c r="M455" i="70"/>
  <c r="L455" i="70"/>
  <c r="K455" i="70"/>
  <c r="J455" i="70"/>
  <c r="N454" i="70"/>
  <c r="M454" i="70"/>
  <c r="L454" i="70"/>
  <c r="K454" i="70"/>
  <c r="J454" i="70"/>
  <c r="N453" i="70"/>
  <c r="M453" i="70"/>
  <c r="L453" i="70"/>
  <c r="K453" i="70"/>
  <c r="J453" i="70"/>
  <c r="N452" i="70"/>
  <c r="M452" i="70"/>
  <c r="L452" i="70"/>
  <c r="K452" i="70"/>
  <c r="J452" i="70"/>
  <c r="N451" i="70"/>
  <c r="M451" i="70"/>
  <c r="L451" i="70"/>
  <c r="K451" i="70"/>
  <c r="J451" i="70"/>
  <c r="N450" i="70"/>
  <c r="M450" i="70"/>
  <c r="L450" i="70"/>
  <c r="K450" i="70"/>
  <c r="J450" i="70"/>
  <c r="N449" i="70"/>
  <c r="M449" i="70"/>
  <c r="L449" i="70"/>
  <c r="K449" i="70"/>
  <c r="J449" i="70"/>
  <c r="N448" i="70"/>
  <c r="M448" i="70"/>
  <c r="L448" i="70"/>
  <c r="K448" i="70"/>
  <c r="J448" i="70"/>
  <c r="N447" i="70"/>
  <c r="M447" i="70"/>
  <c r="L447" i="70"/>
  <c r="K447" i="70"/>
  <c r="J447" i="70"/>
  <c r="N446" i="70"/>
  <c r="M446" i="70"/>
  <c r="L446" i="70"/>
  <c r="K446" i="70"/>
  <c r="J446" i="70"/>
  <c r="N445" i="70"/>
  <c r="M445" i="70"/>
  <c r="L445" i="70"/>
  <c r="K445" i="70"/>
  <c r="J445" i="70"/>
  <c r="N444" i="70"/>
  <c r="M444" i="70"/>
  <c r="L444" i="70"/>
  <c r="K444" i="70"/>
  <c r="J444" i="70"/>
  <c r="N443" i="70"/>
  <c r="M443" i="70"/>
  <c r="L443" i="70"/>
  <c r="K443" i="70"/>
  <c r="J443" i="70"/>
  <c r="N442" i="70"/>
  <c r="M442" i="70"/>
  <c r="L442" i="70"/>
  <c r="K442" i="70"/>
  <c r="J442" i="70"/>
  <c r="N441" i="70"/>
  <c r="M441" i="70"/>
  <c r="L441" i="70"/>
  <c r="K441" i="70"/>
  <c r="J441" i="70"/>
  <c r="N440" i="70"/>
  <c r="M440" i="70"/>
  <c r="L440" i="70"/>
  <c r="K440" i="70"/>
  <c r="J440" i="70"/>
  <c r="N439" i="70"/>
  <c r="M439" i="70"/>
  <c r="L439" i="70"/>
  <c r="K439" i="70"/>
  <c r="J439" i="70"/>
  <c r="N438" i="70"/>
  <c r="M438" i="70"/>
  <c r="L438" i="70"/>
  <c r="K438" i="70"/>
  <c r="J438" i="70"/>
  <c r="N437" i="70"/>
  <c r="M437" i="70"/>
  <c r="L437" i="70"/>
  <c r="K437" i="70"/>
  <c r="J437" i="70"/>
  <c r="N436" i="70"/>
  <c r="M436" i="70"/>
  <c r="L436" i="70"/>
  <c r="K436" i="70"/>
  <c r="J436" i="70"/>
  <c r="N435" i="70"/>
  <c r="M435" i="70"/>
  <c r="L435" i="70"/>
  <c r="K435" i="70"/>
  <c r="J435" i="70"/>
  <c r="N434" i="70"/>
  <c r="M434" i="70"/>
  <c r="L434" i="70"/>
  <c r="K434" i="70"/>
  <c r="J434" i="70"/>
  <c r="N433" i="70"/>
  <c r="M433" i="70"/>
  <c r="L433" i="70"/>
  <c r="K433" i="70"/>
  <c r="J433" i="70"/>
  <c r="N432" i="70"/>
  <c r="M432" i="70"/>
  <c r="L432" i="70"/>
  <c r="K432" i="70"/>
  <c r="J432" i="70"/>
  <c r="N431" i="70"/>
  <c r="M431" i="70"/>
  <c r="L431" i="70"/>
  <c r="K431" i="70"/>
  <c r="J431" i="70"/>
  <c r="N430" i="70"/>
  <c r="M430" i="70"/>
  <c r="L430" i="70"/>
  <c r="K430" i="70"/>
  <c r="J430" i="70"/>
  <c r="N429" i="70"/>
  <c r="M429" i="70"/>
  <c r="L429" i="70"/>
  <c r="K429" i="70"/>
  <c r="J429" i="70"/>
  <c r="N428" i="70"/>
  <c r="M428" i="70"/>
  <c r="L428" i="70"/>
  <c r="K428" i="70"/>
  <c r="J428" i="70"/>
  <c r="N427" i="70"/>
  <c r="M427" i="70"/>
  <c r="L427" i="70"/>
  <c r="K427" i="70"/>
  <c r="J427" i="70"/>
  <c r="N426" i="70"/>
  <c r="M426" i="70"/>
  <c r="L426" i="70"/>
  <c r="K426" i="70"/>
  <c r="J426" i="70"/>
  <c r="N425" i="70"/>
  <c r="M425" i="70"/>
  <c r="L425" i="70"/>
  <c r="K425" i="70"/>
  <c r="J425" i="70"/>
  <c r="N424" i="70"/>
  <c r="M424" i="70"/>
  <c r="L424" i="70"/>
  <c r="K424" i="70"/>
  <c r="J424" i="70"/>
  <c r="N423" i="70"/>
  <c r="M423" i="70"/>
  <c r="L423" i="70"/>
  <c r="K423" i="70"/>
  <c r="J423" i="70"/>
  <c r="N422" i="70"/>
  <c r="M422" i="70"/>
  <c r="L422" i="70"/>
  <c r="K422" i="70"/>
  <c r="J422" i="70"/>
  <c r="N421" i="70"/>
  <c r="M421" i="70"/>
  <c r="L421" i="70"/>
  <c r="K421" i="70"/>
  <c r="J421" i="70"/>
  <c r="N420" i="70"/>
  <c r="M420" i="70"/>
  <c r="L420" i="70"/>
  <c r="K420" i="70"/>
  <c r="J420" i="70"/>
  <c r="N419" i="70"/>
  <c r="M419" i="70"/>
  <c r="L419" i="70"/>
  <c r="K419" i="70"/>
  <c r="J419" i="70"/>
  <c r="N418" i="70"/>
  <c r="M418" i="70"/>
  <c r="L418" i="70"/>
  <c r="K418" i="70"/>
  <c r="J418" i="70"/>
  <c r="N417" i="70"/>
  <c r="M417" i="70"/>
  <c r="L417" i="70"/>
  <c r="K417" i="70"/>
  <c r="J417" i="70"/>
  <c r="N416" i="70"/>
  <c r="M416" i="70"/>
  <c r="L416" i="70"/>
  <c r="K416" i="70"/>
  <c r="J416" i="70"/>
  <c r="N415" i="70"/>
  <c r="M415" i="70"/>
  <c r="L415" i="70"/>
  <c r="K415" i="70"/>
  <c r="J415" i="70"/>
  <c r="N414" i="70"/>
  <c r="M414" i="70"/>
  <c r="L414" i="70"/>
  <c r="K414" i="70"/>
  <c r="J414" i="70"/>
  <c r="N413" i="70"/>
  <c r="M413" i="70"/>
  <c r="L413" i="70"/>
  <c r="K413" i="70"/>
  <c r="J413" i="70"/>
  <c r="N412" i="70"/>
  <c r="M412" i="70"/>
  <c r="L412" i="70"/>
  <c r="K412" i="70"/>
  <c r="J412" i="70"/>
  <c r="N411" i="70"/>
  <c r="M411" i="70"/>
  <c r="L411" i="70"/>
  <c r="K411" i="70"/>
  <c r="J411" i="70"/>
  <c r="N410" i="70"/>
  <c r="M410" i="70"/>
  <c r="L410" i="70"/>
  <c r="K410" i="70"/>
  <c r="J410" i="70"/>
  <c r="N409" i="70"/>
  <c r="M409" i="70"/>
  <c r="L409" i="70"/>
  <c r="K409" i="70"/>
  <c r="J409" i="70"/>
  <c r="N408" i="70"/>
  <c r="M408" i="70"/>
  <c r="L408" i="70"/>
  <c r="K408" i="70"/>
  <c r="J408" i="70"/>
  <c r="N407" i="70"/>
  <c r="M407" i="70"/>
  <c r="L407" i="70"/>
  <c r="K407" i="70"/>
  <c r="J407" i="70"/>
  <c r="N406" i="70"/>
  <c r="M406" i="70"/>
  <c r="L406" i="70"/>
  <c r="K406" i="70"/>
  <c r="J406" i="70"/>
  <c r="N405" i="70"/>
  <c r="M405" i="70"/>
  <c r="L405" i="70"/>
  <c r="K405" i="70"/>
  <c r="J405" i="70"/>
  <c r="N404" i="70"/>
  <c r="M404" i="70"/>
  <c r="L404" i="70"/>
  <c r="K404" i="70"/>
  <c r="J404" i="70"/>
  <c r="N403" i="70"/>
  <c r="M403" i="70"/>
  <c r="L403" i="70"/>
  <c r="K403" i="70"/>
  <c r="J403" i="70"/>
  <c r="N402" i="70"/>
  <c r="M402" i="70"/>
  <c r="L402" i="70"/>
  <c r="K402" i="70"/>
  <c r="J402" i="70"/>
  <c r="N401" i="70"/>
  <c r="M401" i="70"/>
  <c r="L401" i="70"/>
  <c r="K401" i="70"/>
  <c r="J401" i="70"/>
  <c r="N400" i="70"/>
  <c r="M400" i="70"/>
  <c r="L400" i="70"/>
  <c r="K400" i="70"/>
  <c r="J400" i="70"/>
  <c r="N399" i="70"/>
  <c r="M399" i="70"/>
  <c r="L399" i="70"/>
  <c r="K399" i="70"/>
  <c r="J399" i="70"/>
  <c r="N398" i="70"/>
  <c r="M398" i="70"/>
  <c r="L398" i="70"/>
  <c r="K398" i="70"/>
  <c r="J398" i="70"/>
  <c r="N397" i="70"/>
  <c r="M397" i="70"/>
  <c r="L397" i="70"/>
  <c r="K397" i="70"/>
  <c r="J397" i="70"/>
  <c r="N396" i="70"/>
  <c r="M396" i="70"/>
  <c r="L396" i="70"/>
  <c r="K396" i="70"/>
  <c r="J396" i="70"/>
  <c r="N395" i="70"/>
  <c r="M395" i="70"/>
  <c r="L395" i="70"/>
  <c r="K395" i="70"/>
  <c r="J395" i="70"/>
  <c r="N394" i="70"/>
  <c r="M394" i="70"/>
  <c r="L394" i="70"/>
  <c r="K394" i="70"/>
  <c r="J394" i="70"/>
  <c r="N393" i="70"/>
  <c r="M393" i="70"/>
  <c r="L393" i="70"/>
  <c r="K393" i="70"/>
  <c r="J393" i="70"/>
  <c r="N392" i="70"/>
  <c r="M392" i="70"/>
  <c r="L392" i="70"/>
  <c r="K392" i="70"/>
  <c r="J392" i="70"/>
  <c r="N391" i="70"/>
  <c r="M391" i="70"/>
  <c r="L391" i="70"/>
  <c r="K391" i="70"/>
  <c r="J391" i="70"/>
  <c r="N390" i="70"/>
  <c r="M390" i="70"/>
  <c r="L390" i="70"/>
  <c r="K390" i="70"/>
  <c r="J390" i="70"/>
  <c r="N389" i="70"/>
  <c r="M389" i="70"/>
  <c r="L389" i="70"/>
  <c r="K389" i="70"/>
  <c r="J389" i="70"/>
  <c r="N388" i="70"/>
  <c r="M388" i="70"/>
  <c r="L388" i="70"/>
  <c r="K388" i="70"/>
  <c r="J388" i="70"/>
  <c r="N387" i="70"/>
  <c r="M387" i="70"/>
  <c r="L387" i="70"/>
  <c r="K387" i="70"/>
  <c r="J387" i="70"/>
  <c r="N386" i="70"/>
  <c r="M386" i="70"/>
  <c r="L386" i="70"/>
  <c r="K386" i="70"/>
  <c r="J386" i="70"/>
  <c r="N385" i="70"/>
  <c r="M385" i="70"/>
  <c r="L385" i="70"/>
  <c r="K385" i="70"/>
  <c r="J385" i="70"/>
  <c r="N384" i="70"/>
  <c r="M384" i="70"/>
  <c r="L384" i="70"/>
  <c r="K384" i="70"/>
  <c r="J384" i="70"/>
  <c r="N383" i="70"/>
  <c r="M383" i="70"/>
  <c r="L383" i="70"/>
  <c r="K383" i="70"/>
  <c r="J383" i="70"/>
  <c r="N382" i="70"/>
  <c r="M382" i="70"/>
  <c r="L382" i="70"/>
  <c r="K382" i="70"/>
  <c r="J382" i="70"/>
  <c r="N381" i="70"/>
  <c r="M381" i="70"/>
  <c r="L381" i="70"/>
  <c r="K381" i="70"/>
  <c r="J381" i="70"/>
  <c r="N380" i="70"/>
  <c r="M380" i="70"/>
  <c r="L380" i="70"/>
  <c r="K380" i="70"/>
  <c r="J380" i="70"/>
  <c r="N379" i="70"/>
  <c r="M379" i="70"/>
  <c r="L379" i="70"/>
  <c r="K379" i="70"/>
  <c r="J379" i="70"/>
  <c r="N378" i="70"/>
  <c r="M378" i="70"/>
  <c r="L378" i="70"/>
  <c r="K378" i="70"/>
  <c r="J378" i="70"/>
  <c r="N377" i="70"/>
  <c r="M377" i="70"/>
  <c r="L377" i="70"/>
  <c r="K377" i="70"/>
  <c r="J377" i="70"/>
  <c r="N376" i="70"/>
  <c r="M376" i="70"/>
  <c r="L376" i="70"/>
  <c r="K376" i="70"/>
  <c r="J376" i="70"/>
  <c r="N375" i="70"/>
  <c r="M375" i="70"/>
  <c r="L375" i="70"/>
  <c r="K375" i="70"/>
  <c r="J375" i="70"/>
  <c r="N374" i="70"/>
  <c r="M374" i="70"/>
  <c r="L374" i="70"/>
  <c r="K374" i="70"/>
  <c r="J374" i="70"/>
  <c r="N373" i="70"/>
  <c r="M373" i="70"/>
  <c r="L373" i="70"/>
  <c r="K373" i="70"/>
  <c r="J373" i="70"/>
  <c r="N372" i="70"/>
  <c r="M372" i="70"/>
  <c r="L372" i="70"/>
  <c r="K372" i="70"/>
  <c r="J372" i="70"/>
  <c r="N371" i="70"/>
  <c r="M371" i="70"/>
  <c r="L371" i="70"/>
  <c r="K371" i="70"/>
  <c r="J371" i="70"/>
  <c r="N370" i="70"/>
  <c r="M370" i="70"/>
  <c r="L370" i="70"/>
  <c r="K370" i="70"/>
  <c r="J370" i="70"/>
  <c r="N369" i="70"/>
  <c r="M369" i="70"/>
  <c r="L369" i="70"/>
  <c r="K369" i="70"/>
  <c r="J369" i="70"/>
  <c r="N368" i="70"/>
  <c r="M368" i="70"/>
  <c r="L368" i="70"/>
  <c r="K368" i="70"/>
  <c r="J368" i="70"/>
  <c r="N367" i="70"/>
  <c r="M367" i="70"/>
  <c r="L367" i="70"/>
  <c r="K367" i="70"/>
  <c r="J367" i="70"/>
  <c r="N366" i="70"/>
  <c r="M366" i="70"/>
  <c r="L366" i="70"/>
  <c r="K366" i="70"/>
  <c r="J366" i="70"/>
  <c r="N365" i="70"/>
  <c r="M365" i="70"/>
  <c r="L365" i="70"/>
  <c r="K365" i="70"/>
  <c r="J365" i="70"/>
  <c r="N364" i="70"/>
  <c r="M364" i="70"/>
  <c r="L364" i="70"/>
  <c r="K364" i="70"/>
  <c r="J364" i="70"/>
  <c r="N363" i="70"/>
  <c r="M363" i="70"/>
  <c r="L363" i="70"/>
  <c r="K363" i="70"/>
  <c r="J363" i="70"/>
  <c r="N362" i="70"/>
  <c r="M362" i="70"/>
  <c r="L362" i="70"/>
  <c r="K362" i="70"/>
  <c r="J362" i="70"/>
  <c r="N361" i="70"/>
  <c r="M361" i="70"/>
  <c r="L361" i="70"/>
  <c r="K361" i="70"/>
  <c r="J361" i="70"/>
  <c r="N360" i="70"/>
  <c r="M360" i="70"/>
  <c r="L360" i="70"/>
  <c r="K360" i="70"/>
  <c r="J360" i="70"/>
  <c r="N359" i="70"/>
  <c r="M359" i="70"/>
  <c r="L359" i="70"/>
  <c r="K359" i="70"/>
  <c r="J359" i="70"/>
  <c r="N358" i="70"/>
  <c r="M358" i="70"/>
  <c r="L358" i="70"/>
  <c r="K358" i="70"/>
  <c r="J358" i="70"/>
  <c r="N357" i="70"/>
  <c r="M357" i="70"/>
  <c r="L357" i="70"/>
  <c r="K357" i="70"/>
  <c r="J357" i="70"/>
  <c r="N356" i="70"/>
  <c r="M356" i="70"/>
  <c r="L356" i="70"/>
  <c r="K356" i="70"/>
  <c r="J356" i="70"/>
  <c r="N355" i="70"/>
  <c r="M355" i="70"/>
  <c r="L355" i="70"/>
  <c r="K355" i="70"/>
  <c r="J355" i="70"/>
  <c r="N354" i="70"/>
  <c r="M354" i="70"/>
  <c r="L354" i="70"/>
  <c r="K354" i="70"/>
  <c r="J354" i="70"/>
  <c r="N353" i="70"/>
  <c r="M353" i="70"/>
  <c r="L353" i="70"/>
  <c r="K353" i="70"/>
  <c r="J353" i="70"/>
  <c r="N352" i="70"/>
  <c r="M352" i="70"/>
  <c r="L352" i="70"/>
  <c r="K352" i="70"/>
  <c r="J352" i="70"/>
  <c r="N351" i="70"/>
  <c r="M351" i="70"/>
  <c r="L351" i="70"/>
  <c r="K351" i="70"/>
  <c r="J351" i="70"/>
  <c r="N350" i="70"/>
  <c r="M350" i="70"/>
  <c r="L350" i="70"/>
  <c r="K350" i="70"/>
  <c r="J350" i="70"/>
  <c r="N349" i="70"/>
  <c r="M349" i="70"/>
  <c r="L349" i="70"/>
  <c r="K349" i="70"/>
  <c r="J349" i="70"/>
  <c r="N348" i="70"/>
  <c r="M348" i="70"/>
  <c r="L348" i="70"/>
  <c r="K348" i="70"/>
  <c r="J348" i="70"/>
  <c r="N347" i="70"/>
  <c r="M347" i="70"/>
  <c r="L347" i="70"/>
  <c r="K347" i="70"/>
  <c r="J347" i="70"/>
  <c r="N346" i="70"/>
  <c r="M346" i="70"/>
  <c r="L346" i="70"/>
  <c r="K346" i="70"/>
  <c r="J346" i="70"/>
  <c r="N345" i="70"/>
  <c r="M345" i="70"/>
  <c r="L345" i="70"/>
  <c r="K345" i="70"/>
  <c r="J345" i="70"/>
  <c r="N344" i="70"/>
  <c r="M344" i="70"/>
  <c r="L344" i="70"/>
  <c r="K344" i="70"/>
  <c r="J344" i="70"/>
  <c r="N343" i="70"/>
  <c r="M343" i="70"/>
  <c r="L343" i="70"/>
  <c r="K343" i="70"/>
  <c r="J343" i="70"/>
  <c r="N342" i="70"/>
  <c r="M342" i="70"/>
  <c r="L342" i="70"/>
  <c r="K342" i="70"/>
  <c r="J342" i="70"/>
  <c r="N341" i="70"/>
  <c r="M341" i="70"/>
  <c r="L341" i="70"/>
  <c r="K341" i="70"/>
  <c r="J341" i="70"/>
  <c r="N340" i="70"/>
  <c r="M340" i="70"/>
  <c r="L340" i="70"/>
  <c r="K340" i="70"/>
  <c r="J340" i="70"/>
  <c r="N339" i="70"/>
  <c r="M339" i="70"/>
  <c r="L339" i="70"/>
  <c r="K339" i="70"/>
  <c r="J339" i="70"/>
  <c r="N338" i="70"/>
  <c r="M338" i="70"/>
  <c r="L338" i="70"/>
  <c r="K338" i="70"/>
  <c r="J338" i="70"/>
  <c r="N337" i="70"/>
  <c r="M337" i="70"/>
  <c r="L337" i="70"/>
  <c r="K337" i="70"/>
  <c r="J337" i="70"/>
  <c r="N336" i="70"/>
  <c r="M336" i="70"/>
  <c r="L336" i="70"/>
  <c r="K336" i="70"/>
  <c r="J336" i="70"/>
  <c r="N335" i="70"/>
  <c r="M335" i="70"/>
  <c r="L335" i="70"/>
  <c r="K335" i="70"/>
  <c r="J335" i="70"/>
  <c r="N334" i="70"/>
  <c r="M334" i="70"/>
  <c r="L334" i="70"/>
  <c r="K334" i="70"/>
  <c r="J334" i="70"/>
  <c r="N333" i="70"/>
  <c r="M333" i="70"/>
  <c r="L333" i="70"/>
  <c r="K333" i="70"/>
  <c r="J333" i="70"/>
  <c r="N332" i="70"/>
  <c r="M332" i="70"/>
  <c r="L332" i="70"/>
  <c r="K332" i="70"/>
  <c r="J332" i="70"/>
  <c r="N331" i="70"/>
  <c r="M331" i="70"/>
  <c r="L331" i="70"/>
  <c r="K331" i="70"/>
  <c r="J331" i="70"/>
  <c r="N330" i="70"/>
  <c r="M330" i="70"/>
  <c r="L330" i="70"/>
  <c r="K330" i="70"/>
  <c r="J330" i="70"/>
  <c r="N329" i="70"/>
  <c r="M329" i="70"/>
  <c r="L329" i="70"/>
  <c r="K329" i="70"/>
  <c r="J329" i="70"/>
  <c r="N328" i="70"/>
  <c r="M328" i="70"/>
  <c r="L328" i="70"/>
  <c r="K328" i="70"/>
  <c r="J328" i="70"/>
  <c r="N327" i="70"/>
  <c r="M327" i="70"/>
  <c r="L327" i="70"/>
  <c r="K327" i="70"/>
  <c r="J327" i="70"/>
  <c r="N326" i="70"/>
  <c r="M326" i="70"/>
  <c r="L326" i="70"/>
  <c r="K326" i="70"/>
  <c r="J326" i="70"/>
  <c r="N325" i="70"/>
  <c r="M325" i="70"/>
  <c r="L325" i="70"/>
  <c r="K325" i="70"/>
  <c r="J325" i="70"/>
  <c r="N324" i="70"/>
  <c r="M324" i="70"/>
  <c r="L324" i="70"/>
  <c r="K324" i="70"/>
  <c r="J324" i="70"/>
  <c r="N323" i="70"/>
  <c r="M323" i="70"/>
  <c r="L323" i="70"/>
  <c r="K323" i="70"/>
  <c r="J323" i="70"/>
  <c r="N322" i="70"/>
  <c r="M322" i="70"/>
  <c r="L322" i="70"/>
  <c r="K322" i="70"/>
  <c r="J322" i="70"/>
  <c r="N321" i="70"/>
  <c r="M321" i="70"/>
  <c r="L321" i="70"/>
  <c r="K321" i="70"/>
  <c r="J321" i="70"/>
  <c r="N320" i="70"/>
  <c r="M320" i="70"/>
  <c r="L320" i="70"/>
  <c r="K320" i="70"/>
  <c r="J320" i="70"/>
  <c r="N319" i="70"/>
  <c r="M319" i="70"/>
  <c r="L319" i="70"/>
  <c r="K319" i="70"/>
  <c r="J319" i="70"/>
  <c r="N318" i="70"/>
  <c r="M318" i="70"/>
  <c r="L318" i="70"/>
  <c r="K318" i="70"/>
  <c r="J318" i="70"/>
  <c r="N317" i="70"/>
  <c r="M317" i="70"/>
  <c r="L317" i="70"/>
  <c r="K317" i="70"/>
  <c r="J317" i="70"/>
  <c r="N316" i="70"/>
  <c r="M316" i="70"/>
  <c r="L316" i="70"/>
  <c r="K316" i="70"/>
  <c r="J316" i="70"/>
  <c r="N315" i="70"/>
  <c r="M315" i="70"/>
  <c r="L315" i="70"/>
  <c r="K315" i="70"/>
  <c r="J315" i="70"/>
  <c r="N314" i="70"/>
  <c r="M314" i="70"/>
  <c r="L314" i="70"/>
  <c r="K314" i="70"/>
  <c r="J314" i="70"/>
  <c r="N313" i="70"/>
  <c r="M313" i="70"/>
  <c r="L313" i="70"/>
  <c r="K313" i="70"/>
  <c r="J313" i="70"/>
  <c r="N312" i="70"/>
  <c r="M312" i="70"/>
  <c r="L312" i="70"/>
  <c r="K312" i="70"/>
  <c r="J312" i="70"/>
  <c r="N311" i="70"/>
  <c r="M311" i="70"/>
  <c r="L311" i="70"/>
  <c r="K311" i="70"/>
  <c r="J311" i="70"/>
  <c r="N310" i="70"/>
  <c r="M310" i="70"/>
  <c r="L310" i="70"/>
  <c r="K310" i="70"/>
  <c r="J310" i="70"/>
  <c r="N309" i="70"/>
  <c r="M309" i="70"/>
  <c r="L309" i="70"/>
  <c r="K309" i="70"/>
  <c r="J309" i="70"/>
  <c r="N308" i="70"/>
  <c r="M308" i="70"/>
  <c r="L308" i="70"/>
  <c r="K308" i="70"/>
  <c r="J308" i="70"/>
  <c r="N307" i="70"/>
  <c r="M307" i="70"/>
  <c r="L307" i="70"/>
  <c r="K307" i="70"/>
  <c r="J307" i="70"/>
  <c r="N306" i="70"/>
  <c r="M306" i="70"/>
  <c r="L306" i="70"/>
  <c r="K306" i="70"/>
  <c r="J306" i="70"/>
  <c r="N305" i="70"/>
  <c r="M305" i="70"/>
  <c r="L305" i="70"/>
  <c r="K305" i="70"/>
  <c r="J305" i="70"/>
  <c r="N304" i="70"/>
  <c r="M304" i="70"/>
  <c r="L304" i="70"/>
  <c r="K304" i="70"/>
  <c r="J304" i="70"/>
  <c r="N303" i="70"/>
  <c r="M303" i="70"/>
  <c r="L303" i="70"/>
  <c r="K303" i="70"/>
  <c r="J303" i="70"/>
  <c r="N302" i="70"/>
  <c r="M302" i="70"/>
  <c r="L302" i="70"/>
  <c r="K302" i="70"/>
  <c r="J302" i="70"/>
  <c r="N301" i="70"/>
  <c r="M301" i="70"/>
  <c r="L301" i="70"/>
  <c r="K301" i="70"/>
  <c r="J301" i="70"/>
  <c r="N300" i="70"/>
  <c r="M300" i="70"/>
  <c r="L300" i="70"/>
  <c r="K300" i="70"/>
  <c r="J300" i="70"/>
  <c r="N299" i="70"/>
  <c r="M299" i="70"/>
  <c r="L299" i="70"/>
  <c r="K299" i="70"/>
  <c r="J299" i="70"/>
  <c r="N298" i="70"/>
  <c r="M298" i="70"/>
  <c r="L298" i="70"/>
  <c r="K298" i="70"/>
  <c r="J298" i="70"/>
  <c r="N297" i="70"/>
  <c r="M297" i="70"/>
  <c r="L297" i="70"/>
  <c r="K297" i="70"/>
  <c r="J297" i="70"/>
  <c r="N296" i="70"/>
  <c r="M296" i="70"/>
  <c r="L296" i="70"/>
  <c r="K296" i="70"/>
  <c r="J296" i="70"/>
  <c r="N295" i="70"/>
  <c r="M295" i="70"/>
  <c r="L295" i="70"/>
  <c r="K295" i="70"/>
  <c r="J295" i="70"/>
  <c r="N294" i="70"/>
  <c r="M294" i="70"/>
  <c r="L294" i="70"/>
  <c r="K294" i="70"/>
  <c r="J294" i="70"/>
  <c r="N293" i="70"/>
  <c r="M293" i="70"/>
  <c r="L293" i="70"/>
  <c r="K293" i="70"/>
  <c r="J293" i="70"/>
  <c r="N292" i="70"/>
  <c r="M292" i="70"/>
  <c r="L292" i="70"/>
  <c r="K292" i="70"/>
  <c r="J292" i="70"/>
  <c r="N291" i="70"/>
  <c r="M291" i="70"/>
  <c r="L291" i="70"/>
  <c r="K291" i="70"/>
  <c r="J291" i="70"/>
  <c r="N290" i="70"/>
  <c r="M290" i="70"/>
  <c r="L290" i="70"/>
  <c r="K290" i="70"/>
  <c r="J290" i="70"/>
  <c r="N289" i="70"/>
  <c r="M289" i="70"/>
  <c r="L289" i="70"/>
  <c r="K289" i="70"/>
  <c r="J289" i="70"/>
  <c r="N288" i="70"/>
  <c r="M288" i="70"/>
  <c r="L288" i="70"/>
  <c r="K288" i="70"/>
  <c r="J288" i="70"/>
  <c r="N287" i="70"/>
  <c r="M287" i="70"/>
  <c r="L287" i="70"/>
  <c r="K287" i="70"/>
  <c r="J287" i="70"/>
  <c r="N286" i="70"/>
  <c r="M286" i="70"/>
  <c r="L286" i="70"/>
  <c r="K286" i="70"/>
  <c r="J286" i="70"/>
  <c r="N285" i="70"/>
  <c r="M285" i="70"/>
  <c r="L285" i="70"/>
  <c r="K285" i="70"/>
  <c r="J285" i="70"/>
  <c r="N284" i="70"/>
  <c r="M284" i="70"/>
  <c r="L284" i="70"/>
  <c r="K284" i="70"/>
  <c r="J284" i="70"/>
  <c r="N283" i="70"/>
  <c r="M283" i="70"/>
  <c r="L283" i="70"/>
  <c r="K283" i="70"/>
  <c r="J283" i="70"/>
  <c r="N282" i="70"/>
  <c r="M282" i="70"/>
  <c r="L282" i="70"/>
  <c r="K282" i="70"/>
  <c r="J282" i="70"/>
  <c r="N281" i="70"/>
  <c r="M281" i="70"/>
  <c r="L281" i="70"/>
  <c r="K281" i="70"/>
  <c r="J281" i="70"/>
  <c r="N280" i="70"/>
  <c r="M280" i="70"/>
  <c r="L280" i="70"/>
  <c r="K280" i="70"/>
  <c r="J280" i="70"/>
  <c r="N279" i="70"/>
  <c r="M279" i="70"/>
  <c r="L279" i="70"/>
  <c r="K279" i="70"/>
  <c r="J279" i="70"/>
  <c r="N278" i="70"/>
  <c r="M278" i="70"/>
  <c r="L278" i="70"/>
  <c r="K278" i="70"/>
  <c r="J278" i="70"/>
  <c r="N277" i="70"/>
  <c r="M277" i="70"/>
  <c r="L277" i="70"/>
  <c r="K277" i="70"/>
  <c r="J277" i="70"/>
  <c r="N276" i="70"/>
  <c r="M276" i="70"/>
  <c r="L276" i="70"/>
  <c r="K276" i="70"/>
  <c r="J276" i="70"/>
  <c r="N275" i="70"/>
  <c r="M275" i="70"/>
  <c r="L275" i="70"/>
  <c r="K275" i="70"/>
  <c r="J275" i="70"/>
  <c r="N274" i="70"/>
  <c r="M274" i="70"/>
  <c r="L274" i="70"/>
  <c r="K274" i="70"/>
  <c r="J274" i="70"/>
  <c r="N273" i="70"/>
  <c r="M273" i="70"/>
  <c r="L273" i="70"/>
  <c r="K273" i="70"/>
  <c r="J273" i="70"/>
  <c r="N272" i="70"/>
  <c r="M272" i="70"/>
  <c r="L272" i="70"/>
  <c r="K272" i="70"/>
  <c r="J272" i="70"/>
  <c r="N271" i="70"/>
  <c r="M271" i="70"/>
  <c r="L271" i="70"/>
  <c r="K271" i="70"/>
  <c r="J271" i="70"/>
  <c r="N270" i="70"/>
  <c r="M270" i="70"/>
  <c r="L270" i="70"/>
  <c r="K270" i="70"/>
  <c r="J270" i="70"/>
  <c r="N269" i="70"/>
  <c r="M269" i="70"/>
  <c r="L269" i="70"/>
  <c r="K269" i="70"/>
  <c r="J269" i="70"/>
  <c r="N268" i="70"/>
  <c r="M268" i="70"/>
  <c r="L268" i="70"/>
  <c r="K268" i="70"/>
  <c r="J268" i="70"/>
  <c r="N267" i="70"/>
  <c r="M267" i="70"/>
  <c r="L267" i="70"/>
  <c r="K267" i="70"/>
  <c r="J267" i="70"/>
  <c r="N266" i="70"/>
  <c r="M266" i="70"/>
  <c r="L266" i="70"/>
  <c r="K266" i="70"/>
  <c r="J266" i="70"/>
  <c r="N265" i="70"/>
  <c r="M265" i="70"/>
  <c r="L265" i="70"/>
  <c r="K265" i="70"/>
  <c r="J265" i="70"/>
  <c r="N264" i="70"/>
  <c r="M264" i="70"/>
  <c r="L264" i="70"/>
  <c r="K264" i="70"/>
  <c r="J264" i="70"/>
  <c r="N263" i="70"/>
  <c r="M263" i="70"/>
  <c r="L263" i="70"/>
  <c r="K263" i="70"/>
  <c r="J263" i="70"/>
  <c r="N262" i="70"/>
  <c r="M262" i="70"/>
  <c r="L262" i="70"/>
  <c r="K262" i="70"/>
  <c r="J262" i="70"/>
  <c r="N261" i="70"/>
  <c r="M261" i="70"/>
  <c r="L261" i="70"/>
  <c r="K261" i="70"/>
  <c r="J261" i="70"/>
  <c r="N260" i="70"/>
  <c r="M260" i="70"/>
  <c r="L260" i="70"/>
  <c r="K260" i="70"/>
  <c r="J260" i="70"/>
  <c r="N259" i="70"/>
  <c r="M259" i="70"/>
  <c r="L259" i="70"/>
  <c r="K259" i="70"/>
  <c r="J259" i="70"/>
  <c r="N258" i="70"/>
  <c r="M258" i="70"/>
  <c r="L258" i="70"/>
  <c r="K258" i="70"/>
  <c r="J258" i="70"/>
  <c r="N257" i="70"/>
  <c r="M257" i="70"/>
  <c r="L257" i="70"/>
  <c r="K257" i="70"/>
  <c r="J257" i="70"/>
  <c r="N256" i="70"/>
  <c r="M256" i="70"/>
  <c r="L256" i="70"/>
  <c r="K256" i="70"/>
  <c r="J256" i="70"/>
  <c r="N255" i="70"/>
  <c r="M255" i="70"/>
  <c r="L255" i="70"/>
  <c r="K255" i="70"/>
  <c r="J255" i="70"/>
  <c r="N254" i="70"/>
  <c r="M254" i="70"/>
  <c r="L254" i="70"/>
  <c r="K254" i="70"/>
  <c r="J254" i="70"/>
  <c r="N253" i="70"/>
  <c r="M253" i="70"/>
  <c r="L253" i="70"/>
  <c r="K253" i="70"/>
  <c r="J253" i="70"/>
  <c r="N252" i="70"/>
  <c r="M252" i="70"/>
  <c r="L252" i="70"/>
  <c r="K252" i="70"/>
  <c r="J252" i="70"/>
  <c r="N251" i="70"/>
  <c r="M251" i="70"/>
  <c r="L251" i="70"/>
  <c r="K251" i="70"/>
  <c r="J251" i="70"/>
  <c r="N250" i="70"/>
  <c r="M250" i="70"/>
  <c r="L250" i="70"/>
  <c r="K250" i="70"/>
  <c r="J250" i="70"/>
  <c r="N249" i="70"/>
  <c r="M249" i="70"/>
  <c r="L249" i="70"/>
  <c r="K249" i="70"/>
  <c r="J249" i="70"/>
  <c r="N248" i="70"/>
  <c r="M248" i="70"/>
  <c r="L248" i="70"/>
  <c r="K248" i="70"/>
  <c r="J248" i="70"/>
  <c r="N247" i="70"/>
  <c r="M247" i="70"/>
  <c r="L247" i="70"/>
  <c r="K247" i="70"/>
  <c r="J247" i="70"/>
  <c r="N246" i="70"/>
  <c r="M246" i="70"/>
  <c r="L246" i="70"/>
  <c r="K246" i="70"/>
  <c r="J246" i="70"/>
  <c r="N245" i="70"/>
  <c r="M245" i="70"/>
  <c r="L245" i="70"/>
  <c r="K245" i="70"/>
  <c r="J245" i="70"/>
  <c r="N244" i="70"/>
  <c r="M244" i="70"/>
  <c r="L244" i="70"/>
  <c r="K244" i="70"/>
  <c r="J244" i="70"/>
  <c r="N243" i="70"/>
  <c r="M243" i="70"/>
  <c r="L243" i="70"/>
  <c r="K243" i="70"/>
  <c r="J243" i="70"/>
  <c r="N242" i="70"/>
  <c r="M242" i="70"/>
  <c r="L242" i="70"/>
  <c r="K242" i="70"/>
  <c r="J242" i="70"/>
  <c r="N241" i="70"/>
  <c r="M241" i="70"/>
  <c r="L241" i="70"/>
  <c r="K241" i="70"/>
  <c r="J241" i="70"/>
  <c r="N240" i="70"/>
  <c r="M240" i="70"/>
  <c r="L240" i="70"/>
  <c r="K240" i="70"/>
  <c r="J240" i="70"/>
  <c r="N239" i="70"/>
  <c r="M239" i="70"/>
  <c r="L239" i="70"/>
  <c r="K239" i="70"/>
  <c r="J239" i="70"/>
  <c r="N238" i="70"/>
  <c r="M238" i="70"/>
  <c r="L238" i="70"/>
  <c r="K238" i="70"/>
  <c r="J238" i="70"/>
  <c r="N237" i="70"/>
  <c r="M237" i="70"/>
  <c r="L237" i="70"/>
  <c r="K237" i="70"/>
  <c r="J237" i="70"/>
  <c r="N236" i="70"/>
  <c r="M236" i="70"/>
  <c r="L236" i="70"/>
  <c r="K236" i="70"/>
  <c r="J236" i="70"/>
  <c r="N235" i="70"/>
  <c r="M235" i="70"/>
  <c r="L235" i="70"/>
  <c r="K235" i="70"/>
  <c r="J235" i="70"/>
  <c r="N234" i="70"/>
  <c r="M234" i="70"/>
  <c r="L234" i="70"/>
  <c r="K234" i="70"/>
  <c r="J234" i="70"/>
  <c r="N233" i="70"/>
  <c r="M233" i="70"/>
  <c r="L233" i="70"/>
  <c r="K233" i="70"/>
  <c r="J233" i="70"/>
  <c r="N232" i="70"/>
  <c r="M232" i="70"/>
  <c r="L232" i="70"/>
  <c r="K232" i="70"/>
  <c r="J232" i="70"/>
  <c r="N231" i="70"/>
  <c r="M231" i="70"/>
  <c r="L231" i="70"/>
  <c r="K231" i="70"/>
  <c r="J231" i="70"/>
  <c r="N230" i="70"/>
  <c r="M230" i="70"/>
  <c r="L230" i="70"/>
  <c r="K230" i="70"/>
  <c r="J230" i="70"/>
  <c r="N229" i="70"/>
  <c r="M229" i="70"/>
  <c r="L229" i="70"/>
  <c r="K229" i="70"/>
  <c r="J229" i="70"/>
  <c r="N228" i="70"/>
  <c r="M228" i="70"/>
  <c r="L228" i="70"/>
  <c r="K228" i="70"/>
  <c r="J228" i="70"/>
  <c r="N227" i="70"/>
  <c r="M227" i="70"/>
  <c r="L227" i="70"/>
  <c r="K227" i="70"/>
  <c r="J227" i="70"/>
  <c r="N226" i="70"/>
  <c r="M226" i="70"/>
  <c r="L226" i="70"/>
  <c r="K226" i="70"/>
  <c r="J226" i="70"/>
  <c r="N225" i="70"/>
  <c r="M225" i="70"/>
  <c r="L225" i="70"/>
  <c r="K225" i="70"/>
  <c r="J225" i="70"/>
  <c r="N224" i="70"/>
  <c r="M224" i="70"/>
  <c r="L224" i="70"/>
  <c r="K224" i="70"/>
  <c r="J224" i="70"/>
  <c r="N223" i="70"/>
  <c r="M223" i="70"/>
  <c r="L223" i="70"/>
  <c r="K223" i="70"/>
  <c r="J223" i="70"/>
  <c r="N222" i="70"/>
  <c r="M222" i="70"/>
  <c r="L222" i="70"/>
  <c r="K222" i="70"/>
  <c r="J222" i="70"/>
  <c r="N221" i="70"/>
  <c r="M221" i="70"/>
  <c r="L221" i="70"/>
  <c r="K221" i="70"/>
  <c r="J221" i="70"/>
  <c r="N220" i="70"/>
  <c r="M220" i="70"/>
  <c r="L220" i="70"/>
  <c r="K220" i="70"/>
  <c r="J220" i="70"/>
  <c r="N219" i="70"/>
  <c r="M219" i="70"/>
  <c r="L219" i="70"/>
  <c r="K219" i="70"/>
  <c r="J219" i="70"/>
  <c r="N218" i="70"/>
  <c r="M218" i="70"/>
  <c r="L218" i="70"/>
  <c r="K218" i="70"/>
  <c r="J218" i="70"/>
  <c r="N217" i="70"/>
  <c r="M217" i="70"/>
  <c r="L217" i="70"/>
  <c r="K217" i="70"/>
  <c r="J217" i="70"/>
  <c r="N216" i="70"/>
  <c r="M216" i="70"/>
  <c r="L216" i="70"/>
  <c r="K216" i="70"/>
  <c r="J216" i="70"/>
  <c r="N215" i="70"/>
  <c r="M215" i="70"/>
  <c r="L215" i="70"/>
  <c r="K215" i="70"/>
  <c r="J215" i="70"/>
  <c r="N214" i="70"/>
  <c r="M214" i="70"/>
  <c r="L214" i="70"/>
  <c r="K214" i="70"/>
  <c r="J214" i="70"/>
  <c r="N213" i="70"/>
  <c r="M213" i="70"/>
  <c r="L213" i="70"/>
  <c r="K213" i="70"/>
  <c r="J213" i="70"/>
  <c r="N212" i="70"/>
  <c r="M212" i="70"/>
  <c r="L212" i="70"/>
  <c r="K212" i="70"/>
  <c r="J212" i="70"/>
  <c r="N211" i="70"/>
  <c r="M211" i="70"/>
  <c r="L211" i="70"/>
  <c r="K211" i="70"/>
  <c r="J211" i="70"/>
  <c r="N210" i="70"/>
  <c r="M210" i="70"/>
  <c r="L210" i="70"/>
  <c r="K210" i="70"/>
  <c r="J210" i="70"/>
  <c r="N209" i="70"/>
  <c r="M209" i="70"/>
  <c r="L209" i="70"/>
  <c r="K209" i="70"/>
  <c r="J209" i="70"/>
  <c r="N208" i="70"/>
  <c r="M208" i="70"/>
  <c r="L208" i="70"/>
  <c r="K208" i="70"/>
  <c r="J208" i="70"/>
  <c r="N207" i="70"/>
  <c r="M207" i="70"/>
  <c r="L207" i="70"/>
  <c r="K207" i="70"/>
  <c r="J207" i="70"/>
  <c r="N206" i="70"/>
  <c r="M206" i="70"/>
  <c r="L206" i="70"/>
  <c r="K206" i="70"/>
  <c r="J206" i="70"/>
  <c r="N205" i="70"/>
  <c r="M205" i="70"/>
  <c r="L205" i="70"/>
  <c r="K205" i="70"/>
  <c r="J205" i="70"/>
  <c r="N204" i="70"/>
  <c r="M204" i="70"/>
  <c r="L204" i="70"/>
  <c r="K204" i="70"/>
  <c r="J204" i="70"/>
  <c r="N203" i="70"/>
  <c r="M203" i="70"/>
  <c r="L203" i="70"/>
  <c r="K203" i="70"/>
  <c r="J203" i="70"/>
  <c r="N202" i="70"/>
  <c r="M202" i="70"/>
  <c r="L202" i="70"/>
  <c r="K202" i="70"/>
  <c r="J202" i="70"/>
  <c r="N201" i="70"/>
  <c r="M201" i="70"/>
  <c r="L201" i="70"/>
  <c r="K201" i="70"/>
  <c r="J201" i="70"/>
  <c r="N200" i="70"/>
  <c r="M200" i="70"/>
  <c r="L200" i="70"/>
  <c r="K200" i="70"/>
  <c r="J200" i="70"/>
  <c r="N199" i="70"/>
  <c r="M199" i="70"/>
  <c r="L199" i="70"/>
  <c r="K199" i="70"/>
  <c r="J199" i="70"/>
  <c r="N198" i="70"/>
  <c r="M198" i="70"/>
  <c r="L198" i="70"/>
  <c r="K198" i="70"/>
  <c r="J198" i="70"/>
  <c r="N197" i="70"/>
  <c r="M197" i="70"/>
  <c r="L197" i="70"/>
  <c r="K197" i="70"/>
  <c r="J197" i="70"/>
  <c r="N196" i="70"/>
  <c r="M196" i="70"/>
  <c r="L196" i="70"/>
  <c r="K196" i="70"/>
  <c r="J196" i="70"/>
  <c r="N195" i="70"/>
  <c r="M195" i="70"/>
  <c r="L195" i="70"/>
  <c r="K195" i="70"/>
  <c r="J195" i="70"/>
  <c r="N194" i="70"/>
  <c r="M194" i="70"/>
  <c r="L194" i="70"/>
  <c r="K194" i="70"/>
  <c r="J194" i="70"/>
  <c r="N193" i="70"/>
  <c r="M193" i="70"/>
  <c r="L193" i="70"/>
  <c r="K193" i="70"/>
  <c r="J193" i="70"/>
  <c r="N192" i="70"/>
  <c r="M192" i="70"/>
  <c r="L192" i="70"/>
  <c r="K192" i="70"/>
  <c r="J192" i="70"/>
  <c r="N191" i="70"/>
  <c r="M191" i="70"/>
  <c r="L191" i="70"/>
  <c r="K191" i="70"/>
  <c r="J191" i="70"/>
  <c r="N190" i="70"/>
  <c r="M190" i="70"/>
  <c r="L190" i="70"/>
  <c r="K190" i="70"/>
  <c r="J190" i="70"/>
  <c r="N189" i="70"/>
  <c r="M189" i="70"/>
  <c r="L189" i="70"/>
  <c r="K189" i="70"/>
  <c r="J189" i="70"/>
  <c r="N188" i="70"/>
  <c r="M188" i="70"/>
  <c r="L188" i="70"/>
  <c r="K188" i="70"/>
  <c r="J188" i="70"/>
  <c r="N187" i="70"/>
  <c r="M187" i="70"/>
  <c r="L187" i="70"/>
  <c r="K187" i="70"/>
  <c r="J187" i="70"/>
  <c r="N186" i="70"/>
  <c r="M186" i="70"/>
  <c r="L186" i="70"/>
  <c r="K186" i="70"/>
  <c r="J186" i="70"/>
  <c r="N185" i="70"/>
  <c r="M185" i="70"/>
  <c r="L185" i="70"/>
  <c r="K185" i="70"/>
  <c r="J185" i="70"/>
  <c r="N184" i="70"/>
  <c r="M184" i="70"/>
  <c r="L184" i="70"/>
  <c r="K184" i="70"/>
  <c r="J184" i="70"/>
  <c r="N183" i="70"/>
  <c r="M183" i="70"/>
  <c r="L183" i="70"/>
  <c r="K183" i="70"/>
  <c r="J183" i="70"/>
  <c r="N182" i="70"/>
  <c r="M182" i="70"/>
  <c r="L182" i="70"/>
  <c r="K182" i="70"/>
  <c r="J182" i="70"/>
  <c r="N181" i="70"/>
  <c r="M181" i="70"/>
  <c r="L181" i="70"/>
  <c r="K181" i="70"/>
  <c r="J181" i="70"/>
  <c r="N180" i="70"/>
  <c r="M180" i="70"/>
  <c r="L180" i="70"/>
  <c r="K180" i="70"/>
  <c r="J180" i="70"/>
  <c r="N179" i="70"/>
  <c r="M179" i="70"/>
  <c r="L179" i="70"/>
  <c r="K179" i="70"/>
  <c r="J179" i="70"/>
  <c r="N178" i="70"/>
  <c r="M178" i="70"/>
  <c r="L178" i="70"/>
  <c r="K178" i="70"/>
  <c r="J178" i="70"/>
  <c r="N177" i="70"/>
  <c r="M177" i="70"/>
  <c r="L177" i="70"/>
  <c r="K177" i="70"/>
  <c r="J177" i="70"/>
  <c r="N176" i="70"/>
  <c r="M176" i="70"/>
  <c r="L176" i="70"/>
  <c r="K176" i="70"/>
  <c r="J176" i="70"/>
  <c r="N175" i="70"/>
  <c r="M175" i="70"/>
  <c r="L175" i="70"/>
  <c r="K175" i="70"/>
  <c r="J175" i="70"/>
  <c r="N174" i="70"/>
  <c r="M174" i="70"/>
  <c r="L174" i="70"/>
  <c r="K174" i="70"/>
  <c r="J174" i="70"/>
  <c r="N173" i="70"/>
  <c r="M173" i="70"/>
  <c r="L173" i="70"/>
  <c r="K173" i="70"/>
  <c r="J173" i="70"/>
  <c r="N172" i="70"/>
  <c r="M172" i="70"/>
  <c r="L172" i="70"/>
  <c r="K172" i="70"/>
  <c r="J172" i="70"/>
  <c r="N171" i="70"/>
  <c r="M171" i="70"/>
  <c r="L171" i="70"/>
  <c r="K171" i="70"/>
  <c r="J171" i="70"/>
  <c r="N170" i="70"/>
  <c r="M170" i="70"/>
  <c r="L170" i="70"/>
  <c r="K170" i="70"/>
  <c r="J170" i="70"/>
  <c r="N169" i="70"/>
  <c r="M169" i="70"/>
  <c r="L169" i="70"/>
  <c r="K169" i="70"/>
  <c r="J169" i="70"/>
  <c r="N168" i="70"/>
  <c r="M168" i="70"/>
  <c r="L168" i="70"/>
  <c r="K168" i="70"/>
  <c r="J168" i="70"/>
  <c r="N167" i="70"/>
  <c r="M167" i="70"/>
  <c r="L167" i="70"/>
  <c r="K167" i="70"/>
  <c r="J167" i="70"/>
  <c r="N166" i="70"/>
  <c r="M166" i="70"/>
  <c r="L166" i="70"/>
  <c r="K166" i="70"/>
  <c r="J166" i="70"/>
  <c r="N165" i="70"/>
  <c r="M165" i="70"/>
  <c r="L165" i="70"/>
  <c r="K165" i="70"/>
  <c r="J165" i="70"/>
  <c r="N164" i="70"/>
  <c r="M164" i="70"/>
  <c r="L164" i="70"/>
  <c r="K164" i="70"/>
  <c r="J164" i="70"/>
  <c r="Z163" i="70"/>
  <c r="Y163" i="70"/>
  <c r="X163" i="70"/>
  <c r="W163" i="70"/>
  <c r="V163" i="70"/>
  <c r="U163" i="70"/>
  <c r="T163" i="70"/>
  <c r="S163" i="70"/>
  <c r="R163" i="70"/>
  <c r="Q163" i="70"/>
  <c r="N163" i="70"/>
  <c r="M163" i="70"/>
  <c r="L163" i="70"/>
  <c r="K163" i="70"/>
  <c r="J163" i="70"/>
  <c r="G163" i="70"/>
  <c r="F163" i="70"/>
  <c r="E163" i="70"/>
  <c r="D163" i="70"/>
  <c r="C163" i="70"/>
  <c r="Z162" i="70"/>
  <c r="Y162" i="70"/>
  <c r="X162" i="70"/>
  <c r="W162" i="70"/>
  <c r="V162" i="70"/>
  <c r="U162" i="70"/>
  <c r="T162" i="70"/>
  <c r="S162" i="70"/>
  <c r="R162" i="70"/>
  <c r="Q162" i="70"/>
  <c r="N162" i="70"/>
  <c r="M162" i="70"/>
  <c r="L162" i="70"/>
  <c r="K162" i="70"/>
  <c r="J162" i="70"/>
  <c r="G162" i="70"/>
  <c r="F162" i="70"/>
  <c r="E162" i="70"/>
  <c r="D162" i="70"/>
  <c r="C162" i="70"/>
  <c r="Z161" i="70"/>
  <c r="Y161" i="70"/>
  <c r="X161" i="70"/>
  <c r="W161" i="70"/>
  <c r="V161" i="70"/>
  <c r="U161" i="70"/>
  <c r="T161" i="70"/>
  <c r="S161" i="70"/>
  <c r="R161" i="70"/>
  <c r="Q161" i="70"/>
  <c r="N161" i="70"/>
  <c r="M161" i="70"/>
  <c r="L161" i="70"/>
  <c r="K161" i="70"/>
  <c r="J161" i="70"/>
  <c r="G161" i="70"/>
  <c r="F161" i="70"/>
  <c r="E161" i="70"/>
  <c r="D161" i="70"/>
  <c r="C161" i="70"/>
  <c r="Z160" i="70"/>
  <c r="Y160" i="70"/>
  <c r="X160" i="70"/>
  <c r="W160" i="70"/>
  <c r="V160" i="70"/>
  <c r="U160" i="70"/>
  <c r="T160" i="70"/>
  <c r="S160" i="70"/>
  <c r="R160" i="70"/>
  <c r="Q160" i="70"/>
  <c r="N160" i="70"/>
  <c r="M160" i="70"/>
  <c r="L160" i="70"/>
  <c r="K160" i="70"/>
  <c r="J160" i="70"/>
  <c r="G160" i="70"/>
  <c r="F160" i="70"/>
  <c r="E160" i="70"/>
  <c r="D160" i="70"/>
  <c r="C160" i="70"/>
  <c r="Z159" i="70"/>
  <c r="Y159" i="70"/>
  <c r="X159" i="70"/>
  <c r="W159" i="70"/>
  <c r="V159" i="70"/>
  <c r="U159" i="70"/>
  <c r="T159" i="70"/>
  <c r="S159" i="70"/>
  <c r="R159" i="70"/>
  <c r="Q159" i="70"/>
  <c r="N159" i="70"/>
  <c r="M159" i="70"/>
  <c r="L159" i="70"/>
  <c r="K159" i="70"/>
  <c r="J159" i="70"/>
  <c r="G159" i="70"/>
  <c r="F159" i="70"/>
  <c r="E159" i="70"/>
  <c r="D159" i="70"/>
  <c r="C159" i="70"/>
  <c r="Z158" i="70"/>
  <c r="Y158" i="70"/>
  <c r="X158" i="70"/>
  <c r="W158" i="70"/>
  <c r="V158" i="70"/>
  <c r="U158" i="70"/>
  <c r="T158" i="70"/>
  <c r="S158" i="70"/>
  <c r="R158" i="70"/>
  <c r="Q158" i="70"/>
  <c r="N158" i="70"/>
  <c r="M158" i="70"/>
  <c r="L158" i="70"/>
  <c r="K158" i="70"/>
  <c r="J158" i="70"/>
  <c r="G158" i="70"/>
  <c r="F158" i="70"/>
  <c r="E158" i="70"/>
  <c r="D158" i="70"/>
  <c r="C158" i="70"/>
  <c r="Z157" i="70"/>
  <c r="Y157" i="70"/>
  <c r="X157" i="70"/>
  <c r="W157" i="70"/>
  <c r="V157" i="70"/>
  <c r="U157" i="70"/>
  <c r="T157" i="70"/>
  <c r="S157" i="70"/>
  <c r="R157" i="70"/>
  <c r="Q157" i="70"/>
  <c r="N157" i="70"/>
  <c r="M157" i="70"/>
  <c r="L157" i="70"/>
  <c r="K157" i="70"/>
  <c r="J157" i="70"/>
  <c r="G157" i="70"/>
  <c r="F157" i="70"/>
  <c r="E157" i="70"/>
  <c r="D157" i="70"/>
  <c r="C157" i="70"/>
  <c r="Z156" i="70"/>
  <c r="Y156" i="70"/>
  <c r="X156" i="70"/>
  <c r="W156" i="70"/>
  <c r="V156" i="70"/>
  <c r="U156" i="70"/>
  <c r="T156" i="70"/>
  <c r="S156" i="70"/>
  <c r="R156" i="70"/>
  <c r="Q156" i="70"/>
  <c r="N156" i="70"/>
  <c r="M156" i="70"/>
  <c r="L156" i="70"/>
  <c r="K156" i="70"/>
  <c r="J156" i="70"/>
  <c r="G156" i="70"/>
  <c r="F156" i="70"/>
  <c r="E156" i="70"/>
  <c r="D156" i="70"/>
  <c r="C156" i="70"/>
  <c r="Z155" i="70"/>
  <c r="Y155" i="70"/>
  <c r="X155" i="70"/>
  <c r="W155" i="70"/>
  <c r="V155" i="70"/>
  <c r="U155" i="70"/>
  <c r="T155" i="70"/>
  <c r="S155" i="70"/>
  <c r="R155" i="70"/>
  <c r="Q155" i="70"/>
  <c r="N155" i="70"/>
  <c r="M155" i="70"/>
  <c r="L155" i="70"/>
  <c r="K155" i="70"/>
  <c r="J155" i="70"/>
  <c r="G155" i="70"/>
  <c r="F155" i="70"/>
  <c r="E155" i="70"/>
  <c r="D155" i="70"/>
  <c r="C155" i="70"/>
  <c r="Z154" i="70"/>
  <c r="Y154" i="70"/>
  <c r="X154" i="70"/>
  <c r="W154" i="70"/>
  <c r="V154" i="70"/>
  <c r="U154" i="70"/>
  <c r="T154" i="70"/>
  <c r="S154" i="70"/>
  <c r="R154" i="70"/>
  <c r="Q154" i="70"/>
  <c r="N154" i="70"/>
  <c r="M154" i="70"/>
  <c r="L154" i="70"/>
  <c r="K154" i="70"/>
  <c r="J154" i="70"/>
  <c r="G154" i="70"/>
  <c r="F154" i="70"/>
  <c r="E154" i="70"/>
  <c r="D154" i="70"/>
  <c r="C154" i="70"/>
  <c r="Z153" i="70"/>
  <c r="Y153" i="70"/>
  <c r="X153" i="70"/>
  <c r="W153" i="70"/>
  <c r="V153" i="70"/>
  <c r="U153" i="70"/>
  <c r="T153" i="70"/>
  <c r="S153" i="70"/>
  <c r="R153" i="70"/>
  <c r="Q153" i="70"/>
  <c r="N153" i="70"/>
  <c r="M153" i="70"/>
  <c r="L153" i="70"/>
  <c r="K153" i="70"/>
  <c r="J153" i="70"/>
  <c r="G153" i="70"/>
  <c r="F153" i="70"/>
  <c r="E153" i="70"/>
  <c r="D153" i="70"/>
  <c r="C153" i="70"/>
  <c r="Z152" i="70"/>
  <c r="Y152" i="70"/>
  <c r="X152" i="70"/>
  <c r="W152" i="70"/>
  <c r="V152" i="70"/>
  <c r="U152" i="70"/>
  <c r="T152" i="70"/>
  <c r="S152" i="70"/>
  <c r="R152" i="70"/>
  <c r="Q152" i="70"/>
  <c r="N152" i="70"/>
  <c r="M152" i="70"/>
  <c r="L152" i="70"/>
  <c r="K152" i="70"/>
  <c r="J152" i="70"/>
  <c r="G152" i="70"/>
  <c r="F152" i="70"/>
  <c r="E152" i="70"/>
  <c r="D152" i="70"/>
  <c r="C152" i="70"/>
  <c r="Z151" i="70"/>
  <c r="Y151" i="70"/>
  <c r="X151" i="70"/>
  <c r="W151" i="70"/>
  <c r="V151" i="70"/>
  <c r="U151" i="70"/>
  <c r="T151" i="70"/>
  <c r="S151" i="70"/>
  <c r="R151" i="70"/>
  <c r="Q151" i="70"/>
  <c r="N151" i="70"/>
  <c r="M151" i="70"/>
  <c r="L151" i="70"/>
  <c r="K151" i="70"/>
  <c r="J151" i="70"/>
  <c r="G151" i="70"/>
  <c r="F151" i="70"/>
  <c r="E151" i="70"/>
  <c r="D151" i="70"/>
  <c r="C151" i="70"/>
  <c r="Z150" i="70"/>
  <c r="Y150" i="70"/>
  <c r="X150" i="70"/>
  <c r="W150" i="70"/>
  <c r="V150" i="70"/>
  <c r="U150" i="70"/>
  <c r="T150" i="70"/>
  <c r="S150" i="70"/>
  <c r="R150" i="70"/>
  <c r="Q150" i="70"/>
  <c r="N150" i="70"/>
  <c r="M150" i="70"/>
  <c r="L150" i="70"/>
  <c r="K150" i="70"/>
  <c r="J150" i="70"/>
  <c r="G150" i="70"/>
  <c r="F150" i="70"/>
  <c r="E150" i="70"/>
  <c r="D150" i="70"/>
  <c r="C150" i="70"/>
  <c r="Z149" i="70"/>
  <c r="Y149" i="70"/>
  <c r="X149" i="70"/>
  <c r="W149" i="70"/>
  <c r="V149" i="70"/>
  <c r="U149" i="70"/>
  <c r="T149" i="70"/>
  <c r="S149" i="70"/>
  <c r="R149" i="70"/>
  <c r="Q149" i="70"/>
  <c r="N149" i="70"/>
  <c r="M149" i="70"/>
  <c r="L149" i="70"/>
  <c r="K149" i="70"/>
  <c r="J149" i="70"/>
  <c r="G149" i="70"/>
  <c r="F149" i="70"/>
  <c r="E149" i="70"/>
  <c r="D149" i="70"/>
  <c r="C149" i="70"/>
  <c r="Z148" i="70"/>
  <c r="Y148" i="70"/>
  <c r="X148" i="70"/>
  <c r="W148" i="70"/>
  <c r="V148" i="70"/>
  <c r="U148" i="70"/>
  <c r="T148" i="70"/>
  <c r="S148" i="70"/>
  <c r="R148" i="70"/>
  <c r="Q148" i="70"/>
  <c r="N148" i="70"/>
  <c r="M148" i="70"/>
  <c r="L148" i="70"/>
  <c r="K148" i="70"/>
  <c r="J148" i="70"/>
  <c r="G148" i="70"/>
  <c r="F148" i="70"/>
  <c r="E148" i="70"/>
  <c r="D148" i="70"/>
  <c r="C148" i="70"/>
  <c r="Z147" i="70"/>
  <c r="Y147" i="70"/>
  <c r="X147" i="70"/>
  <c r="W147" i="70"/>
  <c r="V147" i="70"/>
  <c r="U147" i="70"/>
  <c r="T147" i="70"/>
  <c r="S147" i="70"/>
  <c r="R147" i="70"/>
  <c r="Q147" i="70"/>
  <c r="N147" i="70"/>
  <c r="M147" i="70"/>
  <c r="L147" i="70"/>
  <c r="K147" i="70"/>
  <c r="J147" i="70"/>
  <c r="G147" i="70"/>
  <c r="F147" i="70"/>
  <c r="E147" i="70"/>
  <c r="D147" i="70"/>
  <c r="C147" i="70"/>
  <c r="Z146" i="70"/>
  <c r="Y146" i="70"/>
  <c r="X146" i="70"/>
  <c r="W146" i="70"/>
  <c r="V146" i="70"/>
  <c r="U146" i="70"/>
  <c r="T146" i="70"/>
  <c r="S146" i="70"/>
  <c r="R146" i="70"/>
  <c r="Q146" i="70"/>
  <c r="N146" i="70"/>
  <c r="M146" i="70"/>
  <c r="L146" i="70"/>
  <c r="K146" i="70"/>
  <c r="J146" i="70"/>
  <c r="G146" i="70"/>
  <c r="F146" i="70"/>
  <c r="E146" i="70"/>
  <c r="D146" i="70"/>
  <c r="C146" i="70"/>
  <c r="Z145" i="70"/>
  <c r="Y145" i="70"/>
  <c r="X145" i="70"/>
  <c r="W145" i="70"/>
  <c r="V145" i="70"/>
  <c r="U145" i="70"/>
  <c r="T145" i="70"/>
  <c r="S145" i="70"/>
  <c r="R145" i="70"/>
  <c r="Q145" i="70"/>
  <c r="N145" i="70"/>
  <c r="M145" i="70"/>
  <c r="L145" i="70"/>
  <c r="K145" i="70"/>
  <c r="J145" i="70"/>
  <c r="G145" i="70"/>
  <c r="F145" i="70"/>
  <c r="E145" i="70"/>
  <c r="D145" i="70"/>
  <c r="C145" i="70"/>
  <c r="Z144" i="70"/>
  <c r="Y144" i="70"/>
  <c r="X144" i="70"/>
  <c r="W144" i="70"/>
  <c r="V144" i="70"/>
  <c r="U144" i="70"/>
  <c r="T144" i="70"/>
  <c r="S144" i="70"/>
  <c r="R144" i="70"/>
  <c r="Q144" i="70"/>
  <c r="N144" i="70"/>
  <c r="M144" i="70"/>
  <c r="L144" i="70"/>
  <c r="K144" i="70"/>
  <c r="J144" i="70"/>
  <c r="G144" i="70"/>
  <c r="F144" i="70"/>
  <c r="E144" i="70"/>
  <c r="D144" i="70"/>
  <c r="C144" i="70"/>
  <c r="Z143" i="70"/>
  <c r="Y143" i="70"/>
  <c r="X143" i="70"/>
  <c r="W143" i="70"/>
  <c r="V143" i="70"/>
  <c r="U143" i="70"/>
  <c r="T143" i="70"/>
  <c r="S143" i="70"/>
  <c r="R143" i="70"/>
  <c r="Q143" i="70"/>
  <c r="N143" i="70"/>
  <c r="M143" i="70"/>
  <c r="L143" i="70"/>
  <c r="K143" i="70"/>
  <c r="J143" i="70"/>
  <c r="G143" i="70"/>
  <c r="F143" i="70"/>
  <c r="E143" i="70"/>
  <c r="D143" i="70"/>
  <c r="C143" i="70"/>
  <c r="Z142" i="70"/>
  <c r="Y142" i="70"/>
  <c r="X142" i="70"/>
  <c r="W142" i="70"/>
  <c r="V142" i="70"/>
  <c r="U142" i="70"/>
  <c r="T142" i="70"/>
  <c r="S142" i="70"/>
  <c r="R142" i="70"/>
  <c r="Q142" i="70"/>
  <c r="N142" i="70"/>
  <c r="M142" i="70"/>
  <c r="L142" i="70"/>
  <c r="K142" i="70"/>
  <c r="J142" i="70"/>
  <c r="G142" i="70"/>
  <c r="F142" i="70"/>
  <c r="E142" i="70"/>
  <c r="D142" i="70"/>
  <c r="C142" i="70"/>
  <c r="Z141" i="70"/>
  <c r="Y141" i="70"/>
  <c r="X141" i="70"/>
  <c r="W141" i="70"/>
  <c r="V141" i="70"/>
  <c r="U141" i="70"/>
  <c r="T141" i="70"/>
  <c r="S141" i="70"/>
  <c r="R141" i="70"/>
  <c r="Q141" i="70"/>
  <c r="N141" i="70"/>
  <c r="M141" i="70"/>
  <c r="L141" i="70"/>
  <c r="K141" i="70"/>
  <c r="J141" i="70"/>
  <c r="G141" i="70"/>
  <c r="F141" i="70"/>
  <c r="E141" i="70"/>
  <c r="D141" i="70"/>
  <c r="C141" i="70"/>
  <c r="Z140" i="70"/>
  <c r="Y140" i="70"/>
  <c r="X140" i="70"/>
  <c r="W140" i="70"/>
  <c r="V140" i="70"/>
  <c r="U140" i="70"/>
  <c r="T140" i="70"/>
  <c r="S140" i="70"/>
  <c r="R140" i="70"/>
  <c r="Q140" i="70"/>
  <c r="N140" i="70"/>
  <c r="M140" i="70"/>
  <c r="L140" i="70"/>
  <c r="K140" i="70"/>
  <c r="J140" i="70"/>
  <c r="G140" i="70"/>
  <c r="F140" i="70"/>
  <c r="E140" i="70"/>
  <c r="D140" i="70"/>
  <c r="C140" i="70"/>
  <c r="Z139" i="70"/>
  <c r="Y139" i="70"/>
  <c r="X139" i="70"/>
  <c r="W139" i="70"/>
  <c r="V139" i="70"/>
  <c r="U139" i="70"/>
  <c r="T139" i="70"/>
  <c r="S139" i="70"/>
  <c r="R139" i="70"/>
  <c r="Q139" i="70"/>
  <c r="N139" i="70"/>
  <c r="M139" i="70"/>
  <c r="L139" i="70"/>
  <c r="K139" i="70"/>
  <c r="J139" i="70"/>
  <c r="G139" i="70"/>
  <c r="F139" i="70"/>
  <c r="E139" i="70"/>
  <c r="D139" i="70"/>
  <c r="C139" i="70"/>
  <c r="Z138" i="70"/>
  <c r="Y138" i="70"/>
  <c r="X138" i="70"/>
  <c r="W138" i="70"/>
  <c r="V138" i="70"/>
  <c r="U138" i="70"/>
  <c r="T138" i="70"/>
  <c r="S138" i="70"/>
  <c r="R138" i="70"/>
  <c r="Q138" i="70"/>
  <c r="N138" i="70"/>
  <c r="M138" i="70"/>
  <c r="L138" i="70"/>
  <c r="K138" i="70"/>
  <c r="J138" i="70"/>
  <c r="G138" i="70"/>
  <c r="F138" i="70"/>
  <c r="E138" i="70"/>
  <c r="D138" i="70"/>
  <c r="C138" i="70"/>
  <c r="Z137" i="70"/>
  <c r="Y137" i="70"/>
  <c r="X137" i="70"/>
  <c r="W137" i="70"/>
  <c r="V137" i="70"/>
  <c r="U137" i="70"/>
  <c r="T137" i="70"/>
  <c r="S137" i="70"/>
  <c r="R137" i="70"/>
  <c r="Q137" i="70"/>
  <c r="N137" i="70"/>
  <c r="M137" i="70"/>
  <c r="L137" i="70"/>
  <c r="K137" i="70"/>
  <c r="J137" i="70"/>
  <c r="G137" i="70"/>
  <c r="F137" i="70"/>
  <c r="E137" i="70"/>
  <c r="D137" i="70"/>
  <c r="C137" i="70"/>
  <c r="Z136" i="70"/>
  <c r="Y136" i="70"/>
  <c r="X136" i="70"/>
  <c r="W136" i="70"/>
  <c r="V136" i="70"/>
  <c r="U136" i="70"/>
  <c r="T136" i="70"/>
  <c r="S136" i="70"/>
  <c r="R136" i="70"/>
  <c r="Q136" i="70"/>
  <c r="N136" i="70"/>
  <c r="M136" i="70"/>
  <c r="L136" i="70"/>
  <c r="K136" i="70"/>
  <c r="J136" i="70"/>
  <c r="G136" i="70"/>
  <c r="F136" i="70"/>
  <c r="E136" i="70"/>
  <c r="D136" i="70"/>
  <c r="C136" i="70"/>
  <c r="Z135" i="70"/>
  <c r="Y135" i="70"/>
  <c r="X135" i="70"/>
  <c r="W135" i="70"/>
  <c r="V135" i="70"/>
  <c r="U135" i="70"/>
  <c r="T135" i="70"/>
  <c r="S135" i="70"/>
  <c r="R135" i="70"/>
  <c r="Q135" i="70"/>
  <c r="N135" i="70"/>
  <c r="M135" i="70"/>
  <c r="L135" i="70"/>
  <c r="K135" i="70"/>
  <c r="J135" i="70"/>
  <c r="G135" i="70"/>
  <c r="F135" i="70"/>
  <c r="E135" i="70"/>
  <c r="D135" i="70"/>
  <c r="C135" i="70"/>
  <c r="Z134" i="70"/>
  <c r="Y134" i="70"/>
  <c r="X134" i="70"/>
  <c r="W134" i="70"/>
  <c r="V134" i="70"/>
  <c r="U134" i="70"/>
  <c r="T134" i="70"/>
  <c r="S134" i="70"/>
  <c r="R134" i="70"/>
  <c r="Q134" i="70"/>
  <c r="N134" i="70"/>
  <c r="M134" i="70"/>
  <c r="L134" i="70"/>
  <c r="K134" i="70"/>
  <c r="J134" i="70"/>
  <c r="G134" i="70"/>
  <c r="F134" i="70"/>
  <c r="E134" i="70"/>
  <c r="D134" i="70"/>
  <c r="C134" i="70"/>
  <c r="Z133" i="70"/>
  <c r="Y133" i="70"/>
  <c r="X133" i="70"/>
  <c r="W133" i="70"/>
  <c r="V133" i="70"/>
  <c r="U133" i="70"/>
  <c r="T133" i="70"/>
  <c r="S133" i="70"/>
  <c r="R133" i="70"/>
  <c r="Q133" i="70"/>
  <c r="N133" i="70"/>
  <c r="M133" i="70"/>
  <c r="L133" i="70"/>
  <c r="K133" i="70"/>
  <c r="J133" i="70"/>
  <c r="G133" i="70"/>
  <c r="F133" i="70"/>
  <c r="E133" i="70"/>
  <c r="D133" i="70"/>
  <c r="C133" i="70"/>
  <c r="Z132" i="70"/>
  <c r="Y132" i="70"/>
  <c r="X132" i="70"/>
  <c r="W132" i="70"/>
  <c r="V132" i="70"/>
  <c r="U132" i="70"/>
  <c r="T132" i="70"/>
  <c r="S132" i="70"/>
  <c r="R132" i="70"/>
  <c r="Q132" i="70"/>
  <c r="N132" i="70"/>
  <c r="M132" i="70"/>
  <c r="L132" i="70"/>
  <c r="K132" i="70"/>
  <c r="J132" i="70"/>
  <c r="G132" i="70"/>
  <c r="F132" i="70"/>
  <c r="E132" i="70"/>
  <c r="D132" i="70"/>
  <c r="C132" i="70"/>
  <c r="Z131" i="70"/>
  <c r="Y131" i="70"/>
  <c r="X131" i="70"/>
  <c r="W131" i="70"/>
  <c r="V131" i="70"/>
  <c r="U131" i="70"/>
  <c r="T131" i="70"/>
  <c r="S131" i="70"/>
  <c r="R131" i="70"/>
  <c r="Q131" i="70"/>
  <c r="N131" i="70"/>
  <c r="M131" i="70"/>
  <c r="L131" i="70"/>
  <c r="K131" i="70"/>
  <c r="J131" i="70"/>
  <c r="G131" i="70"/>
  <c r="F131" i="70"/>
  <c r="E131" i="70"/>
  <c r="D131" i="70"/>
  <c r="C131" i="70"/>
  <c r="Z130" i="70"/>
  <c r="Y130" i="70"/>
  <c r="X130" i="70"/>
  <c r="W130" i="70"/>
  <c r="V130" i="70"/>
  <c r="U130" i="70"/>
  <c r="T130" i="70"/>
  <c r="S130" i="70"/>
  <c r="R130" i="70"/>
  <c r="Q130" i="70"/>
  <c r="N130" i="70"/>
  <c r="M130" i="70"/>
  <c r="L130" i="70"/>
  <c r="K130" i="70"/>
  <c r="J130" i="70"/>
  <c r="G130" i="70"/>
  <c r="F130" i="70"/>
  <c r="E130" i="70"/>
  <c r="D130" i="70"/>
  <c r="C130" i="70"/>
  <c r="Z129" i="70"/>
  <c r="Y129" i="70"/>
  <c r="X129" i="70"/>
  <c r="W129" i="70"/>
  <c r="V129" i="70"/>
  <c r="U129" i="70"/>
  <c r="T129" i="70"/>
  <c r="S129" i="70"/>
  <c r="R129" i="70"/>
  <c r="Q129" i="70"/>
  <c r="N129" i="70"/>
  <c r="M129" i="70"/>
  <c r="L129" i="70"/>
  <c r="K129" i="70"/>
  <c r="J129" i="70"/>
  <c r="G129" i="70"/>
  <c r="F129" i="70"/>
  <c r="E129" i="70"/>
  <c r="D129" i="70"/>
  <c r="C129" i="70"/>
  <c r="Z128" i="70"/>
  <c r="Y128" i="70"/>
  <c r="X128" i="70"/>
  <c r="W128" i="70"/>
  <c r="V128" i="70"/>
  <c r="U128" i="70"/>
  <c r="T128" i="70"/>
  <c r="S128" i="70"/>
  <c r="R128" i="70"/>
  <c r="Q128" i="70"/>
  <c r="N128" i="70"/>
  <c r="M128" i="70"/>
  <c r="L128" i="70"/>
  <c r="K128" i="70"/>
  <c r="J128" i="70"/>
  <c r="G128" i="70"/>
  <c r="F128" i="70"/>
  <c r="E128" i="70"/>
  <c r="D128" i="70"/>
  <c r="C128" i="70"/>
  <c r="Z127" i="70"/>
  <c r="Y127" i="70"/>
  <c r="X127" i="70"/>
  <c r="W127" i="70"/>
  <c r="V127" i="70"/>
  <c r="U127" i="70"/>
  <c r="T127" i="70"/>
  <c r="S127" i="70"/>
  <c r="R127" i="70"/>
  <c r="Q127" i="70"/>
  <c r="N127" i="70"/>
  <c r="M127" i="70"/>
  <c r="L127" i="70"/>
  <c r="K127" i="70"/>
  <c r="J127" i="70"/>
  <c r="G127" i="70"/>
  <c r="F127" i="70"/>
  <c r="E127" i="70"/>
  <c r="D127" i="70"/>
  <c r="C127" i="70"/>
  <c r="Z126" i="70"/>
  <c r="Y126" i="70"/>
  <c r="X126" i="70"/>
  <c r="W126" i="70"/>
  <c r="V126" i="70"/>
  <c r="U126" i="70"/>
  <c r="T126" i="70"/>
  <c r="S126" i="70"/>
  <c r="R126" i="70"/>
  <c r="Q126" i="70"/>
  <c r="N126" i="70"/>
  <c r="M126" i="70"/>
  <c r="L126" i="70"/>
  <c r="K126" i="70"/>
  <c r="J126" i="70"/>
  <c r="G126" i="70"/>
  <c r="F126" i="70"/>
  <c r="E126" i="70"/>
  <c r="D126" i="70"/>
  <c r="C126" i="70"/>
  <c r="Z125" i="70"/>
  <c r="Y125" i="70"/>
  <c r="X125" i="70"/>
  <c r="W125" i="70"/>
  <c r="V125" i="70"/>
  <c r="U125" i="70"/>
  <c r="T125" i="70"/>
  <c r="S125" i="70"/>
  <c r="R125" i="70"/>
  <c r="Q125" i="70"/>
  <c r="N125" i="70"/>
  <c r="M125" i="70"/>
  <c r="L125" i="70"/>
  <c r="K125" i="70"/>
  <c r="J125" i="70"/>
  <c r="G125" i="70"/>
  <c r="F125" i="70"/>
  <c r="E125" i="70"/>
  <c r="D125" i="70"/>
  <c r="C125" i="70"/>
  <c r="Z124" i="70"/>
  <c r="Y124" i="70"/>
  <c r="X124" i="70"/>
  <c r="W124" i="70"/>
  <c r="V124" i="70"/>
  <c r="U124" i="70"/>
  <c r="T124" i="70"/>
  <c r="S124" i="70"/>
  <c r="R124" i="70"/>
  <c r="Q124" i="70"/>
  <c r="N124" i="70"/>
  <c r="M124" i="70"/>
  <c r="L124" i="70"/>
  <c r="K124" i="70"/>
  <c r="J124" i="70"/>
  <c r="G124" i="70"/>
  <c r="F124" i="70"/>
  <c r="E124" i="70"/>
  <c r="D124" i="70"/>
  <c r="C124" i="70"/>
  <c r="Z123" i="70"/>
  <c r="Y123" i="70"/>
  <c r="X123" i="70"/>
  <c r="W123" i="70"/>
  <c r="V123" i="70"/>
  <c r="U123" i="70"/>
  <c r="T123" i="70"/>
  <c r="S123" i="70"/>
  <c r="R123" i="70"/>
  <c r="Q123" i="70"/>
  <c r="N123" i="70"/>
  <c r="M123" i="70"/>
  <c r="L123" i="70"/>
  <c r="K123" i="70"/>
  <c r="J123" i="70"/>
  <c r="G123" i="70"/>
  <c r="F123" i="70"/>
  <c r="E123" i="70"/>
  <c r="D123" i="70"/>
  <c r="C123" i="70"/>
  <c r="Z122" i="70"/>
  <c r="Y122" i="70"/>
  <c r="X122" i="70"/>
  <c r="W122" i="70"/>
  <c r="V122" i="70"/>
  <c r="U122" i="70"/>
  <c r="T122" i="70"/>
  <c r="S122" i="70"/>
  <c r="R122" i="70"/>
  <c r="Q122" i="70"/>
  <c r="N122" i="70"/>
  <c r="M122" i="70"/>
  <c r="L122" i="70"/>
  <c r="K122" i="70"/>
  <c r="J122" i="70"/>
  <c r="G122" i="70"/>
  <c r="F122" i="70"/>
  <c r="E122" i="70"/>
  <c r="D122" i="70"/>
  <c r="C122" i="70"/>
  <c r="Z121" i="70"/>
  <c r="Y121" i="70"/>
  <c r="X121" i="70"/>
  <c r="W121" i="70"/>
  <c r="V121" i="70"/>
  <c r="U121" i="70"/>
  <c r="T121" i="70"/>
  <c r="S121" i="70"/>
  <c r="R121" i="70"/>
  <c r="Q121" i="70"/>
  <c r="N121" i="70"/>
  <c r="M121" i="70"/>
  <c r="L121" i="70"/>
  <c r="K121" i="70"/>
  <c r="J121" i="70"/>
  <c r="G121" i="70"/>
  <c r="F121" i="70"/>
  <c r="E121" i="70"/>
  <c r="D121" i="70"/>
  <c r="C121" i="70"/>
  <c r="Z120" i="70"/>
  <c r="Y120" i="70"/>
  <c r="X120" i="70"/>
  <c r="W120" i="70"/>
  <c r="V120" i="70"/>
  <c r="U120" i="70"/>
  <c r="T120" i="70"/>
  <c r="S120" i="70"/>
  <c r="R120" i="70"/>
  <c r="Q120" i="70"/>
  <c r="N120" i="70"/>
  <c r="M120" i="70"/>
  <c r="L120" i="70"/>
  <c r="K120" i="70"/>
  <c r="J120" i="70"/>
  <c r="G120" i="70"/>
  <c r="F120" i="70"/>
  <c r="E120" i="70"/>
  <c r="D120" i="70"/>
  <c r="C120" i="70"/>
  <c r="Z119" i="70"/>
  <c r="Y119" i="70"/>
  <c r="X119" i="70"/>
  <c r="W119" i="70"/>
  <c r="V119" i="70"/>
  <c r="U119" i="70"/>
  <c r="T119" i="70"/>
  <c r="S119" i="70"/>
  <c r="R119" i="70"/>
  <c r="Q119" i="70"/>
  <c r="N119" i="70"/>
  <c r="M119" i="70"/>
  <c r="L119" i="70"/>
  <c r="K119" i="70"/>
  <c r="J119" i="70"/>
  <c r="G119" i="70"/>
  <c r="F119" i="70"/>
  <c r="E119" i="70"/>
  <c r="D119" i="70"/>
  <c r="C119" i="70"/>
  <c r="Z118" i="70"/>
  <c r="Y118" i="70"/>
  <c r="X118" i="70"/>
  <c r="W118" i="70"/>
  <c r="V118" i="70"/>
  <c r="U118" i="70"/>
  <c r="T118" i="70"/>
  <c r="S118" i="70"/>
  <c r="R118" i="70"/>
  <c r="Q118" i="70"/>
  <c r="N118" i="70"/>
  <c r="M118" i="70"/>
  <c r="L118" i="70"/>
  <c r="K118" i="70"/>
  <c r="J118" i="70"/>
  <c r="G118" i="70"/>
  <c r="F118" i="70"/>
  <c r="E118" i="70"/>
  <c r="D118" i="70"/>
  <c r="C118" i="70"/>
  <c r="Z117" i="70"/>
  <c r="Y117" i="70"/>
  <c r="X117" i="70"/>
  <c r="W117" i="70"/>
  <c r="V117" i="70"/>
  <c r="U117" i="70"/>
  <c r="T117" i="70"/>
  <c r="S117" i="70"/>
  <c r="R117" i="70"/>
  <c r="Q117" i="70"/>
  <c r="N117" i="70"/>
  <c r="M117" i="70"/>
  <c r="L117" i="70"/>
  <c r="K117" i="70"/>
  <c r="J117" i="70"/>
  <c r="G117" i="70"/>
  <c r="F117" i="70"/>
  <c r="E117" i="70"/>
  <c r="D117" i="70"/>
  <c r="C117" i="70"/>
  <c r="Z116" i="70"/>
  <c r="Y116" i="70"/>
  <c r="X116" i="70"/>
  <c r="W116" i="70"/>
  <c r="V116" i="70"/>
  <c r="U116" i="70"/>
  <c r="T116" i="70"/>
  <c r="S116" i="70"/>
  <c r="R116" i="70"/>
  <c r="Q116" i="70"/>
  <c r="N116" i="70"/>
  <c r="M116" i="70"/>
  <c r="L116" i="70"/>
  <c r="K116" i="70"/>
  <c r="J116" i="70"/>
  <c r="G116" i="70"/>
  <c r="F116" i="70"/>
  <c r="E116" i="70"/>
  <c r="D116" i="70"/>
  <c r="C116" i="70"/>
  <c r="Z115" i="70"/>
  <c r="Y115" i="70"/>
  <c r="X115" i="70"/>
  <c r="W115" i="70"/>
  <c r="V115" i="70"/>
  <c r="U115" i="70"/>
  <c r="T115" i="70"/>
  <c r="S115" i="70"/>
  <c r="R115" i="70"/>
  <c r="Q115" i="70"/>
  <c r="N115" i="70"/>
  <c r="M115" i="70"/>
  <c r="L115" i="70"/>
  <c r="K115" i="70"/>
  <c r="J115" i="70"/>
  <c r="G115" i="70"/>
  <c r="F115" i="70"/>
  <c r="E115" i="70"/>
  <c r="D115" i="70"/>
  <c r="C115" i="70"/>
  <c r="Z114" i="70"/>
  <c r="Y114" i="70"/>
  <c r="X114" i="70"/>
  <c r="W114" i="70"/>
  <c r="V114" i="70"/>
  <c r="U114" i="70"/>
  <c r="T114" i="70"/>
  <c r="S114" i="70"/>
  <c r="R114" i="70"/>
  <c r="Q114" i="70"/>
  <c r="N114" i="70"/>
  <c r="M114" i="70"/>
  <c r="L114" i="70"/>
  <c r="K114" i="70"/>
  <c r="J114" i="70"/>
  <c r="G114" i="70"/>
  <c r="F114" i="70"/>
  <c r="E114" i="70"/>
  <c r="D114" i="70"/>
  <c r="C114" i="70"/>
  <c r="Z113" i="70"/>
  <c r="Y113" i="70"/>
  <c r="X113" i="70"/>
  <c r="W113" i="70"/>
  <c r="V113" i="70"/>
  <c r="U113" i="70"/>
  <c r="T113" i="70"/>
  <c r="S113" i="70"/>
  <c r="R113" i="70"/>
  <c r="Q113" i="70"/>
  <c r="N113" i="70"/>
  <c r="M113" i="70"/>
  <c r="L113" i="70"/>
  <c r="K113" i="70"/>
  <c r="J113" i="70"/>
  <c r="G113" i="70"/>
  <c r="F113" i="70"/>
  <c r="E113" i="70"/>
  <c r="D113" i="70"/>
  <c r="C113" i="70"/>
  <c r="Z112" i="70"/>
  <c r="Y112" i="70"/>
  <c r="X112" i="70"/>
  <c r="W112" i="70"/>
  <c r="V112" i="70"/>
  <c r="U112" i="70"/>
  <c r="T112" i="70"/>
  <c r="S112" i="70"/>
  <c r="R112" i="70"/>
  <c r="Q112" i="70"/>
  <c r="N112" i="70"/>
  <c r="M112" i="70"/>
  <c r="L112" i="70"/>
  <c r="K112" i="70"/>
  <c r="J112" i="70"/>
  <c r="G112" i="70"/>
  <c r="F112" i="70"/>
  <c r="E112" i="70"/>
  <c r="D112" i="70"/>
  <c r="C112" i="70"/>
  <c r="Z111" i="70"/>
  <c r="Y111" i="70"/>
  <c r="X111" i="70"/>
  <c r="W111" i="70"/>
  <c r="V111" i="70"/>
  <c r="U111" i="70"/>
  <c r="T111" i="70"/>
  <c r="S111" i="70"/>
  <c r="R111" i="70"/>
  <c r="Q111" i="70"/>
  <c r="N111" i="70"/>
  <c r="M111" i="70"/>
  <c r="L111" i="70"/>
  <c r="K111" i="70"/>
  <c r="J111" i="70"/>
  <c r="G111" i="70"/>
  <c r="F111" i="70"/>
  <c r="E111" i="70"/>
  <c r="D111" i="70"/>
  <c r="C111" i="70"/>
  <c r="Z110" i="70"/>
  <c r="Y110" i="70"/>
  <c r="X110" i="70"/>
  <c r="W110" i="70"/>
  <c r="V110" i="70"/>
  <c r="U110" i="70"/>
  <c r="T110" i="70"/>
  <c r="S110" i="70"/>
  <c r="R110" i="70"/>
  <c r="Q110" i="70"/>
  <c r="N110" i="70"/>
  <c r="M110" i="70"/>
  <c r="L110" i="70"/>
  <c r="K110" i="70"/>
  <c r="J110" i="70"/>
  <c r="G110" i="70"/>
  <c r="F110" i="70"/>
  <c r="E110" i="70"/>
  <c r="D110" i="70"/>
  <c r="C110" i="70"/>
  <c r="Z109" i="70"/>
  <c r="Y109" i="70"/>
  <c r="X109" i="70"/>
  <c r="W109" i="70"/>
  <c r="V109" i="70"/>
  <c r="U109" i="70"/>
  <c r="T109" i="70"/>
  <c r="S109" i="70"/>
  <c r="R109" i="70"/>
  <c r="Q109" i="70"/>
  <c r="N109" i="70"/>
  <c r="M109" i="70"/>
  <c r="L109" i="70"/>
  <c r="K109" i="70"/>
  <c r="J109" i="70"/>
  <c r="G109" i="70"/>
  <c r="F109" i="70"/>
  <c r="E109" i="70"/>
  <c r="D109" i="70"/>
  <c r="C109" i="70"/>
  <c r="Z108" i="70"/>
  <c r="Y108" i="70"/>
  <c r="X108" i="70"/>
  <c r="W108" i="70"/>
  <c r="V108" i="70"/>
  <c r="U108" i="70"/>
  <c r="T108" i="70"/>
  <c r="S108" i="70"/>
  <c r="R108" i="70"/>
  <c r="Q108" i="70"/>
  <c r="N108" i="70"/>
  <c r="M108" i="70"/>
  <c r="L108" i="70"/>
  <c r="K108" i="70"/>
  <c r="J108" i="70"/>
  <c r="G108" i="70"/>
  <c r="F108" i="70"/>
  <c r="E108" i="70"/>
  <c r="D108" i="70"/>
  <c r="C108" i="70"/>
  <c r="Z107" i="70"/>
  <c r="Y107" i="70"/>
  <c r="X107" i="70"/>
  <c r="W107" i="70"/>
  <c r="V107" i="70"/>
  <c r="U107" i="70"/>
  <c r="T107" i="70"/>
  <c r="S107" i="70"/>
  <c r="R107" i="70"/>
  <c r="Q107" i="70"/>
  <c r="N107" i="70"/>
  <c r="M107" i="70"/>
  <c r="L107" i="70"/>
  <c r="K107" i="70"/>
  <c r="J107" i="70"/>
  <c r="G107" i="70"/>
  <c r="F107" i="70"/>
  <c r="E107" i="70"/>
  <c r="D107" i="70"/>
  <c r="C107" i="70"/>
  <c r="Z106" i="70"/>
  <c r="Y106" i="70"/>
  <c r="X106" i="70"/>
  <c r="W106" i="70"/>
  <c r="V106" i="70"/>
  <c r="U106" i="70"/>
  <c r="T106" i="70"/>
  <c r="S106" i="70"/>
  <c r="R106" i="70"/>
  <c r="Q106" i="70"/>
  <c r="N106" i="70"/>
  <c r="M106" i="70"/>
  <c r="L106" i="70"/>
  <c r="K106" i="70"/>
  <c r="J106" i="70"/>
  <c r="G106" i="70"/>
  <c r="F106" i="70"/>
  <c r="E106" i="70"/>
  <c r="D106" i="70"/>
  <c r="C106" i="70"/>
  <c r="Z105" i="70"/>
  <c r="Y105" i="70"/>
  <c r="X105" i="70"/>
  <c r="W105" i="70"/>
  <c r="V105" i="70"/>
  <c r="U105" i="70"/>
  <c r="T105" i="70"/>
  <c r="S105" i="70"/>
  <c r="R105" i="70"/>
  <c r="Q105" i="70"/>
  <c r="N105" i="70"/>
  <c r="M105" i="70"/>
  <c r="L105" i="70"/>
  <c r="K105" i="70"/>
  <c r="J105" i="70"/>
  <c r="G105" i="70"/>
  <c r="F105" i="70"/>
  <c r="E105" i="70"/>
  <c r="D105" i="70"/>
  <c r="C105" i="70"/>
  <c r="Z104" i="70"/>
  <c r="Y104" i="70"/>
  <c r="X104" i="70"/>
  <c r="W104" i="70"/>
  <c r="V104" i="70"/>
  <c r="U104" i="70"/>
  <c r="T104" i="70"/>
  <c r="S104" i="70"/>
  <c r="R104" i="70"/>
  <c r="Q104" i="70"/>
  <c r="N104" i="70"/>
  <c r="M104" i="70"/>
  <c r="L104" i="70"/>
  <c r="K104" i="70"/>
  <c r="J104" i="70"/>
  <c r="G104" i="70"/>
  <c r="F104" i="70"/>
  <c r="E104" i="70"/>
  <c r="D104" i="70"/>
  <c r="C104" i="70"/>
  <c r="Z103" i="70"/>
  <c r="Y103" i="70"/>
  <c r="X103" i="70"/>
  <c r="W103" i="70"/>
  <c r="V103" i="70"/>
  <c r="U103" i="70"/>
  <c r="T103" i="70"/>
  <c r="S103" i="70"/>
  <c r="R103" i="70"/>
  <c r="Q103" i="70"/>
  <c r="N103" i="70"/>
  <c r="M103" i="70"/>
  <c r="L103" i="70"/>
  <c r="K103" i="70"/>
  <c r="J103" i="70"/>
  <c r="G103" i="70"/>
  <c r="F103" i="70"/>
  <c r="E103" i="70"/>
  <c r="D103" i="70"/>
  <c r="C103" i="70"/>
  <c r="Z102" i="70"/>
  <c r="Y102" i="70"/>
  <c r="X102" i="70"/>
  <c r="W102" i="70"/>
  <c r="V102" i="70"/>
  <c r="U102" i="70"/>
  <c r="T102" i="70"/>
  <c r="S102" i="70"/>
  <c r="R102" i="70"/>
  <c r="Q102" i="70"/>
  <c r="N102" i="70"/>
  <c r="M102" i="70"/>
  <c r="L102" i="70"/>
  <c r="K102" i="70"/>
  <c r="J102" i="70"/>
  <c r="G102" i="70"/>
  <c r="F102" i="70"/>
  <c r="E102" i="70"/>
  <c r="D102" i="70"/>
  <c r="C102" i="70"/>
  <c r="Z101" i="70"/>
  <c r="Y101" i="70"/>
  <c r="X101" i="70"/>
  <c r="W101" i="70"/>
  <c r="V101" i="70"/>
  <c r="U101" i="70"/>
  <c r="T101" i="70"/>
  <c r="S101" i="70"/>
  <c r="R101" i="70"/>
  <c r="Q101" i="70"/>
  <c r="N101" i="70"/>
  <c r="M101" i="70"/>
  <c r="L101" i="70"/>
  <c r="K101" i="70"/>
  <c r="J101" i="70"/>
  <c r="G101" i="70"/>
  <c r="F101" i="70"/>
  <c r="E101" i="70"/>
  <c r="D101" i="70"/>
  <c r="C101" i="70"/>
  <c r="Z100" i="70"/>
  <c r="Y100" i="70"/>
  <c r="X100" i="70"/>
  <c r="W100" i="70"/>
  <c r="V100" i="70"/>
  <c r="U100" i="70"/>
  <c r="T100" i="70"/>
  <c r="S100" i="70"/>
  <c r="R100" i="70"/>
  <c r="Q100" i="70"/>
  <c r="N100" i="70"/>
  <c r="M100" i="70"/>
  <c r="L100" i="70"/>
  <c r="K100" i="70"/>
  <c r="J100" i="70"/>
  <c r="G100" i="70"/>
  <c r="F100" i="70"/>
  <c r="E100" i="70"/>
  <c r="D100" i="70"/>
  <c r="C100" i="70"/>
  <c r="Z99" i="70"/>
  <c r="Y99" i="70"/>
  <c r="X99" i="70"/>
  <c r="W99" i="70"/>
  <c r="V99" i="70"/>
  <c r="U99" i="70"/>
  <c r="T99" i="70"/>
  <c r="S99" i="70"/>
  <c r="R99" i="70"/>
  <c r="Q99" i="70"/>
  <c r="N99" i="70"/>
  <c r="M99" i="70"/>
  <c r="L99" i="70"/>
  <c r="K99" i="70"/>
  <c r="J99" i="70"/>
  <c r="G99" i="70"/>
  <c r="F99" i="70"/>
  <c r="E99" i="70"/>
  <c r="D99" i="70"/>
  <c r="C99" i="70"/>
  <c r="Z98" i="70"/>
  <c r="Y98" i="70"/>
  <c r="X98" i="70"/>
  <c r="W98" i="70"/>
  <c r="V98" i="70"/>
  <c r="U98" i="70"/>
  <c r="T98" i="70"/>
  <c r="S98" i="70"/>
  <c r="R98" i="70"/>
  <c r="Q98" i="70"/>
  <c r="N98" i="70"/>
  <c r="M98" i="70"/>
  <c r="L98" i="70"/>
  <c r="K98" i="70"/>
  <c r="J98" i="70"/>
  <c r="G98" i="70"/>
  <c r="F98" i="70"/>
  <c r="E98" i="70"/>
  <c r="D98" i="70"/>
  <c r="C98" i="70"/>
  <c r="Z97" i="70"/>
  <c r="Y97" i="70"/>
  <c r="X97" i="70"/>
  <c r="W97" i="70"/>
  <c r="V97" i="70"/>
  <c r="U97" i="70"/>
  <c r="T97" i="70"/>
  <c r="S97" i="70"/>
  <c r="R97" i="70"/>
  <c r="Q97" i="70"/>
  <c r="N97" i="70"/>
  <c r="M97" i="70"/>
  <c r="L97" i="70"/>
  <c r="K97" i="70"/>
  <c r="J97" i="70"/>
  <c r="G97" i="70"/>
  <c r="F97" i="70"/>
  <c r="E97" i="70"/>
  <c r="D97" i="70"/>
  <c r="C97" i="70"/>
  <c r="Z96" i="70"/>
  <c r="Y96" i="70"/>
  <c r="X96" i="70"/>
  <c r="W96" i="70"/>
  <c r="V96" i="70"/>
  <c r="U96" i="70"/>
  <c r="T96" i="70"/>
  <c r="S96" i="70"/>
  <c r="R96" i="70"/>
  <c r="Q96" i="70"/>
  <c r="N96" i="70"/>
  <c r="M96" i="70"/>
  <c r="L96" i="70"/>
  <c r="K96" i="70"/>
  <c r="J96" i="70"/>
  <c r="G96" i="70"/>
  <c r="F96" i="70"/>
  <c r="E96" i="70"/>
  <c r="D96" i="70"/>
  <c r="C96" i="70"/>
  <c r="Z95" i="70"/>
  <c r="Y95" i="70"/>
  <c r="X95" i="70"/>
  <c r="W95" i="70"/>
  <c r="V95" i="70"/>
  <c r="U95" i="70"/>
  <c r="T95" i="70"/>
  <c r="S95" i="70"/>
  <c r="R95" i="70"/>
  <c r="Q95" i="70"/>
  <c r="N95" i="70"/>
  <c r="M95" i="70"/>
  <c r="L95" i="70"/>
  <c r="K95" i="70"/>
  <c r="J95" i="70"/>
  <c r="G95" i="70"/>
  <c r="F95" i="70"/>
  <c r="E95" i="70"/>
  <c r="D95" i="70"/>
  <c r="C95" i="70"/>
  <c r="Z94" i="70"/>
  <c r="Y94" i="70"/>
  <c r="X94" i="70"/>
  <c r="W94" i="70"/>
  <c r="V94" i="70"/>
  <c r="U94" i="70"/>
  <c r="T94" i="70"/>
  <c r="S94" i="70"/>
  <c r="R94" i="70"/>
  <c r="Q94" i="70"/>
  <c r="N94" i="70"/>
  <c r="M94" i="70"/>
  <c r="L94" i="70"/>
  <c r="K94" i="70"/>
  <c r="J94" i="70"/>
  <c r="G94" i="70"/>
  <c r="F94" i="70"/>
  <c r="E94" i="70"/>
  <c r="D94" i="70"/>
  <c r="C94" i="70"/>
  <c r="Z93" i="70"/>
  <c r="Y93" i="70"/>
  <c r="X93" i="70"/>
  <c r="W93" i="70"/>
  <c r="V93" i="70"/>
  <c r="U93" i="70"/>
  <c r="T93" i="70"/>
  <c r="S93" i="70"/>
  <c r="R93" i="70"/>
  <c r="Q93" i="70"/>
  <c r="N93" i="70"/>
  <c r="M93" i="70"/>
  <c r="L93" i="70"/>
  <c r="K93" i="70"/>
  <c r="J93" i="70"/>
  <c r="G93" i="70"/>
  <c r="F93" i="70"/>
  <c r="E93" i="70"/>
  <c r="D93" i="70"/>
  <c r="C93" i="70"/>
  <c r="Z92" i="70"/>
  <c r="Y92" i="70"/>
  <c r="X92" i="70"/>
  <c r="W92" i="70"/>
  <c r="V92" i="70"/>
  <c r="U92" i="70"/>
  <c r="T92" i="70"/>
  <c r="S92" i="70"/>
  <c r="R92" i="70"/>
  <c r="Q92" i="70"/>
  <c r="N92" i="70"/>
  <c r="M92" i="70"/>
  <c r="L92" i="70"/>
  <c r="K92" i="70"/>
  <c r="J92" i="70"/>
  <c r="G92" i="70"/>
  <c r="F92" i="70"/>
  <c r="E92" i="70"/>
  <c r="D92" i="70"/>
  <c r="C92" i="70"/>
  <c r="Z91" i="70"/>
  <c r="Y91" i="70"/>
  <c r="X91" i="70"/>
  <c r="W91" i="70"/>
  <c r="V91" i="70"/>
  <c r="U91" i="70"/>
  <c r="T91" i="70"/>
  <c r="S91" i="70"/>
  <c r="R91" i="70"/>
  <c r="Q91" i="70"/>
  <c r="N91" i="70"/>
  <c r="M91" i="70"/>
  <c r="L91" i="70"/>
  <c r="K91" i="70"/>
  <c r="J91" i="70"/>
  <c r="G91" i="70"/>
  <c r="F91" i="70"/>
  <c r="E91" i="70"/>
  <c r="D91" i="70"/>
  <c r="C91" i="70"/>
  <c r="Z90" i="70"/>
  <c r="Y90" i="70"/>
  <c r="X90" i="70"/>
  <c r="W90" i="70"/>
  <c r="V90" i="70"/>
  <c r="U90" i="70"/>
  <c r="T90" i="70"/>
  <c r="S90" i="70"/>
  <c r="R90" i="70"/>
  <c r="Q90" i="70"/>
  <c r="N90" i="70"/>
  <c r="M90" i="70"/>
  <c r="L90" i="70"/>
  <c r="K90" i="70"/>
  <c r="J90" i="70"/>
  <c r="G90" i="70"/>
  <c r="F90" i="70"/>
  <c r="E90" i="70"/>
  <c r="D90" i="70"/>
  <c r="C90" i="70"/>
  <c r="Z89" i="70"/>
  <c r="Y89" i="70"/>
  <c r="X89" i="70"/>
  <c r="W89" i="70"/>
  <c r="V89" i="70"/>
  <c r="U89" i="70"/>
  <c r="T89" i="70"/>
  <c r="S89" i="70"/>
  <c r="R89" i="70"/>
  <c r="Q89" i="70"/>
  <c r="N89" i="70"/>
  <c r="M89" i="70"/>
  <c r="L89" i="70"/>
  <c r="K89" i="70"/>
  <c r="J89" i="70"/>
  <c r="G89" i="70"/>
  <c r="F89" i="70"/>
  <c r="E89" i="70"/>
  <c r="D89" i="70"/>
  <c r="C89" i="70"/>
  <c r="Z88" i="70"/>
  <c r="Y88" i="70"/>
  <c r="X88" i="70"/>
  <c r="W88" i="70"/>
  <c r="V88" i="70"/>
  <c r="U88" i="70"/>
  <c r="T88" i="70"/>
  <c r="S88" i="70"/>
  <c r="R88" i="70"/>
  <c r="Q88" i="70"/>
  <c r="N88" i="70"/>
  <c r="M88" i="70"/>
  <c r="L88" i="70"/>
  <c r="K88" i="70"/>
  <c r="J88" i="70"/>
  <c r="G88" i="70"/>
  <c r="F88" i="70"/>
  <c r="E88" i="70"/>
  <c r="D88" i="70"/>
  <c r="C88" i="70"/>
  <c r="Z87" i="70"/>
  <c r="Y87" i="70"/>
  <c r="X87" i="70"/>
  <c r="W87" i="70"/>
  <c r="V87" i="70"/>
  <c r="U87" i="70"/>
  <c r="T87" i="70"/>
  <c r="S87" i="70"/>
  <c r="R87" i="70"/>
  <c r="Q87" i="70"/>
  <c r="N87" i="70"/>
  <c r="M87" i="70"/>
  <c r="L87" i="70"/>
  <c r="K87" i="70"/>
  <c r="J87" i="70"/>
  <c r="G87" i="70"/>
  <c r="F87" i="70"/>
  <c r="E87" i="70"/>
  <c r="D87" i="70"/>
  <c r="C87" i="70"/>
  <c r="Z86" i="70"/>
  <c r="Y86" i="70"/>
  <c r="X86" i="70"/>
  <c r="W86" i="70"/>
  <c r="V86" i="70"/>
  <c r="U86" i="70"/>
  <c r="T86" i="70"/>
  <c r="S86" i="70"/>
  <c r="R86" i="70"/>
  <c r="Q86" i="70"/>
  <c r="N86" i="70"/>
  <c r="M86" i="70"/>
  <c r="L86" i="70"/>
  <c r="K86" i="70"/>
  <c r="J86" i="70"/>
  <c r="G86" i="70"/>
  <c r="F86" i="70"/>
  <c r="E86" i="70"/>
  <c r="D86" i="70"/>
  <c r="C86" i="70"/>
  <c r="Z85" i="70"/>
  <c r="Y85" i="70"/>
  <c r="X85" i="70"/>
  <c r="W85" i="70"/>
  <c r="V85" i="70"/>
  <c r="U85" i="70"/>
  <c r="T85" i="70"/>
  <c r="S85" i="70"/>
  <c r="R85" i="70"/>
  <c r="Q85" i="70"/>
  <c r="N85" i="70"/>
  <c r="M85" i="70"/>
  <c r="L85" i="70"/>
  <c r="K85" i="70"/>
  <c r="J85" i="70"/>
  <c r="G85" i="70"/>
  <c r="F85" i="70"/>
  <c r="E85" i="70"/>
  <c r="D85" i="70"/>
  <c r="C85" i="70"/>
  <c r="Z84" i="70"/>
  <c r="Y84" i="70"/>
  <c r="X84" i="70"/>
  <c r="W84" i="70"/>
  <c r="V84" i="70"/>
  <c r="U84" i="70"/>
  <c r="T84" i="70"/>
  <c r="S84" i="70"/>
  <c r="R84" i="70"/>
  <c r="Q84" i="70"/>
  <c r="N84" i="70"/>
  <c r="M84" i="70"/>
  <c r="L84" i="70"/>
  <c r="K84" i="70"/>
  <c r="J84" i="70"/>
  <c r="G84" i="70"/>
  <c r="F84" i="70"/>
  <c r="E84" i="70"/>
  <c r="D84" i="70"/>
  <c r="C84" i="70"/>
  <c r="Z83" i="70"/>
  <c r="Y83" i="70"/>
  <c r="X83" i="70"/>
  <c r="W83" i="70"/>
  <c r="V83" i="70"/>
  <c r="U83" i="70"/>
  <c r="T83" i="70"/>
  <c r="S83" i="70"/>
  <c r="R83" i="70"/>
  <c r="Q83" i="70"/>
  <c r="N83" i="70"/>
  <c r="M83" i="70"/>
  <c r="L83" i="70"/>
  <c r="K83" i="70"/>
  <c r="J83" i="70"/>
  <c r="G83" i="70"/>
  <c r="F83" i="70"/>
  <c r="E83" i="70"/>
  <c r="D83" i="70"/>
  <c r="C83" i="70"/>
  <c r="Z82" i="70"/>
  <c r="Y82" i="70"/>
  <c r="X82" i="70"/>
  <c r="W82" i="70"/>
  <c r="V82" i="70"/>
  <c r="U82" i="70"/>
  <c r="T82" i="70"/>
  <c r="S82" i="70"/>
  <c r="R82" i="70"/>
  <c r="Q82" i="70"/>
  <c r="N82" i="70"/>
  <c r="M82" i="70"/>
  <c r="L82" i="70"/>
  <c r="K82" i="70"/>
  <c r="J82" i="70"/>
  <c r="G82" i="70"/>
  <c r="F82" i="70"/>
  <c r="E82" i="70"/>
  <c r="D82" i="70"/>
  <c r="C82" i="70"/>
  <c r="Z81" i="70"/>
  <c r="Y81" i="70"/>
  <c r="X81" i="70"/>
  <c r="W81" i="70"/>
  <c r="V81" i="70"/>
  <c r="U81" i="70"/>
  <c r="T81" i="70"/>
  <c r="S81" i="70"/>
  <c r="R81" i="70"/>
  <c r="Q81" i="70"/>
  <c r="N81" i="70"/>
  <c r="M81" i="70"/>
  <c r="L81" i="70"/>
  <c r="K81" i="70"/>
  <c r="J81" i="70"/>
  <c r="G81" i="70"/>
  <c r="F81" i="70"/>
  <c r="E81" i="70"/>
  <c r="D81" i="70"/>
  <c r="C81" i="70"/>
  <c r="Z80" i="70"/>
  <c r="Y80" i="70"/>
  <c r="X80" i="70"/>
  <c r="W80" i="70"/>
  <c r="V80" i="70"/>
  <c r="U80" i="70"/>
  <c r="T80" i="70"/>
  <c r="S80" i="70"/>
  <c r="R80" i="70"/>
  <c r="Q80" i="70"/>
  <c r="N80" i="70"/>
  <c r="M80" i="70"/>
  <c r="L80" i="70"/>
  <c r="K80" i="70"/>
  <c r="J80" i="70"/>
  <c r="G80" i="70"/>
  <c r="F80" i="70"/>
  <c r="E80" i="70"/>
  <c r="D80" i="70"/>
  <c r="C80" i="70"/>
  <c r="Z79" i="70"/>
  <c r="Y79" i="70"/>
  <c r="X79" i="70"/>
  <c r="W79" i="70"/>
  <c r="V79" i="70"/>
  <c r="U79" i="70"/>
  <c r="T79" i="70"/>
  <c r="S79" i="70"/>
  <c r="R79" i="70"/>
  <c r="Q79" i="70"/>
  <c r="N79" i="70"/>
  <c r="M79" i="70"/>
  <c r="L79" i="70"/>
  <c r="K79" i="70"/>
  <c r="J79" i="70"/>
  <c r="G79" i="70"/>
  <c r="F79" i="70"/>
  <c r="E79" i="70"/>
  <c r="D79" i="70"/>
  <c r="C79" i="70"/>
  <c r="Z78" i="70"/>
  <c r="Y78" i="70"/>
  <c r="X78" i="70"/>
  <c r="W78" i="70"/>
  <c r="V78" i="70"/>
  <c r="U78" i="70"/>
  <c r="T78" i="70"/>
  <c r="S78" i="70"/>
  <c r="R78" i="70"/>
  <c r="Q78" i="70"/>
  <c r="N78" i="70"/>
  <c r="M78" i="70"/>
  <c r="L78" i="70"/>
  <c r="K78" i="70"/>
  <c r="J78" i="70"/>
  <c r="G78" i="70"/>
  <c r="F78" i="70"/>
  <c r="E78" i="70"/>
  <c r="D78" i="70"/>
  <c r="C78" i="70"/>
  <c r="Z77" i="70"/>
  <c r="Y77" i="70"/>
  <c r="X77" i="70"/>
  <c r="W77" i="70"/>
  <c r="V77" i="70"/>
  <c r="U77" i="70"/>
  <c r="T77" i="70"/>
  <c r="S77" i="70"/>
  <c r="R77" i="70"/>
  <c r="Q77" i="70"/>
  <c r="N77" i="70"/>
  <c r="M77" i="70"/>
  <c r="L77" i="70"/>
  <c r="K77" i="70"/>
  <c r="J77" i="70"/>
  <c r="G77" i="70"/>
  <c r="F77" i="70"/>
  <c r="E77" i="70"/>
  <c r="D77" i="70"/>
  <c r="C77" i="70"/>
  <c r="Z76" i="70"/>
  <c r="Y76" i="70"/>
  <c r="X76" i="70"/>
  <c r="W76" i="70"/>
  <c r="V76" i="70"/>
  <c r="U76" i="70"/>
  <c r="T76" i="70"/>
  <c r="S76" i="70"/>
  <c r="R76" i="70"/>
  <c r="Q76" i="70"/>
  <c r="N76" i="70"/>
  <c r="M76" i="70"/>
  <c r="L76" i="70"/>
  <c r="K76" i="70"/>
  <c r="J76" i="70"/>
  <c r="G76" i="70"/>
  <c r="F76" i="70"/>
  <c r="E76" i="70"/>
  <c r="D76" i="70"/>
  <c r="C76" i="70"/>
  <c r="Z75" i="70"/>
  <c r="Y75" i="70"/>
  <c r="X75" i="70"/>
  <c r="W75" i="70"/>
  <c r="V75" i="70"/>
  <c r="U75" i="70"/>
  <c r="T75" i="70"/>
  <c r="S75" i="70"/>
  <c r="R75" i="70"/>
  <c r="Q75" i="70"/>
  <c r="N75" i="70"/>
  <c r="M75" i="70"/>
  <c r="L75" i="70"/>
  <c r="K75" i="70"/>
  <c r="J75" i="70"/>
  <c r="G75" i="70"/>
  <c r="F75" i="70"/>
  <c r="E75" i="70"/>
  <c r="D75" i="70"/>
  <c r="C75" i="70"/>
  <c r="Z74" i="70"/>
  <c r="Y74" i="70"/>
  <c r="X74" i="70"/>
  <c r="W74" i="70"/>
  <c r="V74" i="70"/>
  <c r="U74" i="70"/>
  <c r="T74" i="70"/>
  <c r="S74" i="70"/>
  <c r="R74" i="70"/>
  <c r="Q74" i="70"/>
  <c r="N74" i="70"/>
  <c r="M74" i="70"/>
  <c r="L74" i="70"/>
  <c r="K74" i="70"/>
  <c r="J74" i="70"/>
  <c r="G74" i="70"/>
  <c r="F74" i="70"/>
  <c r="E74" i="70"/>
  <c r="D74" i="70"/>
  <c r="C74" i="70"/>
  <c r="Z73" i="70"/>
  <c r="Y73" i="70"/>
  <c r="X73" i="70"/>
  <c r="W73" i="70"/>
  <c r="V73" i="70"/>
  <c r="U73" i="70"/>
  <c r="T73" i="70"/>
  <c r="S73" i="70"/>
  <c r="R73" i="70"/>
  <c r="Q73" i="70"/>
  <c r="N73" i="70"/>
  <c r="M73" i="70"/>
  <c r="L73" i="70"/>
  <c r="K73" i="70"/>
  <c r="J73" i="70"/>
  <c r="G73" i="70"/>
  <c r="F73" i="70"/>
  <c r="E73" i="70"/>
  <c r="D73" i="70"/>
  <c r="C73" i="70"/>
  <c r="Z72" i="70"/>
  <c r="Y72" i="70"/>
  <c r="X72" i="70"/>
  <c r="W72" i="70"/>
  <c r="V72" i="70"/>
  <c r="U72" i="70"/>
  <c r="T72" i="70"/>
  <c r="S72" i="70"/>
  <c r="R72" i="70"/>
  <c r="Q72" i="70"/>
  <c r="N72" i="70"/>
  <c r="M72" i="70"/>
  <c r="L72" i="70"/>
  <c r="K72" i="70"/>
  <c r="J72" i="70"/>
  <c r="G72" i="70"/>
  <c r="F72" i="70"/>
  <c r="E72" i="70"/>
  <c r="D72" i="70"/>
  <c r="C72" i="70"/>
  <c r="Z71" i="70"/>
  <c r="Y71" i="70"/>
  <c r="X71" i="70"/>
  <c r="W71" i="70"/>
  <c r="V71" i="70"/>
  <c r="U71" i="70"/>
  <c r="T71" i="70"/>
  <c r="S71" i="70"/>
  <c r="R71" i="70"/>
  <c r="Q71" i="70"/>
  <c r="N71" i="70"/>
  <c r="M71" i="70"/>
  <c r="L71" i="70"/>
  <c r="K71" i="70"/>
  <c r="J71" i="70"/>
  <c r="G71" i="70"/>
  <c r="F71" i="70"/>
  <c r="E71" i="70"/>
  <c r="D71" i="70"/>
  <c r="C71" i="70"/>
  <c r="Z70" i="70"/>
  <c r="Y70" i="70"/>
  <c r="X70" i="70"/>
  <c r="W70" i="70"/>
  <c r="V70" i="70"/>
  <c r="U70" i="70"/>
  <c r="T70" i="70"/>
  <c r="S70" i="70"/>
  <c r="R70" i="70"/>
  <c r="Q70" i="70"/>
  <c r="N70" i="70"/>
  <c r="M70" i="70"/>
  <c r="L70" i="70"/>
  <c r="K70" i="70"/>
  <c r="J70" i="70"/>
  <c r="G70" i="70"/>
  <c r="F70" i="70"/>
  <c r="E70" i="70"/>
  <c r="D70" i="70"/>
  <c r="C70" i="70"/>
  <c r="Z69" i="70"/>
  <c r="Y69" i="70"/>
  <c r="X69" i="70"/>
  <c r="W69" i="70"/>
  <c r="V69" i="70"/>
  <c r="U69" i="70"/>
  <c r="T69" i="70"/>
  <c r="S69" i="70"/>
  <c r="R69" i="70"/>
  <c r="Q69" i="70"/>
  <c r="N69" i="70"/>
  <c r="M69" i="70"/>
  <c r="L69" i="70"/>
  <c r="K69" i="70"/>
  <c r="J69" i="70"/>
  <c r="G69" i="70"/>
  <c r="F69" i="70"/>
  <c r="E69" i="70"/>
  <c r="D69" i="70"/>
  <c r="C69" i="70"/>
  <c r="Z68" i="70"/>
  <c r="Y68" i="70"/>
  <c r="X68" i="70"/>
  <c r="W68" i="70"/>
  <c r="V68" i="70"/>
  <c r="U68" i="70"/>
  <c r="T68" i="70"/>
  <c r="S68" i="70"/>
  <c r="R68" i="70"/>
  <c r="Q68" i="70"/>
  <c r="N68" i="70"/>
  <c r="M68" i="70"/>
  <c r="L68" i="70"/>
  <c r="K68" i="70"/>
  <c r="J68" i="70"/>
  <c r="G68" i="70"/>
  <c r="F68" i="70"/>
  <c r="E68" i="70"/>
  <c r="D68" i="70"/>
  <c r="C68" i="70"/>
  <c r="Z67" i="70"/>
  <c r="Y67" i="70"/>
  <c r="X67" i="70"/>
  <c r="W67" i="70"/>
  <c r="V67" i="70"/>
  <c r="U67" i="70"/>
  <c r="T67" i="70"/>
  <c r="S67" i="70"/>
  <c r="R67" i="70"/>
  <c r="Q67" i="70"/>
  <c r="N67" i="70"/>
  <c r="M67" i="70"/>
  <c r="L67" i="70"/>
  <c r="K67" i="70"/>
  <c r="J67" i="70"/>
  <c r="G67" i="70"/>
  <c r="F67" i="70"/>
  <c r="E67" i="70"/>
  <c r="D67" i="70"/>
  <c r="C67" i="70"/>
  <c r="Z66" i="70"/>
  <c r="Y66" i="70"/>
  <c r="X66" i="70"/>
  <c r="W66" i="70"/>
  <c r="V66" i="70"/>
  <c r="U66" i="70"/>
  <c r="T66" i="70"/>
  <c r="S66" i="70"/>
  <c r="R66" i="70"/>
  <c r="Q66" i="70"/>
  <c r="N66" i="70"/>
  <c r="M66" i="70"/>
  <c r="L66" i="70"/>
  <c r="K66" i="70"/>
  <c r="J66" i="70"/>
  <c r="G66" i="70"/>
  <c r="F66" i="70"/>
  <c r="E66" i="70"/>
  <c r="D66" i="70"/>
  <c r="C66" i="70"/>
  <c r="Z65" i="70"/>
  <c r="Y65" i="70"/>
  <c r="X65" i="70"/>
  <c r="W65" i="70"/>
  <c r="V65" i="70"/>
  <c r="U65" i="70"/>
  <c r="T65" i="70"/>
  <c r="S65" i="70"/>
  <c r="R65" i="70"/>
  <c r="Q65" i="70"/>
  <c r="N65" i="70"/>
  <c r="M65" i="70"/>
  <c r="L65" i="70"/>
  <c r="K65" i="70"/>
  <c r="J65" i="70"/>
  <c r="G65" i="70"/>
  <c r="F65" i="70"/>
  <c r="E65" i="70"/>
  <c r="D65" i="70"/>
  <c r="C65" i="70"/>
  <c r="Z64" i="70"/>
  <c r="Y64" i="70"/>
  <c r="X64" i="70"/>
  <c r="W64" i="70"/>
  <c r="V64" i="70"/>
  <c r="U64" i="70"/>
  <c r="T64" i="70"/>
  <c r="S64" i="70"/>
  <c r="R64" i="70"/>
  <c r="Q64" i="70"/>
  <c r="N64" i="70"/>
  <c r="M64" i="70"/>
  <c r="L64" i="70"/>
  <c r="K64" i="70"/>
  <c r="J64" i="70"/>
  <c r="G64" i="70"/>
  <c r="F64" i="70"/>
  <c r="E64" i="70"/>
  <c r="D64" i="70"/>
  <c r="C64" i="70"/>
  <c r="Z63" i="70"/>
  <c r="Y63" i="70"/>
  <c r="X63" i="70"/>
  <c r="W63" i="70"/>
  <c r="V63" i="70"/>
  <c r="U63" i="70"/>
  <c r="T63" i="70"/>
  <c r="S63" i="70"/>
  <c r="R63" i="70"/>
  <c r="Q63" i="70"/>
  <c r="N63" i="70"/>
  <c r="M63" i="70"/>
  <c r="L63" i="70"/>
  <c r="K63" i="70"/>
  <c r="J63" i="70"/>
  <c r="G63" i="70"/>
  <c r="F63" i="70"/>
  <c r="E63" i="70"/>
  <c r="D63" i="70"/>
  <c r="C63" i="70"/>
  <c r="Z62" i="70"/>
  <c r="Y62" i="70"/>
  <c r="X62" i="70"/>
  <c r="W62" i="70"/>
  <c r="V62" i="70"/>
  <c r="U62" i="70"/>
  <c r="T62" i="70"/>
  <c r="S62" i="70"/>
  <c r="R62" i="70"/>
  <c r="Q62" i="70"/>
  <c r="N62" i="70"/>
  <c r="M62" i="70"/>
  <c r="L62" i="70"/>
  <c r="K62" i="70"/>
  <c r="J62" i="70"/>
  <c r="G62" i="70"/>
  <c r="F62" i="70"/>
  <c r="E62" i="70"/>
  <c r="D62" i="70"/>
  <c r="C62" i="70"/>
  <c r="Z61" i="70"/>
  <c r="Y61" i="70"/>
  <c r="X61" i="70"/>
  <c r="W61" i="70"/>
  <c r="V61" i="70"/>
  <c r="U61" i="70"/>
  <c r="T61" i="70"/>
  <c r="S61" i="70"/>
  <c r="R61" i="70"/>
  <c r="Q61" i="70"/>
  <c r="N61" i="70"/>
  <c r="M61" i="70"/>
  <c r="L61" i="70"/>
  <c r="K61" i="70"/>
  <c r="J61" i="70"/>
  <c r="G61" i="70"/>
  <c r="F61" i="70"/>
  <c r="E61" i="70"/>
  <c r="D61" i="70"/>
  <c r="C61" i="70"/>
  <c r="Z60" i="70"/>
  <c r="Y60" i="70"/>
  <c r="X60" i="70"/>
  <c r="W60" i="70"/>
  <c r="V60" i="70"/>
  <c r="U60" i="70"/>
  <c r="T60" i="70"/>
  <c r="S60" i="70"/>
  <c r="R60" i="70"/>
  <c r="Q60" i="70"/>
  <c r="N60" i="70"/>
  <c r="M60" i="70"/>
  <c r="L60" i="70"/>
  <c r="K60" i="70"/>
  <c r="J60" i="70"/>
  <c r="G60" i="70"/>
  <c r="F60" i="70"/>
  <c r="E60" i="70"/>
  <c r="D60" i="70"/>
  <c r="C60" i="70"/>
  <c r="Z59" i="70"/>
  <c r="Y59" i="70"/>
  <c r="X59" i="70"/>
  <c r="W59" i="70"/>
  <c r="V59" i="70"/>
  <c r="U59" i="70"/>
  <c r="T59" i="70"/>
  <c r="S59" i="70"/>
  <c r="R59" i="70"/>
  <c r="Q59" i="70"/>
  <c r="N59" i="70"/>
  <c r="M59" i="70"/>
  <c r="L59" i="70"/>
  <c r="K59" i="70"/>
  <c r="J59" i="70"/>
  <c r="G59" i="70"/>
  <c r="F59" i="70"/>
  <c r="E59" i="70"/>
  <c r="D59" i="70"/>
  <c r="C59" i="70"/>
  <c r="Z58" i="70"/>
  <c r="Y58" i="70"/>
  <c r="X58" i="70"/>
  <c r="W58" i="70"/>
  <c r="V58" i="70"/>
  <c r="U58" i="70"/>
  <c r="T58" i="70"/>
  <c r="S58" i="70"/>
  <c r="R58" i="70"/>
  <c r="Q58" i="70"/>
  <c r="N58" i="70"/>
  <c r="M58" i="70"/>
  <c r="L58" i="70"/>
  <c r="K58" i="70"/>
  <c r="J58" i="70"/>
  <c r="G58" i="70"/>
  <c r="F58" i="70"/>
  <c r="E58" i="70"/>
  <c r="D58" i="70"/>
  <c r="C58" i="70"/>
  <c r="Z57" i="70"/>
  <c r="Y57" i="70"/>
  <c r="X57" i="70"/>
  <c r="W57" i="70"/>
  <c r="V57" i="70"/>
  <c r="U57" i="70"/>
  <c r="T57" i="70"/>
  <c r="S57" i="70"/>
  <c r="R57" i="70"/>
  <c r="Q57" i="70"/>
  <c r="N57" i="70"/>
  <c r="M57" i="70"/>
  <c r="L57" i="70"/>
  <c r="K57" i="70"/>
  <c r="J57" i="70"/>
  <c r="G57" i="70"/>
  <c r="F57" i="70"/>
  <c r="E57" i="70"/>
  <c r="D57" i="70"/>
  <c r="C57" i="70"/>
  <c r="Z56" i="70"/>
  <c r="Y56" i="70"/>
  <c r="X56" i="70"/>
  <c r="W56" i="70"/>
  <c r="V56" i="70"/>
  <c r="U56" i="70"/>
  <c r="T56" i="70"/>
  <c r="S56" i="70"/>
  <c r="R56" i="70"/>
  <c r="Q56" i="70"/>
  <c r="N56" i="70"/>
  <c r="M56" i="70"/>
  <c r="L56" i="70"/>
  <c r="K56" i="70"/>
  <c r="J56" i="70"/>
  <c r="G56" i="70"/>
  <c r="F56" i="70"/>
  <c r="E56" i="70"/>
  <c r="D56" i="70"/>
  <c r="C56" i="70"/>
  <c r="Z55" i="70"/>
  <c r="Y55" i="70"/>
  <c r="X55" i="70"/>
  <c r="W55" i="70"/>
  <c r="V55" i="70"/>
  <c r="U55" i="70"/>
  <c r="T55" i="70"/>
  <c r="S55" i="70"/>
  <c r="R55" i="70"/>
  <c r="Q55" i="70"/>
  <c r="N55" i="70"/>
  <c r="M55" i="70"/>
  <c r="L55" i="70"/>
  <c r="K55" i="70"/>
  <c r="J55" i="70"/>
  <c r="G55" i="70"/>
  <c r="F55" i="70"/>
  <c r="E55" i="70"/>
  <c r="D55" i="70"/>
  <c r="C55" i="70"/>
  <c r="Z54" i="70"/>
  <c r="Y54" i="70"/>
  <c r="X54" i="70"/>
  <c r="W54" i="70"/>
  <c r="V54" i="70"/>
  <c r="U54" i="70"/>
  <c r="T54" i="70"/>
  <c r="S54" i="70"/>
  <c r="R54" i="70"/>
  <c r="Q54" i="70"/>
  <c r="N54" i="70"/>
  <c r="M54" i="70"/>
  <c r="L54" i="70"/>
  <c r="K54" i="70"/>
  <c r="J54" i="70"/>
  <c r="G54" i="70"/>
  <c r="F54" i="70"/>
  <c r="E54" i="70"/>
  <c r="D54" i="70"/>
  <c r="C54" i="70"/>
  <c r="Z53" i="70"/>
  <c r="Y53" i="70"/>
  <c r="X53" i="70"/>
  <c r="W53" i="70"/>
  <c r="V53" i="70"/>
  <c r="U53" i="70"/>
  <c r="T53" i="70"/>
  <c r="S53" i="70"/>
  <c r="R53" i="70"/>
  <c r="Q53" i="70"/>
  <c r="N53" i="70"/>
  <c r="M53" i="70"/>
  <c r="L53" i="70"/>
  <c r="K53" i="70"/>
  <c r="J53" i="70"/>
  <c r="G53" i="70"/>
  <c r="F53" i="70"/>
  <c r="E53" i="70"/>
  <c r="D53" i="70"/>
  <c r="C53" i="70"/>
  <c r="Z52" i="70"/>
  <c r="Y52" i="70"/>
  <c r="X52" i="70"/>
  <c r="W52" i="70"/>
  <c r="V52" i="70"/>
  <c r="U52" i="70"/>
  <c r="T52" i="70"/>
  <c r="S52" i="70"/>
  <c r="R52" i="70"/>
  <c r="Q52" i="70"/>
  <c r="N52" i="70"/>
  <c r="M52" i="70"/>
  <c r="L52" i="70"/>
  <c r="K52" i="70"/>
  <c r="J52" i="70"/>
  <c r="G52" i="70"/>
  <c r="F52" i="70"/>
  <c r="E52" i="70"/>
  <c r="D52" i="70"/>
  <c r="C52" i="70"/>
  <c r="Z51" i="70"/>
  <c r="Y51" i="70"/>
  <c r="X51" i="70"/>
  <c r="W51" i="70"/>
  <c r="V51" i="70"/>
  <c r="U51" i="70"/>
  <c r="T51" i="70"/>
  <c r="S51" i="70"/>
  <c r="R51" i="70"/>
  <c r="Q51" i="70"/>
  <c r="N51" i="70"/>
  <c r="M51" i="70"/>
  <c r="L51" i="70"/>
  <c r="K51" i="70"/>
  <c r="J51" i="70"/>
  <c r="G51" i="70"/>
  <c r="F51" i="70"/>
  <c r="E51" i="70"/>
  <c r="D51" i="70"/>
  <c r="C51" i="70"/>
  <c r="Z50" i="70"/>
  <c r="Y50" i="70"/>
  <c r="X50" i="70"/>
  <c r="W50" i="70"/>
  <c r="V50" i="70"/>
  <c r="U50" i="70"/>
  <c r="T50" i="70"/>
  <c r="S50" i="70"/>
  <c r="R50" i="70"/>
  <c r="Q50" i="70"/>
  <c r="N50" i="70"/>
  <c r="M50" i="70"/>
  <c r="L50" i="70"/>
  <c r="K50" i="70"/>
  <c r="J50" i="70"/>
  <c r="G50" i="70"/>
  <c r="F50" i="70"/>
  <c r="E50" i="70"/>
  <c r="D50" i="70"/>
  <c r="C50" i="70"/>
  <c r="Z49" i="70"/>
  <c r="Y49" i="70"/>
  <c r="X49" i="70"/>
  <c r="W49" i="70"/>
  <c r="V49" i="70"/>
  <c r="U49" i="70"/>
  <c r="T49" i="70"/>
  <c r="S49" i="70"/>
  <c r="R49" i="70"/>
  <c r="Q49" i="70"/>
  <c r="N49" i="70"/>
  <c r="M49" i="70"/>
  <c r="L49" i="70"/>
  <c r="K49" i="70"/>
  <c r="J49" i="70"/>
  <c r="G49" i="70"/>
  <c r="F49" i="70"/>
  <c r="E49" i="70"/>
  <c r="D49" i="70"/>
  <c r="C49" i="70"/>
  <c r="Z48" i="70"/>
  <c r="Y48" i="70"/>
  <c r="X48" i="70"/>
  <c r="W48" i="70"/>
  <c r="V48" i="70"/>
  <c r="U48" i="70"/>
  <c r="T48" i="70"/>
  <c r="S48" i="70"/>
  <c r="R48" i="70"/>
  <c r="Q48" i="70"/>
  <c r="N48" i="70"/>
  <c r="M48" i="70"/>
  <c r="L48" i="70"/>
  <c r="K48" i="70"/>
  <c r="J48" i="70"/>
  <c r="G48" i="70"/>
  <c r="F48" i="70"/>
  <c r="E48" i="70"/>
  <c r="D48" i="70"/>
  <c r="C48" i="70"/>
  <c r="Z47" i="70"/>
  <c r="Y47" i="70"/>
  <c r="X47" i="70"/>
  <c r="W47" i="70"/>
  <c r="V47" i="70"/>
  <c r="U47" i="70"/>
  <c r="T47" i="70"/>
  <c r="S47" i="70"/>
  <c r="R47" i="70"/>
  <c r="Q47" i="70"/>
  <c r="N47" i="70"/>
  <c r="M47" i="70"/>
  <c r="L47" i="70"/>
  <c r="K47" i="70"/>
  <c r="J47" i="70"/>
  <c r="G47" i="70"/>
  <c r="F47" i="70"/>
  <c r="E47" i="70"/>
  <c r="D47" i="70"/>
  <c r="C47" i="70"/>
  <c r="Z46" i="70"/>
  <c r="Y46" i="70"/>
  <c r="X46" i="70"/>
  <c r="W46" i="70"/>
  <c r="V46" i="70"/>
  <c r="U46" i="70"/>
  <c r="T46" i="70"/>
  <c r="S46" i="70"/>
  <c r="R46" i="70"/>
  <c r="Q46" i="70"/>
  <c r="N46" i="70"/>
  <c r="M46" i="70"/>
  <c r="L46" i="70"/>
  <c r="K46" i="70"/>
  <c r="J46" i="70"/>
  <c r="G46" i="70"/>
  <c r="F46" i="70"/>
  <c r="E46" i="70"/>
  <c r="D46" i="70"/>
  <c r="C46" i="70"/>
  <c r="Z45" i="70"/>
  <c r="Y45" i="70"/>
  <c r="X45" i="70"/>
  <c r="W45" i="70"/>
  <c r="V45" i="70"/>
  <c r="U45" i="70"/>
  <c r="T45" i="70"/>
  <c r="S45" i="70"/>
  <c r="R45" i="70"/>
  <c r="Q45" i="70"/>
  <c r="N45" i="70"/>
  <c r="M45" i="70"/>
  <c r="L45" i="70"/>
  <c r="K45" i="70"/>
  <c r="J45" i="70"/>
  <c r="G45" i="70"/>
  <c r="F45" i="70"/>
  <c r="E45" i="70"/>
  <c r="D45" i="70"/>
  <c r="C45" i="70"/>
  <c r="Z44" i="70"/>
  <c r="Y44" i="70"/>
  <c r="X44" i="70"/>
  <c r="W44" i="70"/>
  <c r="V44" i="70"/>
  <c r="U44" i="70"/>
  <c r="T44" i="70"/>
  <c r="S44" i="70"/>
  <c r="R44" i="70"/>
  <c r="Q44" i="70"/>
  <c r="N44" i="70"/>
  <c r="M44" i="70"/>
  <c r="L44" i="70"/>
  <c r="K44" i="70"/>
  <c r="J44" i="70"/>
  <c r="G44" i="70"/>
  <c r="F44" i="70"/>
  <c r="E44" i="70"/>
  <c r="D44" i="70"/>
  <c r="C44" i="70"/>
  <c r="Z43" i="70"/>
  <c r="Y43" i="70"/>
  <c r="X43" i="70"/>
  <c r="W43" i="70"/>
  <c r="V43" i="70"/>
  <c r="U43" i="70"/>
  <c r="T43" i="70"/>
  <c r="S43" i="70"/>
  <c r="R43" i="70"/>
  <c r="Q43" i="70"/>
  <c r="N43" i="70"/>
  <c r="M43" i="70"/>
  <c r="L43" i="70"/>
  <c r="K43" i="70"/>
  <c r="J43" i="70"/>
  <c r="G43" i="70"/>
  <c r="F43" i="70"/>
  <c r="E43" i="70"/>
  <c r="D43" i="70"/>
  <c r="C43" i="70"/>
  <c r="Z42" i="70"/>
  <c r="Y42" i="70"/>
  <c r="X42" i="70"/>
  <c r="W42" i="70"/>
  <c r="V42" i="70"/>
  <c r="U42" i="70"/>
  <c r="T42" i="70"/>
  <c r="S42" i="70"/>
  <c r="R42" i="70"/>
  <c r="Q42" i="70"/>
  <c r="N42" i="70"/>
  <c r="M42" i="70"/>
  <c r="L42" i="70"/>
  <c r="K42" i="70"/>
  <c r="J42" i="70"/>
  <c r="G42" i="70"/>
  <c r="F42" i="70"/>
  <c r="E42" i="70"/>
  <c r="D42" i="70"/>
  <c r="C42" i="70"/>
  <c r="Z41" i="70"/>
  <c r="Y41" i="70"/>
  <c r="X41" i="70"/>
  <c r="W41" i="70"/>
  <c r="V41" i="70"/>
  <c r="U41" i="70"/>
  <c r="T41" i="70"/>
  <c r="S41" i="70"/>
  <c r="R41" i="70"/>
  <c r="Q41" i="70"/>
  <c r="N41" i="70"/>
  <c r="M41" i="70"/>
  <c r="L41" i="70"/>
  <c r="K41" i="70"/>
  <c r="J41" i="70"/>
  <c r="G41" i="70"/>
  <c r="F41" i="70"/>
  <c r="E41" i="70"/>
  <c r="D41" i="70"/>
  <c r="C41" i="70"/>
  <c r="Z40" i="70"/>
  <c r="Y40" i="70"/>
  <c r="X40" i="70"/>
  <c r="W40" i="70"/>
  <c r="V40" i="70"/>
  <c r="U40" i="70"/>
  <c r="T40" i="70"/>
  <c r="S40" i="70"/>
  <c r="R40" i="70"/>
  <c r="Q40" i="70"/>
  <c r="N40" i="70"/>
  <c r="M40" i="70"/>
  <c r="L40" i="70"/>
  <c r="K40" i="70"/>
  <c r="J40" i="70"/>
  <c r="G40" i="70"/>
  <c r="F40" i="70"/>
  <c r="E40" i="70"/>
  <c r="D40" i="70"/>
  <c r="C40" i="70"/>
  <c r="Z39" i="70"/>
  <c r="Y39" i="70"/>
  <c r="X39" i="70"/>
  <c r="W39" i="70"/>
  <c r="V39" i="70"/>
  <c r="U39" i="70"/>
  <c r="T39" i="70"/>
  <c r="S39" i="70"/>
  <c r="R39" i="70"/>
  <c r="Q39" i="70"/>
  <c r="N39" i="70"/>
  <c r="M39" i="70"/>
  <c r="L39" i="70"/>
  <c r="K39" i="70"/>
  <c r="J39" i="70"/>
  <c r="G39" i="70"/>
  <c r="F39" i="70"/>
  <c r="E39" i="70"/>
  <c r="D39" i="70"/>
  <c r="C39" i="70"/>
  <c r="Z38" i="70"/>
  <c r="Y38" i="70"/>
  <c r="X38" i="70"/>
  <c r="W38" i="70"/>
  <c r="V38" i="70"/>
  <c r="U38" i="70"/>
  <c r="T38" i="70"/>
  <c r="S38" i="70"/>
  <c r="R38" i="70"/>
  <c r="Q38" i="70"/>
  <c r="N38" i="70"/>
  <c r="M38" i="70"/>
  <c r="L38" i="70"/>
  <c r="K38" i="70"/>
  <c r="J38" i="70"/>
  <c r="G38" i="70"/>
  <c r="F38" i="70"/>
  <c r="E38" i="70"/>
  <c r="D38" i="70"/>
  <c r="C38" i="70"/>
  <c r="Z37" i="70"/>
  <c r="Y37" i="70"/>
  <c r="X37" i="70"/>
  <c r="W37" i="70"/>
  <c r="V37" i="70"/>
  <c r="U37" i="70"/>
  <c r="T37" i="70"/>
  <c r="S37" i="70"/>
  <c r="R37" i="70"/>
  <c r="Q37" i="70"/>
  <c r="N37" i="70"/>
  <c r="M37" i="70"/>
  <c r="L37" i="70"/>
  <c r="K37" i="70"/>
  <c r="J37" i="70"/>
  <c r="G37" i="70"/>
  <c r="F37" i="70"/>
  <c r="E37" i="70"/>
  <c r="D37" i="70"/>
  <c r="C37" i="70"/>
  <c r="Z36" i="70"/>
  <c r="Y36" i="70"/>
  <c r="X36" i="70"/>
  <c r="W36" i="70"/>
  <c r="V36" i="70"/>
  <c r="U36" i="70"/>
  <c r="T36" i="70"/>
  <c r="S36" i="70"/>
  <c r="R36" i="70"/>
  <c r="Q36" i="70"/>
  <c r="N36" i="70"/>
  <c r="M36" i="70"/>
  <c r="L36" i="70"/>
  <c r="K36" i="70"/>
  <c r="J36" i="70"/>
  <c r="G36" i="70"/>
  <c r="F36" i="70"/>
  <c r="E36" i="70"/>
  <c r="D36" i="70"/>
  <c r="C36" i="70"/>
  <c r="Z35" i="70"/>
  <c r="Y35" i="70"/>
  <c r="X35" i="70"/>
  <c r="W35" i="70"/>
  <c r="V35" i="70"/>
  <c r="U35" i="70"/>
  <c r="T35" i="70"/>
  <c r="S35" i="70"/>
  <c r="R35" i="70"/>
  <c r="Q35" i="70"/>
  <c r="N35" i="70"/>
  <c r="M35" i="70"/>
  <c r="L35" i="70"/>
  <c r="K35" i="70"/>
  <c r="J35" i="70"/>
  <c r="G35" i="70"/>
  <c r="F35" i="70"/>
  <c r="E35" i="70"/>
  <c r="D35" i="70"/>
  <c r="C35" i="70"/>
  <c r="Z34" i="70"/>
  <c r="Y34" i="70"/>
  <c r="X34" i="70"/>
  <c r="W34" i="70"/>
  <c r="V34" i="70"/>
  <c r="U34" i="70"/>
  <c r="T34" i="70"/>
  <c r="S34" i="70"/>
  <c r="R34" i="70"/>
  <c r="Q34" i="70"/>
  <c r="N34" i="70"/>
  <c r="M34" i="70"/>
  <c r="L34" i="70"/>
  <c r="K34" i="70"/>
  <c r="J34" i="70"/>
  <c r="G34" i="70"/>
  <c r="F34" i="70"/>
  <c r="E34" i="70"/>
  <c r="D34" i="70"/>
  <c r="C34" i="70"/>
  <c r="Z33" i="70"/>
  <c r="Y33" i="70"/>
  <c r="X33" i="70"/>
  <c r="W33" i="70"/>
  <c r="V33" i="70"/>
  <c r="U33" i="70"/>
  <c r="T33" i="70"/>
  <c r="S33" i="70"/>
  <c r="R33" i="70"/>
  <c r="Q33" i="70"/>
  <c r="N33" i="70"/>
  <c r="M33" i="70"/>
  <c r="L33" i="70"/>
  <c r="K33" i="70"/>
  <c r="J33" i="70"/>
  <c r="G33" i="70"/>
  <c r="F33" i="70"/>
  <c r="E33" i="70"/>
  <c r="D33" i="70"/>
  <c r="C33" i="70"/>
  <c r="Z32" i="70"/>
  <c r="Y32" i="70"/>
  <c r="X32" i="70"/>
  <c r="W32" i="70"/>
  <c r="V32" i="70"/>
  <c r="U32" i="70"/>
  <c r="T32" i="70"/>
  <c r="S32" i="70"/>
  <c r="R32" i="70"/>
  <c r="Q32" i="70"/>
  <c r="N32" i="70"/>
  <c r="M32" i="70"/>
  <c r="L32" i="70"/>
  <c r="K32" i="70"/>
  <c r="J32" i="70"/>
  <c r="G32" i="70"/>
  <c r="F32" i="70"/>
  <c r="E32" i="70"/>
  <c r="D32" i="70"/>
  <c r="C32" i="70"/>
  <c r="Z31" i="70"/>
  <c r="Y31" i="70"/>
  <c r="X31" i="70"/>
  <c r="W31" i="70"/>
  <c r="V31" i="70"/>
  <c r="U31" i="70"/>
  <c r="T31" i="70"/>
  <c r="S31" i="70"/>
  <c r="R31" i="70"/>
  <c r="Q31" i="70"/>
  <c r="N31" i="70"/>
  <c r="M31" i="70"/>
  <c r="L31" i="70"/>
  <c r="K31" i="70"/>
  <c r="J31" i="70"/>
  <c r="G31" i="70"/>
  <c r="F31" i="70"/>
  <c r="E31" i="70"/>
  <c r="D31" i="70"/>
  <c r="C31" i="70"/>
  <c r="Z30" i="70"/>
  <c r="Y30" i="70"/>
  <c r="X30" i="70"/>
  <c r="W30" i="70"/>
  <c r="V30" i="70"/>
  <c r="U30" i="70"/>
  <c r="T30" i="70"/>
  <c r="S30" i="70"/>
  <c r="R30" i="70"/>
  <c r="Q30" i="70"/>
  <c r="N30" i="70"/>
  <c r="M30" i="70"/>
  <c r="L30" i="70"/>
  <c r="K30" i="70"/>
  <c r="J30" i="70"/>
  <c r="G30" i="70"/>
  <c r="F30" i="70"/>
  <c r="E30" i="70"/>
  <c r="D30" i="70"/>
  <c r="C30" i="70"/>
  <c r="Z29" i="70"/>
  <c r="Y29" i="70"/>
  <c r="X29" i="70"/>
  <c r="W29" i="70"/>
  <c r="V29" i="70"/>
  <c r="U29" i="70"/>
  <c r="T29" i="70"/>
  <c r="S29" i="70"/>
  <c r="R29" i="70"/>
  <c r="Q29" i="70"/>
  <c r="N29" i="70"/>
  <c r="M29" i="70"/>
  <c r="L29" i="70"/>
  <c r="K29" i="70"/>
  <c r="J29" i="70"/>
  <c r="G29" i="70"/>
  <c r="F29" i="70"/>
  <c r="E29" i="70"/>
  <c r="D29" i="70"/>
  <c r="C29" i="70"/>
  <c r="Z28" i="70"/>
  <c r="Y28" i="70"/>
  <c r="X28" i="70"/>
  <c r="W28" i="70"/>
  <c r="V28" i="70"/>
  <c r="U28" i="70"/>
  <c r="T28" i="70"/>
  <c r="S28" i="70"/>
  <c r="R28" i="70"/>
  <c r="Q28" i="70"/>
  <c r="N28" i="70"/>
  <c r="M28" i="70"/>
  <c r="L28" i="70"/>
  <c r="K28" i="70"/>
  <c r="J28" i="70"/>
  <c r="G28" i="70"/>
  <c r="F28" i="70"/>
  <c r="E28" i="70"/>
  <c r="D28" i="70"/>
  <c r="C28" i="70"/>
  <c r="Z27" i="70"/>
  <c r="Y27" i="70"/>
  <c r="X27" i="70"/>
  <c r="W27" i="70"/>
  <c r="V27" i="70"/>
  <c r="U27" i="70"/>
  <c r="T27" i="70"/>
  <c r="S27" i="70"/>
  <c r="R27" i="70"/>
  <c r="Q27" i="70"/>
  <c r="N27" i="70"/>
  <c r="M27" i="70"/>
  <c r="L27" i="70"/>
  <c r="K27" i="70"/>
  <c r="J27" i="70"/>
  <c r="G27" i="70"/>
  <c r="F27" i="70"/>
  <c r="E27" i="70"/>
  <c r="D27" i="70"/>
  <c r="C27" i="70"/>
  <c r="Z26" i="70"/>
  <c r="Y26" i="70"/>
  <c r="X26" i="70"/>
  <c r="W26" i="70"/>
  <c r="V26" i="70"/>
  <c r="U26" i="70"/>
  <c r="T26" i="70"/>
  <c r="S26" i="70"/>
  <c r="R26" i="70"/>
  <c r="Q26" i="70"/>
  <c r="N26" i="70"/>
  <c r="M26" i="70"/>
  <c r="L26" i="70"/>
  <c r="K26" i="70"/>
  <c r="J26" i="70"/>
  <c r="G26" i="70"/>
  <c r="F26" i="70"/>
  <c r="E26" i="70"/>
  <c r="D26" i="70"/>
  <c r="C26" i="70"/>
  <c r="Z25" i="70"/>
  <c r="Y25" i="70"/>
  <c r="X25" i="70"/>
  <c r="W25" i="70"/>
  <c r="V25" i="70"/>
  <c r="U25" i="70"/>
  <c r="T25" i="70"/>
  <c r="S25" i="70"/>
  <c r="R25" i="70"/>
  <c r="Q25" i="70"/>
  <c r="N25" i="70"/>
  <c r="M25" i="70"/>
  <c r="L25" i="70"/>
  <c r="K25" i="70"/>
  <c r="J25" i="70"/>
  <c r="G25" i="70"/>
  <c r="F25" i="70"/>
  <c r="E25" i="70"/>
  <c r="D25" i="70"/>
  <c r="C25" i="70"/>
  <c r="Z24" i="70"/>
  <c r="Y24" i="70"/>
  <c r="X24" i="70"/>
  <c r="W24" i="70"/>
  <c r="V24" i="70"/>
  <c r="U24" i="70"/>
  <c r="T24" i="70"/>
  <c r="S24" i="70"/>
  <c r="R24" i="70"/>
  <c r="Q24" i="70"/>
  <c r="N24" i="70"/>
  <c r="M24" i="70"/>
  <c r="L24" i="70"/>
  <c r="K24" i="70"/>
  <c r="J24" i="70"/>
  <c r="G24" i="70"/>
  <c r="F24" i="70"/>
  <c r="E24" i="70"/>
  <c r="D24" i="70"/>
  <c r="C24" i="70"/>
  <c r="Z23" i="70"/>
  <c r="Y23" i="70"/>
  <c r="X23" i="70"/>
  <c r="W23" i="70"/>
  <c r="V23" i="70"/>
  <c r="U23" i="70"/>
  <c r="T23" i="70"/>
  <c r="S23" i="70"/>
  <c r="R23" i="70"/>
  <c r="Q23" i="70"/>
  <c r="N23" i="70"/>
  <c r="M23" i="70"/>
  <c r="L23" i="70"/>
  <c r="K23" i="70"/>
  <c r="J23" i="70"/>
  <c r="G23" i="70"/>
  <c r="F23" i="70"/>
  <c r="E23" i="70"/>
  <c r="D23" i="70"/>
  <c r="C23" i="70"/>
  <c r="Z22" i="70"/>
  <c r="Y22" i="70"/>
  <c r="X22" i="70"/>
  <c r="W22" i="70"/>
  <c r="V22" i="70"/>
  <c r="U22" i="70"/>
  <c r="T22" i="70"/>
  <c r="S22" i="70"/>
  <c r="R22" i="70"/>
  <c r="Q22" i="70"/>
  <c r="N22" i="70"/>
  <c r="M22" i="70"/>
  <c r="L22" i="70"/>
  <c r="K22" i="70"/>
  <c r="J22" i="70"/>
  <c r="G22" i="70"/>
  <c r="F22" i="70"/>
  <c r="E22" i="70"/>
  <c r="D22" i="70"/>
  <c r="C22" i="70"/>
  <c r="Z21" i="70"/>
  <c r="Y21" i="70"/>
  <c r="X21" i="70"/>
  <c r="W21" i="70"/>
  <c r="V21" i="70"/>
  <c r="U21" i="70"/>
  <c r="T21" i="70"/>
  <c r="S21" i="70"/>
  <c r="R21" i="70"/>
  <c r="Q21" i="70"/>
  <c r="N21" i="70"/>
  <c r="M21" i="70"/>
  <c r="L21" i="70"/>
  <c r="K21" i="70"/>
  <c r="J21" i="70"/>
  <c r="G21" i="70"/>
  <c r="F21" i="70"/>
  <c r="E21" i="70"/>
  <c r="D21" i="70"/>
  <c r="C21" i="70"/>
  <c r="Z20" i="70"/>
  <c r="Y20" i="70"/>
  <c r="X20" i="70"/>
  <c r="W20" i="70"/>
  <c r="V20" i="70"/>
  <c r="U20" i="70"/>
  <c r="T20" i="70"/>
  <c r="S20" i="70"/>
  <c r="R20" i="70"/>
  <c r="Q20" i="70"/>
  <c r="N20" i="70"/>
  <c r="M20" i="70"/>
  <c r="L20" i="70"/>
  <c r="K20" i="70"/>
  <c r="J20" i="70"/>
  <c r="G20" i="70"/>
  <c r="F20" i="70"/>
  <c r="E20" i="70"/>
  <c r="D20" i="70"/>
  <c r="C20" i="70"/>
  <c r="Z19" i="70"/>
  <c r="Y19" i="70"/>
  <c r="X19" i="70"/>
  <c r="W19" i="70"/>
  <c r="V19" i="70"/>
  <c r="U19" i="70"/>
  <c r="T19" i="70"/>
  <c r="S19" i="70"/>
  <c r="R19" i="70"/>
  <c r="Q19" i="70"/>
  <c r="N19" i="70"/>
  <c r="M19" i="70"/>
  <c r="L19" i="70"/>
  <c r="K19" i="70"/>
  <c r="J19" i="70"/>
  <c r="G19" i="70"/>
  <c r="F19" i="70"/>
  <c r="E19" i="70"/>
  <c r="D19" i="70"/>
  <c r="C19" i="70"/>
  <c r="Z18" i="70"/>
  <c r="Y18" i="70"/>
  <c r="X18" i="70"/>
  <c r="W18" i="70"/>
  <c r="V18" i="70"/>
  <c r="U18" i="70"/>
  <c r="T18" i="70"/>
  <c r="S18" i="70"/>
  <c r="R18" i="70"/>
  <c r="Q18" i="70"/>
  <c r="N18" i="70"/>
  <c r="M18" i="70"/>
  <c r="L18" i="70"/>
  <c r="K18" i="70"/>
  <c r="J18" i="70"/>
  <c r="G18" i="70"/>
  <c r="F18" i="70"/>
  <c r="E18" i="70"/>
  <c r="D18" i="70"/>
  <c r="C18" i="70"/>
  <c r="Z17" i="70"/>
  <c r="Y17" i="70"/>
  <c r="X17" i="70"/>
  <c r="W17" i="70"/>
  <c r="V17" i="70"/>
  <c r="U17" i="70"/>
  <c r="T17" i="70"/>
  <c r="S17" i="70"/>
  <c r="R17" i="70"/>
  <c r="Q17" i="70"/>
  <c r="N17" i="70"/>
  <c r="M17" i="70"/>
  <c r="L17" i="70"/>
  <c r="K17" i="70"/>
  <c r="J17" i="70"/>
  <c r="G17" i="70"/>
  <c r="F17" i="70"/>
  <c r="E17" i="70"/>
  <c r="D17" i="70"/>
  <c r="C17" i="70"/>
  <c r="Z16" i="70"/>
  <c r="Y16" i="70"/>
  <c r="X16" i="70"/>
  <c r="W16" i="70"/>
  <c r="V16" i="70"/>
  <c r="U16" i="70"/>
  <c r="T16" i="70"/>
  <c r="S16" i="70"/>
  <c r="R16" i="70"/>
  <c r="Q16" i="70"/>
  <c r="N16" i="70"/>
  <c r="M16" i="70"/>
  <c r="L16" i="70"/>
  <c r="K16" i="70"/>
  <c r="J16" i="70"/>
  <c r="G16" i="70"/>
  <c r="F16" i="70"/>
  <c r="E16" i="70"/>
  <c r="D16" i="70"/>
  <c r="C16" i="70"/>
  <c r="Z15" i="70"/>
  <c r="Y15" i="70"/>
  <c r="X15" i="70"/>
  <c r="W15" i="70"/>
  <c r="V15" i="70"/>
  <c r="U15" i="70"/>
  <c r="T15" i="70"/>
  <c r="S15" i="70"/>
  <c r="R15" i="70"/>
  <c r="Q15" i="70"/>
  <c r="N15" i="70"/>
  <c r="M15" i="70"/>
  <c r="L15" i="70"/>
  <c r="K15" i="70"/>
  <c r="J15" i="70"/>
  <c r="G15" i="70"/>
  <c r="F15" i="70"/>
  <c r="E15" i="70"/>
  <c r="D15" i="70"/>
  <c r="C15" i="70"/>
  <c r="Z14" i="70"/>
  <c r="Y14" i="70"/>
  <c r="X14" i="70"/>
  <c r="W14" i="70"/>
  <c r="V14" i="70"/>
  <c r="U14" i="70"/>
  <c r="T14" i="70"/>
  <c r="S14" i="70"/>
  <c r="R14" i="70"/>
  <c r="Q14" i="70"/>
  <c r="N14" i="70"/>
  <c r="M14" i="70"/>
  <c r="L14" i="70"/>
  <c r="K14" i="70"/>
  <c r="J14" i="70"/>
  <c r="G14" i="70"/>
  <c r="F14" i="70"/>
  <c r="E14" i="70"/>
  <c r="D14" i="70"/>
  <c r="C14" i="70"/>
  <c r="Z13" i="70"/>
  <c r="Y13" i="70"/>
  <c r="X13" i="70"/>
  <c r="W13" i="70"/>
  <c r="V13" i="70"/>
  <c r="U13" i="70"/>
  <c r="T13" i="70"/>
  <c r="S13" i="70"/>
  <c r="R13" i="70"/>
  <c r="Q13" i="70"/>
  <c r="N13" i="70"/>
  <c r="M13" i="70"/>
  <c r="L13" i="70"/>
  <c r="K13" i="70"/>
  <c r="J13" i="70"/>
  <c r="G13" i="70"/>
  <c r="F13" i="70"/>
  <c r="E13" i="70"/>
  <c r="D13" i="70"/>
  <c r="C13" i="70"/>
  <c r="Z12" i="70"/>
  <c r="Y12" i="70"/>
  <c r="X12" i="70"/>
  <c r="W12" i="70"/>
  <c r="V12" i="70"/>
  <c r="U12" i="70"/>
  <c r="T12" i="70"/>
  <c r="S12" i="70"/>
  <c r="R12" i="70"/>
  <c r="Q12" i="70"/>
  <c r="N12" i="70"/>
  <c r="M12" i="70"/>
  <c r="L12" i="70"/>
  <c r="K12" i="70"/>
  <c r="J12" i="70"/>
  <c r="G12" i="70"/>
  <c r="F12" i="70"/>
  <c r="E12" i="70"/>
  <c r="D12" i="70"/>
  <c r="C12" i="70"/>
  <c r="Z11" i="70"/>
  <c r="Y11" i="70"/>
  <c r="X11" i="70"/>
  <c r="W11" i="70"/>
  <c r="V11" i="70"/>
  <c r="U11" i="70"/>
  <c r="T11" i="70"/>
  <c r="S11" i="70"/>
  <c r="R11" i="70"/>
  <c r="Q11" i="70"/>
  <c r="N11" i="70"/>
  <c r="M11" i="70"/>
  <c r="L11" i="70"/>
  <c r="K11" i="70"/>
  <c r="J11" i="70"/>
  <c r="G11" i="70"/>
  <c r="F11" i="70"/>
  <c r="E11" i="70"/>
  <c r="D11" i="70"/>
  <c r="C11" i="70"/>
  <c r="Z10" i="70"/>
  <c r="Y10" i="70"/>
  <c r="X10" i="70"/>
  <c r="W10" i="70"/>
  <c r="V10" i="70"/>
  <c r="U10" i="70"/>
  <c r="T10" i="70"/>
  <c r="S10" i="70"/>
  <c r="R10" i="70"/>
  <c r="Q10" i="70"/>
  <c r="N10" i="70"/>
  <c r="M10" i="70"/>
  <c r="L10" i="70"/>
  <c r="K10" i="70"/>
  <c r="J10" i="70"/>
  <c r="G10" i="70"/>
  <c r="F10" i="70"/>
  <c r="E10" i="70"/>
  <c r="D10" i="70"/>
  <c r="C10" i="70"/>
  <c r="Z9" i="70"/>
  <c r="Y9" i="70"/>
  <c r="X9" i="70"/>
  <c r="W9" i="70"/>
  <c r="V9" i="70"/>
  <c r="U9" i="70"/>
  <c r="T9" i="70"/>
  <c r="S9" i="70"/>
  <c r="R9" i="70"/>
  <c r="Q9" i="70"/>
  <c r="N9" i="70"/>
  <c r="M9" i="70"/>
  <c r="L9" i="70"/>
  <c r="K9" i="70"/>
  <c r="J9" i="70"/>
  <c r="G9" i="70"/>
  <c r="F9" i="70"/>
  <c r="E9" i="70"/>
  <c r="D9" i="70"/>
  <c r="C9" i="70"/>
  <c r="Z8" i="70"/>
  <c r="Y8" i="70"/>
  <c r="X8" i="70"/>
  <c r="W8" i="70"/>
  <c r="V8" i="70"/>
  <c r="U8" i="70"/>
  <c r="T8" i="70"/>
  <c r="S8" i="70"/>
  <c r="R8" i="70"/>
  <c r="Q8" i="70"/>
  <c r="N8" i="70"/>
  <c r="M8" i="70"/>
  <c r="L8" i="70"/>
  <c r="K8" i="70"/>
  <c r="J8" i="70"/>
  <c r="G8" i="70"/>
  <c r="F8" i="70"/>
  <c r="E8" i="70"/>
  <c r="D8" i="70"/>
  <c r="C8" i="70"/>
  <c r="Z7" i="70"/>
  <c r="Y7" i="70"/>
  <c r="X7" i="70"/>
  <c r="W7" i="70"/>
  <c r="V7" i="70"/>
  <c r="U7" i="70"/>
  <c r="T7" i="70"/>
  <c r="S7" i="70"/>
  <c r="R7" i="70"/>
  <c r="Q7" i="70"/>
  <c r="N7" i="70"/>
  <c r="M7" i="70"/>
  <c r="L7" i="70"/>
  <c r="K7" i="70"/>
  <c r="J7" i="70"/>
  <c r="G7" i="70"/>
  <c r="F7" i="70"/>
  <c r="E7" i="70"/>
  <c r="D7" i="70"/>
  <c r="C7" i="70"/>
  <c r="Z6" i="70"/>
  <c r="Y6" i="70"/>
  <c r="X6" i="70"/>
  <c r="W6" i="70"/>
  <c r="V6" i="70"/>
  <c r="U6" i="70"/>
  <c r="T6" i="70"/>
  <c r="S6" i="70"/>
  <c r="R6" i="70"/>
  <c r="Q6" i="70"/>
  <c r="N6" i="70"/>
  <c r="M6" i="70"/>
  <c r="L6" i="70"/>
  <c r="K6" i="70"/>
  <c r="J6" i="70"/>
  <c r="G6" i="70"/>
  <c r="F6" i="70"/>
  <c r="E6" i="70"/>
  <c r="D6" i="70"/>
  <c r="C6" i="70"/>
  <c r="Z5" i="70"/>
  <c r="Y5" i="70"/>
  <c r="X5" i="70"/>
  <c r="W5" i="70"/>
  <c r="V5" i="70"/>
  <c r="U5" i="70"/>
  <c r="T5" i="70"/>
  <c r="S5" i="70"/>
  <c r="R5" i="70"/>
  <c r="Q5" i="70"/>
  <c r="N5" i="70"/>
  <c r="M5" i="70"/>
  <c r="L5" i="70"/>
  <c r="K5" i="70"/>
  <c r="J5" i="70"/>
  <c r="G5" i="70"/>
  <c r="F5" i="70"/>
  <c r="E5" i="70"/>
  <c r="D5" i="70"/>
  <c r="C5" i="70"/>
  <c r="Z4" i="70"/>
  <c r="Y4" i="70"/>
  <c r="X4" i="70"/>
  <c r="W4" i="70"/>
  <c r="V4" i="70"/>
  <c r="U4" i="70"/>
  <c r="T4" i="70"/>
  <c r="S4" i="70"/>
  <c r="R4" i="70"/>
  <c r="Q4" i="70"/>
  <c r="N4" i="70"/>
  <c r="M4" i="70"/>
  <c r="L4" i="70"/>
  <c r="K4" i="70"/>
  <c r="J4" i="70"/>
  <c r="G4" i="70"/>
  <c r="F4" i="70"/>
  <c r="E4" i="70"/>
  <c r="D4" i="70"/>
  <c r="C4" i="70"/>
  <c r="W22" i="72"/>
  <c r="U17" i="72"/>
  <c r="V13" i="72"/>
  <c r="V58" i="72"/>
  <c r="V14" i="72"/>
  <c r="U54" i="72"/>
  <c r="W19" i="72"/>
  <c r="W5" i="72"/>
  <c r="W40" i="72"/>
  <c r="W24" i="72"/>
  <c r="U5" i="72"/>
  <c r="U10" i="72"/>
  <c r="W27" i="72"/>
  <c r="U20" i="72"/>
  <c r="V28" i="72"/>
  <c r="W54" i="72"/>
  <c r="S61" i="72"/>
  <c r="W25" i="72"/>
  <c r="T7" i="72"/>
  <c r="W46" i="72"/>
  <c r="V41" i="72"/>
  <c r="U22" i="72"/>
  <c r="U23" i="72"/>
  <c r="S54" i="72"/>
  <c r="W14" i="72"/>
  <c r="T47" i="72"/>
  <c r="T44" i="72"/>
  <c r="U36" i="72"/>
  <c r="V38" i="72"/>
  <c r="W51" i="72"/>
  <c r="V23" i="72"/>
  <c r="T19" i="72"/>
  <c r="T45" i="72"/>
  <c r="T42" i="72"/>
  <c r="W29" i="72"/>
  <c r="S10" i="72"/>
  <c r="V21" i="72"/>
  <c r="S7" i="72"/>
  <c r="W53" i="72"/>
  <c r="S46" i="72"/>
  <c r="S9" i="72"/>
  <c r="V10" i="72"/>
  <c r="T30" i="72"/>
  <c r="S5" i="72"/>
  <c r="T63" i="72"/>
  <c r="V25" i="72"/>
  <c r="S55" i="72"/>
  <c r="W56" i="72"/>
  <c r="T53" i="72"/>
  <c r="S43" i="72"/>
  <c r="U19" i="72"/>
  <c r="S31" i="72"/>
  <c r="S34" i="72"/>
  <c r="T34" i="72"/>
  <c r="T61" i="72"/>
  <c r="T40" i="72"/>
  <c r="W26" i="72"/>
  <c r="W37" i="72"/>
  <c r="S44" i="72"/>
  <c r="T24" i="72"/>
  <c r="V37" i="72"/>
  <c r="S29" i="72"/>
  <c r="W49" i="72"/>
  <c r="V16" i="72"/>
  <c r="V34" i="72"/>
  <c r="S52" i="72"/>
  <c r="V45" i="72"/>
  <c r="T43" i="72"/>
  <c r="U35" i="72"/>
  <c r="W18" i="72"/>
  <c r="U51" i="72"/>
  <c r="V30" i="72"/>
  <c r="S26" i="72"/>
  <c r="U16" i="72"/>
  <c r="W39" i="72"/>
  <c r="W23" i="72"/>
  <c r="T26" i="72"/>
  <c r="U31" i="72"/>
  <c r="V6" i="72"/>
  <c r="S13" i="72"/>
  <c r="U33" i="72"/>
  <c r="U7" i="72"/>
  <c r="U52" i="72"/>
  <c r="V49" i="72"/>
  <c r="T54" i="72"/>
  <c r="U58" i="72"/>
  <c r="W33" i="72"/>
  <c r="T18" i="72"/>
  <c r="V18" i="72"/>
  <c r="S42" i="72"/>
  <c r="V48" i="72"/>
  <c r="W57" i="72"/>
  <c r="W41" i="72"/>
  <c r="W43" i="72"/>
  <c r="W7" i="72"/>
  <c r="S22" i="72"/>
  <c r="U18" i="72"/>
  <c r="U59" i="72"/>
  <c r="V40" i="72"/>
  <c r="V39" i="72"/>
  <c r="T37" i="72"/>
  <c r="V15" i="72"/>
  <c r="S58" i="72"/>
  <c r="S6" i="72"/>
  <c r="S47" i="72"/>
  <c r="S51" i="72"/>
  <c r="V20" i="72"/>
  <c r="T58" i="72"/>
  <c r="W6" i="72"/>
  <c r="V26" i="72"/>
  <c r="U37" i="72"/>
  <c r="U24" i="72"/>
  <c r="S48" i="72"/>
  <c r="S18" i="72"/>
  <c r="U32" i="72"/>
  <c r="W15" i="72"/>
  <c r="W35" i="72"/>
  <c r="U40" i="72"/>
  <c r="V59" i="72"/>
  <c r="S11" i="72"/>
  <c r="S17" i="72"/>
  <c r="V57" i="72"/>
  <c r="U50" i="72"/>
  <c r="W31" i="72"/>
  <c r="V42" i="72"/>
  <c r="T5" i="72"/>
  <c r="S45" i="72"/>
  <c r="V44" i="72"/>
  <c r="W13" i="72"/>
  <c r="T22" i="72"/>
  <c r="V43" i="72"/>
  <c r="W38" i="72"/>
  <c r="T25" i="72"/>
  <c r="S63" i="72"/>
  <c r="V19" i="72"/>
  <c r="T60" i="72"/>
  <c r="V46" i="72"/>
  <c r="U57" i="72"/>
  <c r="T36" i="72"/>
  <c r="U45" i="72"/>
  <c r="S30" i="72"/>
  <c r="S27" i="72"/>
  <c r="V12" i="72"/>
  <c r="V35" i="72"/>
  <c r="T8" i="72"/>
  <c r="V60" i="72"/>
  <c r="W32" i="72"/>
  <c r="S39" i="72"/>
  <c r="S50" i="72"/>
  <c r="U9" i="72"/>
  <c r="U43" i="72"/>
  <c r="S59" i="72"/>
  <c r="U49" i="72"/>
  <c r="S53" i="72"/>
  <c r="T11" i="72"/>
  <c r="V7" i="72"/>
  <c r="T39" i="72"/>
  <c r="V54" i="72"/>
  <c r="W20" i="72"/>
  <c r="T21" i="72"/>
  <c r="T33" i="72"/>
  <c r="U60" i="72"/>
  <c r="S24" i="72"/>
  <c r="S28" i="72"/>
  <c r="U39" i="72"/>
  <c r="W42" i="72"/>
  <c r="S33" i="72"/>
  <c r="U13" i="72"/>
  <c r="S49" i="72"/>
  <c r="V55" i="72"/>
  <c r="U11" i="72"/>
  <c r="T35" i="72"/>
  <c r="W45" i="72"/>
  <c r="V33" i="72"/>
  <c r="U63" i="72"/>
  <c r="V52" i="72"/>
  <c r="V36" i="72"/>
  <c r="T59" i="72"/>
  <c r="T10" i="72"/>
  <c r="U21" i="72"/>
  <c r="W36" i="72"/>
  <c r="S60" i="72"/>
  <c r="W47" i="72"/>
  <c r="V51" i="72"/>
  <c r="W60" i="72"/>
  <c r="W50" i="72"/>
  <c r="S37" i="72"/>
  <c r="T14" i="72"/>
  <c r="V62" i="72"/>
  <c r="U6" i="72"/>
  <c r="W55" i="72"/>
  <c r="U28" i="72"/>
  <c r="W21" i="72"/>
  <c r="T46" i="72"/>
  <c r="U47" i="72"/>
  <c r="T57" i="72"/>
  <c r="S25" i="72"/>
  <c r="U56" i="72"/>
  <c r="W63" i="72"/>
  <c r="T20" i="72"/>
  <c r="V61" i="72"/>
  <c r="S40" i="72"/>
  <c r="U12" i="72"/>
  <c r="W17" i="72"/>
  <c r="W48" i="72"/>
  <c r="U62" i="72"/>
  <c r="S62" i="72"/>
  <c r="T17" i="72"/>
  <c r="U30" i="72"/>
  <c r="T29" i="72"/>
  <c r="T48" i="72"/>
  <c r="T41" i="72"/>
  <c r="V50" i="72"/>
  <c r="V22" i="72"/>
  <c r="S35" i="72"/>
  <c r="V31" i="72"/>
  <c r="W9" i="72"/>
  <c r="W10" i="72"/>
  <c r="S14" i="72"/>
  <c r="T6" i="72"/>
  <c r="W8" i="72"/>
  <c r="V29" i="72"/>
  <c r="U41" i="72"/>
  <c r="W44" i="72"/>
  <c r="S41" i="72"/>
  <c r="W16" i="72"/>
  <c r="S15" i="72"/>
  <c r="V63" i="72"/>
  <c r="U44" i="72"/>
  <c r="U53" i="72"/>
  <c r="U26" i="72"/>
  <c r="U42" i="72"/>
  <c r="U8" i="72"/>
  <c r="W12" i="72"/>
  <c r="T16" i="72"/>
  <c r="U46" i="72"/>
  <c r="S21" i="72"/>
  <c r="W62" i="72"/>
  <c r="W61" i="72"/>
  <c r="W59" i="72"/>
  <c r="T32" i="72"/>
  <c r="V56" i="72"/>
  <c r="T62" i="72"/>
  <c r="U27" i="72"/>
  <c r="T12" i="72"/>
  <c r="S36" i="72"/>
  <c r="S23" i="72"/>
  <c r="U55" i="72"/>
  <c r="U15" i="72"/>
  <c r="S16" i="72"/>
  <c r="V32" i="72"/>
  <c r="T9" i="72"/>
  <c r="T51" i="72"/>
  <c r="V5" i="72"/>
  <c r="S19" i="72"/>
  <c r="S20" i="72"/>
  <c r="S8" i="72"/>
  <c r="T55" i="72"/>
  <c r="S12" i="72"/>
  <c r="T52" i="72"/>
  <c r="T23" i="72"/>
  <c r="T28" i="72"/>
  <c r="T13" i="72"/>
  <c r="U38" i="72"/>
  <c r="T15" i="72"/>
  <c r="V17" i="72"/>
  <c r="W11" i="72"/>
  <c r="V24" i="72"/>
  <c r="T49" i="72"/>
  <c r="W28" i="72"/>
  <c r="V8" i="72"/>
  <c r="W58" i="72"/>
  <c r="S38" i="72"/>
  <c r="V27" i="72"/>
  <c r="V53" i="72"/>
  <c r="S56" i="72"/>
  <c r="U48" i="72"/>
  <c r="U14" i="72"/>
  <c r="U25" i="72"/>
  <c r="T27" i="72"/>
  <c r="T56" i="72"/>
  <c r="V11" i="72"/>
  <c r="W30" i="72"/>
  <c r="T31" i="72"/>
  <c r="S32" i="72"/>
  <c r="V47" i="72"/>
  <c r="W52" i="72"/>
  <c r="T50" i="72"/>
  <c r="S57" i="72"/>
  <c r="V9" i="72"/>
  <c r="U34" i="72"/>
  <c r="U29" i="72"/>
  <c r="T38" i="72"/>
  <c r="U61" i="72"/>
  <c r="W34" i="72"/>
  <c r="O13" i="61" l="1"/>
  <c r="R13" i="61" s="1"/>
  <c r="I14" i="64"/>
  <c r="D15" i="64"/>
  <c r="AQ15" i="61"/>
  <c r="AI15" i="61"/>
  <c r="O15" i="61"/>
  <c r="AI54" i="61"/>
  <c r="O54" i="61"/>
  <c r="AQ54" i="61"/>
  <c r="AQ93" i="61"/>
  <c r="AS93" i="61" s="1"/>
  <c r="O106" i="60" s="1"/>
  <c r="O93" i="61"/>
  <c r="AI93" i="61"/>
  <c r="O21" i="61"/>
  <c r="AI21" i="61"/>
  <c r="AQ21" i="61"/>
  <c r="AQ60" i="61"/>
  <c r="AS60" i="61" s="1"/>
  <c r="O73" i="60" s="1"/>
  <c r="O60" i="61"/>
  <c r="AI60" i="61"/>
  <c r="O34" i="61"/>
  <c r="AI34" i="61"/>
  <c r="AQ34" i="61"/>
  <c r="AI73" i="61"/>
  <c r="AQ73" i="61"/>
  <c r="O73" i="61"/>
  <c r="AI40" i="61"/>
  <c r="AQ40" i="61"/>
  <c r="O40" i="61"/>
  <c r="O79" i="61"/>
  <c r="AI79" i="61"/>
  <c r="AQ79" i="61"/>
  <c r="AQ14" i="61"/>
  <c r="O14" i="61"/>
  <c r="AI14" i="61"/>
  <c r="AI53" i="61"/>
  <c r="O53" i="61"/>
  <c r="AQ53" i="61"/>
  <c r="AQ92" i="61"/>
  <c r="O92" i="61"/>
  <c r="AI92" i="61"/>
  <c r="AI20" i="61"/>
  <c r="O20" i="61"/>
  <c r="AQ20" i="61"/>
  <c r="AQ59" i="61"/>
  <c r="O59" i="61"/>
  <c r="AI59" i="61"/>
  <c r="AI98" i="61"/>
  <c r="AQ98" i="61"/>
  <c r="O98" i="61"/>
  <c r="O33" i="61"/>
  <c r="AI33" i="61"/>
  <c r="AQ33" i="61"/>
  <c r="AQ72" i="61"/>
  <c r="O72" i="61"/>
  <c r="AI72" i="61"/>
  <c r="AI39" i="61"/>
  <c r="AQ39" i="61"/>
  <c r="AS39" i="61" s="1"/>
  <c r="O52" i="60" s="1"/>
  <c r="O39" i="61"/>
  <c r="O78" i="61"/>
  <c r="AI78" i="61"/>
  <c r="AQ78" i="61"/>
  <c r="AQ13" i="61"/>
  <c r="AI13" i="61"/>
  <c r="AI52" i="61"/>
  <c r="O52" i="61"/>
  <c r="AQ52" i="61"/>
  <c r="O91" i="61"/>
  <c r="AI91" i="61"/>
  <c r="AQ91" i="61"/>
  <c r="AI19" i="61"/>
  <c r="O19" i="61"/>
  <c r="AQ19" i="61"/>
  <c r="AQ58" i="61"/>
  <c r="O58" i="61"/>
  <c r="AI58" i="61"/>
  <c r="AI97" i="61"/>
  <c r="AQ97" i="61"/>
  <c r="O97" i="61"/>
  <c r="O32" i="61"/>
  <c r="AI32" i="61"/>
  <c r="AQ32" i="61"/>
  <c r="AQ71" i="61"/>
  <c r="O71" i="61"/>
  <c r="AI71" i="61"/>
  <c r="AQ38" i="61"/>
  <c r="O38" i="61"/>
  <c r="AI38" i="61"/>
  <c r="O77" i="61"/>
  <c r="AI77" i="61"/>
  <c r="AQ77" i="61"/>
  <c r="AI51" i="61"/>
  <c r="AQ51" i="61"/>
  <c r="AS51" i="61" s="1"/>
  <c r="O64" i="60" s="1"/>
  <c r="O51" i="61"/>
  <c r="O90" i="61"/>
  <c r="AI90" i="61"/>
  <c r="AQ90" i="61"/>
  <c r="AI18" i="61"/>
  <c r="AQ18" i="61"/>
  <c r="O18" i="61"/>
  <c r="O57" i="61"/>
  <c r="AI57" i="61"/>
  <c r="AQ57" i="61"/>
  <c r="AI96" i="61"/>
  <c r="AQ96" i="61"/>
  <c r="O96" i="61"/>
  <c r="AQ70" i="61"/>
  <c r="AS70" i="61" s="1"/>
  <c r="O83" i="60" s="1"/>
  <c r="O70" i="61"/>
  <c r="AI70" i="61"/>
  <c r="AQ37" i="61"/>
  <c r="O37" i="61"/>
  <c r="AI37" i="61"/>
  <c r="AI76" i="61"/>
  <c r="AQ76" i="61"/>
  <c r="O76" i="61"/>
  <c r="O89" i="61"/>
  <c r="AI89" i="61"/>
  <c r="AQ89" i="61"/>
  <c r="AI17" i="61"/>
  <c r="AQ17" i="61"/>
  <c r="O17" i="61"/>
  <c r="AI56" i="61"/>
  <c r="O56" i="61"/>
  <c r="AQ56" i="61"/>
  <c r="AQ95" i="61"/>
  <c r="O95" i="61"/>
  <c r="AI95" i="61"/>
  <c r="AQ36" i="61"/>
  <c r="O36" i="61"/>
  <c r="AI36" i="61"/>
  <c r="AI75" i="61"/>
  <c r="AQ75" i="61"/>
  <c r="O75" i="61"/>
  <c r="AI16" i="61"/>
  <c r="AQ16" i="61"/>
  <c r="O16" i="61"/>
  <c r="AI55" i="61"/>
  <c r="O55" i="61"/>
  <c r="AQ55" i="61"/>
  <c r="AQ94" i="61"/>
  <c r="O94" i="61"/>
  <c r="AI94" i="61"/>
  <c r="O22" i="61"/>
  <c r="AI22" i="61"/>
  <c r="AQ22" i="61"/>
  <c r="AQ35" i="61"/>
  <c r="O35" i="61"/>
  <c r="AI35" i="61"/>
  <c r="AI74" i="61"/>
  <c r="AQ74" i="61"/>
  <c r="O74" i="61"/>
  <c r="AI41" i="61"/>
  <c r="AQ41" i="61"/>
  <c r="O41" i="61"/>
  <c r="E44" i="71"/>
  <c r="Z83" i="71" s="1"/>
  <c r="BC11" i="61"/>
  <c r="BI11" i="61" s="1"/>
  <c r="AK26" i="61"/>
  <c r="AS26" i="61"/>
  <c r="AS65" i="61"/>
  <c r="AS45" i="61"/>
  <c r="AK45" i="61"/>
  <c r="AS84" i="61"/>
  <c r="AK83" i="61"/>
  <c r="AS83" i="61"/>
  <c r="AS50" i="61"/>
  <c r="AS30" i="61"/>
  <c r="AS69" i="61"/>
  <c r="AS49" i="61"/>
  <c r="AS88" i="61"/>
  <c r="AS29" i="61"/>
  <c r="AS68" i="61"/>
  <c r="AS64" i="61"/>
  <c r="AK64" i="61"/>
  <c r="AS48" i="61"/>
  <c r="AS87" i="61"/>
  <c r="AS28" i="61"/>
  <c r="AS67" i="61"/>
  <c r="AS47" i="61"/>
  <c r="AS86" i="61"/>
  <c r="AS31" i="61"/>
  <c r="AS27" i="61"/>
  <c r="AS66" i="61"/>
  <c r="E43" i="71"/>
  <c r="AS46" i="61"/>
  <c r="AS85" i="61"/>
  <c r="I15" i="64" l="1"/>
  <c r="D16" i="64"/>
  <c r="U13" i="61"/>
  <c r="U14" i="61" s="1"/>
  <c r="U15" i="61" s="1"/>
  <c r="U16" i="61" s="1"/>
  <c r="U17" i="61" s="1"/>
  <c r="U18" i="61" s="1"/>
  <c r="U19" i="61" s="1"/>
  <c r="U20" i="61" s="1"/>
  <c r="U21" i="61" s="1"/>
  <c r="U22" i="61" s="1"/>
  <c r="Y22" i="61" s="1"/>
  <c r="AG22" i="61" s="1"/>
  <c r="R14" i="61"/>
  <c r="R15" i="61" s="1"/>
  <c r="R16" i="61" s="1"/>
  <c r="R17" i="61" s="1"/>
  <c r="R18" i="61" s="1"/>
  <c r="R19" i="61" s="1"/>
  <c r="R20" i="61" s="1"/>
  <c r="R21" i="61" s="1"/>
  <c r="R22" i="61" s="1"/>
  <c r="V22" i="61" s="1"/>
  <c r="S13" i="61"/>
  <c r="S14" i="61" s="1"/>
  <c r="S15" i="61" s="1"/>
  <c r="S16" i="61" s="1"/>
  <c r="S17" i="61" s="1"/>
  <c r="S18" i="61" s="1"/>
  <c r="S19" i="61" s="1"/>
  <c r="S20" i="61" s="1"/>
  <c r="S21" i="61" s="1"/>
  <c r="S22" i="61" s="1"/>
  <c r="W22" i="61" s="1"/>
  <c r="T13" i="61"/>
  <c r="T14" i="61" s="1"/>
  <c r="T15" i="61" s="1"/>
  <c r="T16" i="61" s="1"/>
  <c r="T17" i="61" s="1"/>
  <c r="T18" i="61" s="1"/>
  <c r="T19" i="61" s="1"/>
  <c r="T20" i="61" s="1"/>
  <c r="T21" i="61" s="1"/>
  <c r="T22" i="61" s="1"/>
  <c r="X22" i="61" s="1"/>
  <c r="S70" i="61"/>
  <c r="S71" i="61" s="1"/>
  <c r="S72" i="61" s="1"/>
  <c r="S73" i="61" s="1"/>
  <c r="S74" i="61" s="1"/>
  <c r="S75" i="61" s="1"/>
  <c r="S76" i="61" s="1"/>
  <c r="S77" i="61" s="1"/>
  <c r="S78" i="61" s="1"/>
  <c r="S79" i="61" s="1"/>
  <c r="W79" i="61" s="1"/>
  <c r="T70" i="61"/>
  <c r="T71" i="61" s="1"/>
  <c r="T72" i="61" s="1"/>
  <c r="T73" i="61" s="1"/>
  <c r="T74" i="61" s="1"/>
  <c r="T75" i="61" s="1"/>
  <c r="T76" i="61" s="1"/>
  <c r="T77" i="61" s="1"/>
  <c r="T78" i="61" s="1"/>
  <c r="T79" i="61" s="1"/>
  <c r="X79" i="61" s="1"/>
  <c r="R70" i="61"/>
  <c r="R71" i="61" s="1"/>
  <c r="R72" i="61" s="1"/>
  <c r="R73" i="61" s="1"/>
  <c r="R74" i="61" s="1"/>
  <c r="R75" i="61" s="1"/>
  <c r="R76" i="61" s="1"/>
  <c r="R77" i="61" s="1"/>
  <c r="R78" i="61" s="1"/>
  <c r="R79" i="61" s="1"/>
  <c r="V79" i="61" s="1"/>
  <c r="U70" i="61"/>
  <c r="U71" i="61" s="1"/>
  <c r="U72" i="61" s="1"/>
  <c r="U73" i="61" s="1"/>
  <c r="U74" i="61" s="1"/>
  <c r="U75" i="61" s="1"/>
  <c r="U76" i="61" s="1"/>
  <c r="U77" i="61" s="1"/>
  <c r="U78" i="61" s="1"/>
  <c r="U79" i="61" s="1"/>
  <c r="Y79" i="61" s="1"/>
  <c r="AG79" i="61" s="1"/>
  <c r="R51" i="61"/>
  <c r="R52" i="61" s="1"/>
  <c r="R53" i="61" s="1"/>
  <c r="R54" i="61" s="1"/>
  <c r="R55" i="61" s="1"/>
  <c r="R56" i="61" s="1"/>
  <c r="R57" i="61" s="1"/>
  <c r="R58" i="61" s="1"/>
  <c r="R59" i="61" s="1"/>
  <c r="R60" i="61" s="1"/>
  <c r="V60" i="61" s="1"/>
  <c r="T51" i="61"/>
  <c r="T52" i="61" s="1"/>
  <c r="T53" i="61" s="1"/>
  <c r="T54" i="61" s="1"/>
  <c r="T55" i="61" s="1"/>
  <c r="T56" i="61" s="1"/>
  <c r="T57" i="61" s="1"/>
  <c r="T58" i="61" s="1"/>
  <c r="T59" i="61" s="1"/>
  <c r="T60" i="61" s="1"/>
  <c r="X60" i="61" s="1"/>
  <c r="U51" i="61"/>
  <c r="U52" i="61" s="1"/>
  <c r="U53" i="61" s="1"/>
  <c r="U54" i="61" s="1"/>
  <c r="U55" i="61" s="1"/>
  <c r="U56" i="61" s="1"/>
  <c r="U57" i="61" s="1"/>
  <c r="U58" i="61" s="1"/>
  <c r="U59" i="61" s="1"/>
  <c r="U60" i="61" s="1"/>
  <c r="Y60" i="61" s="1"/>
  <c r="AG60" i="61" s="1"/>
  <c r="S51" i="61"/>
  <c r="S52" i="61" s="1"/>
  <c r="S53" i="61" s="1"/>
  <c r="S54" i="61" s="1"/>
  <c r="S55" i="61" s="1"/>
  <c r="S56" i="61" s="1"/>
  <c r="S57" i="61" s="1"/>
  <c r="S58" i="61" s="1"/>
  <c r="S59" i="61" s="1"/>
  <c r="S60" i="61" s="1"/>
  <c r="W60" i="61" s="1"/>
  <c r="T89" i="61"/>
  <c r="T90" i="61" s="1"/>
  <c r="T91" i="61" s="1"/>
  <c r="T92" i="61" s="1"/>
  <c r="T93" i="61" s="1"/>
  <c r="T94" i="61" s="1"/>
  <c r="T95" i="61" s="1"/>
  <c r="T96" i="61" s="1"/>
  <c r="T97" i="61" s="1"/>
  <c r="T98" i="61" s="1"/>
  <c r="X98" i="61" s="1"/>
  <c r="U89" i="61"/>
  <c r="U90" i="61" s="1"/>
  <c r="U91" i="61" s="1"/>
  <c r="U92" i="61" s="1"/>
  <c r="U93" i="61" s="1"/>
  <c r="U94" i="61" s="1"/>
  <c r="U95" i="61" s="1"/>
  <c r="U96" i="61" s="1"/>
  <c r="U97" i="61" s="1"/>
  <c r="U98" i="61" s="1"/>
  <c r="Y98" i="61" s="1"/>
  <c r="AG98" i="61" s="1"/>
  <c r="R89" i="61"/>
  <c r="R90" i="61" s="1"/>
  <c r="R91" i="61" s="1"/>
  <c r="R92" i="61" s="1"/>
  <c r="R93" i="61" s="1"/>
  <c r="R94" i="61" s="1"/>
  <c r="R95" i="61" s="1"/>
  <c r="R96" i="61" s="1"/>
  <c r="R97" i="61" s="1"/>
  <c r="R98" i="61" s="1"/>
  <c r="V98" i="61" s="1"/>
  <c r="S89" i="61"/>
  <c r="S90" i="61" s="1"/>
  <c r="S91" i="61" s="1"/>
  <c r="S92" i="61" s="1"/>
  <c r="S93" i="61" s="1"/>
  <c r="S94" i="61" s="1"/>
  <c r="S95" i="61" s="1"/>
  <c r="S96" i="61" s="1"/>
  <c r="S97" i="61" s="1"/>
  <c r="S98" i="61" s="1"/>
  <c r="W98" i="61" s="1"/>
  <c r="S32" i="61"/>
  <c r="S33" i="61" s="1"/>
  <c r="S34" i="61" s="1"/>
  <c r="S35" i="61" s="1"/>
  <c r="S36" i="61" s="1"/>
  <c r="S37" i="61" s="1"/>
  <c r="S38" i="61" s="1"/>
  <c r="S39" i="61" s="1"/>
  <c r="S40" i="61" s="1"/>
  <c r="S41" i="61" s="1"/>
  <c r="W41" i="61" s="1"/>
  <c r="R32" i="61"/>
  <c r="R33" i="61" s="1"/>
  <c r="R34" i="61" s="1"/>
  <c r="R35" i="61" s="1"/>
  <c r="R36" i="61" s="1"/>
  <c r="R37" i="61" s="1"/>
  <c r="R38" i="61" s="1"/>
  <c r="R39" i="61" s="1"/>
  <c r="R40" i="61" s="1"/>
  <c r="R41" i="61" s="1"/>
  <c r="V41" i="61" s="1"/>
  <c r="T32" i="61"/>
  <c r="T33" i="61" s="1"/>
  <c r="T34" i="61" s="1"/>
  <c r="T35" i="61" s="1"/>
  <c r="T36" i="61" s="1"/>
  <c r="T37" i="61" s="1"/>
  <c r="T38" i="61" s="1"/>
  <c r="T39" i="61" s="1"/>
  <c r="T40" i="61" s="1"/>
  <c r="T41" i="61" s="1"/>
  <c r="X41" i="61" s="1"/>
  <c r="U32" i="61"/>
  <c r="U33" i="61" s="1"/>
  <c r="U34" i="61" s="1"/>
  <c r="U35" i="61" s="1"/>
  <c r="U36" i="61" s="1"/>
  <c r="U37" i="61" s="1"/>
  <c r="U38" i="61" s="1"/>
  <c r="U39" i="61" s="1"/>
  <c r="U40" i="61" s="1"/>
  <c r="U41" i="61" s="1"/>
  <c r="Y41" i="61" s="1"/>
  <c r="AG41" i="61" s="1"/>
  <c r="V13" i="61"/>
  <c r="AS33" i="61"/>
  <c r="O46" i="60" s="1"/>
  <c r="AS40" i="61"/>
  <c r="O53" i="60" s="1"/>
  <c r="AS37" i="61"/>
  <c r="O50" i="60" s="1"/>
  <c r="AS38" i="61"/>
  <c r="O51" i="60" s="1"/>
  <c r="AS58" i="61"/>
  <c r="O71" i="60" s="1"/>
  <c r="AS92" i="61"/>
  <c r="O105" i="60" s="1"/>
  <c r="AS90" i="61"/>
  <c r="O103" i="60" s="1"/>
  <c r="AS78" i="61"/>
  <c r="O91" i="60" s="1"/>
  <c r="AS53" i="61"/>
  <c r="O66" i="60" s="1"/>
  <c r="AS73" i="61"/>
  <c r="O86" i="60" s="1"/>
  <c r="AS71" i="61"/>
  <c r="O84" i="60" s="1"/>
  <c r="AS35" i="61"/>
  <c r="O48" i="60" s="1"/>
  <c r="AS75" i="61"/>
  <c r="O88" i="60" s="1"/>
  <c r="AS89" i="61"/>
  <c r="O102" i="60" s="1"/>
  <c r="AS32" i="61"/>
  <c r="O45" i="60" s="1"/>
  <c r="AS91" i="61"/>
  <c r="O104" i="60" s="1"/>
  <c r="AS34" i="61"/>
  <c r="O47" i="60" s="1"/>
  <c r="AS54" i="61"/>
  <c r="O67" i="60" s="1"/>
  <c r="AS96" i="61"/>
  <c r="O109" i="60" s="1"/>
  <c r="AS94" i="61"/>
  <c r="O107" i="60" s="1"/>
  <c r="AS36" i="61"/>
  <c r="O49" i="60" s="1"/>
  <c r="AS59" i="61"/>
  <c r="O72" i="60" s="1"/>
  <c r="AS41" i="61"/>
  <c r="O54" i="60" s="1"/>
  <c r="AS55" i="61"/>
  <c r="O68" i="60" s="1"/>
  <c r="AS57" i="61"/>
  <c r="O70" i="60" s="1"/>
  <c r="AS77" i="61"/>
  <c r="O90" i="60" s="1"/>
  <c r="AS52" i="61"/>
  <c r="O65" i="60" s="1"/>
  <c r="AS79" i="61"/>
  <c r="O92" i="60" s="1"/>
  <c r="AS56" i="61"/>
  <c r="O69" i="60" s="1"/>
  <c r="AS98" i="61"/>
  <c r="O111" i="60" s="1"/>
  <c r="AS74" i="61"/>
  <c r="O87" i="60" s="1"/>
  <c r="AS76" i="61"/>
  <c r="O89" i="60" s="1"/>
  <c r="AS97" i="61"/>
  <c r="O110" i="60" s="1"/>
  <c r="AS95" i="61"/>
  <c r="O108" i="60" s="1"/>
  <c r="AS72" i="61"/>
  <c r="O85" i="60" s="1"/>
  <c r="Z100" i="71"/>
  <c r="Z76" i="71"/>
  <c r="Z103" i="71"/>
  <c r="Z134" i="71"/>
  <c r="F44" i="71"/>
  <c r="G44" i="71" s="1"/>
  <c r="Z112" i="71"/>
  <c r="Z55" i="71"/>
  <c r="AA55" i="71" s="1"/>
  <c r="Z81" i="71"/>
  <c r="Z19" i="71"/>
  <c r="AE19" i="71" s="1"/>
  <c r="Z85" i="71"/>
  <c r="Z130" i="71"/>
  <c r="Z66" i="71"/>
  <c r="AC66" i="71" s="1"/>
  <c r="Z110" i="71"/>
  <c r="Z141" i="71"/>
  <c r="Z57" i="71"/>
  <c r="AA57" i="71" s="1"/>
  <c r="Z53" i="71"/>
  <c r="AB53" i="71" s="1"/>
  <c r="Z29" i="71"/>
  <c r="AC29" i="71" s="1"/>
  <c r="Z79" i="71"/>
  <c r="Z109" i="71"/>
  <c r="Z147" i="71"/>
  <c r="Z139" i="71"/>
  <c r="Z153" i="71"/>
  <c r="Z45" i="71"/>
  <c r="AA45" i="71" s="1"/>
  <c r="Z131" i="71"/>
  <c r="Z52" i="71"/>
  <c r="AA52" i="71" s="1"/>
  <c r="Z61" i="71"/>
  <c r="AE61" i="71" s="1"/>
  <c r="Z20" i="71"/>
  <c r="AA20" i="71" s="1"/>
  <c r="Z71" i="71"/>
  <c r="AA71" i="71" s="1"/>
  <c r="Z21" i="71"/>
  <c r="AB21" i="71" s="1"/>
  <c r="Z33" i="71"/>
  <c r="AB33" i="71" s="1"/>
  <c r="Z126" i="71"/>
  <c r="Z59" i="71"/>
  <c r="AE59" i="71" s="1"/>
  <c r="Z105" i="71"/>
  <c r="Z5" i="71"/>
  <c r="AD5" i="71" s="1"/>
  <c r="Z102" i="71"/>
  <c r="Z47" i="71"/>
  <c r="AE47" i="71" s="1"/>
  <c r="Z16" i="71"/>
  <c r="AD16" i="71" s="1"/>
  <c r="Z67" i="71"/>
  <c r="AD67" i="71" s="1"/>
  <c r="Z90" i="71"/>
  <c r="Z35" i="71"/>
  <c r="AD35" i="71" s="1"/>
  <c r="Z157" i="71"/>
  <c r="Z88" i="71"/>
  <c r="Z78" i="71"/>
  <c r="Z23" i="71"/>
  <c r="AA23" i="71" s="1"/>
  <c r="Z82" i="71"/>
  <c r="Z73" i="71"/>
  <c r="AB73" i="71" s="1"/>
  <c r="Z159" i="71"/>
  <c r="Z127" i="71"/>
  <c r="Z163" i="71"/>
  <c r="Z44" i="71"/>
  <c r="AC44" i="71" s="1"/>
  <c r="Z158" i="71"/>
  <c r="Z7" i="71"/>
  <c r="AB7" i="71" s="1"/>
  <c r="Z124" i="71"/>
  <c r="Z32" i="71"/>
  <c r="AA32" i="71" s="1"/>
  <c r="Z146" i="71"/>
  <c r="Y31" i="61"/>
  <c r="AG31" i="61" s="1"/>
  <c r="X31" i="61"/>
  <c r="W31" i="61"/>
  <c r="V31" i="61"/>
  <c r="V47" i="61"/>
  <c r="Y49" i="61"/>
  <c r="AG49" i="61" s="1"/>
  <c r="X49" i="61"/>
  <c r="W49" i="61"/>
  <c r="V49" i="61"/>
  <c r="X18" i="61"/>
  <c r="Y72" i="61"/>
  <c r="AG72" i="61" s="1"/>
  <c r="V72" i="61"/>
  <c r="Y69" i="61"/>
  <c r="AG69" i="61" s="1"/>
  <c r="X69" i="61"/>
  <c r="W69" i="61"/>
  <c r="V69" i="61"/>
  <c r="Y83" i="61"/>
  <c r="AG83" i="61" s="1"/>
  <c r="X83" i="61"/>
  <c r="W83" i="61"/>
  <c r="V83" i="61"/>
  <c r="X84" i="61"/>
  <c r="W84" i="61"/>
  <c r="V84" i="61"/>
  <c r="V8" i="61"/>
  <c r="W8" i="61"/>
  <c r="X8" i="61"/>
  <c r="Y8" i="61"/>
  <c r="AG8" i="61" s="1"/>
  <c r="Y64" i="61"/>
  <c r="AG64" i="61" s="1"/>
  <c r="X64" i="61"/>
  <c r="W64" i="61"/>
  <c r="V64" i="61"/>
  <c r="Y10" i="61"/>
  <c r="AG10" i="61" s="1"/>
  <c r="V33" i="61"/>
  <c r="V15" i="61"/>
  <c r="Y68" i="61"/>
  <c r="AG68" i="61" s="1"/>
  <c r="X68" i="61"/>
  <c r="W68" i="61"/>
  <c r="V68" i="61"/>
  <c r="Y30" i="61"/>
  <c r="AG30" i="61" s="1"/>
  <c r="X30" i="61"/>
  <c r="W30" i="61"/>
  <c r="V30" i="61"/>
  <c r="Y45" i="61"/>
  <c r="AG45" i="61" s="1"/>
  <c r="X45" i="61"/>
  <c r="W45" i="61"/>
  <c r="V45" i="61"/>
  <c r="Y38" i="61"/>
  <c r="AG38" i="61" s="1"/>
  <c r="X13" i="61"/>
  <c r="W50" i="61"/>
  <c r="V50" i="61"/>
  <c r="Y65" i="61"/>
  <c r="AG65" i="61" s="1"/>
  <c r="X65" i="61"/>
  <c r="W65" i="61"/>
  <c r="V65" i="61"/>
  <c r="X9" i="61"/>
  <c r="Y9" i="61"/>
  <c r="AG9" i="61" s="1"/>
  <c r="Y85" i="61"/>
  <c r="AG85" i="61" s="1"/>
  <c r="X85" i="61"/>
  <c r="W85" i="61"/>
  <c r="V85" i="61"/>
  <c r="Y75" i="61"/>
  <c r="AG75" i="61" s="1"/>
  <c r="X14" i="61"/>
  <c r="Y87" i="61"/>
  <c r="AG87" i="61" s="1"/>
  <c r="X87" i="61"/>
  <c r="W87" i="61"/>
  <c r="V87" i="61"/>
  <c r="Y29" i="61"/>
  <c r="AG29" i="61" s="1"/>
  <c r="X29" i="61"/>
  <c r="W29" i="61"/>
  <c r="V29" i="61"/>
  <c r="Y71" i="61"/>
  <c r="AG71" i="61" s="1"/>
  <c r="X71" i="61"/>
  <c r="Z70" i="71"/>
  <c r="Z94" i="71"/>
  <c r="Z58" i="71"/>
  <c r="AA58" i="71" s="1"/>
  <c r="Z10" i="71"/>
  <c r="Z101" i="71"/>
  <c r="Z14" i="71"/>
  <c r="AE14" i="71" s="1"/>
  <c r="Y77" i="61"/>
  <c r="AG77" i="61" s="1"/>
  <c r="Y46" i="61"/>
  <c r="AG46" i="61" s="1"/>
  <c r="X46" i="61"/>
  <c r="W46" i="61"/>
  <c r="V46" i="61"/>
  <c r="W93" i="61"/>
  <c r="Y36" i="61"/>
  <c r="AG36" i="61" s="1"/>
  <c r="Z43" i="71"/>
  <c r="AB43" i="71" s="1"/>
  <c r="Z37" i="71"/>
  <c r="AB37" i="71" s="1"/>
  <c r="Z31" i="71"/>
  <c r="AE31" i="71" s="1"/>
  <c r="Z140" i="71"/>
  <c r="Z89" i="71"/>
  <c r="Z25" i="71"/>
  <c r="AB25" i="71" s="1"/>
  <c r="Y66" i="61"/>
  <c r="AG66" i="61" s="1"/>
  <c r="V66" i="61"/>
  <c r="Y67" i="61"/>
  <c r="AG67" i="61" s="1"/>
  <c r="X67" i="61"/>
  <c r="W67" i="61"/>
  <c r="V67" i="61"/>
  <c r="Y48" i="61"/>
  <c r="AG48" i="61" s="1"/>
  <c r="X48" i="61"/>
  <c r="W48" i="61"/>
  <c r="V48" i="61"/>
  <c r="Y88" i="61"/>
  <c r="AG88" i="61" s="1"/>
  <c r="X88" i="61"/>
  <c r="W88" i="61"/>
  <c r="V88" i="61"/>
  <c r="Z9" i="71"/>
  <c r="Z148" i="71"/>
  <c r="Z142" i="71"/>
  <c r="Z128" i="71"/>
  <c r="Z77" i="71"/>
  <c r="Z13" i="71"/>
  <c r="AD13" i="71" s="1"/>
  <c r="W92" i="61"/>
  <c r="V39" i="61"/>
  <c r="Y27" i="61"/>
  <c r="AG27" i="61" s="1"/>
  <c r="X27" i="61"/>
  <c r="W27" i="61"/>
  <c r="V27" i="61"/>
  <c r="Y86" i="61"/>
  <c r="AG86" i="61" s="1"/>
  <c r="X86" i="61"/>
  <c r="W86" i="61"/>
  <c r="V86" i="61"/>
  <c r="Y28" i="61"/>
  <c r="AG28" i="61" s="1"/>
  <c r="X28" i="61"/>
  <c r="W28" i="61"/>
  <c r="V28" i="61"/>
  <c r="W11" i="61"/>
  <c r="X11" i="61"/>
  <c r="Y11" i="61"/>
  <c r="AG11" i="61" s="1"/>
  <c r="V12" i="61"/>
  <c r="W12" i="61"/>
  <c r="X12" i="61"/>
  <c r="Y12" i="61"/>
  <c r="AG12" i="61" s="1"/>
  <c r="Y26" i="61"/>
  <c r="AG26" i="61" s="1"/>
  <c r="X26" i="61"/>
  <c r="W26" i="61"/>
  <c r="V26" i="61"/>
  <c r="Z154" i="71"/>
  <c r="Z91" i="71"/>
  <c r="Z115" i="71"/>
  <c r="Z104" i="71"/>
  <c r="Z65" i="71"/>
  <c r="AA65" i="71" s="1"/>
  <c r="Z144" i="71"/>
  <c r="Z92" i="71"/>
  <c r="Z54" i="71"/>
  <c r="AE54" i="71" s="1"/>
  <c r="Z87" i="71"/>
  <c r="Z120" i="71"/>
  <c r="Z97" i="71"/>
  <c r="Z151" i="71"/>
  <c r="Z121" i="71"/>
  <c r="Z136" i="71"/>
  <c r="Z80" i="71"/>
  <c r="Z42" i="71"/>
  <c r="AB42" i="71" s="1"/>
  <c r="Z75" i="71"/>
  <c r="Z108" i="71"/>
  <c r="AK65" i="61"/>
  <c r="AK66" i="61" s="1"/>
  <c r="Z106" i="71"/>
  <c r="Z69" i="71"/>
  <c r="AC69" i="71" s="1"/>
  <c r="Z93" i="71"/>
  <c r="Z34" i="71"/>
  <c r="AA34" i="71" s="1"/>
  <c r="Z46" i="71"/>
  <c r="AB46" i="71" s="1"/>
  <c r="Z68" i="71"/>
  <c r="Z30" i="71"/>
  <c r="Z39" i="71"/>
  <c r="AD39" i="71" s="1"/>
  <c r="Z84" i="71"/>
  <c r="Z49" i="71"/>
  <c r="AC49" i="71" s="1"/>
  <c r="Z40" i="71"/>
  <c r="AC40" i="71" s="1"/>
  <c r="Z64" i="71"/>
  <c r="Z145" i="71"/>
  <c r="Z160" i="71"/>
  <c r="Z56" i="71"/>
  <c r="Z6" i="71"/>
  <c r="AB6" i="71" s="1"/>
  <c r="Z15" i="71"/>
  <c r="AD15" i="71" s="1"/>
  <c r="Z60" i="71"/>
  <c r="AK27" i="61"/>
  <c r="Z164" i="71"/>
  <c r="AA164" i="64" s="1"/>
  <c r="Z8" i="71"/>
  <c r="AA8" i="71" s="1"/>
  <c r="Z149" i="71"/>
  <c r="Z135" i="71"/>
  <c r="Z98" i="71"/>
  <c r="Z48" i="71"/>
  <c r="AD48" i="71" s="1"/>
  <c r="AK84" i="61"/>
  <c r="Z28" i="71"/>
  <c r="AC28" i="71" s="1"/>
  <c r="Z152" i="71"/>
  <c r="Z150" i="71"/>
  <c r="Z137" i="71"/>
  <c r="Z123" i="71"/>
  <c r="Z86" i="71"/>
  <c r="Z24" i="71"/>
  <c r="AE24" i="71" s="1"/>
  <c r="Z125" i="71"/>
  <c r="Z111" i="71"/>
  <c r="Z74" i="71"/>
  <c r="Z12" i="71"/>
  <c r="AK46" i="61"/>
  <c r="Z114" i="71"/>
  <c r="Z113" i="71"/>
  <c r="Z99" i="71"/>
  <c r="Z50" i="71"/>
  <c r="Z155" i="71"/>
  <c r="Z63" i="71"/>
  <c r="Z26" i="71"/>
  <c r="AA26" i="71" s="1"/>
  <c r="Z36" i="71"/>
  <c r="AD36" i="71" s="1"/>
  <c r="Z11" i="71"/>
  <c r="AC11" i="71" s="1"/>
  <c r="Z156" i="71"/>
  <c r="Z143" i="71"/>
  <c r="Z122" i="71"/>
  <c r="Z132" i="71"/>
  <c r="Z95" i="71"/>
  <c r="BJ12" i="61"/>
  <c r="BJ11" i="61"/>
  <c r="Z119" i="71"/>
  <c r="Z162" i="71"/>
  <c r="Z18" i="71"/>
  <c r="AC18" i="71" s="1"/>
  <c r="Z41" i="71"/>
  <c r="AD41" i="71" s="1"/>
  <c r="Z51" i="71"/>
  <c r="AE51" i="71" s="1"/>
  <c r="Z62" i="71"/>
  <c r="AA62" i="71" s="1"/>
  <c r="Z96" i="71"/>
  <c r="Z107" i="71"/>
  <c r="Z129" i="71"/>
  <c r="Z22" i="71"/>
  <c r="Z118" i="71"/>
  <c r="Z117" i="71"/>
  <c r="Z133" i="71"/>
  <c r="Z116" i="71"/>
  <c r="Z138" i="71"/>
  <c r="Z161" i="71"/>
  <c r="Z17" i="71"/>
  <c r="AE17" i="71" s="1"/>
  <c r="Z27" i="71"/>
  <c r="AB27" i="71" s="1"/>
  <c r="Z38" i="71"/>
  <c r="AD38" i="71" s="1"/>
  <c r="Z72" i="71"/>
  <c r="AA83" i="71"/>
  <c r="AB83" i="71"/>
  <c r="AD83" i="71"/>
  <c r="AE83" i="71"/>
  <c r="AC83" i="71"/>
  <c r="AS15" i="71"/>
  <c r="AS27" i="71"/>
  <c r="AS39" i="71"/>
  <c r="AS51" i="71"/>
  <c r="AS63" i="71"/>
  <c r="AS75" i="71"/>
  <c r="AS87" i="71"/>
  <c r="AS99" i="71"/>
  <c r="AS111" i="71"/>
  <c r="AS123" i="71"/>
  <c r="AS135" i="71"/>
  <c r="AS147" i="71"/>
  <c r="AS159" i="71"/>
  <c r="AS16" i="71"/>
  <c r="AS28" i="71"/>
  <c r="AS40" i="71"/>
  <c r="AS52" i="71"/>
  <c r="AS64" i="71"/>
  <c r="AS76" i="71"/>
  <c r="AS88" i="71"/>
  <c r="AS100" i="71"/>
  <c r="AS112" i="71"/>
  <c r="AS124" i="71"/>
  <c r="AS136" i="71"/>
  <c r="AS148" i="71"/>
  <c r="AS160" i="71"/>
  <c r="AS17" i="71"/>
  <c r="AS29" i="71"/>
  <c r="AS41" i="71"/>
  <c r="AS53" i="71"/>
  <c r="AS65" i="71"/>
  <c r="AS77" i="71"/>
  <c r="AS89" i="71"/>
  <c r="AS101" i="71"/>
  <c r="AS113" i="71"/>
  <c r="AS125" i="71"/>
  <c r="AS137" i="71"/>
  <c r="AS149" i="71"/>
  <c r="AS161" i="71"/>
  <c r="AS6" i="71"/>
  <c r="AS18" i="71"/>
  <c r="AS30" i="71"/>
  <c r="AS42" i="71"/>
  <c r="AS54" i="71"/>
  <c r="AS66" i="71"/>
  <c r="AS78" i="71"/>
  <c r="AS90" i="71"/>
  <c r="AS102" i="71"/>
  <c r="AS114" i="71"/>
  <c r="AS126" i="71"/>
  <c r="AS138" i="71"/>
  <c r="AS150" i="71"/>
  <c r="AS162" i="71"/>
  <c r="AS7" i="71"/>
  <c r="AS19" i="71"/>
  <c r="AS31" i="71"/>
  <c r="AS43" i="71"/>
  <c r="AS55" i="71"/>
  <c r="AS67" i="71"/>
  <c r="AS79" i="71"/>
  <c r="AS91" i="71"/>
  <c r="AS103" i="71"/>
  <c r="AS115" i="71"/>
  <c r="AS127" i="71"/>
  <c r="AS139" i="71"/>
  <c r="AS151" i="71"/>
  <c r="AS163" i="71"/>
  <c r="AS9" i="71"/>
  <c r="AS21" i="71"/>
  <c r="AS33" i="71"/>
  <c r="AS45" i="71"/>
  <c r="AS57" i="71"/>
  <c r="AS69" i="71"/>
  <c r="AS81" i="71"/>
  <c r="AS93" i="71"/>
  <c r="AS105" i="71"/>
  <c r="AS117" i="71"/>
  <c r="AS129" i="71"/>
  <c r="AS141" i="71"/>
  <c r="AS153" i="71"/>
  <c r="AS5" i="71"/>
  <c r="AS10" i="71"/>
  <c r="AS22" i="71"/>
  <c r="AS34" i="71"/>
  <c r="AS46" i="71"/>
  <c r="AS58" i="71"/>
  <c r="AS70" i="71"/>
  <c r="AS82" i="71"/>
  <c r="AS94" i="71"/>
  <c r="AS106" i="71"/>
  <c r="AS118" i="71"/>
  <c r="AS130" i="71"/>
  <c r="AS142" i="71"/>
  <c r="AS154" i="71"/>
  <c r="AS12" i="71"/>
  <c r="AS24" i="71"/>
  <c r="AS36" i="71"/>
  <c r="AS48" i="71"/>
  <c r="AS60" i="71"/>
  <c r="AS72" i="71"/>
  <c r="AS84" i="71"/>
  <c r="AS96" i="71"/>
  <c r="AS108" i="71"/>
  <c r="AS120" i="71"/>
  <c r="AS132" i="71"/>
  <c r="AS144" i="71"/>
  <c r="AS156" i="71"/>
  <c r="AS26" i="71"/>
  <c r="AS62" i="71"/>
  <c r="AS98" i="71"/>
  <c r="AS134" i="71"/>
  <c r="AS104" i="71"/>
  <c r="AS140" i="71"/>
  <c r="AS37" i="71"/>
  <c r="AS110" i="71"/>
  <c r="AS8" i="71"/>
  <c r="AS44" i="71"/>
  <c r="AS80" i="71"/>
  <c r="AS116" i="71"/>
  <c r="AS152" i="71"/>
  <c r="AS11" i="71"/>
  <c r="AS47" i="71"/>
  <c r="AS83" i="71"/>
  <c r="AS119" i="71"/>
  <c r="AS155" i="71"/>
  <c r="AS50" i="71"/>
  <c r="AS20" i="71"/>
  <c r="AS128" i="71"/>
  <c r="AS32" i="71"/>
  <c r="AS71" i="71"/>
  <c r="AS73" i="71"/>
  <c r="AS74" i="71"/>
  <c r="AS13" i="71"/>
  <c r="AS49" i="71"/>
  <c r="AS85" i="71"/>
  <c r="AS121" i="71"/>
  <c r="AS157" i="71"/>
  <c r="AS14" i="71"/>
  <c r="AS86" i="71"/>
  <c r="AS122" i="71"/>
  <c r="AS158" i="71"/>
  <c r="AS56" i="71"/>
  <c r="AS92" i="71"/>
  <c r="AS164" i="71"/>
  <c r="AS35" i="71"/>
  <c r="AS107" i="71"/>
  <c r="AS145" i="71"/>
  <c r="AS23" i="71"/>
  <c r="AS59" i="71"/>
  <c r="AS95" i="71"/>
  <c r="AS131" i="71"/>
  <c r="AS25" i="71"/>
  <c r="AS61" i="71"/>
  <c r="AS97" i="71"/>
  <c r="AS133" i="71"/>
  <c r="AS68" i="71"/>
  <c r="AS143" i="71"/>
  <c r="AS109" i="71"/>
  <c r="AS38" i="71"/>
  <c r="AS146" i="71"/>
  <c r="F43" i="71"/>
  <c r="G43" i="71" s="1"/>
  <c r="W9" i="61"/>
  <c r="V9" i="61"/>
  <c r="Y47" i="61"/>
  <c r="AG47" i="61" s="1"/>
  <c r="W47" i="61"/>
  <c r="X47" i="61"/>
  <c r="X17" i="61"/>
  <c r="Y37" i="61"/>
  <c r="AG37" i="61" s="1"/>
  <c r="X72" i="61"/>
  <c r="Y84" i="61"/>
  <c r="AG84" i="61" s="1"/>
  <c r="X66" i="61"/>
  <c r="W66" i="61"/>
  <c r="Y50" i="61"/>
  <c r="AG50" i="61" s="1"/>
  <c r="X50" i="61"/>
  <c r="W10" i="61"/>
  <c r="V10" i="61"/>
  <c r="X10" i="61"/>
  <c r="Y39" i="61"/>
  <c r="AG39" i="61" s="1"/>
  <c r="V11" i="61"/>
  <c r="AT84" i="71"/>
  <c r="AT133" i="71"/>
  <c r="AT160" i="71"/>
  <c r="AT103" i="71"/>
  <c r="AT71" i="71"/>
  <c r="AT21" i="71"/>
  <c r="AT106" i="71"/>
  <c r="AT44" i="71"/>
  <c r="AT127" i="71"/>
  <c r="AT128" i="71"/>
  <c r="AT16" i="71"/>
  <c r="AT156" i="71"/>
  <c r="AT66" i="71"/>
  <c r="AT62" i="71"/>
  <c r="AT138" i="71"/>
  <c r="AT91" i="71"/>
  <c r="AT81" i="71"/>
  <c r="AT135" i="71"/>
  <c r="AT60" i="71"/>
  <c r="AT67" i="71"/>
  <c r="AT117" i="71"/>
  <c r="AT126" i="71"/>
  <c r="AT111" i="71"/>
  <c r="AT148" i="71"/>
  <c r="AT89" i="71"/>
  <c r="AT18" i="71"/>
  <c r="AT139" i="71"/>
  <c r="AT5" i="71"/>
  <c r="AT36" i="71"/>
  <c r="AT132" i="71"/>
  <c r="AT140" i="71"/>
  <c r="AT32" i="71"/>
  <c r="AT157" i="71"/>
  <c r="AT61" i="71"/>
  <c r="AT98" i="71"/>
  <c r="AT112" i="71"/>
  <c r="AT76" i="71"/>
  <c r="AT20" i="71"/>
  <c r="AT55" i="71"/>
  <c r="AT39" i="71"/>
  <c r="AT101" i="71"/>
  <c r="AT129" i="71"/>
  <c r="AT152" i="71"/>
  <c r="AT47" i="71"/>
  <c r="AT149" i="71"/>
  <c r="AT99" i="71"/>
  <c r="AT45" i="71"/>
  <c r="AT94" i="71"/>
  <c r="AT65" i="71"/>
  <c r="AT43" i="71"/>
  <c r="AT80" i="71"/>
  <c r="AT56" i="71"/>
  <c r="AT33" i="71"/>
  <c r="AT124" i="71"/>
  <c r="AT97" i="71"/>
  <c r="AT146" i="71"/>
  <c r="AT118" i="71"/>
  <c r="AT86" i="71"/>
  <c r="AT73" i="71"/>
  <c r="AT10" i="71"/>
  <c r="AT49" i="71"/>
  <c r="AT87" i="71"/>
  <c r="AT17" i="71"/>
  <c r="AT22" i="71"/>
  <c r="AT48" i="71"/>
  <c r="AT19" i="71"/>
  <c r="AT14" i="71"/>
  <c r="AT46" i="71"/>
  <c r="AT162" i="71"/>
  <c r="AT27" i="71"/>
  <c r="AT131" i="71"/>
  <c r="AT12" i="71"/>
  <c r="AT163" i="71"/>
  <c r="AT125" i="71"/>
  <c r="AT54" i="71"/>
  <c r="AT150" i="71"/>
  <c r="AT26" i="71"/>
  <c r="AT122" i="71"/>
  <c r="AT23" i="71"/>
  <c r="AJ22" i="61"/>
  <c r="AT64" i="71"/>
  <c r="AT11" i="71"/>
  <c r="AT78" i="71"/>
  <c r="AT92" i="71"/>
  <c r="AT123" i="71"/>
  <c r="AT110" i="71"/>
  <c r="AT109" i="71"/>
  <c r="AT63" i="71"/>
  <c r="AT41" i="71"/>
  <c r="AT155" i="71"/>
  <c r="AT59" i="71"/>
  <c r="AT113" i="71"/>
  <c r="AT107" i="71"/>
  <c r="AT42" i="71"/>
  <c r="AT164" i="71"/>
  <c r="AT158" i="71"/>
  <c r="AT154" i="71"/>
  <c r="AT6" i="71"/>
  <c r="AT108" i="71"/>
  <c r="AT141" i="71"/>
  <c r="AT58" i="71"/>
  <c r="AT116" i="71"/>
  <c r="AT142" i="71"/>
  <c r="AT144" i="71"/>
  <c r="AT90" i="71"/>
  <c r="AT52" i="71"/>
  <c r="X77" i="61" l="1"/>
  <c r="X74" i="61"/>
  <c r="X76" i="61"/>
  <c r="X70" i="61"/>
  <c r="X73" i="61"/>
  <c r="V40" i="61"/>
  <c r="W96" i="61"/>
  <c r="V34" i="61"/>
  <c r="W34" i="61"/>
  <c r="W32" i="61"/>
  <c r="X75" i="61"/>
  <c r="X78" i="61"/>
  <c r="X89" i="61"/>
  <c r="W73" i="61"/>
  <c r="W72" i="61"/>
  <c r="W74" i="61"/>
  <c r="W77" i="61"/>
  <c r="W76" i="61"/>
  <c r="Y51" i="61"/>
  <c r="AG51" i="61" s="1"/>
  <c r="H64" i="60" s="1"/>
  <c r="AA163" i="64"/>
  <c r="AA162" i="64" s="1"/>
  <c r="AA161" i="64" s="1"/>
  <c r="AA160" i="64" s="1"/>
  <c r="AA159" i="64" s="1"/>
  <c r="AA158" i="64" s="1"/>
  <c r="AA157" i="64" s="1"/>
  <c r="AA156" i="64" s="1"/>
  <c r="AA155" i="64" s="1"/>
  <c r="AA154" i="64" s="1"/>
  <c r="Y56" i="61"/>
  <c r="AG56" i="61" s="1"/>
  <c r="H69" i="60" s="1"/>
  <c r="Y52" i="61"/>
  <c r="AG52" i="61" s="1"/>
  <c r="W33" i="61"/>
  <c r="Y54" i="61"/>
  <c r="AG54" i="61" s="1"/>
  <c r="X33" i="61"/>
  <c r="Y20" i="61"/>
  <c r="AG20" i="61" s="1"/>
  <c r="H33" i="60" s="1"/>
  <c r="W18" i="61"/>
  <c r="V38" i="61"/>
  <c r="V90" i="61"/>
  <c r="V37" i="61"/>
  <c r="D17" i="64"/>
  <c r="I16" i="64"/>
  <c r="X39" i="61"/>
  <c r="W37" i="61"/>
  <c r="W17" i="61"/>
  <c r="Y53" i="61"/>
  <c r="AG53" i="61" s="1"/>
  <c r="H66" i="60" s="1"/>
  <c r="W38" i="61"/>
  <c r="V35" i="61"/>
  <c r="W19" i="61"/>
  <c r="W36" i="61"/>
  <c r="V92" i="61"/>
  <c r="V32" i="61"/>
  <c r="V36" i="61"/>
  <c r="V53" i="61"/>
  <c r="V59" i="61"/>
  <c r="X51" i="61"/>
  <c r="W21" i="61"/>
  <c r="Y16" i="61"/>
  <c r="AG16" i="61" s="1"/>
  <c r="H29" i="60" s="1"/>
  <c r="X94" i="61"/>
  <c r="V51" i="61"/>
  <c r="X35" i="61"/>
  <c r="V55" i="61"/>
  <c r="X34" i="61"/>
  <c r="V54" i="61"/>
  <c r="V73" i="61"/>
  <c r="V56" i="61"/>
  <c r="X20" i="61"/>
  <c r="W90" i="61"/>
  <c r="Y35" i="61"/>
  <c r="AG35" i="61" s="1"/>
  <c r="H48" i="60" s="1"/>
  <c r="X55" i="61"/>
  <c r="X97" i="61"/>
  <c r="W91" i="61"/>
  <c r="X59" i="61"/>
  <c r="X91" i="61"/>
  <c r="X58" i="61"/>
  <c r="W95" i="61"/>
  <c r="W94" i="61"/>
  <c r="V57" i="61"/>
  <c r="V52" i="61"/>
  <c r="V74" i="61"/>
  <c r="V77" i="61"/>
  <c r="X54" i="61"/>
  <c r="Y17" i="61"/>
  <c r="AG17" i="61" s="1"/>
  <c r="H30" i="60" s="1"/>
  <c r="X15" i="61"/>
  <c r="X57" i="61"/>
  <c r="X40" i="61"/>
  <c r="X52" i="61"/>
  <c r="V93" i="61"/>
  <c r="V96" i="61"/>
  <c r="X16" i="61"/>
  <c r="V70" i="61"/>
  <c r="V97" i="61"/>
  <c r="W15" i="61"/>
  <c r="X96" i="61"/>
  <c r="X90" i="61"/>
  <c r="X95" i="61"/>
  <c r="Y14" i="61"/>
  <c r="AG14" i="61" s="1"/>
  <c r="H27" i="60" s="1"/>
  <c r="X56" i="61"/>
  <c r="X53" i="61"/>
  <c r="X19" i="61"/>
  <c r="V89" i="61"/>
  <c r="X32" i="61"/>
  <c r="V94" i="61"/>
  <c r="V78" i="61"/>
  <c r="Y13" i="61"/>
  <c r="AG13" i="61" s="1"/>
  <c r="H26" i="60" s="1"/>
  <c r="W89" i="61"/>
  <c r="X37" i="61"/>
  <c r="X92" i="61"/>
  <c r="X36" i="61"/>
  <c r="V58" i="61"/>
  <c r="V71" i="61"/>
  <c r="V75" i="61"/>
  <c r="W20" i="61"/>
  <c r="Y94" i="61"/>
  <c r="AG94" i="61" s="1"/>
  <c r="H107" i="60" s="1"/>
  <c r="V20" i="61"/>
  <c r="Y96" i="61"/>
  <c r="AG96" i="61" s="1"/>
  <c r="V19" i="61"/>
  <c r="Y97" i="61"/>
  <c r="AG97" i="61" s="1"/>
  <c r="V14" i="61"/>
  <c r="V17" i="61"/>
  <c r="Y95" i="61"/>
  <c r="AG95" i="61" s="1"/>
  <c r="Y91" i="61"/>
  <c r="AG91" i="61" s="1"/>
  <c r="H104" i="60" s="1"/>
  <c r="Y90" i="61"/>
  <c r="AG90" i="61" s="1"/>
  <c r="H103" i="60" s="1"/>
  <c r="Y89" i="61"/>
  <c r="AG89" i="61" s="1"/>
  <c r="H102" i="60" s="1"/>
  <c r="Y93" i="61"/>
  <c r="AG93" i="61" s="1"/>
  <c r="H106" i="60" s="1"/>
  <c r="Y74" i="61"/>
  <c r="AG74" i="61" s="1"/>
  <c r="V91" i="61"/>
  <c r="V95" i="61"/>
  <c r="W75" i="61"/>
  <c r="W78" i="61"/>
  <c r="Y34" i="61"/>
  <c r="AG34" i="61" s="1"/>
  <c r="H47" i="60" s="1"/>
  <c r="W13" i="61"/>
  <c r="Y78" i="61"/>
  <c r="AG78" i="61" s="1"/>
  <c r="H91" i="60" s="1"/>
  <c r="Y21" i="61"/>
  <c r="AG21" i="61" s="1"/>
  <c r="V76" i="61"/>
  <c r="W35" i="61"/>
  <c r="Y73" i="61"/>
  <c r="AG73" i="61" s="1"/>
  <c r="H86" i="60" s="1"/>
  <c r="W16" i="61"/>
  <c r="Y57" i="61"/>
  <c r="AG57" i="61" s="1"/>
  <c r="W40" i="61"/>
  <c r="W39" i="61"/>
  <c r="Y32" i="61"/>
  <c r="AG32" i="61" s="1"/>
  <c r="X93" i="61"/>
  <c r="W14" i="61"/>
  <c r="V16" i="61"/>
  <c r="Y76" i="61"/>
  <c r="AG76" i="61" s="1"/>
  <c r="H89" i="60" s="1"/>
  <c r="Y33" i="61"/>
  <c r="AG33" i="61" s="1"/>
  <c r="H46" i="60" s="1"/>
  <c r="W70" i="61"/>
  <c r="V21" i="61"/>
  <c r="Y55" i="61"/>
  <c r="AG55" i="61" s="1"/>
  <c r="Y40" i="61"/>
  <c r="AG40" i="61" s="1"/>
  <c r="Y92" i="61"/>
  <c r="AG92" i="61" s="1"/>
  <c r="Y58" i="61"/>
  <c r="AG58" i="61" s="1"/>
  <c r="W71" i="61"/>
  <c r="Y19" i="61"/>
  <c r="AG19" i="61" s="1"/>
  <c r="H32" i="60" s="1"/>
  <c r="Y59" i="61"/>
  <c r="AG59" i="61" s="1"/>
  <c r="X38" i="61"/>
  <c r="Y70" i="61"/>
  <c r="AG70" i="61" s="1"/>
  <c r="Y18" i="61"/>
  <c r="AG18" i="61" s="1"/>
  <c r="H31" i="60" s="1"/>
  <c r="W51" i="61"/>
  <c r="V18" i="61"/>
  <c r="W57" i="61"/>
  <c r="W59" i="61"/>
  <c r="W53" i="61"/>
  <c r="W97" i="61"/>
  <c r="X21" i="61"/>
  <c r="Y15" i="61"/>
  <c r="AG15" i="61" s="1"/>
  <c r="H28" i="60" s="1"/>
  <c r="W54" i="61"/>
  <c r="W52" i="61"/>
  <c r="W58" i="61"/>
  <c r="W56" i="61"/>
  <c r="W55" i="61"/>
  <c r="AD61" i="71"/>
  <c r="AE35" i="71"/>
  <c r="AC55" i="71"/>
  <c r="AD55" i="71"/>
  <c r="AE55" i="71"/>
  <c r="AB55" i="71"/>
  <c r="AC78" i="71"/>
  <c r="AA82" i="71"/>
  <c r="AC71" i="71"/>
  <c r="AC79" i="71"/>
  <c r="AB134" i="71"/>
  <c r="AD76" i="71"/>
  <c r="AE126" i="71"/>
  <c r="AE139" i="71"/>
  <c r="AE71" i="71"/>
  <c r="AB14" i="71"/>
  <c r="AC35" i="71"/>
  <c r="AB35" i="71"/>
  <c r="AA94" i="71"/>
  <c r="AC134" i="71"/>
  <c r="AA7" i="71"/>
  <c r="AC21" i="71"/>
  <c r="AE134" i="71"/>
  <c r="AA53" i="71"/>
  <c r="AA21" i="71"/>
  <c r="AD134" i="71"/>
  <c r="AC53" i="71"/>
  <c r="AC94" i="71"/>
  <c r="AA134" i="71"/>
  <c r="AD71" i="71"/>
  <c r="AD94" i="71"/>
  <c r="AE21" i="71"/>
  <c r="AA35" i="71"/>
  <c r="AB71" i="71"/>
  <c r="AE7" i="71"/>
  <c r="AC43" i="71"/>
  <c r="AD21" i="71"/>
  <c r="AE53" i="71"/>
  <c r="AC88" i="71"/>
  <c r="AA157" i="71"/>
  <c r="AD53" i="71"/>
  <c r="AB94" i="71"/>
  <c r="AB157" i="71"/>
  <c r="AC157" i="71"/>
  <c r="AE94" i="71"/>
  <c r="AC32" i="71"/>
  <c r="AB29" i="71"/>
  <c r="AB110" i="71"/>
  <c r="AE163" i="71"/>
  <c r="AE100" i="71"/>
  <c r="AD100" i="71"/>
  <c r="AC100" i="71"/>
  <c r="AB44" i="71"/>
  <c r="AA125" i="71"/>
  <c r="AC61" i="71"/>
  <c r="AA67" i="71"/>
  <c r="AE161" i="71"/>
  <c r="AB49" i="71"/>
  <c r="AB75" i="71"/>
  <c r="AD141" i="71"/>
  <c r="AA103" i="71"/>
  <c r="AB141" i="71"/>
  <c r="AC149" i="71"/>
  <c r="AB20" i="71"/>
  <c r="AB76" i="71"/>
  <c r="AE20" i="71"/>
  <c r="AC90" i="71"/>
  <c r="AD20" i="71"/>
  <c r="AD103" i="71"/>
  <c r="AC20" i="71"/>
  <c r="AE103" i="71"/>
  <c r="AD105" i="71"/>
  <c r="AC142" i="71"/>
  <c r="AA11" i="71"/>
  <c r="AB111" i="71"/>
  <c r="AE135" i="71"/>
  <c r="AE158" i="71"/>
  <c r="AD57" i="71"/>
  <c r="AE144" i="71"/>
  <c r="AD158" i="71"/>
  <c r="AB57" i="71"/>
  <c r="AC158" i="71"/>
  <c r="AA40" i="71"/>
  <c r="AA156" i="71"/>
  <c r="AE140" i="71"/>
  <c r="AA102" i="71"/>
  <c r="AC102" i="71"/>
  <c r="AB159" i="71"/>
  <c r="AD159" i="71"/>
  <c r="AA41" i="71"/>
  <c r="AC45" i="71"/>
  <c r="AE45" i="71"/>
  <c r="AB45" i="71"/>
  <c r="AD102" i="71"/>
  <c r="AA155" i="71"/>
  <c r="AD45" i="71"/>
  <c r="AA73" i="71"/>
  <c r="AE102" i="71"/>
  <c r="AC155" i="71"/>
  <c r="AC153" i="71"/>
  <c r="AB130" i="71"/>
  <c r="AB153" i="71"/>
  <c r="AE130" i="71"/>
  <c r="AB155" i="71"/>
  <c r="AE121" i="71"/>
  <c r="AA130" i="71"/>
  <c r="AB102" i="71"/>
  <c r="AE155" i="71"/>
  <c r="AE25" i="71"/>
  <c r="AC130" i="71"/>
  <c r="AC123" i="71"/>
  <c r="AD130" i="71"/>
  <c r="AD155" i="71"/>
  <c r="AA159" i="71"/>
  <c r="AE159" i="71"/>
  <c r="AE160" i="71"/>
  <c r="AC159" i="71"/>
  <c r="AD11" i="71"/>
  <c r="AD144" i="71"/>
  <c r="AA135" i="71"/>
  <c r="AB11" i="71"/>
  <c r="AB135" i="71"/>
  <c r="AB103" i="71"/>
  <c r="AA158" i="71"/>
  <c r="AB108" i="71"/>
  <c r="AE57" i="71"/>
  <c r="AB158" i="71"/>
  <c r="AC57" i="71"/>
  <c r="AA111" i="71"/>
  <c r="AD111" i="71"/>
  <c r="AE90" i="71"/>
  <c r="AE111" i="71"/>
  <c r="AD90" i="71"/>
  <c r="AA144" i="71"/>
  <c r="AC111" i="71"/>
  <c r="AA90" i="71"/>
  <c r="AE11" i="71"/>
  <c r="AB144" i="71"/>
  <c r="AB90" i="71"/>
  <c r="AC144" i="71"/>
  <c r="AD73" i="71"/>
  <c r="AC103" i="71"/>
  <c r="AC73" i="71"/>
  <c r="AA153" i="71"/>
  <c r="AE157" i="71"/>
  <c r="AE73" i="71"/>
  <c r="AB154" i="71"/>
  <c r="AD157" i="71"/>
  <c r="AA29" i="71"/>
  <c r="AE85" i="71"/>
  <c r="AB100" i="71"/>
  <c r="AE16" i="71"/>
  <c r="AE29" i="71"/>
  <c r="AD89" i="71"/>
  <c r="AA85" i="71"/>
  <c r="AC5" i="71"/>
  <c r="AK5" i="71" s="1"/>
  <c r="AE48" i="71"/>
  <c r="AD29" i="71"/>
  <c r="AE124" i="71"/>
  <c r="AA89" i="71"/>
  <c r="AD85" i="71"/>
  <c r="AE5" i="71"/>
  <c r="AM5" i="71" s="1"/>
  <c r="AC85" i="71"/>
  <c r="AA5" i="71"/>
  <c r="AI5" i="71" s="1"/>
  <c r="AE89" i="71"/>
  <c r="AB85" i="71"/>
  <c r="AB5" i="71"/>
  <c r="AJ7" i="71" s="1"/>
  <c r="AA100" i="71"/>
  <c r="AB89" i="71"/>
  <c r="AC89" i="71"/>
  <c r="AD153" i="71"/>
  <c r="AE153" i="71"/>
  <c r="AA49" i="71"/>
  <c r="AA44" i="71"/>
  <c r="AE23" i="71"/>
  <c r="AC76" i="71"/>
  <c r="AE67" i="71"/>
  <c r="AE75" i="71"/>
  <c r="AE44" i="71"/>
  <c r="AA76" i="71"/>
  <c r="AB67" i="71"/>
  <c r="AE141" i="71"/>
  <c r="AC75" i="71"/>
  <c r="AE41" i="71"/>
  <c r="AD44" i="71"/>
  <c r="AE81" i="71"/>
  <c r="AE76" i="71"/>
  <c r="AD147" i="71"/>
  <c r="AC67" i="71"/>
  <c r="AB149" i="71"/>
  <c r="AA141" i="71"/>
  <c r="AA75" i="71"/>
  <c r="AC125" i="71"/>
  <c r="AA149" i="71"/>
  <c r="AA161" i="71"/>
  <c r="AC141" i="71"/>
  <c r="AD75" i="71"/>
  <c r="AA36" i="71"/>
  <c r="AE125" i="71"/>
  <c r="AD149" i="71"/>
  <c r="AC161" i="71"/>
  <c r="AB65" i="71"/>
  <c r="AA97" i="71"/>
  <c r="AB123" i="71"/>
  <c r="AC36" i="71"/>
  <c r="AB125" i="71"/>
  <c r="AC59" i="71"/>
  <c r="AB61" i="71"/>
  <c r="AE149" i="71"/>
  <c r="AC133" i="71"/>
  <c r="AE65" i="71"/>
  <c r="AA101" i="71"/>
  <c r="AE123" i="71"/>
  <c r="AB36" i="71"/>
  <c r="AD125" i="71"/>
  <c r="AA61" i="71"/>
  <c r="AB28" i="71"/>
  <c r="AD49" i="71"/>
  <c r="AC65" i="71"/>
  <c r="AA123" i="71"/>
  <c r="AE36" i="71"/>
  <c r="AE49" i="71"/>
  <c r="AD65" i="71"/>
  <c r="AD123" i="71"/>
  <c r="AE34" i="71"/>
  <c r="AE91" i="71"/>
  <c r="AB77" i="71"/>
  <c r="AD6" i="71"/>
  <c r="AL6" i="71" s="1"/>
  <c r="AD59" i="71"/>
  <c r="AE147" i="71"/>
  <c r="AD34" i="71"/>
  <c r="AE6" i="71"/>
  <c r="AD81" i="71"/>
  <c r="AA59" i="71"/>
  <c r="AB147" i="71"/>
  <c r="AC34" i="71"/>
  <c r="AB104" i="71"/>
  <c r="AA6" i="71"/>
  <c r="AA81" i="71"/>
  <c r="AD101" i="71"/>
  <c r="AB59" i="71"/>
  <c r="AC147" i="71"/>
  <c r="AB34" i="71"/>
  <c r="AB18" i="71"/>
  <c r="AA42" i="71"/>
  <c r="AB81" i="71"/>
  <c r="AC23" i="71"/>
  <c r="AB101" i="71"/>
  <c r="AD77" i="71"/>
  <c r="AC97" i="71"/>
  <c r="AC81" i="71"/>
  <c r="AB23" i="71"/>
  <c r="AC101" i="71"/>
  <c r="AC31" i="71"/>
  <c r="AA77" i="71"/>
  <c r="AD23" i="71"/>
  <c r="AE101" i="71"/>
  <c r="AB31" i="71"/>
  <c r="AE77" i="71"/>
  <c r="AD31" i="71"/>
  <c r="AC77" i="71"/>
  <c r="AA31" i="71"/>
  <c r="AC6" i="71"/>
  <c r="AK6" i="71" s="1"/>
  <c r="AA147" i="71"/>
  <c r="AB162" i="71"/>
  <c r="AB39" i="71"/>
  <c r="AE119" i="71"/>
  <c r="AE127" i="71"/>
  <c r="AE145" i="71"/>
  <c r="AB148" i="71"/>
  <c r="AA148" i="71"/>
  <c r="AC124" i="71"/>
  <c r="AB133" i="71"/>
  <c r="AD106" i="71"/>
  <c r="AC54" i="71"/>
  <c r="AA142" i="71"/>
  <c r="AD43" i="71"/>
  <c r="AB58" i="71"/>
  <c r="AB79" i="71"/>
  <c r="AD69" i="71"/>
  <c r="AB32" i="71"/>
  <c r="AB142" i="71"/>
  <c r="AA43" i="71"/>
  <c r="AD58" i="71"/>
  <c r="AE79" i="71"/>
  <c r="AD142" i="71"/>
  <c r="AE43" i="71"/>
  <c r="AE58" i="71"/>
  <c r="AD79" i="71"/>
  <c r="AD87" i="71"/>
  <c r="AC58" i="71"/>
  <c r="AE33" i="71"/>
  <c r="AD33" i="71"/>
  <c r="AE112" i="71"/>
  <c r="AC33" i="71"/>
  <c r="AD160" i="71"/>
  <c r="AD88" i="71"/>
  <c r="AD112" i="71"/>
  <c r="AA33" i="71"/>
  <c r="AB160" i="71"/>
  <c r="AB88" i="71"/>
  <c r="AB112" i="71"/>
  <c r="AC160" i="71"/>
  <c r="AE88" i="71"/>
  <c r="AC112" i="71"/>
  <c r="AD32" i="71"/>
  <c r="AE142" i="71"/>
  <c r="AA160" i="71"/>
  <c r="AA79" i="71"/>
  <c r="AA88" i="71"/>
  <c r="AA112" i="71"/>
  <c r="AD110" i="71"/>
  <c r="AD163" i="71"/>
  <c r="AB16" i="71"/>
  <c r="AB48" i="71"/>
  <c r="AE104" i="71"/>
  <c r="AD133" i="71"/>
  <c r="AD145" i="71"/>
  <c r="AA18" i="71"/>
  <c r="AB54" i="71"/>
  <c r="AB124" i="71"/>
  <c r="AA110" i="71"/>
  <c r="AA163" i="71"/>
  <c r="AB52" i="71"/>
  <c r="AC16" i="71"/>
  <c r="AA104" i="71"/>
  <c r="AA145" i="71"/>
  <c r="AB163" i="71"/>
  <c r="AE52" i="71"/>
  <c r="AE8" i="71"/>
  <c r="AC48" i="71"/>
  <c r="AA133" i="71"/>
  <c r="AB145" i="71"/>
  <c r="AA124" i="71"/>
  <c r="AD52" i="71"/>
  <c r="AD8" i="71"/>
  <c r="AA48" i="71"/>
  <c r="AE133" i="71"/>
  <c r="AE148" i="71"/>
  <c r="AC52" i="71"/>
  <c r="AC8" i="71"/>
  <c r="AE114" i="71"/>
  <c r="AD148" i="71"/>
  <c r="AD24" i="71"/>
  <c r="AB8" i="71"/>
  <c r="AE26" i="71"/>
  <c r="AA24" i="71"/>
  <c r="AC26" i="71"/>
  <c r="AD138" i="71"/>
  <c r="AA84" i="71"/>
  <c r="AC148" i="71"/>
  <c r="AD119" i="71"/>
  <c r="AB24" i="71"/>
  <c r="AD26" i="71"/>
  <c r="AA138" i="71"/>
  <c r="AE84" i="71"/>
  <c r="AC42" i="71"/>
  <c r="AC24" i="71"/>
  <c r="AB26" i="71"/>
  <c r="AE138" i="71"/>
  <c r="AD84" i="71"/>
  <c r="AE18" i="71"/>
  <c r="AE42" i="71"/>
  <c r="AA54" i="71"/>
  <c r="AC110" i="71"/>
  <c r="AA16" i="71"/>
  <c r="AC104" i="71"/>
  <c r="AC138" i="71"/>
  <c r="AB84" i="71"/>
  <c r="AD18" i="71"/>
  <c r="AD42" i="71"/>
  <c r="AD54" i="71"/>
  <c r="AE110" i="71"/>
  <c r="AC163" i="71"/>
  <c r="AD104" i="71"/>
  <c r="AB138" i="71"/>
  <c r="AC84" i="71"/>
  <c r="AC145" i="71"/>
  <c r="AD124" i="71"/>
  <c r="AB66" i="71"/>
  <c r="AD115" i="71"/>
  <c r="AC13" i="71"/>
  <c r="AC47" i="71"/>
  <c r="AA19" i="71"/>
  <c r="AC105" i="71"/>
  <c r="AC116" i="71"/>
  <c r="AC131" i="71"/>
  <c r="AD47" i="71"/>
  <c r="AA116" i="71"/>
  <c r="AB115" i="71"/>
  <c r="AB13" i="71"/>
  <c r="AC19" i="71"/>
  <c r="AA105" i="71"/>
  <c r="AD86" i="71"/>
  <c r="AE66" i="71"/>
  <c r="AD127" i="71"/>
  <c r="AA115" i="71"/>
  <c r="AC140" i="71"/>
  <c r="AA13" i="71"/>
  <c r="AD139" i="71"/>
  <c r="AD19" i="71"/>
  <c r="AC151" i="71"/>
  <c r="AE86" i="71"/>
  <c r="AB127" i="71"/>
  <c r="AC115" i="71"/>
  <c r="AA140" i="71"/>
  <c r="AB139" i="71"/>
  <c r="AB19" i="71"/>
  <c r="AC39" i="71"/>
  <c r="AC127" i="71"/>
  <c r="AE115" i="71"/>
  <c r="AD140" i="71"/>
  <c r="AE82" i="71"/>
  <c r="AA139" i="71"/>
  <c r="AD14" i="71"/>
  <c r="AA127" i="71"/>
  <c r="AB140" i="71"/>
  <c r="AC82" i="71"/>
  <c r="AC139" i="71"/>
  <c r="AC14" i="71"/>
  <c r="AA39" i="71"/>
  <c r="AC164" i="71"/>
  <c r="AD82" i="71"/>
  <c r="AA14" i="71"/>
  <c r="AC162" i="71"/>
  <c r="AE39" i="71"/>
  <c r="AD66" i="71"/>
  <c r="AA164" i="71"/>
  <c r="AB82" i="71"/>
  <c r="AB47" i="71"/>
  <c r="AD116" i="71"/>
  <c r="AD162" i="71"/>
  <c r="AD131" i="71"/>
  <c r="AB131" i="71"/>
  <c r="AA66" i="71"/>
  <c r="AE164" i="71"/>
  <c r="AE13" i="71"/>
  <c r="AA47" i="71"/>
  <c r="AB105" i="71"/>
  <c r="AE116" i="71"/>
  <c r="AE162" i="71"/>
  <c r="AA131" i="71"/>
  <c r="AD164" i="71"/>
  <c r="AA162" i="71"/>
  <c r="AB164" i="71"/>
  <c r="AE105" i="71"/>
  <c r="AB116" i="71"/>
  <c r="AE131" i="71"/>
  <c r="AB97" i="71"/>
  <c r="AE97" i="71"/>
  <c r="AD97" i="71"/>
  <c r="AA78" i="71"/>
  <c r="AB114" i="71"/>
  <c r="AC126" i="71"/>
  <c r="AE78" i="71"/>
  <c r="AD114" i="71"/>
  <c r="AA126" i="71"/>
  <c r="AD132" i="71"/>
  <c r="AD96" i="71"/>
  <c r="AB78" i="71"/>
  <c r="AD126" i="71"/>
  <c r="AE93" i="71"/>
  <c r="AD78" i="71"/>
  <c r="AD109" i="71"/>
  <c r="AE146" i="71"/>
  <c r="AB120" i="71"/>
  <c r="AC129" i="71"/>
  <c r="AB109" i="71"/>
  <c r="AD146" i="71"/>
  <c r="AE109" i="71"/>
  <c r="AA146" i="71"/>
  <c r="AA109" i="71"/>
  <c r="AB146" i="71"/>
  <c r="AC119" i="71"/>
  <c r="AC109" i="71"/>
  <c r="AC146" i="71"/>
  <c r="AC114" i="71"/>
  <c r="AB119" i="71"/>
  <c r="AE106" i="71"/>
  <c r="AA114" i="71"/>
  <c r="AB126" i="71"/>
  <c r="AA119" i="71"/>
  <c r="AA106" i="71"/>
  <c r="AA69" i="71"/>
  <c r="AE69" i="71"/>
  <c r="AB69" i="71"/>
  <c r="AB86" i="71"/>
  <c r="AB87" i="71"/>
  <c r="AA86" i="71"/>
  <c r="AE87" i="71"/>
  <c r="AC63" i="71"/>
  <c r="AC86" i="71"/>
  <c r="AC87" i="71"/>
  <c r="AE63" i="71"/>
  <c r="AA87" i="71"/>
  <c r="AE32" i="71"/>
  <c r="AB106" i="71"/>
  <c r="AE156" i="71"/>
  <c r="AD74" i="71"/>
  <c r="AB156" i="71"/>
  <c r="AD17" i="71"/>
  <c r="AE50" i="71"/>
  <c r="AC74" i="71"/>
  <c r="AE40" i="71"/>
  <c r="AD156" i="71"/>
  <c r="AB121" i="71"/>
  <c r="AC17" i="71"/>
  <c r="AB74" i="71"/>
  <c r="AD40" i="71"/>
  <c r="AD154" i="71"/>
  <c r="AD9" i="71"/>
  <c r="AC121" i="71"/>
  <c r="AE62" i="71"/>
  <c r="AB98" i="71"/>
  <c r="AE9" i="71"/>
  <c r="AA121" i="71"/>
  <c r="AA92" i="71"/>
  <c r="AE70" i="71"/>
  <c r="AD28" i="71"/>
  <c r="AC62" i="71"/>
  <c r="AE64" i="71"/>
  <c r="AA108" i="71"/>
  <c r="AE98" i="71"/>
  <c r="AA9" i="71"/>
  <c r="AC92" i="71"/>
  <c r="AB70" i="71"/>
  <c r="AE28" i="71"/>
  <c r="AB62" i="71"/>
  <c r="AA64" i="71"/>
  <c r="AD108" i="71"/>
  <c r="AD98" i="71"/>
  <c r="AD68" i="71"/>
  <c r="AC9" i="71"/>
  <c r="AD92" i="71"/>
  <c r="AD70" i="71"/>
  <c r="AC27" i="71"/>
  <c r="AA28" i="71"/>
  <c r="AD62" i="71"/>
  <c r="AE108" i="71"/>
  <c r="AA98" i="71"/>
  <c r="AB9" i="71"/>
  <c r="AE92" i="71"/>
  <c r="AC70" i="71"/>
  <c r="AD27" i="71"/>
  <c r="AD7" i="71"/>
  <c r="AC51" i="71"/>
  <c r="AC108" i="71"/>
  <c r="AC98" i="71"/>
  <c r="AC137" i="71"/>
  <c r="AA27" i="71"/>
  <c r="AA74" i="71"/>
  <c r="AC156" i="71"/>
  <c r="AB137" i="71"/>
  <c r="AE27" i="71"/>
  <c r="AC7" i="71"/>
  <c r="AE74" i="71"/>
  <c r="AB40" i="71"/>
  <c r="AA68" i="71"/>
  <c r="AD25" i="71"/>
  <c r="AC135" i="71"/>
  <c r="AA137" i="71"/>
  <c r="AD50" i="71"/>
  <c r="AD151" i="71"/>
  <c r="AA51" i="71"/>
  <c r="AB64" i="71"/>
  <c r="AD120" i="71"/>
  <c r="AA37" i="71"/>
  <c r="AC25" i="71"/>
  <c r="AE137" i="71"/>
  <c r="AC91" i="71"/>
  <c r="AC50" i="71"/>
  <c r="AE151" i="71"/>
  <c r="AB51" i="71"/>
  <c r="AD64" i="71"/>
  <c r="AE120" i="71"/>
  <c r="AA50" i="71"/>
  <c r="AB56" i="71"/>
  <c r="AE15" i="71"/>
  <c r="AC46" i="71"/>
  <c r="AD91" i="71"/>
  <c r="AB95" i="71"/>
  <c r="AB151" i="71"/>
  <c r="AA56" i="71"/>
  <c r="AE154" i="71"/>
  <c r="AC15" i="71"/>
  <c r="AD46" i="71"/>
  <c r="AB91" i="71"/>
  <c r="AA95" i="71"/>
  <c r="AA151" i="71"/>
  <c r="AC56" i="71"/>
  <c r="AC154" i="71"/>
  <c r="AA15" i="71"/>
  <c r="AA46" i="71"/>
  <c r="AA91" i="71"/>
  <c r="AA17" i="71"/>
  <c r="AC10" i="71"/>
  <c r="AE56" i="71"/>
  <c r="AA154" i="71"/>
  <c r="AB15" i="71"/>
  <c r="AE46" i="71"/>
  <c r="AB152" i="71"/>
  <c r="AB17" i="71"/>
  <c r="AD128" i="71"/>
  <c r="AB10" i="71"/>
  <c r="AD56" i="71"/>
  <c r="AB128" i="71"/>
  <c r="AC93" i="71"/>
  <c r="AA10" i="71"/>
  <c r="AA128" i="71"/>
  <c r="AA93" i="71"/>
  <c r="AE10" i="71"/>
  <c r="AC37" i="71"/>
  <c r="AC128" i="71"/>
  <c r="AD93" i="71"/>
  <c r="AC120" i="71"/>
  <c r="AD10" i="71"/>
  <c r="AE37" i="71"/>
  <c r="AD121" i="71"/>
  <c r="AA25" i="71"/>
  <c r="AD135" i="71"/>
  <c r="AD137" i="71"/>
  <c r="AB92" i="71"/>
  <c r="AA70" i="71"/>
  <c r="AB50" i="71"/>
  <c r="AE128" i="71"/>
  <c r="AB93" i="71"/>
  <c r="AD51" i="71"/>
  <c r="AC64" i="71"/>
  <c r="AA120" i="71"/>
  <c r="AD37" i="71"/>
  <c r="AC106" i="71"/>
  <c r="AK67" i="61"/>
  <c r="AA99" i="71"/>
  <c r="AD113" i="71"/>
  <c r="AE68" i="71"/>
  <c r="AE95" i="71"/>
  <c r="AE99" i="71"/>
  <c r="AE113" i="71"/>
  <c r="AC68" i="71"/>
  <c r="AE80" i="71"/>
  <c r="AC95" i="71"/>
  <c r="AB136" i="71"/>
  <c r="AC30" i="71"/>
  <c r="AK47" i="61"/>
  <c r="AK85" i="61"/>
  <c r="AD99" i="71"/>
  <c r="AC99" i="71"/>
  <c r="AC113" i="71"/>
  <c r="AB68" i="71"/>
  <c r="AC80" i="71"/>
  <c r="AC136" i="71"/>
  <c r="AE30" i="71"/>
  <c r="AB99" i="71"/>
  <c r="AB113" i="71"/>
  <c r="AA80" i="71"/>
  <c r="AC150" i="71"/>
  <c r="AE136" i="71"/>
  <c r="AB30" i="71"/>
  <c r="AD143" i="71"/>
  <c r="AA113" i="71"/>
  <c r="AB80" i="71"/>
  <c r="AB60" i="71"/>
  <c r="AB150" i="71"/>
  <c r="AA136" i="71"/>
  <c r="AA30" i="71"/>
  <c r="AB143" i="71"/>
  <c r="AD80" i="71"/>
  <c r="AC60" i="71"/>
  <c r="AD150" i="71"/>
  <c r="AD136" i="71"/>
  <c r="AD30" i="71"/>
  <c r="AD60" i="71"/>
  <c r="AC152" i="71"/>
  <c r="AA150" i="71"/>
  <c r="AA60" i="71"/>
  <c r="AE152" i="71"/>
  <c r="AE150" i="71"/>
  <c r="AE60" i="71"/>
  <c r="AA152" i="71"/>
  <c r="AA118" i="71"/>
  <c r="AD152" i="71"/>
  <c r="AB118" i="71"/>
  <c r="AD95" i="71"/>
  <c r="AK28" i="61"/>
  <c r="AC143" i="71"/>
  <c r="AD122" i="71"/>
  <c r="AA143" i="71"/>
  <c r="AC122" i="71"/>
  <c r="AD12" i="71"/>
  <c r="AE122" i="71"/>
  <c r="AD107" i="71"/>
  <c r="AA12" i="71"/>
  <c r="AB122" i="71"/>
  <c r="AA72" i="71"/>
  <c r="AC107" i="71"/>
  <c r="AB12" i="71"/>
  <c r="AA122" i="71"/>
  <c r="AD72" i="71"/>
  <c r="AC12" i="71"/>
  <c r="AE12" i="71"/>
  <c r="AE143" i="71"/>
  <c r="AA129" i="71"/>
  <c r="AE132" i="71"/>
  <c r="AB161" i="71"/>
  <c r="AE129" i="71"/>
  <c r="AB132" i="71"/>
  <c r="AE38" i="71"/>
  <c r="AE96" i="71"/>
  <c r="AB129" i="71"/>
  <c r="AA132" i="71"/>
  <c r="AC132" i="71"/>
  <c r="AB72" i="71"/>
  <c r="AC118" i="71"/>
  <c r="AE107" i="71"/>
  <c r="AC72" i="71"/>
  <c r="AE118" i="71"/>
  <c r="AA107" i="71"/>
  <c r="AD63" i="71"/>
  <c r="AE72" i="71"/>
  <c r="AD118" i="71"/>
  <c r="AB107" i="71"/>
  <c r="AC41" i="71"/>
  <c r="AB63" i="71"/>
  <c r="AC117" i="71"/>
  <c r="AD161" i="71"/>
  <c r="AD129" i="71"/>
  <c r="AB41" i="71"/>
  <c r="AA63" i="71"/>
  <c r="AB22" i="71"/>
  <c r="AC22" i="71"/>
  <c r="AA22" i="71"/>
  <c r="AD117" i="71"/>
  <c r="AE22" i="71"/>
  <c r="AB38" i="71"/>
  <c r="AB117" i="71"/>
  <c r="AD22" i="71"/>
  <c r="AC38" i="71"/>
  <c r="AE117" i="71"/>
  <c r="AB96" i="71"/>
  <c r="AA38" i="71"/>
  <c r="AA117" i="71"/>
  <c r="AC96" i="71"/>
  <c r="AA96" i="71"/>
  <c r="BB5" i="71"/>
  <c r="BY5" i="71" s="1"/>
  <c r="H87" i="60"/>
  <c r="H71" i="60"/>
  <c r="H111" i="60"/>
  <c r="H53" i="60"/>
  <c r="H73" i="60"/>
  <c r="H85" i="60"/>
  <c r="H105" i="60"/>
  <c r="H52" i="60"/>
  <c r="H84" i="60"/>
  <c r="H88" i="60"/>
  <c r="H45" i="60"/>
  <c r="H34" i="60"/>
  <c r="H49" i="60"/>
  <c r="H50" i="60"/>
  <c r="H90" i="60"/>
  <c r="H110" i="60"/>
  <c r="H35" i="60"/>
  <c r="H109" i="60"/>
  <c r="H54" i="60"/>
  <c r="H68" i="60"/>
  <c r="H67" i="60"/>
  <c r="H83" i="60"/>
  <c r="H51" i="60"/>
  <c r="H65" i="60"/>
  <c r="H92" i="60"/>
  <c r="H70" i="60"/>
  <c r="H108" i="60"/>
  <c r="H72" i="60"/>
  <c r="BB6" i="71"/>
  <c r="BY6" i="71" s="1"/>
  <c r="AL5" i="71"/>
  <c r="AJ21" i="61"/>
  <c r="AT35" i="71"/>
  <c r="AT38" i="71"/>
  <c r="AT74" i="71"/>
  <c r="AT145" i="71"/>
  <c r="AT83" i="71"/>
  <c r="AT130" i="71"/>
  <c r="AT53" i="71"/>
  <c r="AT121" i="71"/>
  <c r="AT25" i="71"/>
  <c r="AT102" i="71"/>
  <c r="AT31" i="71"/>
  <c r="AT161" i="71"/>
  <c r="AT50" i="71"/>
  <c r="AT69" i="71"/>
  <c r="AT68" i="71"/>
  <c r="AT151" i="71"/>
  <c r="AT24" i="71"/>
  <c r="AT104" i="71"/>
  <c r="AT8" i="71"/>
  <c r="AT96" i="71"/>
  <c r="AT70" i="71"/>
  <c r="AT40" i="71"/>
  <c r="AT119" i="71"/>
  <c r="AT28" i="71"/>
  <c r="AT79" i="71"/>
  <c r="AT100" i="71"/>
  <c r="AT93" i="71"/>
  <c r="AT136" i="71"/>
  <c r="AT7" i="71"/>
  <c r="AT147" i="71"/>
  <c r="AT75" i="71"/>
  <c r="AT137" i="71"/>
  <c r="AT30" i="71"/>
  <c r="AT85" i="71"/>
  <c r="AT143" i="71"/>
  <c r="AT95" i="71"/>
  <c r="AT29" i="71"/>
  <c r="AT13" i="71"/>
  <c r="AT72" i="71"/>
  <c r="AT9" i="71"/>
  <c r="AT34" i="71"/>
  <c r="AT159" i="71"/>
  <c r="AT120" i="71"/>
  <c r="AT51" i="71"/>
  <c r="AT115" i="71"/>
  <c r="AT134" i="71"/>
  <c r="AT153" i="71"/>
  <c r="AT77" i="71"/>
  <c r="AT105" i="71"/>
  <c r="AT82" i="71"/>
  <c r="AT114" i="71"/>
  <c r="AT37" i="71"/>
  <c r="AT57" i="71"/>
  <c r="AT88" i="71"/>
  <c r="AT15" i="71"/>
  <c r="AA153" i="64" l="1"/>
  <c r="AA152" i="64" s="1"/>
  <c r="AA151" i="64" s="1"/>
  <c r="AA150" i="64" s="1"/>
  <c r="AA149" i="64" s="1"/>
  <c r="AA148" i="64" s="1"/>
  <c r="AA147" i="64" s="1"/>
  <c r="AA146" i="64" s="1"/>
  <c r="AA145" i="64" s="1"/>
  <c r="AA144" i="64" s="1"/>
  <c r="I17" i="64"/>
  <c r="D18" i="64"/>
  <c r="M50" i="60"/>
  <c r="M33" i="60"/>
  <c r="M47" i="60"/>
  <c r="M104" i="60"/>
  <c r="M86" i="60"/>
  <c r="M106" i="60"/>
  <c r="M66" i="60"/>
  <c r="M67" i="60"/>
  <c r="M49" i="60"/>
  <c r="M73" i="60"/>
  <c r="M31" i="60"/>
  <c r="M89" i="60"/>
  <c r="M107" i="60"/>
  <c r="M103" i="60"/>
  <c r="M72" i="60"/>
  <c r="M68" i="60"/>
  <c r="M34" i="60"/>
  <c r="M53" i="60"/>
  <c r="M108" i="60"/>
  <c r="M54" i="60"/>
  <c r="M111" i="60"/>
  <c r="M70" i="60"/>
  <c r="M109" i="60"/>
  <c r="M88" i="60"/>
  <c r="M71" i="60"/>
  <c r="M32" i="60"/>
  <c r="M30" i="60"/>
  <c r="M91" i="60"/>
  <c r="M48" i="60"/>
  <c r="M35" i="60"/>
  <c r="M84" i="60"/>
  <c r="M87" i="60"/>
  <c r="M92" i="60"/>
  <c r="M69" i="60"/>
  <c r="M52" i="60"/>
  <c r="M110" i="60"/>
  <c r="M105" i="60"/>
  <c r="M51" i="60"/>
  <c r="M90" i="60"/>
  <c r="M85" i="60"/>
  <c r="M29" i="60"/>
  <c r="AJ5" i="71"/>
  <c r="AJ6" i="71"/>
  <c r="AM7" i="71"/>
  <c r="AI6" i="71"/>
  <c r="AL7" i="71"/>
  <c r="AK7" i="71"/>
  <c r="AI7" i="71"/>
  <c r="AM6" i="71"/>
  <c r="AM11" i="71"/>
  <c r="AK12" i="71"/>
  <c r="AK24" i="71"/>
  <c r="AK16" i="71"/>
  <c r="AK48" i="61"/>
  <c r="AK68" i="61"/>
  <c r="AK29" i="61"/>
  <c r="AK86" i="61"/>
  <c r="AK22" i="71"/>
  <c r="BB150" i="71"/>
  <c r="BY150" i="71" s="1"/>
  <c r="BB155" i="71"/>
  <c r="BY155" i="71" s="1"/>
  <c r="BB131" i="71"/>
  <c r="BY131" i="71" s="1"/>
  <c r="BB114" i="71"/>
  <c r="BY114" i="71" s="1"/>
  <c r="BB117" i="71"/>
  <c r="BY117" i="71" s="1"/>
  <c r="BB88" i="71"/>
  <c r="BY88" i="71" s="1"/>
  <c r="BB102" i="71"/>
  <c r="BY102" i="71" s="1"/>
  <c r="BB55" i="71"/>
  <c r="BY55" i="71" s="1"/>
  <c r="BB70" i="71"/>
  <c r="BY70" i="71" s="1"/>
  <c r="BB20" i="71"/>
  <c r="BY20" i="71" s="1"/>
  <c r="BB31" i="71"/>
  <c r="BY31" i="71" s="1"/>
  <c r="BB8" i="71"/>
  <c r="BY8" i="71" s="1"/>
  <c r="BB25" i="71"/>
  <c r="BY25" i="71" s="1"/>
  <c r="BB89" i="71"/>
  <c r="BY89" i="71" s="1"/>
  <c r="BB148" i="71"/>
  <c r="BY148" i="71" s="1"/>
  <c r="BB140" i="71"/>
  <c r="BY140" i="71" s="1"/>
  <c r="BB122" i="71"/>
  <c r="BY122" i="71" s="1"/>
  <c r="BB107" i="71"/>
  <c r="BY107" i="71" s="1"/>
  <c r="BB115" i="71"/>
  <c r="BY115" i="71" s="1"/>
  <c r="BB94" i="71"/>
  <c r="BY94" i="71" s="1"/>
  <c r="BB91" i="71"/>
  <c r="BY91" i="71" s="1"/>
  <c r="BB54" i="71"/>
  <c r="BY54" i="71" s="1"/>
  <c r="BB84" i="71"/>
  <c r="BY84" i="71" s="1"/>
  <c r="BB42" i="71"/>
  <c r="BY42" i="71" s="1"/>
  <c r="BB48" i="71"/>
  <c r="BY48" i="71" s="1"/>
  <c r="BB17" i="71"/>
  <c r="BY17" i="71" s="1"/>
  <c r="BB23" i="71"/>
  <c r="BY23" i="71" s="1"/>
  <c r="BB53" i="71"/>
  <c r="BY53" i="71" s="1"/>
  <c r="BB159" i="71"/>
  <c r="BY159" i="71" s="1"/>
  <c r="BB139" i="71"/>
  <c r="BY139" i="71" s="1"/>
  <c r="BB132" i="71"/>
  <c r="BY132" i="71" s="1"/>
  <c r="BB103" i="71"/>
  <c r="BY103" i="71" s="1"/>
  <c r="BB112" i="71"/>
  <c r="BY112" i="71" s="1"/>
  <c r="BB76" i="71"/>
  <c r="BY76" i="71" s="1"/>
  <c r="BB79" i="71"/>
  <c r="BY79" i="71" s="1"/>
  <c r="BB38" i="71"/>
  <c r="BY38" i="71" s="1"/>
  <c r="BB29" i="71"/>
  <c r="BY29" i="71" s="1"/>
  <c r="BB32" i="71"/>
  <c r="BY32" i="71" s="1"/>
  <c r="BB15" i="71"/>
  <c r="BY15" i="71" s="1"/>
  <c r="BB156" i="71"/>
  <c r="BY156" i="71" s="1"/>
  <c r="BB135" i="71"/>
  <c r="BY135" i="71" s="1"/>
  <c r="BB141" i="71"/>
  <c r="BY141" i="71" s="1"/>
  <c r="BB99" i="71"/>
  <c r="BY99" i="71" s="1"/>
  <c r="BB123" i="71"/>
  <c r="BY123" i="71" s="1"/>
  <c r="BB85" i="71"/>
  <c r="BY85" i="71" s="1"/>
  <c r="BB71" i="71"/>
  <c r="BY71" i="71" s="1"/>
  <c r="BB52" i="71"/>
  <c r="BY52" i="71" s="1"/>
  <c r="BB67" i="71"/>
  <c r="BY67" i="71" s="1"/>
  <c r="BB34" i="71"/>
  <c r="BY34" i="71" s="1"/>
  <c r="BB26" i="71"/>
  <c r="BY26" i="71" s="1"/>
  <c r="BB19" i="71"/>
  <c r="BY19" i="71" s="1"/>
  <c r="BB27" i="71"/>
  <c r="BY27" i="71" s="1"/>
  <c r="BB146" i="71"/>
  <c r="BY146" i="71" s="1"/>
  <c r="BB149" i="71"/>
  <c r="BY149" i="71" s="1"/>
  <c r="BB134" i="71"/>
  <c r="BY134" i="71" s="1"/>
  <c r="BB95" i="71"/>
  <c r="BY95" i="71" s="1"/>
  <c r="BB109" i="71"/>
  <c r="BY109" i="71" s="1"/>
  <c r="BB81" i="71"/>
  <c r="BY81" i="71" s="1"/>
  <c r="BB86" i="71"/>
  <c r="BY86" i="71" s="1"/>
  <c r="BB65" i="71"/>
  <c r="BY65" i="71" s="1"/>
  <c r="BB58" i="71"/>
  <c r="BY58" i="71" s="1"/>
  <c r="BB57" i="71"/>
  <c r="BY57" i="71" s="1"/>
  <c r="BB22" i="71"/>
  <c r="BY22" i="71" s="1"/>
  <c r="BB13" i="71"/>
  <c r="BY13" i="71" s="1"/>
  <c r="BB30" i="71"/>
  <c r="BY30" i="71" s="1"/>
  <c r="BB28" i="71"/>
  <c r="BY28" i="71" s="1"/>
  <c r="BB35" i="71"/>
  <c r="BY35" i="71" s="1"/>
  <c r="BB164" i="71"/>
  <c r="BY164" i="71" s="1"/>
  <c r="BB145" i="71"/>
  <c r="BY145" i="71" s="1"/>
  <c r="BB136" i="71"/>
  <c r="BY136" i="71" s="1"/>
  <c r="BB127" i="71"/>
  <c r="BY127" i="71" s="1"/>
  <c r="BB121" i="71"/>
  <c r="BY121" i="71" s="1"/>
  <c r="BB106" i="71"/>
  <c r="BY106" i="71" s="1"/>
  <c r="BB77" i="71"/>
  <c r="BY77" i="71" s="1"/>
  <c r="BB78" i="71"/>
  <c r="BY78" i="71" s="1"/>
  <c r="BB80" i="71"/>
  <c r="BY80" i="71" s="1"/>
  <c r="BB59" i="71"/>
  <c r="BY59" i="71" s="1"/>
  <c r="BB50" i="71"/>
  <c r="BY50" i="71" s="1"/>
  <c r="BB44" i="71"/>
  <c r="BY44" i="71" s="1"/>
  <c r="BB9" i="71"/>
  <c r="BY9" i="71" s="1"/>
  <c r="BB11" i="71"/>
  <c r="BY11" i="71" s="1"/>
  <c r="BB45" i="71"/>
  <c r="BY45" i="71" s="1"/>
  <c r="BB161" i="71"/>
  <c r="BY161" i="71" s="1"/>
  <c r="BB142" i="71"/>
  <c r="BY142" i="71" s="1"/>
  <c r="BB130" i="71"/>
  <c r="BY130" i="71" s="1"/>
  <c r="BB124" i="71"/>
  <c r="BY124" i="71" s="1"/>
  <c r="BB111" i="71"/>
  <c r="BY111" i="71" s="1"/>
  <c r="BB137" i="71"/>
  <c r="BY137" i="71" s="1"/>
  <c r="BB73" i="71"/>
  <c r="BY73" i="71" s="1"/>
  <c r="BB87" i="71"/>
  <c r="BY87" i="71" s="1"/>
  <c r="BB75" i="71"/>
  <c r="BY75" i="71" s="1"/>
  <c r="BB51" i="71"/>
  <c r="BY51" i="71" s="1"/>
  <c r="BB47" i="71"/>
  <c r="BY47" i="71" s="1"/>
  <c r="BB40" i="71"/>
  <c r="BY40" i="71" s="1"/>
  <c r="BB37" i="71"/>
  <c r="BY37" i="71" s="1"/>
  <c r="BB7" i="71"/>
  <c r="BY7" i="71" s="1"/>
  <c r="BB72" i="71"/>
  <c r="BY72" i="71" s="1"/>
  <c r="BB157" i="71"/>
  <c r="BY157" i="71" s="1"/>
  <c r="BB138" i="71"/>
  <c r="BY138" i="71" s="1"/>
  <c r="BB126" i="71"/>
  <c r="BY126" i="71" s="1"/>
  <c r="BB143" i="71"/>
  <c r="BY143" i="71" s="1"/>
  <c r="BB113" i="71"/>
  <c r="BY113" i="71" s="1"/>
  <c r="BB98" i="71"/>
  <c r="BY98" i="71" s="1"/>
  <c r="BB100" i="71"/>
  <c r="BY100" i="71" s="1"/>
  <c r="BB83" i="71"/>
  <c r="BY83" i="71" s="1"/>
  <c r="BB68" i="71"/>
  <c r="BY68" i="71" s="1"/>
  <c r="BB64" i="71"/>
  <c r="BY64" i="71" s="1"/>
  <c r="BB33" i="71"/>
  <c r="BY33" i="71" s="1"/>
  <c r="BB36" i="71"/>
  <c r="BY36" i="71" s="1"/>
  <c r="BB21" i="71"/>
  <c r="BY21" i="71" s="1"/>
  <c r="BB16" i="71"/>
  <c r="BY16" i="71" s="1"/>
  <c r="BB61" i="71"/>
  <c r="BY61" i="71" s="1"/>
  <c r="BB153" i="71"/>
  <c r="BY153" i="71" s="1"/>
  <c r="BB151" i="71"/>
  <c r="BY151" i="71" s="1"/>
  <c r="BB147" i="71"/>
  <c r="BY147" i="71" s="1"/>
  <c r="BB118" i="71"/>
  <c r="BY118" i="71" s="1"/>
  <c r="BB116" i="71"/>
  <c r="BY116" i="71" s="1"/>
  <c r="BB93" i="71"/>
  <c r="BY93" i="71" s="1"/>
  <c r="BB96" i="71"/>
  <c r="BY96" i="71" s="1"/>
  <c r="BB62" i="71"/>
  <c r="BY62" i="71" s="1"/>
  <c r="BB18" i="71"/>
  <c r="BY18" i="71" s="1"/>
  <c r="BB162" i="71"/>
  <c r="BY162" i="71" s="1"/>
  <c r="BB152" i="71"/>
  <c r="BY152" i="71" s="1"/>
  <c r="BB133" i="71"/>
  <c r="BY133" i="71" s="1"/>
  <c r="BB119" i="71"/>
  <c r="BY119" i="71" s="1"/>
  <c r="BB110" i="71"/>
  <c r="BY110" i="71" s="1"/>
  <c r="BB120" i="71"/>
  <c r="BY120" i="71" s="1"/>
  <c r="BB101" i="71"/>
  <c r="BY101" i="71" s="1"/>
  <c r="BB66" i="71"/>
  <c r="BY66" i="71" s="1"/>
  <c r="BB69" i="71"/>
  <c r="BY69" i="71" s="1"/>
  <c r="BB63" i="71"/>
  <c r="BY63" i="71" s="1"/>
  <c r="BB43" i="71"/>
  <c r="BY43" i="71" s="1"/>
  <c r="BB49" i="71"/>
  <c r="BY49" i="71" s="1"/>
  <c r="BB14" i="71"/>
  <c r="BY14" i="71" s="1"/>
  <c r="BB56" i="71"/>
  <c r="BY56" i="71" s="1"/>
  <c r="BB158" i="71"/>
  <c r="BY158" i="71" s="1"/>
  <c r="BB144" i="71"/>
  <c r="BY144" i="71" s="1"/>
  <c r="BB160" i="71"/>
  <c r="BY160" i="71" s="1"/>
  <c r="BB125" i="71"/>
  <c r="BY125" i="71" s="1"/>
  <c r="BB105" i="71"/>
  <c r="BY105" i="71" s="1"/>
  <c r="BB104" i="71"/>
  <c r="BY104" i="71" s="1"/>
  <c r="BB97" i="71"/>
  <c r="BY97" i="71" s="1"/>
  <c r="BB60" i="71"/>
  <c r="BY60" i="71" s="1"/>
  <c r="BB82" i="71"/>
  <c r="BY82" i="71" s="1"/>
  <c r="BB46" i="71"/>
  <c r="BY46" i="71" s="1"/>
  <c r="BB39" i="71"/>
  <c r="BY39" i="71" s="1"/>
  <c r="BB41" i="71"/>
  <c r="BY41" i="71" s="1"/>
  <c r="BB10" i="71"/>
  <c r="BY10" i="71" s="1"/>
  <c r="BB163" i="71"/>
  <c r="BY163" i="71" s="1"/>
  <c r="BB128" i="71"/>
  <c r="BY128" i="71" s="1"/>
  <c r="BB92" i="71"/>
  <c r="BY92" i="71" s="1"/>
  <c r="BB74" i="71"/>
  <c r="BY74" i="71" s="1"/>
  <c r="BB12" i="71"/>
  <c r="BY12" i="71" s="1"/>
  <c r="BB154" i="71"/>
  <c r="BY154" i="71" s="1"/>
  <c r="BB129" i="71"/>
  <c r="BY129" i="71" s="1"/>
  <c r="BB108" i="71"/>
  <c r="BY108" i="71" s="1"/>
  <c r="BB90" i="71"/>
  <c r="BY90" i="71" s="1"/>
  <c r="BB24" i="71"/>
  <c r="BY24" i="71" s="1"/>
  <c r="AK27" i="71"/>
  <c r="BT6" i="71"/>
  <c r="BO6" i="71"/>
  <c r="BJ6" i="71"/>
  <c r="BT5" i="71"/>
  <c r="BO5" i="71"/>
  <c r="BJ5" i="71"/>
  <c r="AM15" i="71"/>
  <c r="AK26" i="71"/>
  <c r="AM14" i="71"/>
  <c r="AM27" i="71"/>
  <c r="AK11" i="71"/>
  <c r="AJ11" i="71"/>
  <c r="AK10" i="71"/>
  <c r="AJ9" i="71"/>
  <c r="AM10" i="71"/>
  <c r="AM8" i="71"/>
  <c r="AK14" i="71"/>
  <c r="AM13" i="71"/>
  <c r="AM12" i="71"/>
  <c r="AK9" i="71"/>
  <c r="AK18" i="71"/>
  <c r="AM9" i="71"/>
  <c r="AM18" i="71"/>
  <c r="AK13" i="71"/>
  <c r="AK34" i="71"/>
  <c r="AM16" i="71"/>
  <c r="AK17" i="71"/>
  <c r="AK42" i="71"/>
  <c r="AK25" i="71"/>
  <c r="AK8" i="71"/>
  <c r="AK44" i="71"/>
  <c r="AJ84" i="71"/>
  <c r="AI22" i="71"/>
  <c r="AL91" i="71"/>
  <c r="AM139" i="71"/>
  <c r="AJ36" i="71"/>
  <c r="AJ75" i="71"/>
  <c r="AM66" i="71"/>
  <c r="AL36" i="71"/>
  <c r="AI91" i="71"/>
  <c r="AM160" i="71"/>
  <c r="AI51" i="71"/>
  <c r="AJ17" i="71"/>
  <c r="AM59" i="71"/>
  <c r="AL115" i="71"/>
  <c r="AJ38" i="71"/>
  <c r="AJ115" i="71"/>
  <c r="AI62" i="71"/>
  <c r="AJ86" i="71"/>
  <c r="AL17" i="71"/>
  <c r="AL105" i="71"/>
  <c r="AK72" i="71"/>
  <c r="AJ19" i="71"/>
  <c r="AJ24" i="71"/>
  <c r="AJ117" i="71"/>
  <c r="AI13" i="71"/>
  <c r="AI49" i="71"/>
  <c r="AJ101" i="71"/>
  <c r="AK123" i="71"/>
  <c r="AJ89" i="71"/>
  <c r="AM61" i="71"/>
  <c r="AM92" i="71"/>
  <c r="AL145" i="71"/>
  <c r="AK49" i="71"/>
  <c r="AJ16" i="71"/>
  <c r="AJ37" i="71"/>
  <c r="AI12" i="71"/>
  <c r="AI34" i="71"/>
  <c r="AI65" i="71"/>
  <c r="AL92" i="71"/>
  <c r="AM116" i="71"/>
  <c r="AM109" i="71"/>
  <c r="AL23" i="71"/>
  <c r="AL140" i="71"/>
  <c r="AK65" i="71"/>
  <c r="AJ22" i="71"/>
  <c r="AI38" i="71"/>
  <c r="AI23" i="71"/>
  <c r="AI66" i="71"/>
  <c r="AL163" i="71"/>
  <c r="AM79" i="71"/>
  <c r="AK82" i="71"/>
  <c r="AJ31" i="71"/>
  <c r="AI42" i="71"/>
  <c r="AI27" i="71"/>
  <c r="AI53" i="71"/>
  <c r="AK85" i="71"/>
  <c r="AJ15" i="71"/>
  <c r="AJ35" i="71"/>
  <c r="AI40" i="71"/>
  <c r="AI55" i="71"/>
  <c r="AM39" i="71"/>
  <c r="AM95" i="71"/>
  <c r="AK117" i="71"/>
  <c r="AJ27" i="71"/>
  <c r="AJ39" i="71"/>
  <c r="AI29" i="71"/>
  <c r="AI46" i="71"/>
  <c r="AI56" i="71"/>
  <c r="AL81" i="71"/>
  <c r="AM112" i="71"/>
  <c r="AM115" i="71"/>
  <c r="AK128" i="71"/>
  <c r="AJ25" i="71"/>
  <c r="AI15" i="71"/>
  <c r="AI30" i="71"/>
  <c r="AI61" i="71"/>
  <c r="AM41" i="71"/>
  <c r="AL26" i="71"/>
  <c r="AM133" i="71"/>
  <c r="AL55" i="71"/>
  <c r="AK145" i="71"/>
  <c r="AJ64" i="71"/>
  <c r="AI43" i="71"/>
  <c r="AI101" i="71"/>
  <c r="AK139" i="71"/>
  <c r="AM46" i="71"/>
  <c r="AM129" i="71"/>
  <c r="AL73" i="71"/>
  <c r="AK163" i="71"/>
  <c r="AJ18" i="71"/>
  <c r="AJ65" i="71"/>
  <c r="AI26" i="71"/>
  <c r="AI21" i="71"/>
  <c r="AI98" i="71"/>
  <c r="AL21" i="71"/>
  <c r="AM65" i="71"/>
  <c r="AL85" i="71"/>
  <c r="AJ33" i="71"/>
  <c r="AJ23" i="71"/>
  <c r="AI20" i="71"/>
  <c r="AI48" i="71"/>
  <c r="AM85" i="71"/>
  <c r="AM33" i="71"/>
  <c r="AM97" i="71"/>
  <c r="AM128" i="71"/>
  <c r="AL42" i="71"/>
  <c r="AL108" i="71"/>
  <c r="AK28" i="71"/>
  <c r="AK97" i="71"/>
  <c r="AK156" i="71"/>
  <c r="AJ13" i="71"/>
  <c r="AJ20" i="71"/>
  <c r="AJ32" i="71"/>
  <c r="AJ105" i="71"/>
  <c r="AI11" i="71"/>
  <c r="AI9" i="71"/>
  <c r="AI44" i="71"/>
  <c r="AI33" i="71"/>
  <c r="AI54" i="71"/>
  <c r="AI94" i="71"/>
  <c r="AJ126" i="71"/>
  <c r="AI100" i="71"/>
  <c r="AL116" i="71"/>
  <c r="AK118" i="71"/>
  <c r="AJ149" i="71"/>
  <c r="AI45" i="71"/>
  <c r="AI47" i="71"/>
  <c r="AI71" i="71"/>
  <c r="AI133" i="71"/>
  <c r="AM48" i="71"/>
  <c r="AM137" i="71"/>
  <c r="AM158" i="71"/>
  <c r="AL60" i="71"/>
  <c r="AL141" i="71"/>
  <c r="AK20" i="71"/>
  <c r="AK29" i="71"/>
  <c r="AK102" i="71"/>
  <c r="AJ28" i="71"/>
  <c r="AJ26" i="71"/>
  <c r="AJ68" i="71"/>
  <c r="AJ152" i="71"/>
  <c r="AI10" i="71"/>
  <c r="AI37" i="71"/>
  <c r="AI31" i="71"/>
  <c r="AI50" i="71"/>
  <c r="AI92" i="71"/>
  <c r="AI131" i="71"/>
  <c r="AM53" i="71"/>
  <c r="AM164" i="71"/>
  <c r="AL59" i="71"/>
  <c r="AL126" i="71"/>
  <c r="AK32" i="71"/>
  <c r="AK21" i="71"/>
  <c r="AK30" i="71"/>
  <c r="AK109" i="71"/>
  <c r="AJ8" i="71"/>
  <c r="AJ10" i="71"/>
  <c r="AJ29" i="71"/>
  <c r="AJ54" i="71"/>
  <c r="AI17" i="71"/>
  <c r="AI14" i="71"/>
  <c r="AI41" i="71"/>
  <c r="AI35" i="71"/>
  <c r="AI60" i="71"/>
  <c r="AI63" i="71"/>
  <c r="AI164" i="71"/>
  <c r="AM74" i="71"/>
  <c r="AM51" i="71"/>
  <c r="AM105" i="71"/>
  <c r="AL139" i="71"/>
  <c r="AK19" i="71"/>
  <c r="AK33" i="71"/>
  <c r="AK31" i="71"/>
  <c r="AK131" i="71"/>
  <c r="AJ12" i="71"/>
  <c r="AJ14" i="71"/>
  <c r="AJ30" i="71"/>
  <c r="AJ92" i="71"/>
  <c r="AI8" i="71"/>
  <c r="AI18" i="71"/>
  <c r="AI19" i="71"/>
  <c r="AI39" i="71"/>
  <c r="AI59" i="71"/>
  <c r="AI57" i="71"/>
  <c r="AI162" i="71"/>
  <c r="AI64" i="71"/>
  <c r="AL160" i="71"/>
  <c r="AK68" i="71"/>
  <c r="AI28" i="71"/>
  <c r="AI25" i="71"/>
  <c r="AI58" i="71"/>
  <c r="AI80" i="71"/>
  <c r="AM31" i="71"/>
  <c r="AL122" i="71"/>
  <c r="AK15" i="71"/>
  <c r="AK23" i="71"/>
  <c r="AK58" i="71"/>
  <c r="AJ34" i="71"/>
  <c r="AJ21" i="71"/>
  <c r="AI16" i="71"/>
  <c r="AI24" i="71"/>
  <c r="AI36" i="71"/>
  <c r="AI32" i="71"/>
  <c r="AI52" i="71"/>
  <c r="AK154" i="71"/>
  <c r="AI125" i="71"/>
  <c r="AJ163" i="71"/>
  <c r="AL144" i="71"/>
  <c r="AM159" i="71"/>
  <c r="AJ151" i="71"/>
  <c r="AM161" i="71"/>
  <c r="AI157" i="71"/>
  <c r="AM132" i="71"/>
  <c r="AL76" i="71"/>
  <c r="AL123" i="71"/>
  <c r="AK76" i="71"/>
  <c r="AK158" i="71"/>
  <c r="AJ83" i="71"/>
  <c r="AJ159" i="71"/>
  <c r="AI75" i="71"/>
  <c r="AI160" i="71"/>
  <c r="AL39" i="71"/>
  <c r="AL113" i="71"/>
  <c r="AK52" i="71"/>
  <c r="AK126" i="71"/>
  <c r="AJ107" i="71"/>
  <c r="AJ135" i="71"/>
  <c r="AI107" i="71"/>
  <c r="AM19" i="71"/>
  <c r="AM64" i="71"/>
  <c r="AM144" i="71"/>
  <c r="AL35" i="71"/>
  <c r="AL49" i="71"/>
  <c r="AL124" i="71"/>
  <c r="AK67" i="71"/>
  <c r="AK107" i="71"/>
  <c r="AK130" i="71"/>
  <c r="AJ42" i="71"/>
  <c r="AJ73" i="71"/>
  <c r="AJ87" i="71"/>
  <c r="AJ134" i="71"/>
  <c r="AJ144" i="71"/>
  <c r="AJ156" i="71"/>
  <c r="AI79" i="71"/>
  <c r="AI72" i="71"/>
  <c r="AI78" i="71"/>
  <c r="AI112" i="71"/>
  <c r="AI114" i="71"/>
  <c r="AI124" i="71"/>
  <c r="AI136" i="71"/>
  <c r="AI161" i="71"/>
  <c r="AM123" i="71"/>
  <c r="AL48" i="71"/>
  <c r="AL131" i="71"/>
  <c r="AK61" i="71"/>
  <c r="AK111" i="71"/>
  <c r="AJ47" i="71"/>
  <c r="AJ94" i="71"/>
  <c r="AI74" i="71"/>
  <c r="AI137" i="71"/>
  <c r="AM54" i="71"/>
  <c r="AM78" i="71"/>
  <c r="AM136" i="71"/>
  <c r="AL45" i="71"/>
  <c r="AL75" i="71"/>
  <c r="AK62" i="71"/>
  <c r="AK115" i="71"/>
  <c r="AK162" i="71"/>
  <c r="AJ48" i="71"/>
  <c r="AJ60" i="71"/>
  <c r="AJ93" i="71"/>
  <c r="AM21" i="71"/>
  <c r="AM36" i="71"/>
  <c r="AM55" i="71"/>
  <c r="AM72" i="71"/>
  <c r="AM69" i="71"/>
  <c r="AM102" i="71"/>
  <c r="AM82" i="71"/>
  <c r="AM103" i="71"/>
  <c r="AM114" i="71"/>
  <c r="AM126" i="71"/>
  <c r="AM141" i="71"/>
  <c r="AM154" i="71"/>
  <c r="AL19" i="71"/>
  <c r="AL10" i="71"/>
  <c r="AL37" i="71"/>
  <c r="AL52" i="71"/>
  <c r="AL50" i="71"/>
  <c r="AL71" i="71"/>
  <c r="AL62" i="71"/>
  <c r="AL79" i="71"/>
  <c r="AL103" i="71"/>
  <c r="AL118" i="71"/>
  <c r="AL134" i="71"/>
  <c r="AL148" i="71"/>
  <c r="AL150" i="71"/>
  <c r="AK37" i="71"/>
  <c r="AK60" i="71"/>
  <c r="AK87" i="71"/>
  <c r="AK84" i="71"/>
  <c r="AK73" i="71"/>
  <c r="AK144" i="71"/>
  <c r="AK110" i="71"/>
  <c r="AK137" i="71"/>
  <c r="AK140" i="71"/>
  <c r="AK149" i="71"/>
  <c r="AK161" i="71"/>
  <c r="AJ49" i="71"/>
  <c r="AJ63" i="71"/>
  <c r="AJ66" i="71"/>
  <c r="AJ91" i="71"/>
  <c r="AJ77" i="71"/>
  <c r="AJ102" i="71"/>
  <c r="AJ119" i="71"/>
  <c r="AJ136" i="71"/>
  <c r="AJ150" i="71"/>
  <c r="AJ164" i="71"/>
  <c r="AI88" i="71"/>
  <c r="AI67" i="71"/>
  <c r="AI82" i="71"/>
  <c r="AI115" i="71"/>
  <c r="AI118" i="71"/>
  <c r="AI144" i="71"/>
  <c r="AI156" i="71"/>
  <c r="AI145" i="71"/>
  <c r="AM124" i="71"/>
  <c r="AL12" i="71"/>
  <c r="AL47" i="71"/>
  <c r="AL104" i="71"/>
  <c r="AL162" i="71"/>
  <c r="AK55" i="71"/>
  <c r="AK103" i="71"/>
  <c r="AK155" i="71"/>
  <c r="AJ70" i="71"/>
  <c r="AJ123" i="71"/>
  <c r="AI108" i="71"/>
  <c r="AM28" i="71"/>
  <c r="AM96" i="71"/>
  <c r="AM135" i="71"/>
  <c r="AL98" i="71"/>
  <c r="AL112" i="71"/>
  <c r="AL137" i="71"/>
  <c r="AK45" i="71"/>
  <c r="AK80" i="71"/>
  <c r="AK157" i="71"/>
  <c r="AJ130" i="71"/>
  <c r="AM25" i="71"/>
  <c r="AM40" i="71"/>
  <c r="AM56" i="71"/>
  <c r="AM67" i="71"/>
  <c r="AM89" i="71"/>
  <c r="AM101" i="71"/>
  <c r="AM86" i="71"/>
  <c r="AM107" i="71"/>
  <c r="AM127" i="71"/>
  <c r="AM130" i="71"/>
  <c r="AM155" i="71"/>
  <c r="AM157" i="71"/>
  <c r="AL16" i="71"/>
  <c r="AL14" i="71"/>
  <c r="AL41" i="71"/>
  <c r="AL53" i="71"/>
  <c r="AL65" i="71"/>
  <c r="AL74" i="71"/>
  <c r="AL68" i="71"/>
  <c r="AL83" i="71"/>
  <c r="AL107" i="71"/>
  <c r="AL130" i="71"/>
  <c r="AL136" i="71"/>
  <c r="AL153" i="71"/>
  <c r="AL152" i="71"/>
  <c r="AK41" i="71"/>
  <c r="AK64" i="71"/>
  <c r="AK71" i="71"/>
  <c r="AK88" i="71"/>
  <c r="AK77" i="71"/>
  <c r="AK94" i="71"/>
  <c r="AK114" i="71"/>
  <c r="AK119" i="71"/>
  <c r="AK148" i="71"/>
  <c r="AK151" i="71"/>
  <c r="AJ50" i="71"/>
  <c r="AJ114" i="71"/>
  <c r="AJ72" i="71"/>
  <c r="AJ99" i="71"/>
  <c r="AJ81" i="71"/>
  <c r="AJ106" i="71"/>
  <c r="AJ122" i="71"/>
  <c r="AJ146" i="71"/>
  <c r="AJ148" i="71"/>
  <c r="AJ158" i="71"/>
  <c r="AI83" i="71"/>
  <c r="AI86" i="71"/>
  <c r="AI121" i="71"/>
  <c r="AI117" i="71"/>
  <c r="AI134" i="71"/>
  <c r="AI150" i="71"/>
  <c r="AI149" i="71"/>
  <c r="AL24" i="71"/>
  <c r="AL80" i="71"/>
  <c r="AL157" i="71"/>
  <c r="AK56" i="71"/>
  <c r="AK90" i="71"/>
  <c r="AK135" i="71"/>
  <c r="AJ56" i="71"/>
  <c r="AJ128" i="71"/>
  <c r="AI73" i="71"/>
  <c r="AI122" i="71"/>
  <c r="AM43" i="71"/>
  <c r="AM68" i="71"/>
  <c r="AM99" i="71"/>
  <c r="AM156" i="71"/>
  <c r="AL30" i="71"/>
  <c r="AL89" i="71"/>
  <c r="AL119" i="71"/>
  <c r="AL146" i="71"/>
  <c r="AK93" i="71"/>
  <c r="AK141" i="71"/>
  <c r="AJ98" i="71"/>
  <c r="AM32" i="71"/>
  <c r="AM44" i="71"/>
  <c r="AM63" i="71"/>
  <c r="AM81" i="71"/>
  <c r="AM98" i="71"/>
  <c r="AM75" i="71"/>
  <c r="AM90" i="71"/>
  <c r="AM110" i="71"/>
  <c r="AM143" i="71"/>
  <c r="AM147" i="71"/>
  <c r="AM149" i="71"/>
  <c r="AM162" i="71"/>
  <c r="AL31" i="71"/>
  <c r="AL18" i="71"/>
  <c r="AL28" i="71"/>
  <c r="AL54" i="71"/>
  <c r="AL78" i="71"/>
  <c r="AL84" i="71"/>
  <c r="AL88" i="71"/>
  <c r="AL87" i="71"/>
  <c r="AL110" i="71"/>
  <c r="AL127" i="71"/>
  <c r="AL149" i="71"/>
  <c r="AL142" i="71"/>
  <c r="AL156" i="71"/>
  <c r="AK47" i="71"/>
  <c r="AK48" i="71"/>
  <c r="AK79" i="71"/>
  <c r="AK92" i="71"/>
  <c r="AK81" i="71"/>
  <c r="AK98" i="71"/>
  <c r="AK127" i="71"/>
  <c r="AK122" i="71"/>
  <c r="AK138" i="71"/>
  <c r="AK159" i="71"/>
  <c r="AJ45" i="71"/>
  <c r="AJ43" i="71"/>
  <c r="AJ59" i="71"/>
  <c r="AJ69" i="71"/>
  <c r="AJ88" i="71"/>
  <c r="AJ95" i="71"/>
  <c r="AJ85" i="71"/>
  <c r="AJ116" i="71"/>
  <c r="AJ127" i="71"/>
  <c r="AJ139" i="71"/>
  <c r="AJ145" i="71"/>
  <c r="AJ161" i="71"/>
  <c r="AI77" i="71"/>
  <c r="AI97" i="71"/>
  <c r="AI90" i="71"/>
  <c r="AI106" i="71"/>
  <c r="AI116" i="71"/>
  <c r="AI138" i="71"/>
  <c r="AI141" i="71"/>
  <c r="AI151" i="71"/>
  <c r="AJ147" i="71"/>
  <c r="AI155" i="71"/>
  <c r="AI123" i="71"/>
  <c r="AM24" i="71"/>
  <c r="AM76" i="71"/>
  <c r="AM119" i="71"/>
  <c r="AM153" i="71"/>
  <c r="AL40" i="71"/>
  <c r="AL58" i="71"/>
  <c r="AL117" i="71"/>
  <c r="AL125" i="71"/>
  <c r="AL143" i="71"/>
  <c r="AL147" i="71"/>
  <c r="AK53" i="71"/>
  <c r="AK50" i="71"/>
  <c r="AK70" i="71"/>
  <c r="AK91" i="71"/>
  <c r="AK89" i="71"/>
  <c r="AK106" i="71"/>
  <c r="AK120" i="71"/>
  <c r="AK124" i="71"/>
  <c r="AK143" i="71"/>
  <c r="AK152" i="71"/>
  <c r="AJ41" i="71"/>
  <c r="AJ67" i="71"/>
  <c r="AJ80" i="71"/>
  <c r="AJ97" i="71"/>
  <c r="AJ100" i="71"/>
  <c r="AJ103" i="71"/>
  <c r="AJ109" i="71"/>
  <c r="AJ124" i="71"/>
  <c r="AJ133" i="71"/>
  <c r="AJ154" i="71"/>
  <c r="AJ162" i="71"/>
  <c r="AI76" i="71"/>
  <c r="AI99" i="71"/>
  <c r="AI93" i="71"/>
  <c r="AI113" i="71"/>
  <c r="AI128" i="71"/>
  <c r="AI130" i="71"/>
  <c r="AI146" i="71"/>
  <c r="AI159" i="71"/>
  <c r="AJ131" i="71"/>
  <c r="AI152" i="71"/>
  <c r="AM71" i="71"/>
  <c r="AM93" i="71"/>
  <c r="AM146" i="71"/>
  <c r="AL11" i="71"/>
  <c r="AL56" i="71"/>
  <c r="AL106" i="71"/>
  <c r="AL164" i="71"/>
  <c r="AM37" i="71"/>
  <c r="AM38" i="71"/>
  <c r="AM73" i="71"/>
  <c r="AM87" i="71"/>
  <c r="AM117" i="71"/>
  <c r="AM148" i="71"/>
  <c r="AL33" i="71"/>
  <c r="AL66" i="71"/>
  <c r="AL100" i="71"/>
  <c r="AL133" i="71"/>
  <c r="AL154" i="71"/>
  <c r="AK54" i="71"/>
  <c r="AK35" i="71"/>
  <c r="AK59" i="71"/>
  <c r="AK63" i="71"/>
  <c r="AK95" i="71"/>
  <c r="AK96" i="71"/>
  <c r="AK125" i="71"/>
  <c r="AK113" i="71"/>
  <c r="AK134" i="71"/>
  <c r="AK153" i="71"/>
  <c r="AK146" i="71"/>
  <c r="AJ40" i="71"/>
  <c r="AJ57" i="71"/>
  <c r="AJ51" i="71"/>
  <c r="AJ108" i="71"/>
  <c r="AJ74" i="71"/>
  <c r="AJ118" i="71"/>
  <c r="AJ111" i="71"/>
  <c r="AJ132" i="71"/>
  <c r="AJ137" i="71"/>
  <c r="AJ155" i="71"/>
  <c r="AI81" i="71"/>
  <c r="AI102" i="71"/>
  <c r="AI89" i="71"/>
  <c r="AI147" i="71"/>
  <c r="AI126" i="71"/>
  <c r="AI132" i="71"/>
  <c r="AI139" i="71"/>
  <c r="AI163" i="71"/>
  <c r="AJ153" i="71"/>
  <c r="AI140" i="71"/>
  <c r="AM34" i="71"/>
  <c r="AM62" i="71"/>
  <c r="AM83" i="71"/>
  <c r="AM140" i="71"/>
  <c r="AM163" i="71"/>
  <c r="AL32" i="71"/>
  <c r="AL57" i="71"/>
  <c r="AL95" i="71"/>
  <c r="AM30" i="71"/>
  <c r="AM26" i="71"/>
  <c r="AM60" i="71"/>
  <c r="AM80" i="71"/>
  <c r="AM111" i="71"/>
  <c r="AM120" i="71"/>
  <c r="AM138" i="71"/>
  <c r="AL27" i="71"/>
  <c r="AL44" i="71"/>
  <c r="AL63" i="71"/>
  <c r="AL70" i="71"/>
  <c r="AL96" i="71"/>
  <c r="AL93" i="71"/>
  <c r="AL121" i="71"/>
  <c r="AL151" i="71"/>
  <c r="AM17" i="71"/>
  <c r="AM42" i="71"/>
  <c r="AM29" i="71"/>
  <c r="AM49" i="71"/>
  <c r="AM70" i="71"/>
  <c r="AM84" i="71"/>
  <c r="AM91" i="71"/>
  <c r="AM108" i="71"/>
  <c r="AM106" i="71"/>
  <c r="AM145" i="71"/>
  <c r="AM134" i="71"/>
  <c r="AM150" i="71"/>
  <c r="AL9" i="71"/>
  <c r="AL43" i="71"/>
  <c r="AL34" i="71"/>
  <c r="AL46" i="71"/>
  <c r="AL51" i="71"/>
  <c r="AL72" i="71"/>
  <c r="AL77" i="71"/>
  <c r="AL102" i="71"/>
  <c r="AL94" i="71"/>
  <c r="AL97" i="71"/>
  <c r="AL135" i="71"/>
  <c r="AL132" i="71"/>
  <c r="AL158" i="71"/>
  <c r="AL155" i="71"/>
  <c r="AK36" i="71"/>
  <c r="AK39" i="71"/>
  <c r="AK83" i="71"/>
  <c r="AK69" i="71"/>
  <c r="AK74" i="71"/>
  <c r="AK100" i="71"/>
  <c r="AK101" i="71"/>
  <c r="AK108" i="71"/>
  <c r="AK136" i="71"/>
  <c r="AK160" i="71"/>
  <c r="AK150" i="71"/>
  <c r="AJ44" i="71"/>
  <c r="AJ61" i="71"/>
  <c r="AJ71" i="71"/>
  <c r="AJ52" i="71"/>
  <c r="AJ96" i="71"/>
  <c r="AJ78" i="71"/>
  <c r="AJ112" i="71"/>
  <c r="AJ125" i="71"/>
  <c r="AJ142" i="71"/>
  <c r="AJ140" i="71"/>
  <c r="AJ157" i="71"/>
  <c r="AI87" i="71"/>
  <c r="AI69" i="71"/>
  <c r="AI109" i="71"/>
  <c r="AI105" i="71"/>
  <c r="AI111" i="71"/>
  <c r="AI135" i="71"/>
  <c r="AI148" i="71"/>
  <c r="AI143" i="71"/>
  <c r="AI154" i="71"/>
  <c r="AM22" i="71"/>
  <c r="AM20" i="71"/>
  <c r="AM45" i="71"/>
  <c r="AM47" i="71"/>
  <c r="AM50" i="71"/>
  <c r="AM77" i="71"/>
  <c r="AM88" i="71"/>
  <c r="AM100" i="71"/>
  <c r="AM118" i="71"/>
  <c r="AM113" i="71"/>
  <c r="AM125" i="71"/>
  <c r="AM152" i="71"/>
  <c r="AM142" i="71"/>
  <c r="AL13" i="71"/>
  <c r="AL15" i="71"/>
  <c r="AL38" i="71"/>
  <c r="AL22" i="71"/>
  <c r="AL61" i="71"/>
  <c r="AL67" i="71"/>
  <c r="AL82" i="71"/>
  <c r="AL111" i="71"/>
  <c r="AL90" i="71"/>
  <c r="AL101" i="71"/>
  <c r="AL120" i="71"/>
  <c r="AL138" i="71"/>
  <c r="AL161" i="71"/>
  <c r="AL159" i="71"/>
  <c r="AK38" i="71"/>
  <c r="AK40" i="71"/>
  <c r="AK43" i="71"/>
  <c r="AK66" i="71"/>
  <c r="AK75" i="71"/>
  <c r="AK78" i="71"/>
  <c r="AK104" i="71"/>
  <c r="AK105" i="71"/>
  <c r="AK112" i="71"/>
  <c r="AK132" i="71"/>
  <c r="AK142" i="71"/>
  <c r="AK164" i="71"/>
  <c r="AJ62" i="71"/>
  <c r="AJ76" i="71"/>
  <c r="AJ53" i="71"/>
  <c r="AJ104" i="71"/>
  <c r="AJ82" i="71"/>
  <c r="AJ110" i="71"/>
  <c r="AJ113" i="71"/>
  <c r="AJ138" i="71"/>
  <c r="AJ143" i="71"/>
  <c r="AJ141" i="71"/>
  <c r="AI84" i="71"/>
  <c r="AI68" i="71"/>
  <c r="AI95" i="71"/>
  <c r="AI103" i="71"/>
  <c r="AI96" i="71"/>
  <c r="AI120" i="71"/>
  <c r="AI127" i="71"/>
  <c r="AI153" i="71"/>
  <c r="AI158" i="71"/>
  <c r="AM35" i="71"/>
  <c r="AM23" i="71"/>
  <c r="AM52" i="71"/>
  <c r="AM58" i="71"/>
  <c r="AM57" i="71"/>
  <c r="AM104" i="71"/>
  <c r="AM94" i="71"/>
  <c r="AM121" i="71"/>
  <c r="AM122" i="71"/>
  <c r="AM131" i="71"/>
  <c r="AM151" i="71"/>
  <c r="AL8" i="71"/>
  <c r="AL25" i="71"/>
  <c r="AL20" i="71"/>
  <c r="AL29" i="71"/>
  <c r="AL64" i="71"/>
  <c r="AL86" i="71"/>
  <c r="AL69" i="71"/>
  <c r="AL99" i="71"/>
  <c r="AL114" i="71"/>
  <c r="AL109" i="71"/>
  <c r="AL129" i="71"/>
  <c r="AL128" i="71"/>
  <c r="AK46" i="71"/>
  <c r="AK51" i="71"/>
  <c r="AK57" i="71"/>
  <c r="AK116" i="71"/>
  <c r="AK86" i="71"/>
  <c r="AK99" i="71"/>
  <c r="AK133" i="71"/>
  <c r="AK121" i="71"/>
  <c r="AK129" i="71"/>
  <c r="AK147" i="71"/>
  <c r="AJ46" i="71"/>
  <c r="AJ58" i="71"/>
  <c r="AJ55" i="71"/>
  <c r="AJ79" i="71"/>
  <c r="AJ90" i="71"/>
  <c r="AJ120" i="71"/>
  <c r="AJ121" i="71"/>
  <c r="AJ129" i="71"/>
  <c r="AJ160" i="71"/>
  <c r="AI70" i="71"/>
  <c r="AI85" i="71"/>
  <c r="AI110" i="71"/>
  <c r="AI129" i="71"/>
  <c r="AI104" i="71"/>
  <c r="AI119" i="71"/>
  <c r="AI142" i="71"/>
  <c r="AL54" i="61"/>
  <c r="O19" i="72"/>
  <c r="AL16" i="61"/>
  <c r="O56" i="72"/>
  <c r="O88" i="72"/>
  <c r="O77" i="72"/>
  <c r="AL19" i="61"/>
  <c r="AL71" i="61"/>
  <c r="O52" i="72"/>
  <c r="O92" i="72"/>
  <c r="AL91" i="61"/>
  <c r="O58" i="72"/>
  <c r="AL8" i="61"/>
  <c r="AL79" i="61"/>
  <c r="AL59" i="61"/>
  <c r="AL60" i="61"/>
  <c r="O68" i="72"/>
  <c r="AL56" i="61"/>
  <c r="O49" i="72"/>
  <c r="AL31" i="61"/>
  <c r="AL97" i="61"/>
  <c r="O90" i="72"/>
  <c r="O91" i="72"/>
  <c r="O13" i="72"/>
  <c r="O87" i="72"/>
  <c r="O30" i="72"/>
  <c r="AL12" i="61"/>
  <c r="AL21" i="61"/>
  <c r="O73" i="72"/>
  <c r="AL67" i="61"/>
  <c r="O69" i="72"/>
  <c r="AL40" i="61"/>
  <c r="AL95" i="61"/>
  <c r="O15" i="72"/>
  <c r="AL33" i="61"/>
  <c r="AL96" i="61"/>
  <c r="AL22" i="61"/>
  <c r="AL64" i="61"/>
  <c r="AL75" i="61"/>
  <c r="O31" i="72"/>
  <c r="O89" i="72"/>
  <c r="AL55" i="61"/>
  <c r="AL52" i="61"/>
  <c r="AL41" i="61"/>
  <c r="AL47" i="61"/>
  <c r="AL93" i="61"/>
  <c r="O38" i="72"/>
  <c r="AL28" i="61"/>
  <c r="O39" i="72"/>
  <c r="AL88" i="61"/>
  <c r="AL7" i="61"/>
  <c r="AL50" i="61"/>
  <c r="AL65" i="61"/>
  <c r="O70" i="72"/>
  <c r="O17" i="72"/>
  <c r="O36" i="72"/>
  <c r="O76" i="72"/>
  <c r="AL78" i="61"/>
  <c r="AL32" i="61"/>
  <c r="AL9" i="61"/>
  <c r="AL11" i="61"/>
  <c r="O96" i="72"/>
  <c r="AL34" i="61"/>
  <c r="AL15" i="61"/>
  <c r="AL86" i="61"/>
  <c r="AL37" i="61"/>
  <c r="AL69" i="61"/>
  <c r="O94" i="72"/>
  <c r="O18" i="72"/>
  <c r="O57" i="72"/>
  <c r="AL38" i="61"/>
  <c r="AL46" i="61"/>
  <c r="AL85" i="61"/>
  <c r="O55" i="72"/>
  <c r="AL90" i="61"/>
  <c r="AL92" i="61"/>
  <c r="AL58" i="61"/>
  <c r="O35" i="72"/>
  <c r="AL29" i="61"/>
  <c r="AL68" i="61"/>
  <c r="AL49" i="61"/>
  <c r="AL39" i="61"/>
  <c r="AL98" i="61"/>
  <c r="AL73" i="61"/>
  <c r="AL27" i="61"/>
  <c r="AJ20" i="61"/>
  <c r="AL84" i="61"/>
  <c r="AL18" i="61"/>
  <c r="AL66" i="61"/>
  <c r="AL10" i="61"/>
  <c r="O51" i="72"/>
  <c r="AL83" i="61"/>
  <c r="O54" i="72"/>
  <c r="O72" i="72"/>
  <c r="O34" i="72"/>
  <c r="O32" i="72"/>
  <c r="O74" i="72"/>
  <c r="O95" i="72"/>
  <c r="O93" i="72"/>
  <c r="O20" i="72"/>
  <c r="O37" i="72"/>
  <c r="AL74" i="61"/>
  <c r="O50" i="72"/>
  <c r="O53" i="72"/>
  <c r="AL57" i="61"/>
  <c r="AL70" i="61"/>
  <c r="AL51" i="61"/>
  <c r="AL53" i="61"/>
  <c r="O12" i="72"/>
  <c r="O33" i="72"/>
  <c r="AL94" i="61"/>
  <c r="AL30" i="61"/>
  <c r="AL20" i="61"/>
  <c r="AL89" i="61"/>
  <c r="AL17" i="61"/>
  <c r="AL13" i="61"/>
  <c r="AL72" i="61"/>
  <c r="AL45" i="61"/>
  <c r="O16" i="72"/>
  <c r="O71" i="72"/>
  <c r="AL26" i="61"/>
  <c r="AL36" i="61"/>
  <c r="AL48" i="61"/>
  <c r="AL77" i="61"/>
  <c r="O11" i="72"/>
  <c r="O75" i="72"/>
  <c r="O14" i="72"/>
  <c r="AL14" i="61"/>
  <c r="AL35" i="61"/>
  <c r="AL76" i="61"/>
  <c r="AL87" i="61"/>
  <c r="AA143" i="64" l="1"/>
  <c r="AA142" i="64" s="1"/>
  <c r="AA141" i="64" s="1"/>
  <c r="AA140" i="64" s="1"/>
  <c r="AA139" i="64" s="1"/>
  <c r="AA138" i="64" s="1"/>
  <c r="AA137" i="64" s="1"/>
  <c r="AA136" i="64" s="1"/>
  <c r="AA135" i="64" s="1"/>
  <c r="AA134" i="64" s="1"/>
  <c r="D19" i="64"/>
  <c r="I18" i="64"/>
  <c r="BT128" i="71"/>
  <c r="BJ160" i="71"/>
  <c r="BT110" i="71"/>
  <c r="BO151" i="71"/>
  <c r="BT113" i="71"/>
  <c r="BT87" i="71"/>
  <c r="BJ50" i="71"/>
  <c r="BT28" i="71"/>
  <c r="BT149" i="71"/>
  <c r="BT141" i="71"/>
  <c r="BO139" i="71"/>
  <c r="BO107" i="71"/>
  <c r="BT88" i="71"/>
  <c r="BT163" i="71"/>
  <c r="BT144" i="71"/>
  <c r="BO119" i="71"/>
  <c r="BJ153" i="71"/>
  <c r="BO143" i="71"/>
  <c r="BT73" i="71"/>
  <c r="BJ59" i="71"/>
  <c r="BJ30" i="71"/>
  <c r="BJ146" i="71"/>
  <c r="BT135" i="71"/>
  <c r="BO159" i="71"/>
  <c r="BO122" i="71"/>
  <c r="BT117" i="71"/>
  <c r="BT10" i="71"/>
  <c r="BT158" i="71"/>
  <c r="BT133" i="71"/>
  <c r="BT61" i="71"/>
  <c r="BT126" i="71"/>
  <c r="BJ137" i="71"/>
  <c r="BO80" i="71"/>
  <c r="BO13" i="71"/>
  <c r="BT27" i="71"/>
  <c r="BT156" i="71"/>
  <c r="BT53" i="71"/>
  <c r="BJ140" i="71"/>
  <c r="BO114" i="71"/>
  <c r="BO41" i="71"/>
  <c r="BJ56" i="71"/>
  <c r="BJ152" i="71"/>
  <c r="BT16" i="71"/>
  <c r="BO138" i="71"/>
  <c r="BT111" i="71"/>
  <c r="BO78" i="71"/>
  <c r="BT22" i="71"/>
  <c r="BO19" i="71"/>
  <c r="BO15" i="71"/>
  <c r="BT23" i="71"/>
  <c r="BT148" i="71"/>
  <c r="BT131" i="71"/>
  <c r="BT24" i="71"/>
  <c r="BT39" i="71"/>
  <c r="BJ14" i="71"/>
  <c r="BJ162" i="71"/>
  <c r="BO21" i="71"/>
  <c r="BT157" i="71"/>
  <c r="BT124" i="71"/>
  <c r="BJ77" i="71"/>
  <c r="BT57" i="71"/>
  <c r="BO26" i="71"/>
  <c r="BT32" i="71"/>
  <c r="BJ17" i="71"/>
  <c r="BT89" i="71"/>
  <c r="BT155" i="71"/>
  <c r="BO90" i="71"/>
  <c r="BT46" i="71"/>
  <c r="BT49" i="71"/>
  <c r="BT18" i="71"/>
  <c r="BO36" i="71"/>
  <c r="BT72" i="71"/>
  <c r="BT130" i="71"/>
  <c r="BT106" i="71"/>
  <c r="BJ58" i="71"/>
  <c r="BT34" i="71"/>
  <c r="BO29" i="71"/>
  <c r="BT48" i="71"/>
  <c r="BO25" i="71"/>
  <c r="BT150" i="71"/>
  <c r="BO108" i="71"/>
  <c r="BJ82" i="71"/>
  <c r="BT43" i="71"/>
  <c r="BT62" i="71"/>
  <c r="BO33" i="71"/>
  <c r="BO7" i="71"/>
  <c r="BJ142" i="71"/>
  <c r="BT121" i="71"/>
  <c r="BT65" i="71"/>
  <c r="BT67" i="71"/>
  <c r="BO38" i="71"/>
  <c r="BT42" i="71"/>
  <c r="BO8" i="71"/>
  <c r="BJ129" i="71"/>
  <c r="BT60" i="71"/>
  <c r="BT63" i="71"/>
  <c r="BT96" i="71"/>
  <c r="BT64" i="71"/>
  <c r="BT37" i="71"/>
  <c r="BT161" i="71"/>
  <c r="BT127" i="71"/>
  <c r="BT86" i="71"/>
  <c r="BT52" i="71"/>
  <c r="BT79" i="71"/>
  <c r="BT84" i="71"/>
  <c r="BO31" i="71"/>
  <c r="BT154" i="71"/>
  <c r="BT97" i="71"/>
  <c r="BT69" i="71"/>
  <c r="BJ93" i="71"/>
  <c r="BT68" i="71"/>
  <c r="BT40" i="71"/>
  <c r="BT45" i="71"/>
  <c r="BT136" i="71"/>
  <c r="BT81" i="71"/>
  <c r="BT71" i="71"/>
  <c r="BT76" i="71"/>
  <c r="BT54" i="71"/>
  <c r="BO20" i="71"/>
  <c r="BO12" i="71"/>
  <c r="BT104" i="71"/>
  <c r="BT66" i="71"/>
  <c r="BO116" i="71"/>
  <c r="BO83" i="71"/>
  <c r="BJ47" i="71"/>
  <c r="BT11" i="71"/>
  <c r="BT145" i="71"/>
  <c r="BT109" i="71"/>
  <c r="BT85" i="71"/>
  <c r="BT112" i="71"/>
  <c r="BJ91" i="71"/>
  <c r="BT70" i="71"/>
  <c r="BT74" i="71"/>
  <c r="BT105" i="71"/>
  <c r="BT101" i="71"/>
  <c r="BJ118" i="71"/>
  <c r="BT100" i="71"/>
  <c r="BO51" i="71"/>
  <c r="BT9" i="71"/>
  <c r="BJ164" i="71"/>
  <c r="BT95" i="71"/>
  <c r="BT123" i="71"/>
  <c r="BT103" i="71"/>
  <c r="BT94" i="71"/>
  <c r="BT55" i="71"/>
  <c r="BT92" i="71"/>
  <c r="BJ125" i="71"/>
  <c r="BJ120" i="71"/>
  <c r="BT147" i="71"/>
  <c r="BT98" i="71"/>
  <c r="BT75" i="71"/>
  <c r="BO44" i="71"/>
  <c r="BO35" i="71"/>
  <c r="BO134" i="71"/>
  <c r="BO99" i="71"/>
  <c r="BJ132" i="71"/>
  <c r="BT115" i="71"/>
  <c r="BJ102" i="71"/>
  <c r="BO132" i="71"/>
  <c r="BT114" i="71"/>
  <c r="BO146" i="71"/>
  <c r="BT99" i="71"/>
  <c r="BT30" i="71"/>
  <c r="BO59" i="71"/>
  <c r="BO57" i="71"/>
  <c r="BO124" i="71"/>
  <c r="BJ89" i="71"/>
  <c r="BO89" i="71"/>
  <c r="BO32" i="71"/>
  <c r="BJ21" i="71"/>
  <c r="BT58" i="71"/>
  <c r="BJ117" i="71"/>
  <c r="BO102" i="71"/>
  <c r="BO147" i="71"/>
  <c r="BJ155" i="71"/>
  <c r="BO77" i="71"/>
  <c r="BO155" i="71"/>
  <c r="BJ32" i="71"/>
  <c r="BT77" i="71"/>
  <c r="BT21" i="71"/>
  <c r="BJ26" i="71"/>
  <c r="BT35" i="71"/>
  <c r="BT102" i="71"/>
  <c r="BT26" i="71"/>
  <c r="BT17" i="71"/>
  <c r="BO17" i="71"/>
  <c r="BJ124" i="71"/>
  <c r="BO24" i="71"/>
  <c r="BJ122" i="71"/>
  <c r="BJ135" i="71"/>
  <c r="BT59" i="71"/>
  <c r="BJ159" i="71"/>
  <c r="BT159" i="71"/>
  <c r="BO153" i="71"/>
  <c r="BT146" i="71"/>
  <c r="BO30" i="71"/>
  <c r="BO162" i="71"/>
  <c r="BT162" i="71"/>
  <c r="BT14" i="71"/>
  <c r="BO14" i="71"/>
  <c r="BJ115" i="71"/>
  <c r="BJ44" i="71"/>
  <c r="BO115" i="71"/>
  <c r="BT44" i="71"/>
  <c r="BT119" i="71"/>
  <c r="BO120" i="71"/>
  <c r="BO48" i="71"/>
  <c r="BT134" i="71"/>
  <c r="BT132" i="71"/>
  <c r="BO75" i="71"/>
  <c r="BJ35" i="71"/>
  <c r="BJ99" i="71"/>
  <c r="BJ149" i="71"/>
  <c r="BO73" i="71"/>
  <c r="BT153" i="71"/>
  <c r="BJ147" i="71"/>
  <c r="BJ73" i="71"/>
  <c r="BJ143" i="71"/>
  <c r="BT143" i="71"/>
  <c r="BT122" i="71"/>
  <c r="BO135" i="71"/>
  <c r="BO117" i="71"/>
  <c r="BO28" i="71"/>
  <c r="BT139" i="71"/>
  <c r="BJ98" i="71"/>
  <c r="BJ75" i="71"/>
  <c r="BT120" i="71"/>
  <c r="BJ39" i="71"/>
  <c r="BT140" i="71"/>
  <c r="BT129" i="71"/>
  <c r="BJ57" i="71"/>
  <c r="BJ24" i="71"/>
  <c r="BJ27" i="71"/>
  <c r="BO110" i="71"/>
  <c r="BJ157" i="71"/>
  <c r="BO157" i="71"/>
  <c r="BJ37" i="71"/>
  <c r="BJ144" i="71"/>
  <c r="BJ87" i="71"/>
  <c r="BO144" i="71"/>
  <c r="BO125" i="71"/>
  <c r="BT151" i="71"/>
  <c r="BJ119" i="71"/>
  <c r="BT125" i="71"/>
  <c r="BO39" i="71"/>
  <c r="BO92" i="71"/>
  <c r="BO156" i="71"/>
  <c r="BJ114" i="71"/>
  <c r="BO140" i="71"/>
  <c r="BO137" i="71"/>
  <c r="BJ46" i="71"/>
  <c r="BT137" i="71"/>
  <c r="BJ156" i="71"/>
  <c r="BO27" i="71"/>
  <c r="BT13" i="71"/>
  <c r="BJ80" i="71"/>
  <c r="BJ13" i="71"/>
  <c r="BJ133" i="71"/>
  <c r="BJ158" i="71"/>
  <c r="BO10" i="71"/>
  <c r="BJ53" i="71"/>
  <c r="BT80" i="71"/>
  <c r="BO61" i="71"/>
  <c r="BO133" i="71"/>
  <c r="BO158" i="71"/>
  <c r="BJ10" i="71"/>
  <c r="BO53" i="71"/>
  <c r="BJ61" i="71"/>
  <c r="BJ126" i="71"/>
  <c r="BO126" i="71"/>
  <c r="BJ106" i="71"/>
  <c r="BO163" i="71"/>
  <c r="BJ92" i="71"/>
  <c r="BJ163" i="71"/>
  <c r="BO93" i="71"/>
  <c r="BT152" i="71"/>
  <c r="BT78" i="71"/>
  <c r="BT138" i="71"/>
  <c r="BO74" i="71"/>
  <c r="BO98" i="71"/>
  <c r="BJ41" i="71"/>
  <c r="BJ134" i="71"/>
  <c r="BO55" i="71"/>
  <c r="BO91" i="71"/>
  <c r="BJ83" i="71"/>
  <c r="BT118" i="71"/>
  <c r="BO37" i="71"/>
  <c r="BJ63" i="71"/>
  <c r="BJ60" i="71"/>
  <c r="BO63" i="71"/>
  <c r="BO60" i="71"/>
  <c r="BO127" i="71"/>
  <c r="BJ127" i="71"/>
  <c r="BJ79" i="71"/>
  <c r="BJ161" i="71"/>
  <c r="BJ96" i="71"/>
  <c r="BO79" i="71"/>
  <c r="BO161" i="71"/>
  <c r="BO96" i="71"/>
  <c r="BJ86" i="71"/>
  <c r="BO64" i="71"/>
  <c r="BJ31" i="71"/>
  <c r="BJ84" i="71"/>
  <c r="BO86" i="71"/>
  <c r="BJ64" i="71"/>
  <c r="BT31" i="71"/>
  <c r="BO84" i="71"/>
  <c r="BO52" i="71"/>
  <c r="BO129" i="71"/>
  <c r="BJ52" i="71"/>
  <c r="BJ110" i="71"/>
  <c r="BO160" i="71"/>
  <c r="BJ107" i="71"/>
  <c r="BJ139" i="71"/>
  <c r="BO50" i="71"/>
  <c r="BT160" i="71"/>
  <c r="BT107" i="71"/>
  <c r="BT50" i="71"/>
  <c r="BJ151" i="71"/>
  <c r="BO87" i="71"/>
  <c r="BJ28" i="71"/>
  <c r="BO149" i="71"/>
  <c r="BJ113" i="71"/>
  <c r="BJ141" i="71"/>
  <c r="BO47" i="71"/>
  <c r="BJ128" i="71"/>
  <c r="BO113" i="71"/>
  <c r="BO88" i="71"/>
  <c r="BO141" i="71"/>
  <c r="BO128" i="71"/>
  <c r="BJ12" i="71"/>
  <c r="BJ88" i="71"/>
  <c r="BO152" i="71"/>
  <c r="BT41" i="71"/>
  <c r="BJ111" i="71"/>
  <c r="BJ23" i="71"/>
  <c r="BO111" i="71"/>
  <c r="BJ19" i="71"/>
  <c r="BJ148" i="71"/>
  <c r="BO23" i="71"/>
  <c r="BT19" i="71"/>
  <c r="BO148" i="71"/>
  <c r="BJ15" i="71"/>
  <c r="BT15" i="71"/>
  <c r="BJ16" i="71"/>
  <c r="BO56" i="71"/>
  <c r="BO16" i="71"/>
  <c r="BJ131" i="71"/>
  <c r="BJ22" i="71"/>
  <c r="BT56" i="71"/>
  <c r="BO131" i="71"/>
  <c r="BO22" i="71"/>
  <c r="BJ138" i="71"/>
  <c r="BJ78" i="71"/>
  <c r="BT90" i="71"/>
  <c r="BJ48" i="71"/>
  <c r="BO58" i="71"/>
  <c r="BO46" i="71"/>
  <c r="BO106" i="71"/>
  <c r="BJ36" i="71"/>
  <c r="BJ150" i="71"/>
  <c r="BO49" i="71"/>
  <c r="BT36" i="71"/>
  <c r="BO150" i="71"/>
  <c r="BJ25" i="71"/>
  <c r="BO130" i="71"/>
  <c r="BJ34" i="71"/>
  <c r="BJ18" i="71"/>
  <c r="BJ49" i="71"/>
  <c r="BT25" i="71"/>
  <c r="BJ130" i="71"/>
  <c r="BJ29" i="71"/>
  <c r="BO34" i="71"/>
  <c r="BO18" i="71"/>
  <c r="BT29" i="71"/>
  <c r="BJ72" i="71"/>
  <c r="BO72" i="71"/>
  <c r="BJ90" i="71"/>
  <c r="BJ121" i="71"/>
  <c r="BT82" i="71"/>
  <c r="BT142" i="71"/>
  <c r="BO43" i="71"/>
  <c r="BO82" i="71"/>
  <c r="BO142" i="71"/>
  <c r="BT108" i="71"/>
  <c r="BT33" i="71"/>
  <c r="BJ65" i="71"/>
  <c r="BO121" i="71"/>
  <c r="BJ62" i="71"/>
  <c r="BO65" i="71"/>
  <c r="BO62" i="71"/>
  <c r="BO42" i="71"/>
  <c r="BJ38" i="71"/>
  <c r="BJ7" i="71"/>
  <c r="BJ42" i="71"/>
  <c r="BT38" i="71"/>
  <c r="BT7" i="71"/>
  <c r="BJ8" i="71"/>
  <c r="BT8" i="71"/>
  <c r="BJ67" i="71"/>
  <c r="BJ43" i="71"/>
  <c r="BJ108" i="71"/>
  <c r="BO67" i="71"/>
  <c r="BJ33" i="71"/>
  <c r="BJ105" i="71"/>
  <c r="BO94" i="71"/>
  <c r="BT51" i="71"/>
  <c r="BJ101" i="71"/>
  <c r="BO105" i="71"/>
  <c r="BJ94" i="71"/>
  <c r="BJ103" i="71"/>
  <c r="BJ95" i="71"/>
  <c r="BO101" i="71"/>
  <c r="BO103" i="71"/>
  <c r="BO95" i="71"/>
  <c r="BJ9" i="71"/>
  <c r="BJ100" i="71"/>
  <c r="BO9" i="71"/>
  <c r="BO118" i="71"/>
  <c r="BO100" i="71"/>
  <c r="BJ74" i="71"/>
  <c r="BJ55" i="71"/>
  <c r="BO164" i="71"/>
  <c r="BJ123" i="71"/>
  <c r="BT164" i="71"/>
  <c r="BJ51" i="71"/>
  <c r="BO123" i="71"/>
  <c r="BT83" i="71"/>
  <c r="BJ66" i="71"/>
  <c r="BT47" i="71"/>
  <c r="BT12" i="71"/>
  <c r="BT91" i="71"/>
  <c r="BT116" i="71"/>
  <c r="BO66" i="71"/>
  <c r="BJ11" i="71"/>
  <c r="BJ116" i="71"/>
  <c r="BO109" i="71"/>
  <c r="BO11" i="71"/>
  <c r="BJ109" i="71"/>
  <c r="BO70" i="71"/>
  <c r="BO145" i="71"/>
  <c r="BJ70" i="71"/>
  <c r="BJ112" i="71"/>
  <c r="BO85" i="71"/>
  <c r="BJ145" i="71"/>
  <c r="BO104" i="71"/>
  <c r="BO112" i="71"/>
  <c r="BJ85" i="71"/>
  <c r="BJ104" i="71"/>
  <c r="BT93" i="71"/>
  <c r="BO97" i="71"/>
  <c r="BJ154" i="71"/>
  <c r="BJ40" i="71"/>
  <c r="BJ45" i="71"/>
  <c r="BJ97" i="71"/>
  <c r="BO154" i="71"/>
  <c r="BJ54" i="71"/>
  <c r="BO40" i="71"/>
  <c r="BO45" i="71"/>
  <c r="BO54" i="71"/>
  <c r="BJ136" i="71"/>
  <c r="BO136" i="71"/>
  <c r="BJ69" i="71"/>
  <c r="BJ20" i="71"/>
  <c r="BO76" i="71"/>
  <c r="BJ81" i="71"/>
  <c r="BO69" i="71"/>
  <c r="BT20" i="71"/>
  <c r="BJ76" i="71"/>
  <c r="BO81" i="71"/>
  <c r="BJ68" i="71"/>
  <c r="BJ71" i="71"/>
  <c r="BO68" i="71"/>
  <c r="BO71" i="71"/>
  <c r="AM67" i="61"/>
  <c r="AN67" i="61" s="1"/>
  <c r="AM26" i="61"/>
  <c r="AN26" i="61" s="1"/>
  <c r="AM28" i="61"/>
  <c r="AN28" i="61" s="1"/>
  <c r="AM47" i="61"/>
  <c r="AN47" i="61" s="1"/>
  <c r="AM66" i="61"/>
  <c r="AN66" i="61" s="1"/>
  <c r="AM85" i="61"/>
  <c r="AN85" i="61" s="1"/>
  <c r="AM65" i="61"/>
  <c r="AN65" i="61" s="1"/>
  <c r="AM83" i="61"/>
  <c r="AN83" i="61" s="1"/>
  <c r="AM64" i="61"/>
  <c r="AN64" i="61" s="1"/>
  <c r="AM27" i="61"/>
  <c r="AN27" i="61" s="1"/>
  <c r="AM84" i="61"/>
  <c r="AN84" i="61" s="1"/>
  <c r="AM46" i="61"/>
  <c r="AN46" i="61" s="1"/>
  <c r="AM45" i="61"/>
  <c r="AN45" i="61" s="1"/>
  <c r="AK87" i="61"/>
  <c r="AM86" i="61"/>
  <c r="AN86" i="61" s="1"/>
  <c r="AK30" i="61"/>
  <c r="AM29" i="61"/>
  <c r="AN29" i="61" s="1"/>
  <c r="AK69" i="61"/>
  <c r="AM68" i="61"/>
  <c r="AN68" i="61" s="1"/>
  <c r="AK49" i="61"/>
  <c r="AM48" i="61"/>
  <c r="AN48" i="61" s="1"/>
  <c r="E50" i="63"/>
  <c r="F50" i="63"/>
  <c r="G50" i="63"/>
  <c r="Z19" i="61"/>
  <c r="AR11" i="61"/>
  <c r="AA9" i="61"/>
  <c r="AB17" i="61"/>
  <c r="AB15" i="61"/>
  <c r="AA19" i="61"/>
  <c r="AR17" i="61"/>
  <c r="Z18" i="61"/>
  <c r="Z14" i="61"/>
  <c r="AR22" i="61"/>
  <c r="AB11" i="61"/>
  <c r="AR9" i="61"/>
  <c r="AB19" i="61"/>
  <c r="AA14" i="61"/>
  <c r="AR18" i="61"/>
  <c r="AB9" i="61"/>
  <c r="Z11" i="61"/>
  <c r="AB16" i="61"/>
  <c r="AR15" i="61"/>
  <c r="AR21" i="61"/>
  <c r="AR10" i="61"/>
  <c r="AB12" i="61"/>
  <c r="Z7" i="61"/>
  <c r="AB14" i="61"/>
  <c r="AB22" i="61"/>
  <c r="AB18" i="61"/>
  <c r="AA17" i="61"/>
  <c r="AB13" i="61"/>
  <c r="Z8" i="61"/>
  <c r="AR7" i="61"/>
  <c r="Z12" i="61"/>
  <c r="AA18" i="61"/>
  <c r="AA16" i="61"/>
  <c r="AJ19" i="61"/>
  <c r="AB20" i="61"/>
  <c r="AB8" i="61"/>
  <c r="AR13" i="61"/>
  <c r="Z15" i="61"/>
  <c r="AR14" i="61"/>
  <c r="AR12" i="61"/>
  <c r="Z20" i="61"/>
  <c r="AA8" i="61"/>
  <c r="AA15" i="61"/>
  <c r="AA10" i="61"/>
  <c r="Z10" i="61"/>
  <c r="AB7" i="61"/>
  <c r="Z22" i="61"/>
  <c r="AA22" i="61"/>
  <c r="AR8" i="61"/>
  <c r="Z13" i="61"/>
  <c r="AA13" i="61"/>
  <c r="AA20" i="61"/>
  <c r="AA21" i="61"/>
  <c r="AB21" i="61"/>
  <c r="AA12" i="61"/>
  <c r="AR19" i="61"/>
  <c r="Z16" i="61"/>
  <c r="AR16" i="61"/>
  <c r="AA7" i="61"/>
  <c r="Z17" i="61"/>
  <c r="AB10" i="61"/>
  <c r="Z21" i="61"/>
  <c r="AA11" i="61"/>
  <c r="AR20" i="61"/>
  <c r="Z9" i="61"/>
  <c r="AA133" i="64" l="1"/>
  <c r="AA132" i="64" s="1"/>
  <c r="AA131" i="64" s="1"/>
  <c r="AA130" i="64" s="1"/>
  <c r="AA129" i="64" s="1"/>
  <c r="AA128" i="64" s="1"/>
  <c r="AA127" i="64" s="1"/>
  <c r="AA126" i="64" s="1"/>
  <c r="AA125" i="64" s="1"/>
  <c r="AA124" i="64" s="1"/>
  <c r="D20" i="64"/>
  <c r="I19" i="64"/>
  <c r="AS21" i="61"/>
  <c r="O34" i="60" s="1"/>
  <c r="AS18" i="61"/>
  <c r="O31" i="60" s="1"/>
  <c r="AS8" i="61"/>
  <c r="AS19" i="61"/>
  <c r="O32" i="60" s="1"/>
  <c r="AS11" i="61"/>
  <c r="AS9" i="61"/>
  <c r="AS14" i="61"/>
  <c r="O27" i="60" s="1"/>
  <c r="AS17" i="61"/>
  <c r="O30" i="60" s="1"/>
  <c r="AS20" i="61"/>
  <c r="O33" i="60" s="1"/>
  <c r="AS15" i="61"/>
  <c r="O28" i="60" s="1"/>
  <c r="AS10" i="61"/>
  <c r="AS22" i="61"/>
  <c r="O35" i="60" s="1"/>
  <c r="AS12" i="61"/>
  <c r="AS13" i="61"/>
  <c r="O26" i="60" s="1"/>
  <c r="AS16" i="61"/>
  <c r="O29" i="60" s="1"/>
  <c r="AS7" i="61"/>
  <c r="AF15" i="61"/>
  <c r="G28" i="60" s="1"/>
  <c r="M28" i="60" s="1"/>
  <c r="AF21" i="61"/>
  <c r="G34" i="60" s="1"/>
  <c r="K34" i="60" s="1"/>
  <c r="AF11" i="61"/>
  <c r="AF14" i="61"/>
  <c r="G27" i="60" s="1"/>
  <c r="M27" i="60" s="1"/>
  <c r="AF20" i="61"/>
  <c r="G33" i="60" s="1"/>
  <c r="K33" i="60" s="1"/>
  <c r="AD22" i="61"/>
  <c r="E35" i="60" s="1"/>
  <c r="AF12" i="61"/>
  <c r="AF13" i="61"/>
  <c r="G26" i="60" s="1"/>
  <c r="M26" i="60" s="1"/>
  <c r="AF16" i="61"/>
  <c r="G29" i="60" s="1"/>
  <c r="AF17" i="61"/>
  <c r="G30" i="60" s="1"/>
  <c r="K30" i="60" s="1"/>
  <c r="AF9" i="61"/>
  <c r="AD18" i="61"/>
  <c r="E31" i="60" s="1"/>
  <c r="AE8" i="61"/>
  <c r="AF19" i="61"/>
  <c r="G32" i="60" s="1"/>
  <c r="K32" i="60" s="1"/>
  <c r="AF10" i="61"/>
  <c r="AE17" i="61"/>
  <c r="F30" i="60" s="1"/>
  <c r="J30" i="60" s="1"/>
  <c r="AE19" i="61"/>
  <c r="F32" i="60" s="1"/>
  <c r="J32" i="60" s="1"/>
  <c r="AF18" i="61"/>
  <c r="G31" i="60" s="1"/>
  <c r="K31" i="60" s="1"/>
  <c r="AE18" i="61"/>
  <c r="F31" i="60" s="1"/>
  <c r="J31" i="60" s="1"/>
  <c r="AD17" i="61"/>
  <c r="E30" i="60" s="1"/>
  <c r="AD19" i="61"/>
  <c r="E32" i="60" s="1"/>
  <c r="AE13" i="61"/>
  <c r="F26" i="60" s="1"/>
  <c r="J26" i="60" s="1"/>
  <c r="AD8" i="61"/>
  <c r="AF8" i="61"/>
  <c r="AD9" i="61"/>
  <c r="AE9" i="61"/>
  <c r="AO28" i="61"/>
  <c r="AO48" i="61"/>
  <c r="AO86" i="61"/>
  <c r="AO66" i="61"/>
  <c r="AO67" i="61"/>
  <c r="AO68" i="61"/>
  <c r="AO46" i="61"/>
  <c r="AO27" i="61"/>
  <c r="AO85" i="61"/>
  <c r="AO83" i="61"/>
  <c r="AO64" i="61"/>
  <c r="AO45" i="61"/>
  <c r="AO65" i="61"/>
  <c r="AO29" i="61"/>
  <c r="AO26" i="61"/>
  <c r="AO84" i="61"/>
  <c r="AO47" i="61"/>
  <c r="AD12" i="61"/>
  <c r="AE12" i="61"/>
  <c r="AD15" i="61"/>
  <c r="E28" i="60" s="1"/>
  <c r="AF22" i="61"/>
  <c r="G35" i="60" s="1"/>
  <c r="K35" i="60" s="1"/>
  <c r="AE22" i="61"/>
  <c r="F35" i="60" s="1"/>
  <c r="J35" i="60" s="1"/>
  <c r="AD13" i="61"/>
  <c r="E26" i="60" s="1"/>
  <c r="AE15" i="61"/>
  <c r="F28" i="60" s="1"/>
  <c r="J28" i="60" s="1"/>
  <c r="AE16" i="61"/>
  <c r="F29" i="60" s="1"/>
  <c r="J29" i="60" s="1"/>
  <c r="AD16" i="61"/>
  <c r="E29" i="60" s="1"/>
  <c r="AE20" i="61"/>
  <c r="F33" i="60" s="1"/>
  <c r="J33" i="60" s="1"/>
  <c r="AD20" i="61"/>
  <c r="E33" i="60" s="1"/>
  <c r="AE14" i="61"/>
  <c r="F27" i="60" s="1"/>
  <c r="J27" i="60" s="1"/>
  <c r="AD14" i="61"/>
  <c r="E27" i="60" s="1"/>
  <c r="AD10" i="61"/>
  <c r="AD11" i="61"/>
  <c r="AE11" i="61"/>
  <c r="AD21" i="61"/>
  <c r="E34" i="60" s="1"/>
  <c r="AE21" i="61"/>
  <c r="F34" i="60" s="1"/>
  <c r="J34" i="60" s="1"/>
  <c r="AE10" i="61"/>
  <c r="AK50" i="61"/>
  <c r="AM49" i="61"/>
  <c r="AK70" i="61"/>
  <c r="AM69" i="61"/>
  <c r="AK31" i="61"/>
  <c r="AM30" i="61"/>
  <c r="AK88" i="61"/>
  <c r="AM87" i="61"/>
  <c r="R84" i="64"/>
  <c r="Q84" i="64"/>
  <c r="R83" i="64"/>
  <c r="Q83" i="64"/>
  <c r="R82" i="64"/>
  <c r="Q82" i="64"/>
  <c r="R81" i="64"/>
  <c r="Q81" i="64"/>
  <c r="R65" i="64"/>
  <c r="Q65" i="64"/>
  <c r="R64" i="64"/>
  <c r="Q64" i="64"/>
  <c r="R63" i="64"/>
  <c r="Q63" i="64"/>
  <c r="R62" i="64"/>
  <c r="Q62" i="64"/>
  <c r="R46" i="64"/>
  <c r="Q46" i="64"/>
  <c r="R45" i="64"/>
  <c r="Q45" i="64"/>
  <c r="R44" i="64"/>
  <c r="Q44" i="64"/>
  <c r="R43" i="64"/>
  <c r="Q43" i="64"/>
  <c r="R27" i="64"/>
  <c r="Q27" i="64"/>
  <c r="R26" i="64"/>
  <c r="Q26" i="64"/>
  <c r="R25" i="64"/>
  <c r="Q25" i="64"/>
  <c r="R24" i="64"/>
  <c r="Q24" i="64"/>
  <c r="R6" i="64"/>
  <c r="R7" i="64"/>
  <c r="R8" i="64"/>
  <c r="R5" i="64"/>
  <c r="Q6" i="64"/>
  <c r="Q7" i="64"/>
  <c r="Q8" i="64"/>
  <c r="Q5" i="64"/>
  <c r="D7" i="66"/>
  <c r="N7" i="66" s="1"/>
  <c r="O7" i="66" s="1"/>
  <c r="D8" i="66"/>
  <c r="N8" i="66" s="1"/>
  <c r="O8" i="66" s="1"/>
  <c r="D9" i="66"/>
  <c r="N9" i="66" s="1"/>
  <c r="O9" i="66" s="1"/>
  <c r="D10" i="66"/>
  <c r="N10" i="66" s="1"/>
  <c r="O10" i="66" s="1"/>
  <c r="D11" i="66"/>
  <c r="N11" i="66" s="1"/>
  <c r="O11" i="66" s="1"/>
  <c r="D12" i="66"/>
  <c r="N12" i="66" s="1"/>
  <c r="O12" i="66" s="1"/>
  <c r="D13" i="66"/>
  <c r="N13" i="66" s="1"/>
  <c r="O13" i="66" s="1"/>
  <c r="D14" i="66"/>
  <c r="N14" i="66" s="1"/>
  <c r="O14" i="66" s="1"/>
  <c r="D15" i="66"/>
  <c r="N15" i="66" s="1"/>
  <c r="O15" i="66" s="1"/>
  <c r="D16" i="66"/>
  <c r="N16" i="66" s="1"/>
  <c r="O16" i="66" s="1"/>
  <c r="D17" i="66"/>
  <c r="N17" i="66" s="1"/>
  <c r="O17" i="66" s="1"/>
  <c r="D18" i="66"/>
  <c r="N18" i="66" s="1"/>
  <c r="O18" i="66" s="1"/>
  <c r="D19" i="66"/>
  <c r="N19" i="66" s="1"/>
  <c r="O19" i="66" s="1"/>
  <c r="D20" i="66"/>
  <c r="N20" i="66" s="1"/>
  <c r="O20" i="66" s="1"/>
  <c r="D21" i="66"/>
  <c r="N21" i="66" s="1"/>
  <c r="O21" i="66" s="1"/>
  <c r="D22" i="66"/>
  <c r="N22" i="66" s="1"/>
  <c r="O22" i="66" s="1"/>
  <c r="D23" i="66"/>
  <c r="D24" i="66"/>
  <c r="N24" i="66" s="1"/>
  <c r="O24" i="66" s="1"/>
  <c r="D25" i="66"/>
  <c r="N25" i="66" s="1"/>
  <c r="O25" i="66" s="1"/>
  <c r="D26" i="66"/>
  <c r="N26" i="66" s="1"/>
  <c r="O26" i="66" s="1"/>
  <c r="D27" i="66"/>
  <c r="N27" i="66" s="1"/>
  <c r="O27" i="66" s="1"/>
  <c r="D28" i="66"/>
  <c r="N28" i="66" s="1"/>
  <c r="O28" i="66" s="1"/>
  <c r="D29" i="66"/>
  <c r="N29" i="66" s="1"/>
  <c r="O29" i="66" s="1"/>
  <c r="D30" i="66"/>
  <c r="N30" i="66" s="1"/>
  <c r="O30" i="66" s="1"/>
  <c r="D31" i="66"/>
  <c r="N31" i="66" s="1"/>
  <c r="O31" i="66" s="1"/>
  <c r="D32" i="66"/>
  <c r="N32" i="66" s="1"/>
  <c r="O32" i="66" s="1"/>
  <c r="D33" i="66"/>
  <c r="N33" i="66" s="1"/>
  <c r="O33" i="66" s="1"/>
  <c r="D34" i="66"/>
  <c r="N34" i="66" s="1"/>
  <c r="O34" i="66" s="1"/>
  <c r="D35" i="66"/>
  <c r="N35" i="66" s="1"/>
  <c r="O35" i="66" s="1"/>
  <c r="D36" i="66"/>
  <c r="N36" i="66" s="1"/>
  <c r="O36" i="66" s="1"/>
  <c r="D37" i="66"/>
  <c r="N37" i="66" s="1"/>
  <c r="O37" i="66" s="1"/>
  <c r="D38" i="66"/>
  <c r="N38" i="66" s="1"/>
  <c r="O38" i="66" s="1"/>
  <c r="D39" i="66"/>
  <c r="N39" i="66" s="1"/>
  <c r="O39" i="66" s="1"/>
  <c r="D40" i="66"/>
  <c r="N40" i="66" s="1"/>
  <c r="O40" i="66" s="1"/>
  <c r="D41" i="66"/>
  <c r="N41" i="66" s="1"/>
  <c r="O41" i="66" s="1"/>
  <c r="D42" i="66"/>
  <c r="N42" i="66" s="1"/>
  <c r="O42" i="66" s="1"/>
  <c r="D43" i="66"/>
  <c r="N43" i="66" s="1"/>
  <c r="O43" i="66" s="1"/>
  <c r="D44" i="66"/>
  <c r="N44" i="66" s="1"/>
  <c r="O44" i="66" s="1"/>
  <c r="D45" i="66"/>
  <c r="N45" i="66" s="1"/>
  <c r="N23" i="66"/>
  <c r="O23" i="66" s="1"/>
  <c r="N5" i="66"/>
  <c r="O5" i="66" s="1"/>
  <c r="D6" i="66"/>
  <c r="N6" i="66" s="1"/>
  <c r="O6" i="66" s="1"/>
  <c r="I6" i="66"/>
  <c r="I7" i="66"/>
  <c r="I8" i="66"/>
  <c r="I9" i="66"/>
  <c r="I10" i="66"/>
  <c r="I11" i="66"/>
  <c r="I12" i="66"/>
  <c r="I13" i="66"/>
  <c r="I14" i="66"/>
  <c r="I15" i="66"/>
  <c r="I16" i="66"/>
  <c r="I17" i="66"/>
  <c r="I18" i="66"/>
  <c r="I19" i="66"/>
  <c r="I5" i="66"/>
  <c r="M20" i="72"/>
  <c r="J13" i="66"/>
  <c r="N20" i="72"/>
  <c r="J7" i="66"/>
  <c r="AJ18" i="61"/>
  <c r="J9" i="66"/>
  <c r="J18" i="66"/>
  <c r="M13" i="72"/>
  <c r="N17" i="72"/>
  <c r="N19" i="72"/>
  <c r="M15" i="72"/>
  <c r="N15" i="72"/>
  <c r="J16" i="66"/>
  <c r="J17" i="66"/>
  <c r="N18" i="72"/>
  <c r="J5" i="66"/>
  <c r="M14" i="72"/>
  <c r="J8" i="66"/>
  <c r="J15" i="66"/>
  <c r="M18" i="72"/>
  <c r="J12" i="66"/>
  <c r="J19" i="66"/>
  <c r="M12" i="72"/>
  <c r="M17" i="72"/>
  <c r="J14" i="66"/>
  <c r="J11" i="66"/>
  <c r="J10" i="66"/>
  <c r="J6" i="66"/>
  <c r="M16" i="72"/>
  <c r="M19" i="72"/>
  <c r="N16" i="72"/>
  <c r="M11" i="72"/>
  <c r="AA123" i="64" l="1"/>
  <c r="AA122" i="64" s="1"/>
  <c r="AA121" i="64" s="1"/>
  <c r="AA120" i="64" s="1"/>
  <c r="AA119" i="64" s="1"/>
  <c r="AA118" i="64" s="1"/>
  <c r="AA117" i="64" s="1"/>
  <c r="AA116" i="64" s="1"/>
  <c r="AA115" i="64" s="1"/>
  <c r="AA114" i="64" s="1"/>
  <c r="D21" i="64"/>
  <c r="I20" i="64"/>
  <c r="K27" i="60"/>
  <c r="K28" i="60"/>
  <c r="K29" i="60"/>
  <c r="K26" i="60"/>
  <c r="I26" i="60"/>
  <c r="I31" i="60"/>
  <c r="AN16" i="63" s="1"/>
  <c r="I28" i="60"/>
  <c r="I34" i="60"/>
  <c r="AN19" i="63" s="1"/>
  <c r="I27" i="60"/>
  <c r="AN12" i="63" s="1"/>
  <c r="I33" i="60"/>
  <c r="AN18" i="63" s="1"/>
  <c r="I32" i="60"/>
  <c r="AN17" i="63" s="1"/>
  <c r="I30" i="60"/>
  <c r="I35" i="60"/>
  <c r="AN20" i="63" s="1"/>
  <c r="I29" i="60"/>
  <c r="AN30" i="61"/>
  <c r="AO30" i="61"/>
  <c r="AN69" i="61"/>
  <c r="AO69" i="61"/>
  <c r="AN87" i="61"/>
  <c r="AO87" i="61"/>
  <c r="AN49" i="61"/>
  <c r="AO49" i="61"/>
  <c r="P6" i="66"/>
  <c r="Q6" i="66" s="1"/>
  <c r="R6" i="66" s="1"/>
  <c r="S6" i="66" s="1"/>
  <c r="T6" i="66" s="1"/>
  <c r="U6" i="66" s="1"/>
  <c r="V6" i="66" s="1"/>
  <c r="W6" i="66" s="1"/>
  <c r="X6" i="66" s="1"/>
  <c r="Y6" i="66" s="1"/>
  <c r="Z6" i="66" s="1"/>
  <c r="AA6" i="66" s="1"/>
  <c r="AB6" i="66" s="1"/>
  <c r="AC6" i="66" s="1"/>
  <c r="AD6" i="66" s="1"/>
  <c r="P5" i="66"/>
  <c r="Q5" i="66" s="1"/>
  <c r="R5" i="66" s="1"/>
  <c r="S5" i="66" s="1"/>
  <c r="T5" i="66" s="1"/>
  <c r="U5" i="66" s="1"/>
  <c r="V5" i="66" s="1"/>
  <c r="W5" i="66" s="1"/>
  <c r="X5" i="66" s="1"/>
  <c r="Y5" i="66" s="1"/>
  <c r="Z5" i="66" s="1"/>
  <c r="AA5" i="66" s="1"/>
  <c r="AB5" i="66" s="1"/>
  <c r="AC5" i="66" s="1"/>
  <c r="AD5" i="66" s="1"/>
  <c r="AK32" i="61"/>
  <c r="AM31" i="61"/>
  <c r="AK71" i="61"/>
  <c r="AM70" i="61"/>
  <c r="AK51" i="61"/>
  <c r="AM50" i="61"/>
  <c r="AK89" i="61"/>
  <c r="AM88" i="61"/>
  <c r="P12" i="66"/>
  <c r="Q12" i="66" s="1"/>
  <c r="R12" i="66" s="1"/>
  <c r="S12" i="66" s="1"/>
  <c r="T12" i="66" s="1"/>
  <c r="U12" i="66" s="1"/>
  <c r="V12" i="66" s="1"/>
  <c r="W12" i="66" s="1"/>
  <c r="X12" i="66" s="1"/>
  <c r="Y12" i="66" s="1"/>
  <c r="Z12" i="66" s="1"/>
  <c r="AA12" i="66" s="1"/>
  <c r="AB12" i="66" s="1"/>
  <c r="AC12" i="66" s="1"/>
  <c r="AD12" i="66" s="1"/>
  <c r="P13" i="66"/>
  <c r="Q13" i="66" s="1"/>
  <c r="R13" i="66" s="1"/>
  <c r="S13" i="66" s="1"/>
  <c r="T13" i="66" s="1"/>
  <c r="U13" i="66" s="1"/>
  <c r="V13" i="66" s="1"/>
  <c r="W13" i="66" s="1"/>
  <c r="X13" i="66" s="1"/>
  <c r="Y13" i="66" s="1"/>
  <c r="Z13" i="66" s="1"/>
  <c r="AA13" i="66" s="1"/>
  <c r="AB13" i="66" s="1"/>
  <c r="AC13" i="66" s="1"/>
  <c r="AD13" i="66" s="1"/>
  <c r="P15" i="66"/>
  <c r="Q15" i="66" s="1"/>
  <c r="R15" i="66" s="1"/>
  <c r="S15" i="66" s="1"/>
  <c r="T15" i="66" s="1"/>
  <c r="U15" i="66" s="1"/>
  <c r="V15" i="66" s="1"/>
  <c r="W15" i="66" s="1"/>
  <c r="X15" i="66" s="1"/>
  <c r="Y15" i="66" s="1"/>
  <c r="Z15" i="66" s="1"/>
  <c r="AA15" i="66" s="1"/>
  <c r="AB15" i="66" s="1"/>
  <c r="AC15" i="66" s="1"/>
  <c r="AD15" i="66" s="1"/>
  <c r="P14" i="66"/>
  <c r="Q14" i="66" s="1"/>
  <c r="R14" i="66" s="1"/>
  <c r="S14" i="66" s="1"/>
  <c r="T14" i="66" s="1"/>
  <c r="U14" i="66" s="1"/>
  <c r="V14" i="66" s="1"/>
  <c r="W14" i="66" s="1"/>
  <c r="X14" i="66" s="1"/>
  <c r="Y14" i="66" s="1"/>
  <c r="Z14" i="66" s="1"/>
  <c r="AA14" i="66" s="1"/>
  <c r="AB14" i="66" s="1"/>
  <c r="AC14" i="66" s="1"/>
  <c r="AD14" i="66" s="1"/>
  <c r="P16" i="66"/>
  <c r="P11" i="66"/>
  <c r="Q11" i="66" s="1"/>
  <c r="R11" i="66" s="1"/>
  <c r="S11" i="66" s="1"/>
  <c r="T11" i="66" s="1"/>
  <c r="U11" i="66" s="1"/>
  <c r="V11" i="66" s="1"/>
  <c r="W11" i="66" s="1"/>
  <c r="X11" i="66" s="1"/>
  <c r="Y11" i="66" s="1"/>
  <c r="Z11" i="66" s="1"/>
  <c r="AA11" i="66" s="1"/>
  <c r="AB11" i="66" s="1"/>
  <c r="AC11" i="66" s="1"/>
  <c r="AD11" i="66" s="1"/>
  <c r="P10" i="66"/>
  <c r="Q10" i="66" s="1"/>
  <c r="R10" i="66" s="1"/>
  <c r="S10" i="66" s="1"/>
  <c r="T10" i="66" s="1"/>
  <c r="U10" i="66" s="1"/>
  <c r="V10" i="66" s="1"/>
  <c r="W10" i="66" s="1"/>
  <c r="X10" i="66" s="1"/>
  <c r="Y10" i="66" s="1"/>
  <c r="Z10" i="66" s="1"/>
  <c r="AA10" i="66" s="1"/>
  <c r="AB10" i="66" s="1"/>
  <c r="AC10" i="66" s="1"/>
  <c r="AD10" i="66" s="1"/>
  <c r="P9" i="66"/>
  <c r="Q9" i="66" s="1"/>
  <c r="R9" i="66" s="1"/>
  <c r="S9" i="66" s="1"/>
  <c r="T9" i="66" s="1"/>
  <c r="U9" i="66" s="1"/>
  <c r="V9" i="66" s="1"/>
  <c r="W9" i="66" s="1"/>
  <c r="X9" i="66" s="1"/>
  <c r="Y9" i="66" s="1"/>
  <c r="Z9" i="66" s="1"/>
  <c r="AA9" i="66" s="1"/>
  <c r="AB9" i="66" s="1"/>
  <c r="AC9" i="66" s="1"/>
  <c r="AD9" i="66" s="1"/>
  <c r="P8" i="66"/>
  <c r="Q8" i="66" s="1"/>
  <c r="R8" i="66" s="1"/>
  <c r="S8" i="66" s="1"/>
  <c r="T8" i="66" s="1"/>
  <c r="U8" i="66" s="1"/>
  <c r="V8" i="66" s="1"/>
  <c r="W8" i="66" s="1"/>
  <c r="X8" i="66" s="1"/>
  <c r="Y8" i="66" s="1"/>
  <c r="Z8" i="66" s="1"/>
  <c r="AA8" i="66" s="1"/>
  <c r="AB8" i="66" s="1"/>
  <c r="AC8" i="66" s="1"/>
  <c r="AD8" i="66" s="1"/>
  <c r="P7" i="66"/>
  <c r="Q7" i="66" s="1"/>
  <c r="R7" i="66" s="1"/>
  <c r="S7" i="66" s="1"/>
  <c r="T7" i="66" s="1"/>
  <c r="U7" i="66" s="1"/>
  <c r="V7" i="66" s="1"/>
  <c r="W7" i="66" s="1"/>
  <c r="X7" i="66" s="1"/>
  <c r="Y7" i="66" s="1"/>
  <c r="Z7" i="66" s="1"/>
  <c r="AA7" i="66" s="1"/>
  <c r="AB7" i="66" s="1"/>
  <c r="AC7" i="66" s="1"/>
  <c r="AD7" i="66" s="1"/>
  <c r="N46" i="66"/>
  <c r="O45" i="66"/>
  <c r="E6" i="64"/>
  <c r="F6" i="64" s="1"/>
  <c r="E75" i="64" s="1"/>
  <c r="N12" i="72"/>
  <c r="L14" i="72"/>
  <c r="L20" i="72"/>
  <c r="L13" i="72"/>
  <c r="N13" i="72"/>
  <c r="L15" i="72"/>
  <c r="L19" i="72"/>
  <c r="L16" i="72"/>
  <c r="N14" i="72"/>
  <c r="AJ17" i="61"/>
  <c r="L18" i="72"/>
  <c r="L12" i="72"/>
  <c r="N11" i="72"/>
  <c r="L17" i="72"/>
  <c r="L11" i="72"/>
  <c r="AA113" i="64" l="1"/>
  <c r="AA112" i="64" s="1"/>
  <c r="AA111" i="64" s="1"/>
  <c r="AA110" i="64" s="1"/>
  <c r="AA109" i="64" s="1"/>
  <c r="AA108" i="64" s="1"/>
  <c r="AA107" i="64" s="1"/>
  <c r="AA106" i="64" s="1"/>
  <c r="AA105" i="64" s="1"/>
  <c r="AA104" i="64" s="1"/>
  <c r="D22" i="64"/>
  <c r="I21" i="64"/>
  <c r="AN11" i="63"/>
  <c r="AN13" i="63"/>
  <c r="AN14" i="63"/>
  <c r="P18" i="72"/>
  <c r="P12" i="72"/>
  <c r="P14" i="72"/>
  <c r="P19" i="72"/>
  <c r="P13" i="72"/>
  <c r="P20" i="72"/>
  <c r="P15" i="72"/>
  <c r="P16" i="72"/>
  <c r="P17" i="72"/>
  <c r="P11" i="72"/>
  <c r="AN15" i="63"/>
  <c r="AN70" i="61"/>
  <c r="AO70" i="61"/>
  <c r="AN31" i="61"/>
  <c r="AO31" i="61"/>
  <c r="AN88" i="61"/>
  <c r="AO88" i="61"/>
  <c r="AN50" i="61"/>
  <c r="AO50" i="61"/>
  <c r="N47" i="66"/>
  <c r="O46" i="66"/>
  <c r="AK72" i="61"/>
  <c r="AM71" i="61"/>
  <c r="AK90" i="61"/>
  <c r="AM89" i="61"/>
  <c r="AK33" i="61"/>
  <c r="AM32" i="61"/>
  <c r="AK52" i="61"/>
  <c r="AM51" i="61"/>
  <c r="Q16" i="66"/>
  <c r="S92" i="72"/>
  <c r="S88" i="72"/>
  <c r="S134" i="72"/>
  <c r="S161" i="72"/>
  <c r="S77" i="72"/>
  <c r="S81" i="72"/>
  <c r="S66" i="72"/>
  <c r="S89" i="72"/>
  <c r="S102" i="72"/>
  <c r="S160" i="72"/>
  <c r="S83" i="72"/>
  <c r="S93" i="72"/>
  <c r="S154" i="72"/>
  <c r="S111" i="72"/>
  <c r="S119" i="72"/>
  <c r="S126" i="72"/>
  <c r="S68" i="72"/>
  <c r="S163" i="72"/>
  <c r="S141" i="72"/>
  <c r="S120" i="72"/>
  <c r="S106" i="72"/>
  <c r="S95" i="72"/>
  <c r="S158" i="72"/>
  <c r="S127" i="72"/>
  <c r="S101" i="72"/>
  <c r="S112" i="72"/>
  <c r="S97" i="72"/>
  <c r="S164" i="72"/>
  <c r="S100" i="72"/>
  <c r="S73" i="72"/>
  <c r="S87" i="72"/>
  <c r="S146" i="72"/>
  <c r="S122" i="72"/>
  <c r="S129" i="72"/>
  <c r="S117" i="72"/>
  <c r="S137" i="72"/>
  <c r="S142" i="72"/>
  <c r="S65" i="72"/>
  <c r="S91" i="72"/>
  <c r="S107" i="72"/>
  <c r="S116" i="72"/>
  <c r="S118" i="72"/>
  <c r="S132" i="72"/>
  <c r="S148" i="72"/>
  <c r="S109" i="72"/>
  <c r="S157" i="72"/>
  <c r="S105" i="72"/>
  <c r="S103" i="72"/>
  <c r="S82" i="72"/>
  <c r="S140" i="72"/>
  <c r="AJ16" i="61"/>
  <c r="S123" i="72"/>
  <c r="S152" i="72"/>
  <c r="S99" i="72"/>
  <c r="S145" i="72"/>
  <c r="S149" i="72"/>
  <c r="S71" i="72"/>
  <c r="S78" i="72"/>
  <c r="S125" i="72"/>
  <c r="S159" i="72"/>
  <c r="S162" i="72"/>
  <c r="S98" i="72"/>
  <c r="S104" i="72"/>
  <c r="S147" i="72"/>
  <c r="S144" i="72"/>
  <c r="S143" i="72"/>
  <c r="S138" i="72"/>
  <c r="S64" i="72"/>
  <c r="S156" i="72"/>
  <c r="S80" i="72"/>
  <c r="S72" i="72"/>
  <c r="S67" i="72"/>
  <c r="S133" i="72"/>
  <c r="S115" i="72"/>
  <c r="S131" i="72"/>
  <c r="S151" i="72"/>
  <c r="S121" i="72"/>
  <c r="S76" i="72"/>
  <c r="S94" i="72"/>
  <c r="S153" i="72"/>
  <c r="S79" i="72"/>
  <c r="S110" i="72"/>
  <c r="S69" i="72"/>
  <c r="S114" i="72"/>
  <c r="S124" i="72"/>
  <c r="S135" i="72"/>
  <c r="S155" i="72"/>
  <c r="S139" i="72"/>
  <c r="S108" i="72"/>
  <c r="S130" i="72"/>
  <c r="S70" i="72"/>
  <c r="S86" i="72"/>
  <c r="S113" i="72"/>
  <c r="S96" i="72"/>
  <c r="S85" i="72"/>
  <c r="S75" i="72"/>
  <c r="S136" i="72"/>
  <c r="S150" i="72"/>
  <c r="S90" i="72"/>
  <c r="S84" i="72"/>
  <c r="S74" i="72"/>
  <c r="S128" i="72"/>
  <c r="AA103" i="64" l="1"/>
  <c r="AA102" i="64" s="1"/>
  <c r="AA101" i="64" s="1"/>
  <c r="AA100" i="64" s="1"/>
  <c r="AA99" i="64" s="1"/>
  <c r="AA98" i="64" s="1"/>
  <c r="AA97" i="64" s="1"/>
  <c r="AA96" i="64" s="1"/>
  <c r="AA95" i="64" s="1"/>
  <c r="AA94" i="64" s="1"/>
  <c r="I22" i="64"/>
  <c r="D23" i="64"/>
  <c r="AN51" i="61"/>
  <c r="AO51" i="61"/>
  <c r="AN32" i="61"/>
  <c r="AO32" i="61"/>
  <c r="AN89" i="61"/>
  <c r="AO89" i="61"/>
  <c r="AN71" i="61"/>
  <c r="AO71" i="61"/>
  <c r="N48" i="66"/>
  <c r="O47" i="66"/>
  <c r="AK34" i="61"/>
  <c r="AM33" i="61"/>
  <c r="AK91" i="61"/>
  <c r="AM90" i="61"/>
  <c r="AK73" i="61"/>
  <c r="AM72" i="61"/>
  <c r="AK53" i="61"/>
  <c r="AM52" i="61"/>
  <c r="R16" i="66"/>
  <c r="S16" i="66" s="1"/>
  <c r="T16" i="66" s="1"/>
  <c r="U16" i="66" s="1"/>
  <c r="V16" i="66" s="1"/>
  <c r="W16" i="66" s="1"/>
  <c r="X16" i="66" s="1"/>
  <c r="Y16" i="66" s="1"/>
  <c r="Z16" i="66" s="1"/>
  <c r="AA16" i="66" s="1"/>
  <c r="AB16" i="66" s="1"/>
  <c r="AC16" i="66" s="1"/>
  <c r="AD16" i="66" s="1"/>
  <c r="AJ15" i="61"/>
  <c r="AA93" i="64" l="1"/>
  <c r="AA92" i="64" s="1"/>
  <c r="AA91" i="64" s="1"/>
  <c r="AA90" i="64" s="1"/>
  <c r="AA89" i="64" s="1"/>
  <c r="AA88" i="64" s="1"/>
  <c r="AA87" i="64" s="1"/>
  <c r="AA86" i="64" s="1"/>
  <c r="AA85" i="64" s="1"/>
  <c r="AA84" i="64" s="1"/>
  <c r="D24" i="64"/>
  <c r="I24" i="64" s="1"/>
  <c r="I23" i="64"/>
  <c r="AN52" i="61"/>
  <c r="AO52" i="61"/>
  <c r="AN72" i="61"/>
  <c r="AO72" i="61"/>
  <c r="AN90" i="61"/>
  <c r="AO90" i="61"/>
  <c r="AN33" i="61"/>
  <c r="AO33" i="61"/>
  <c r="N49" i="66"/>
  <c r="O48" i="66"/>
  <c r="AK35" i="61"/>
  <c r="AM34" i="61"/>
  <c r="AK92" i="61"/>
  <c r="AM91" i="61"/>
  <c r="AK54" i="61"/>
  <c r="AM53" i="61"/>
  <c r="AK74" i="61"/>
  <c r="AM73" i="61"/>
  <c r="D40" i="63"/>
  <c r="E40" i="63"/>
  <c r="F40" i="63"/>
  <c r="G40" i="63"/>
  <c r="D41" i="63"/>
  <c r="E41" i="63"/>
  <c r="F41" i="63"/>
  <c r="G41" i="63"/>
  <c r="D42" i="63"/>
  <c r="E42" i="63"/>
  <c r="F42" i="63"/>
  <c r="G42" i="63"/>
  <c r="D43" i="63"/>
  <c r="E43" i="63"/>
  <c r="F43" i="63"/>
  <c r="G43" i="63"/>
  <c r="D44" i="63"/>
  <c r="E44" i="63"/>
  <c r="F44" i="63"/>
  <c r="G44" i="63"/>
  <c r="D45" i="63"/>
  <c r="E45" i="63"/>
  <c r="F45" i="63"/>
  <c r="G45" i="63"/>
  <c r="D46" i="63"/>
  <c r="E46" i="63"/>
  <c r="F46" i="63"/>
  <c r="G46" i="63"/>
  <c r="E39" i="63"/>
  <c r="F39" i="63"/>
  <c r="G39" i="63"/>
  <c r="D39" i="63"/>
  <c r="AJ14" i="61"/>
  <c r="AM11" i="63"/>
  <c r="AA83" i="64" l="1"/>
  <c r="AA82" i="64" s="1"/>
  <c r="AA81" i="64" s="1"/>
  <c r="AA80" i="64" s="1"/>
  <c r="AA79" i="64" s="1"/>
  <c r="AA78" i="64" s="1"/>
  <c r="AA77" i="64" s="1"/>
  <c r="AA76" i="64" s="1"/>
  <c r="AA75" i="64" s="1"/>
  <c r="AA74" i="64" s="1"/>
  <c r="AN91" i="61"/>
  <c r="AO91" i="61"/>
  <c r="AN53" i="61"/>
  <c r="AO53" i="61"/>
  <c r="AN34" i="61"/>
  <c r="AO34" i="61"/>
  <c r="AN73" i="61"/>
  <c r="AO73" i="61"/>
  <c r="N50" i="66"/>
  <c r="O49" i="66"/>
  <c r="AK36" i="61"/>
  <c r="AM35" i="61"/>
  <c r="AK75" i="61"/>
  <c r="AM74" i="61"/>
  <c r="AK55" i="61"/>
  <c r="AM54" i="61"/>
  <c r="AK93" i="61"/>
  <c r="AM92" i="61"/>
  <c r="AJ13" i="61"/>
  <c r="AM12" i="63"/>
  <c r="AA73" i="64" l="1"/>
  <c r="AA72" i="64" s="1"/>
  <c r="AA71" i="64" s="1"/>
  <c r="AA70" i="64" s="1"/>
  <c r="AA69" i="64" s="1"/>
  <c r="AA68" i="64" s="1"/>
  <c r="AA67" i="64" s="1"/>
  <c r="AA66" i="64" s="1"/>
  <c r="AA65" i="64" s="1"/>
  <c r="AA64" i="64" s="1"/>
  <c r="AN92" i="61"/>
  <c r="AO92" i="61"/>
  <c r="AN54" i="61"/>
  <c r="AO54" i="61"/>
  <c r="AN74" i="61"/>
  <c r="AO74" i="61"/>
  <c r="AN35" i="61"/>
  <c r="AO35" i="61"/>
  <c r="N51" i="66"/>
  <c r="O50" i="66"/>
  <c r="AK37" i="61"/>
  <c r="AM36" i="61"/>
  <c r="AK94" i="61"/>
  <c r="AM93" i="61"/>
  <c r="AK56" i="61"/>
  <c r="AM55" i="61"/>
  <c r="AK76" i="61"/>
  <c r="AM75" i="61"/>
  <c r="P99" i="60"/>
  <c r="P98" i="60"/>
  <c r="P97" i="60"/>
  <c r="P96" i="60"/>
  <c r="P80" i="60"/>
  <c r="P79" i="60"/>
  <c r="P78" i="60"/>
  <c r="P77" i="60"/>
  <c r="P61" i="60"/>
  <c r="P60" i="60"/>
  <c r="P59" i="60"/>
  <c r="P58" i="60"/>
  <c r="P42" i="60"/>
  <c r="P41" i="60"/>
  <c r="P40" i="60"/>
  <c r="P39" i="60"/>
  <c r="P21" i="60"/>
  <c r="P22" i="60"/>
  <c r="P23" i="60"/>
  <c r="P20" i="60"/>
  <c r="AM13" i="63"/>
  <c r="AM14" i="63" s="1"/>
  <c r="AJ12" i="61"/>
  <c r="AA63" i="64" l="1"/>
  <c r="AA62" i="64" s="1"/>
  <c r="AA61" i="64" s="1"/>
  <c r="AA60" i="64" s="1"/>
  <c r="AA59" i="64" s="1"/>
  <c r="AA58" i="64" s="1"/>
  <c r="AA57" i="64" s="1"/>
  <c r="AA56" i="64" s="1"/>
  <c r="AA55" i="64" s="1"/>
  <c r="AA54" i="64" s="1"/>
  <c r="AN93" i="61"/>
  <c r="AO93" i="61"/>
  <c r="AN36" i="61"/>
  <c r="AO36" i="61"/>
  <c r="AN75" i="61"/>
  <c r="AO75" i="61"/>
  <c r="AN55" i="61"/>
  <c r="AO55" i="61"/>
  <c r="N52" i="66"/>
  <c r="O51" i="66"/>
  <c r="AK77" i="61"/>
  <c r="AM76" i="61"/>
  <c r="AK57" i="61"/>
  <c r="AM56" i="61"/>
  <c r="AK95" i="61"/>
  <c r="AM94" i="61"/>
  <c r="AK38" i="61"/>
  <c r="AM37" i="61"/>
  <c r="P82" i="64"/>
  <c r="T82" i="64" s="1"/>
  <c r="P83" i="64"/>
  <c r="T83" i="64" s="1"/>
  <c r="P81" i="64"/>
  <c r="T81" i="64" s="1"/>
  <c r="P63" i="64"/>
  <c r="T63" i="64" s="1"/>
  <c r="P64" i="64"/>
  <c r="T64" i="64" s="1"/>
  <c r="P62" i="64"/>
  <c r="T62" i="64" s="1"/>
  <c r="P44" i="64"/>
  <c r="T44" i="64" s="1"/>
  <c r="P45" i="64"/>
  <c r="T45" i="64" s="1"/>
  <c r="P43" i="64"/>
  <c r="T43" i="64" s="1"/>
  <c r="P25" i="64"/>
  <c r="T25" i="64" s="1"/>
  <c r="P26" i="64"/>
  <c r="T26" i="64" s="1"/>
  <c r="P24" i="64"/>
  <c r="T24" i="64" s="1"/>
  <c r="P6" i="64"/>
  <c r="T6" i="64" s="1"/>
  <c r="P7" i="64"/>
  <c r="T7" i="64" s="1"/>
  <c r="P5" i="64"/>
  <c r="T5" i="64" s="1"/>
  <c r="AP10" i="64"/>
  <c r="AN13" i="64"/>
  <c r="AP24" i="64"/>
  <c r="AM28" i="64"/>
  <c r="AO7" i="64"/>
  <c r="AL18" i="64"/>
  <c r="AO13" i="64"/>
  <c r="AM27" i="64"/>
  <c r="AM10" i="64"/>
  <c r="AP8" i="64"/>
  <c r="AP16" i="64"/>
  <c r="AN31" i="64"/>
  <c r="AL25" i="64"/>
  <c r="AN11" i="64"/>
  <c r="AL9" i="64"/>
  <c r="AN16" i="64"/>
  <c r="AL17" i="64"/>
  <c r="AL6" i="64"/>
  <c r="AJ11" i="61"/>
  <c r="AN8" i="64"/>
  <c r="AO29" i="64"/>
  <c r="AM33" i="64"/>
  <c r="AL24" i="64"/>
  <c r="AP21" i="64"/>
  <c r="AL14" i="64"/>
  <c r="AN28" i="64"/>
  <c r="AO12" i="64"/>
  <c r="AM12" i="64"/>
  <c r="AO16" i="64"/>
  <c r="AO8" i="64"/>
  <c r="AN20" i="64"/>
  <c r="AL27" i="64"/>
  <c r="AM15" i="64"/>
  <c r="AO23" i="64"/>
  <c r="AM32" i="64"/>
  <c r="AO31" i="64"/>
  <c r="AP17" i="64"/>
  <c r="AN30" i="64"/>
  <c r="AP31" i="64"/>
  <c r="AL33" i="64"/>
  <c r="AM16" i="64"/>
  <c r="AL30" i="64"/>
  <c r="AP20" i="64"/>
  <c r="AP5" i="64"/>
  <c r="AO24" i="64"/>
  <c r="AO20" i="64"/>
  <c r="AO21" i="64"/>
  <c r="AP29" i="64"/>
  <c r="AN29" i="64"/>
  <c r="AN23" i="64"/>
  <c r="AM24" i="64"/>
  <c r="AO14" i="64"/>
  <c r="AN9" i="64"/>
  <c r="AM23" i="64"/>
  <c r="AL19" i="64"/>
  <c r="AN32" i="64"/>
  <c r="AP22" i="64"/>
  <c r="AN6" i="64"/>
  <c r="AM18" i="64"/>
  <c r="AO17" i="64"/>
  <c r="AM6" i="64"/>
  <c r="AO19" i="64"/>
  <c r="AL32" i="64"/>
  <c r="AO27" i="64"/>
  <c r="AN19" i="64"/>
  <c r="AP30" i="64"/>
  <c r="AM17" i="64"/>
  <c r="AL12" i="64"/>
  <c r="AM14" i="64"/>
  <c r="AL7" i="64"/>
  <c r="AP14" i="64"/>
  <c r="AL5" i="64"/>
  <c r="AN12" i="64"/>
  <c r="AO22" i="64"/>
  <c r="AO10" i="64"/>
  <c r="AM15" i="63"/>
  <c r="AP15" i="64"/>
  <c r="AM22" i="64"/>
  <c r="AL22" i="64"/>
  <c r="AP11" i="64"/>
  <c r="AN18" i="64"/>
  <c r="AL8" i="64"/>
  <c r="AL15" i="64"/>
  <c r="AP18" i="64"/>
  <c r="AL26" i="64"/>
  <c r="AL29" i="64"/>
  <c r="AO30" i="64"/>
  <c r="AN27" i="64"/>
  <c r="AO28" i="64"/>
  <c r="AP32" i="64"/>
  <c r="AM19" i="64"/>
  <c r="AL11" i="64"/>
  <c r="AN33" i="64"/>
  <c r="AP26" i="64"/>
  <c r="AP27" i="64"/>
  <c r="AP33" i="64"/>
  <c r="AN14" i="64"/>
  <c r="AM11" i="64"/>
  <c r="AM7" i="64"/>
  <c r="AP28" i="64"/>
  <c r="AN26" i="64"/>
  <c r="AL20" i="64"/>
  <c r="AL28" i="64"/>
  <c r="AM25" i="64"/>
  <c r="AM20" i="64"/>
  <c r="AM13" i="64"/>
  <c r="AP19" i="64"/>
  <c r="AO25" i="64"/>
  <c r="AO32" i="64"/>
  <c r="AL23" i="64"/>
  <c r="AM8" i="64"/>
  <c r="AL16" i="64"/>
  <c r="AO18" i="64"/>
  <c r="AN10" i="64"/>
  <c r="AO6" i="64"/>
  <c r="AM5" i="64"/>
  <c r="AL31" i="64"/>
  <c r="AM21" i="64"/>
  <c r="AN25" i="64"/>
  <c r="AP12" i="64"/>
  <c r="AO9" i="64"/>
  <c r="AM26" i="64"/>
  <c r="AP23" i="64"/>
  <c r="AL13" i="64"/>
  <c r="AO11" i="64"/>
  <c r="AM31" i="64"/>
  <c r="AN7" i="64"/>
  <c r="AO26" i="64"/>
  <c r="AN21" i="64"/>
  <c r="AN22" i="64"/>
  <c r="AN5" i="64"/>
  <c r="AP6" i="64"/>
  <c r="AO15" i="64"/>
  <c r="AP13" i="64"/>
  <c r="AN24" i="64"/>
  <c r="AL21" i="64"/>
  <c r="AN15" i="64"/>
  <c r="AP25" i="64"/>
  <c r="AO33" i="64"/>
  <c r="AM29" i="64"/>
  <c r="AO5" i="64"/>
  <c r="AM30" i="64"/>
  <c r="AN17" i="64"/>
  <c r="AP7" i="64"/>
  <c r="AP9" i="64"/>
  <c r="AL10" i="64"/>
  <c r="AM9" i="64"/>
  <c r="AA53" i="64" l="1"/>
  <c r="AA52" i="64" s="1"/>
  <c r="AA51" i="64" s="1"/>
  <c r="AA50" i="64" s="1"/>
  <c r="AA49" i="64" s="1"/>
  <c r="AA48" i="64" s="1"/>
  <c r="AA47" i="64" s="1"/>
  <c r="AA46" i="64" s="1"/>
  <c r="AA45" i="64" s="1"/>
  <c r="AA44" i="64" s="1"/>
  <c r="AN37" i="61"/>
  <c r="AO37" i="61"/>
  <c r="AN94" i="61"/>
  <c r="AO94" i="61"/>
  <c r="AN56" i="61"/>
  <c r="AO56" i="61"/>
  <c r="AN76" i="61"/>
  <c r="AO76" i="61"/>
  <c r="N53" i="66"/>
  <c r="O52" i="66"/>
  <c r="AK39" i="61"/>
  <c r="AM38" i="61"/>
  <c r="AK96" i="61"/>
  <c r="AM95" i="61"/>
  <c r="AK58" i="61"/>
  <c r="AM57" i="61"/>
  <c r="AK78" i="61"/>
  <c r="AM77" i="61"/>
  <c r="S25" i="64"/>
  <c r="S6" i="64"/>
  <c r="S44" i="64"/>
  <c r="S82" i="64"/>
  <c r="S63" i="64"/>
  <c r="S5" i="64"/>
  <c r="S24" i="64"/>
  <c r="S43" i="64"/>
  <c r="S62" i="64"/>
  <c r="S81" i="64"/>
  <c r="S45" i="64"/>
  <c r="S64" i="64"/>
  <c r="S83" i="64"/>
  <c r="S26" i="64"/>
  <c r="S7" i="64"/>
  <c r="O82" i="64"/>
  <c r="O83" i="64"/>
  <c r="O84" i="64"/>
  <c r="O81" i="64"/>
  <c r="O63" i="64"/>
  <c r="O64" i="64"/>
  <c r="O65" i="64"/>
  <c r="O62" i="64"/>
  <c r="O44" i="64"/>
  <c r="O45" i="64"/>
  <c r="O46" i="64"/>
  <c r="O43" i="64"/>
  <c r="O25" i="64"/>
  <c r="O26" i="64"/>
  <c r="O27" i="64"/>
  <c r="O24" i="64"/>
  <c r="O6" i="64"/>
  <c r="O7" i="64"/>
  <c r="O8" i="64"/>
  <c r="O5" i="64"/>
  <c r="BA24" i="64"/>
  <c r="BA31" i="64"/>
  <c r="AW9" i="64"/>
  <c r="AY22" i="64"/>
  <c r="BA29" i="64"/>
  <c r="AX14" i="64"/>
  <c r="AW25" i="64"/>
  <c r="AW5" i="64"/>
  <c r="AZ25" i="64"/>
  <c r="AX10" i="64"/>
  <c r="BA7" i="64"/>
  <c r="AY10" i="64"/>
  <c r="AX24" i="64"/>
  <c r="BA26" i="64"/>
  <c r="AY16" i="64"/>
  <c r="AY11" i="64"/>
  <c r="AX25" i="64"/>
  <c r="AW31" i="64"/>
  <c r="AY21" i="64"/>
  <c r="AY19" i="64"/>
  <c r="AW27" i="64"/>
  <c r="AZ32" i="64"/>
  <c r="AX15" i="64"/>
  <c r="AW13" i="64"/>
  <c r="AX30" i="64"/>
  <c r="AX28" i="64"/>
  <c r="AZ19" i="64"/>
  <c r="AX22" i="64"/>
  <c r="AZ26" i="64"/>
  <c r="BA19" i="64"/>
  <c r="AZ20" i="64"/>
  <c r="AY32" i="64"/>
  <c r="AX18" i="64"/>
  <c r="BA15" i="64"/>
  <c r="BA33" i="64"/>
  <c r="AZ5" i="64"/>
  <c r="BA8" i="64"/>
  <c r="BA22" i="64"/>
  <c r="AY27" i="64"/>
  <c r="AW6" i="64"/>
  <c r="AW20" i="64"/>
  <c r="AX31" i="64"/>
  <c r="AX21" i="64"/>
  <c r="AZ31" i="64"/>
  <c r="AW24" i="64"/>
  <c r="AZ27" i="64"/>
  <c r="AX23" i="64"/>
  <c r="AW33" i="64"/>
  <c r="BA20" i="64"/>
  <c r="AY31" i="64"/>
  <c r="BA9" i="64"/>
  <c r="AY33" i="64"/>
  <c r="AZ16" i="64"/>
  <c r="AW26" i="64"/>
  <c r="AY26" i="64"/>
  <c r="AZ33" i="64"/>
  <c r="AX7" i="64"/>
  <c r="AW19" i="64"/>
  <c r="AW30" i="64"/>
  <c r="AW12" i="64"/>
  <c r="AZ18" i="64"/>
  <c r="AY13" i="64"/>
  <c r="AY18" i="64"/>
  <c r="AX19" i="64"/>
  <c r="AZ7" i="64"/>
  <c r="AZ17" i="64"/>
  <c r="AY23" i="64"/>
  <c r="AX16" i="64"/>
  <c r="AY8" i="64"/>
  <c r="BA14" i="64"/>
  <c r="AY6" i="64"/>
  <c r="BA13" i="64"/>
  <c r="AX6" i="64"/>
  <c r="AX20" i="64"/>
  <c r="AM16" i="63"/>
  <c r="AW16" i="64"/>
  <c r="AY29" i="64"/>
  <c r="AY24" i="64"/>
  <c r="BA11" i="64"/>
  <c r="AZ22" i="64"/>
  <c r="BA23" i="64"/>
  <c r="BA18" i="64"/>
  <c r="BA16" i="64"/>
  <c r="AX5" i="64"/>
  <c r="AW10" i="64"/>
  <c r="AY5" i="64"/>
  <c r="AW23" i="64"/>
  <c r="AZ8" i="64"/>
  <c r="AZ24" i="64"/>
  <c r="BA17" i="64"/>
  <c r="AW22" i="64"/>
  <c r="AY25" i="64"/>
  <c r="AW17" i="64"/>
  <c r="AY20" i="64"/>
  <c r="AZ23" i="64"/>
  <c r="AZ15" i="64"/>
  <c r="AZ14" i="64"/>
  <c r="AZ30" i="64"/>
  <c r="AJ10" i="61"/>
  <c r="BA27" i="64"/>
  <c r="BA6" i="64"/>
  <c r="AW8" i="64"/>
  <c r="AX11" i="64"/>
  <c r="BA28" i="64"/>
  <c r="BA30" i="64"/>
  <c r="AY15" i="64"/>
  <c r="AW7" i="64"/>
  <c r="BA25" i="64"/>
  <c r="AX17" i="64"/>
  <c r="BA12" i="64"/>
  <c r="AW21" i="64"/>
  <c r="AZ28" i="64"/>
  <c r="AW18" i="64"/>
  <c r="BA32" i="64"/>
  <c r="BA5" i="64"/>
  <c r="AX12" i="64"/>
  <c r="AW32" i="64"/>
  <c r="AY12" i="64"/>
  <c r="AY17" i="64"/>
  <c r="AX27" i="64"/>
  <c r="AZ13" i="64"/>
  <c r="AW29" i="64"/>
  <c r="AZ12" i="64"/>
  <c r="AZ6" i="64"/>
  <c r="AW28" i="64"/>
  <c r="AZ29" i="64"/>
  <c r="AX8" i="64"/>
  <c r="AX9" i="64"/>
  <c r="AX13" i="64"/>
  <c r="AY28" i="64"/>
  <c r="AY9" i="64"/>
  <c r="AZ11" i="64"/>
  <c r="AW15" i="64"/>
  <c r="BA10" i="64"/>
  <c r="AX33" i="64"/>
  <c r="AW14" i="64"/>
  <c r="AX26" i="64"/>
  <c r="AY30" i="64"/>
  <c r="AX29" i="64"/>
  <c r="AY7" i="64"/>
  <c r="BA21" i="64"/>
  <c r="AW11" i="64"/>
  <c r="AZ10" i="64"/>
  <c r="AX32" i="64"/>
  <c r="AZ21" i="64"/>
  <c r="AY14" i="64"/>
  <c r="AZ9" i="64"/>
  <c r="AA43" i="64" l="1"/>
  <c r="AA42" i="64" s="1"/>
  <c r="AA41" i="64" s="1"/>
  <c r="AA40" i="64" s="1"/>
  <c r="AA39" i="64" s="1"/>
  <c r="AA38" i="64" s="1"/>
  <c r="AA37" i="64" s="1"/>
  <c r="AA36" i="64" s="1"/>
  <c r="AA35" i="64" s="1"/>
  <c r="AA34" i="64" s="1"/>
  <c r="AN77" i="61"/>
  <c r="AO77" i="61"/>
  <c r="AN57" i="61"/>
  <c r="AO57" i="61"/>
  <c r="AN95" i="61"/>
  <c r="AO95" i="61"/>
  <c r="AN38" i="61"/>
  <c r="AO38" i="61"/>
  <c r="N54" i="66"/>
  <c r="O53" i="66"/>
  <c r="G82" i="67"/>
  <c r="G46" i="67"/>
  <c r="G44" i="67"/>
  <c r="G6" i="67"/>
  <c r="G64" i="67"/>
  <c r="G63" i="67"/>
  <c r="G25" i="67"/>
  <c r="G83" i="67"/>
  <c r="G8" i="67"/>
  <c r="G45" i="67"/>
  <c r="G27" i="67"/>
  <c r="G7" i="67"/>
  <c r="G84" i="67"/>
  <c r="G26" i="67"/>
  <c r="G65" i="67"/>
  <c r="AK97" i="61"/>
  <c r="AM96" i="61"/>
  <c r="AK40" i="61"/>
  <c r="AM39" i="61"/>
  <c r="AK79" i="61"/>
  <c r="AM79" i="61" s="1"/>
  <c r="AM78" i="61"/>
  <c r="AK59" i="61"/>
  <c r="AM58" i="61"/>
  <c r="AJ9" i="61"/>
  <c r="AM17" i="63"/>
  <c r="AA33" i="64" l="1"/>
  <c r="AA32" i="64" s="1"/>
  <c r="AA31" i="64" s="1"/>
  <c r="AA30" i="64" s="1"/>
  <c r="AA29" i="64" s="1"/>
  <c r="AA28" i="64" s="1"/>
  <c r="AA27" i="64" s="1"/>
  <c r="AA26" i="64" s="1"/>
  <c r="AA25" i="64" s="1"/>
  <c r="AA24" i="64" s="1"/>
  <c r="AN58" i="61"/>
  <c r="AO58" i="61"/>
  <c r="AN78" i="61"/>
  <c r="AO78" i="61"/>
  <c r="AN79" i="61"/>
  <c r="AO79" i="61"/>
  <c r="AN39" i="61"/>
  <c r="AO39" i="61"/>
  <c r="AN96" i="61"/>
  <c r="AO96" i="61"/>
  <c r="E12" i="64"/>
  <c r="F12" i="64" s="1"/>
  <c r="E13" i="64"/>
  <c r="F13" i="64" s="1"/>
  <c r="E8" i="64"/>
  <c r="F8" i="64" s="1"/>
  <c r="E77" i="64" s="1"/>
  <c r="E21" i="64"/>
  <c r="F21" i="64" s="1"/>
  <c r="E24" i="64"/>
  <c r="F24" i="64" s="1"/>
  <c r="E14" i="64"/>
  <c r="F14" i="64" s="1"/>
  <c r="E16" i="64"/>
  <c r="F16" i="64" s="1"/>
  <c r="E19" i="64"/>
  <c r="E9" i="64"/>
  <c r="F9" i="64" s="1"/>
  <c r="E78" i="64" s="1"/>
  <c r="E22" i="64"/>
  <c r="F22" i="64" s="1"/>
  <c r="E23" i="64"/>
  <c r="F23" i="64" s="1"/>
  <c r="E15" i="64"/>
  <c r="F15" i="64" s="1"/>
  <c r="E17" i="64"/>
  <c r="F17" i="64" s="1"/>
  <c r="E7" i="64"/>
  <c r="F7" i="64" s="1"/>
  <c r="E76" i="64" s="1"/>
  <c r="E18" i="64"/>
  <c r="F18" i="64" s="1"/>
  <c r="E11" i="64"/>
  <c r="F11" i="64" s="1"/>
  <c r="E20" i="64"/>
  <c r="F20" i="64" s="1"/>
  <c r="E10" i="64"/>
  <c r="F10" i="64" s="1"/>
  <c r="N55" i="66"/>
  <c r="O54" i="66"/>
  <c r="AK41" i="61"/>
  <c r="AM41" i="61" s="1"/>
  <c r="AM40" i="61"/>
  <c r="AK98" i="61"/>
  <c r="AM98" i="61" s="1"/>
  <c r="AM97" i="61"/>
  <c r="AK60" i="61"/>
  <c r="AM60" i="61" s="1"/>
  <c r="AM59" i="61"/>
  <c r="AM18" i="63"/>
  <c r="AJ8" i="61"/>
  <c r="F19" i="64" l="1"/>
  <c r="AA23" i="64"/>
  <c r="AA22" i="64" s="1"/>
  <c r="AA21" i="64" s="1"/>
  <c r="AA20" i="64" s="1"/>
  <c r="AA19" i="64" s="1"/>
  <c r="AA18" i="64" s="1"/>
  <c r="AA17" i="64" s="1"/>
  <c r="AA16" i="64" s="1"/>
  <c r="AA15" i="64" s="1"/>
  <c r="AA14" i="64" s="1"/>
  <c r="E79" i="64"/>
  <c r="E80" i="64"/>
  <c r="E82" i="64"/>
  <c r="E84" i="64"/>
  <c r="E81" i="64"/>
  <c r="E92" i="64"/>
  <c r="E87" i="64"/>
  <c r="E86" i="64"/>
  <c r="E90" i="64"/>
  <c r="E85" i="64"/>
  <c r="E88" i="64"/>
  <c r="E83" i="64"/>
  <c r="E91" i="64"/>
  <c r="E89" i="64"/>
  <c r="E93" i="64"/>
  <c r="AN60" i="61"/>
  <c r="AO60" i="61"/>
  <c r="AN97" i="61"/>
  <c r="AO97" i="61"/>
  <c r="AN98" i="61"/>
  <c r="AO98" i="61"/>
  <c r="AN40" i="61"/>
  <c r="AO40" i="61"/>
  <c r="AN59" i="61"/>
  <c r="AO59" i="61"/>
  <c r="AN41" i="61"/>
  <c r="AO41" i="61"/>
  <c r="N56" i="66"/>
  <c r="O55" i="66"/>
  <c r="E17" i="63"/>
  <c r="F17" i="63"/>
  <c r="G17" i="63"/>
  <c r="E18" i="63"/>
  <c r="F18" i="63"/>
  <c r="G18" i="63"/>
  <c r="E19" i="63"/>
  <c r="F19" i="63"/>
  <c r="G19" i="63"/>
  <c r="E20" i="63"/>
  <c r="F20" i="63"/>
  <c r="G20" i="63"/>
  <c r="E21" i="63"/>
  <c r="F21" i="63"/>
  <c r="G21" i="63"/>
  <c r="E22" i="63"/>
  <c r="F22" i="63"/>
  <c r="G22" i="63"/>
  <c r="E23" i="63"/>
  <c r="F23" i="63"/>
  <c r="G23" i="63"/>
  <c r="E24" i="63"/>
  <c r="F24" i="63"/>
  <c r="G24" i="63"/>
  <c r="D21" i="63"/>
  <c r="D22" i="63"/>
  <c r="D23" i="63"/>
  <c r="D24" i="63"/>
  <c r="D18" i="63"/>
  <c r="D19" i="63"/>
  <c r="D20" i="63"/>
  <c r="D17" i="63"/>
  <c r="AM19" i="63"/>
  <c r="AJ7" i="61"/>
  <c r="AK7" i="61" l="1"/>
  <c r="AA13" i="64"/>
  <c r="AA12" i="64" s="1"/>
  <c r="AA11" i="64" s="1"/>
  <c r="AA10" i="64" s="1"/>
  <c r="AA9" i="64" s="1"/>
  <c r="AA8" i="64" s="1"/>
  <c r="AA7" i="64" s="1"/>
  <c r="AA6" i="64" s="1"/>
  <c r="AA5" i="64" s="1"/>
  <c r="N57" i="66"/>
  <c r="O56" i="66"/>
  <c r="E13" i="63"/>
  <c r="F13" i="63"/>
  <c r="G13" i="63"/>
  <c r="D13" i="63"/>
  <c r="AM20" i="63"/>
  <c r="I34" i="61" l="1"/>
  <c r="I26" i="61"/>
  <c r="AM7" i="61"/>
  <c r="AO7" i="61" s="1"/>
  <c r="AK8" i="61"/>
  <c r="L97" i="60"/>
  <c r="L80" i="60"/>
  <c r="L63" i="60"/>
  <c r="L21" i="60"/>
  <c r="L39" i="60"/>
  <c r="L98" i="60"/>
  <c r="L81" i="60"/>
  <c r="L58" i="60"/>
  <c r="L22" i="60"/>
  <c r="L61" i="60"/>
  <c r="L99" i="60"/>
  <c r="L82" i="60"/>
  <c r="L40" i="60"/>
  <c r="L23" i="60"/>
  <c r="L100" i="60"/>
  <c r="L77" i="60"/>
  <c r="L41" i="60"/>
  <c r="L24" i="60"/>
  <c r="L79" i="60"/>
  <c r="L101" i="60"/>
  <c r="L59" i="60"/>
  <c r="L42" i="60"/>
  <c r="L25" i="60"/>
  <c r="L44" i="60"/>
  <c r="L96" i="60"/>
  <c r="L60" i="60"/>
  <c r="L43" i="60"/>
  <c r="L20" i="60"/>
  <c r="L62" i="60"/>
  <c r="L78" i="60"/>
  <c r="L46" i="60"/>
  <c r="L27" i="60"/>
  <c r="L67" i="60"/>
  <c r="L89" i="60"/>
  <c r="L68" i="60"/>
  <c r="L54" i="60"/>
  <c r="L30" i="60"/>
  <c r="L84" i="60"/>
  <c r="L52" i="60"/>
  <c r="L49" i="60"/>
  <c r="L34" i="60"/>
  <c r="L91" i="60"/>
  <c r="L65" i="60"/>
  <c r="L33" i="60"/>
  <c r="L86" i="60"/>
  <c r="L88" i="60"/>
  <c r="L90" i="60"/>
  <c r="L107" i="60"/>
  <c r="L45" i="60"/>
  <c r="L87" i="60"/>
  <c r="L64" i="60"/>
  <c r="L106" i="60"/>
  <c r="L111" i="60"/>
  <c r="L71" i="60"/>
  <c r="L110" i="60"/>
  <c r="L85" i="60"/>
  <c r="L102" i="60"/>
  <c r="L26" i="60"/>
  <c r="L47" i="60"/>
  <c r="L73" i="60"/>
  <c r="L103" i="60"/>
  <c r="L53" i="60"/>
  <c r="L48" i="60"/>
  <c r="L92" i="60"/>
  <c r="L83" i="60"/>
  <c r="L66" i="60"/>
  <c r="L70" i="60"/>
  <c r="L28" i="60"/>
  <c r="L105" i="60"/>
  <c r="L29" i="60"/>
  <c r="L51" i="60"/>
  <c r="L50" i="60"/>
  <c r="L104" i="60"/>
  <c r="L31" i="60"/>
  <c r="L72" i="60"/>
  <c r="L108" i="60"/>
  <c r="L32" i="60"/>
  <c r="L35" i="60"/>
  <c r="L69" i="60"/>
  <c r="L109" i="60"/>
  <c r="K98" i="60"/>
  <c r="K77" i="60"/>
  <c r="K43" i="60"/>
  <c r="K96" i="60"/>
  <c r="K80" i="60"/>
  <c r="K23" i="60"/>
  <c r="K82" i="60"/>
  <c r="K61" i="60"/>
  <c r="K40" i="60"/>
  <c r="K21" i="60"/>
  <c r="K100" i="60"/>
  <c r="K79" i="60"/>
  <c r="K58" i="60"/>
  <c r="K24" i="60"/>
  <c r="K97" i="60"/>
  <c r="K63" i="60"/>
  <c r="K42" i="60"/>
  <c r="K62" i="60"/>
  <c r="K101" i="60"/>
  <c r="K59" i="60"/>
  <c r="K81" i="60"/>
  <c r="K60" i="60"/>
  <c r="K39" i="60"/>
  <c r="K22" i="60"/>
  <c r="K41" i="60"/>
  <c r="K20" i="60"/>
  <c r="K99" i="60"/>
  <c r="K78" i="60"/>
  <c r="K44" i="60"/>
  <c r="K25" i="60"/>
  <c r="J101" i="60"/>
  <c r="J80" i="60"/>
  <c r="J59" i="60"/>
  <c r="J21" i="60"/>
  <c r="J44" i="60"/>
  <c r="J98" i="60"/>
  <c r="J77" i="60"/>
  <c r="J43" i="60"/>
  <c r="J24" i="60"/>
  <c r="J96" i="60"/>
  <c r="J82" i="60"/>
  <c r="J61" i="60"/>
  <c r="J40" i="60"/>
  <c r="J78" i="60"/>
  <c r="J23" i="60"/>
  <c r="J41" i="60"/>
  <c r="J100" i="60"/>
  <c r="J79" i="60"/>
  <c r="J58" i="60"/>
  <c r="J22" i="60"/>
  <c r="J20" i="60"/>
  <c r="J97" i="60"/>
  <c r="J63" i="60"/>
  <c r="J42" i="60"/>
  <c r="J25" i="60"/>
  <c r="J81" i="60"/>
  <c r="J60" i="60"/>
  <c r="J39" i="60"/>
  <c r="J99" i="60"/>
  <c r="J62" i="60"/>
  <c r="I96" i="60"/>
  <c r="I62" i="60"/>
  <c r="I41" i="60"/>
  <c r="I24" i="60"/>
  <c r="I20" i="60"/>
  <c r="I101" i="60"/>
  <c r="I80" i="60"/>
  <c r="I59" i="60"/>
  <c r="I39" i="60"/>
  <c r="I44" i="60"/>
  <c r="I98" i="60"/>
  <c r="I77" i="60"/>
  <c r="I43" i="60"/>
  <c r="I22" i="60"/>
  <c r="I78" i="60"/>
  <c r="I82" i="60"/>
  <c r="I61" i="60"/>
  <c r="I40" i="60"/>
  <c r="I25" i="60"/>
  <c r="I100" i="60"/>
  <c r="I79" i="60"/>
  <c r="I58" i="60"/>
  <c r="I81" i="60"/>
  <c r="I99" i="60"/>
  <c r="I97" i="60"/>
  <c r="I63" i="60"/>
  <c r="I42" i="60"/>
  <c r="I23" i="60"/>
  <c r="I60" i="60"/>
  <c r="I21" i="60"/>
  <c r="N58" i="66"/>
  <c r="O57" i="66"/>
  <c r="O82" i="63"/>
  <c r="P82" i="63"/>
  <c r="Q82" i="63"/>
  <c r="O83" i="63"/>
  <c r="P83" i="63"/>
  <c r="Q83" i="63"/>
  <c r="P81" i="63"/>
  <c r="Q81" i="63"/>
  <c r="O81" i="63"/>
  <c r="O63" i="63"/>
  <c r="P63" i="63"/>
  <c r="Q63" i="63"/>
  <c r="O64" i="63"/>
  <c r="P64" i="63"/>
  <c r="Q64" i="63"/>
  <c r="P62" i="63"/>
  <c r="Q62" i="63"/>
  <c r="O62" i="63"/>
  <c r="O44" i="63"/>
  <c r="P44" i="63"/>
  <c r="Q44" i="63"/>
  <c r="O45" i="63"/>
  <c r="P45" i="63"/>
  <c r="Q45" i="63"/>
  <c r="P43" i="63"/>
  <c r="Q43" i="63"/>
  <c r="O43" i="63"/>
  <c r="O25" i="63"/>
  <c r="P25" i="63"/>
  <c r="Q25" i="63"/>
  <c r="O26" i="63"/>
  <c r="P26" i="63"/>
  <c r="Q26" i="63"/>
  <c r="P24" i="63"/>
  <c r="Q24" i="63"/>
  <c r="O24" i="63"/>
  <c r="P5" i="63"/>
  <c r="Q5" i="63"/>
  <c r="P6" i="63"/>
  <c r="Q6" i="63"/>
  <c r="P7" i="63"/>
  <c r="Q7" i="63"/>
  <c r="O6" i="63"/>
  <c r="O7" i="63"/>
  <c r="O5" i="63"/>
  <c r="AN7" i="61" l="1"/>
  <c r="AM8" i="61"/>
  <c r="AO8" i="61" s="1"/>
  <c r="AK9" i="61"/>
  <c r="D28" i="61"/>
  <c r="I27" i="61"/>
  <c r="I35" i="61"/>
  <c r="D36" i="61"/>
  <c r="N59" i="66"/>
  <c r="O58" i="66"/>
  <c r="R44" i="63"/>
  <c r="S44" i="63" s="1"/>
  <c r="F45" i="67" s="1"/>
  <c r="H45" i="67" s="1"/>
  <c r="R81" i="63"/>
  <c r="S81" i="63" s="1"/>
  <c r="F82" i="67" s="1"/>
  <c r="R63" i="63"/>
  <c r="S63" i="63" s="1"/>
  <c r="F64" i="67" s="1"/>
  <c r="H64" i="67" s="1"/>
  <c r="R62" i="63"/>
  <c r="S62" i="63" s="1"/>
  <c r="F63" i="67" s="1"/>
  <c r="R25" i="63"/>
  <c r="S25" i="63" s="1"/>
  <c r="F26" i="67" s="1"/>
  <c r="H26" i="67" s="1"/>
  <c r="R82" i="63"/>
  <c r="S82" i="63" s="1"/>
  <c r="F83" i="67" s="1"/>
  <c r="H83" i="67" s="1"/>
  <c r="R26" i="63"/>
  <c r="S26" i="63" s="1"/>
  <c r="F27" i="67" s="1"/>
  <c r="H27" i="67" s="1"/>
  <c r="R45" i="63"/>
  <c r="S45" i="63" s="1"/>
  <c r="F46" i="67" s="1"/>
  <c r="H46" i="67" s="1"/>
  <c r="R64" i="63"/>
  <c r="S64" i="63" s="1"/>
  <c r="F65" i="67" s="1"/>
  <c r="H65" i="67" s="1"/>
  <c r="R83" i="63"/>
  <c r="S83" i="63" s="1"/>
  <c r="F84" i="67" s="1"/>
  <c r="H84" i="67" s="1"/>
  <c r="R24" i="63"/>
  <c r="S24" i="63" s="1"/>
  <c r="F25" i="67" s="1"/>
  <c r="R43" i="63"/>
  <c r="S43" i="63" s="1"/>
  <c r="F44" i="67" s="1"/>
  <c r="R7" i="63"/>
  <c r="S7" i="63" s="1"/>
  <c r="F8" i="67" s="1"/>
  <c r="R5" i="63"/>
  <c r="S5" i="63" s="1"/>
  <c r="F6" i="67" s="1"/>
  <c r="R6" i="63"/>
  <c r="S6" i="63" s="1"/>
  <c r="F7" i="67" s="1"/>
  <c r="H7" i="67" s="1"/>
  <c r="AM54" i="52"/>
  <c r="AN54" i="52"/>
  <c r="AO54" i="52"/>
  <c r="AP54" i="52"/>
  <c r="AQ54" i="52"/>
  <c r="AT54" i="52"/>
  <c r="AU54" i="52"/>
  <c r="AV54" i="52"/>
  <c r="AW54" i="52"/>
  <c r="AX54" i="52"/>
  <c r="AM55" i="52"/>
  <c r="AN55" i="52"/>
  <c r="AO55" i="52"/>
  <c r="AP55" i="52"/>
  <c r="AQ55" i="52"/>
  <c r="AT55" i="52"/>
  <c r="AU55" i="52"/>
  <c r="AV55" i="52"/>
  <c r="AW55" i="52"/>
  <c r="AX55" i="52"/>
  <c r="AM56" i="52"/>
  <c r="AN56" i="52"/>
  <c r="AO56" i="52"/>
  <c r="AP56" i="52"/>
  <c r="AQ56" i="52"/>
  <c r="AT56" i="52"/>
  <c r="AU56" i="52"/>
  <c r="AV56" i="52"/>
  <c r="AW56" i="52"/>
  <c r="AX56" i="52"/>
  <c r="AM57" i="52"/>
  <c r="AN57" i="52"/>
  <c r="AO57" i="52"/>
  <c r="AP57" i="52"/>
  <c r="AQ57" i="52"/>
  <c r="AT57" i="52"/>
  <c r="AU57" i="52"/>
  <c r="AV57" i="52"/>
  <c r="AW57" i="52"/>
  <c r="AX57" i="52"/>
  <c r="AM58" i="52"/>
  <c r="AN58" i="52"/>
  <c r="AO58" i="52"/>
  <c r="AP58" i="52"/>
  <c r="AQ58" i="52"/>
  <c r="AT58" i="52"/>
  <c r="AU58" i="52"/>
  <c r="AV58" i="52"/>
  <c r="AW58" i="52"/>
  <c r="AX58" i="52"/>
  <c r="AM59" i="52"/>
  <c r="AN59" i="52"/>
  <c r="AO59" i="52"/>
  <c r="AP59" i="52"/>
  <c r="AQ59" i="52"/>
  <c r="AT59" i="52"/>
  <c r="AU59" i="52"/>
  <c r="AV59" i="52"/>
  <c r="AW59" i="52"/>
  <c r="AX59" i="52"/>
  <c r="AM60" i="52"/>
  <c r="AN60" i="52"/>
  <c r="AO60" i="52"/>
  <c r="AP60" i="52"/>
  <c r="AQ60" i="52"/>
  <c r="AT60" i="52"/>
  <c r="AU60" i="52"/>
  <c r="AV60" i="52"/>
  <c r="AW60" i="52"/>
  <c r="AX60" i="52"/>
  <c r="AM61" i="52"/>
  <c r="AN61" i="52"/>
  <c r="AO61" i="52"/>
  <c r="AP61" i="52"/>
  <c r="AQ61" i="52"/>
  <c r="AT61" i="52"/>
  <c r="AU61" i="52"/>
  <c r="AV61" i="52"/>
  <c r="AW61" i="52"/>
  <c r="AX61" i="52"/>
  <c r="AM62" i="52"/>
  <c r="AN62" i="52"/>
  <c r="AO62" i="52"/>
  <c r="AP62" i="52"/>
  <c r="AQ62" i="52"/>
  <c r="AT62" i="52"/>
  <c r="AU62" i="52"/>
  <c r="AV62" i="52"/>
  <c r="AW62" i="52"/>
  <c r="AX62" i="52"/>
  <c r="AM63" i="52"/>
  <c r="AN63" i="52"/>
  <c r="AO63" i="52"/>
  <c r="AP63" i="52"/>
  <c r="AQ63" i="52"/>
  <c r="AT63" i="52"/>
  <c r="AU63" i="52"/>
  <c r="AV63" i="52"/>
  <c r="AW63" i="52"/>
  <c r="AX63" i="52"/>
  <c r="AM64" i="52"/>
  <c r="AN64" i="52"/>
  <c r="AO64" i="52"/>
  <c r="AP64" i="52"/>
  <c r="AQ64" i="52"/>
  <c r="AT64" i="52"/>
  <c r="AU64" i="52"/>
  <c r="AV64" i="52"/>
  <c r="AW64" i="52"/>
  <c r="AX64" i="52"/>
  <c r="AM65" i="52"/>
  <c r="AN65" i="52"/>
  <c r="AO65" i="52"/>
  <c r="AP65" i="52"/>
  <c r="AQ65" i="52"/>
  <c r="AT65" i="52"/>
  <c r="AU65" i="52"/>
  <c r="AV65" i="52"/>
  <c r="AW65" i="52"/>
  <c r="AX65" i="52"/>
  <c r="AM66" i="52"/>
  <c r="AN66" i="52"/>
  <c r="AO66" i="52"/>
  <c r="AP66" i="52"/>
  <c r="AQ66" i="52"/>
  <c r="AT66" i="52"/>
  <c r="AU66" i="52"/>
  <c r="AV66" i="52"/>
  <c r="AW66" i="52"/>
  <c r="AX66" i="52"/>
  <c r="AM67" i="52"/>
  <c r="AN67" i="52"/>
  <c r="AO67" i="52"/>
  <c r="AP67" i="52"/>
  <c r="AQ67" i="52"/>
  <c r="AT67" i="52"/>
  <c r="AU67" i="52"/>
  <c r="AV67" i="52"/>
  <c r="AW67" i="52"/>
  <c r="AX67" i="52"/>
  <c r="AM68" i="52"/>
  <c r="AN68" i="52"/>
  <c r="AO68" i="52"/>
  <c r="AP68" i="52"/>
  <c r="AQ68" i="52"/>
  <c r="AT68" i="52"/>
  <c r="AU68" i="52"/>
  <c r="AV68" i="52"/>
  <c r="AW68" i="52"/>
  <c r="AX68" i="52"/>
  <c r="AM69" i="52"/>
  <c r="AN69" i="52"/>
  <c r="AO69" i="52"/>
  <c r="AP69" i="52"/>
  <c r="AQ69" i="52"/>
  <c r="AT69" i="52"/>
  <c r="AU69" i="52"/>
  <c r="AV69" i="52"/>
  <c r="AW69" i="52"/>
  <c r="AX69" i="52"/>
  <c r="AM70" i="52"/>
  <c r="AN70" i="52"/>
  <c r="AO70" i="52"/>
  <c r="AP70" i="52"/>
  <c r="AQ70" i="52"/>
  <c r="AT70" i="52"/>
  <c r="AU70" i="52"/>
  <c r="AV70" i="52"/>
  <c r="AW70" i="52"/>
  <c r="AX70" i="52"/>
  <c r="AM71" i="52"/>
  <c r="AN71" i="52"/>
  <c r="AO71" i="52"/>
  <c r="AP71" i="52"/>
  <c r="AQ71" i="52"/>
  <c r="AT71" i="52"/>
  <c r="AU71" i="52"/>
  <c r="AV71" i="52"/>
  <c r="AW71" i="52"/>
  <c r="AX71" i="52"/>
  <c r="AM72" i="52"/>
  <c r="AN72" i="52"/>
  <c r="AO72" i="52"/>
  <c r="AP72" i="52"/>
  <c r="AQ72" i="52"/>
  <c r="AT72" i="52"/>
  <c r="AU72" i="52"/>
  <c r="AV72" i="52"/>
  <c r="AW72" i="52"/>
  <c r="AX72" i="52"/>
  <c r="AM73" i="52"/>
  <c r="AN73" i="52"/>
  <c r="AO73" i="52"/>
  <c r="AP73" i="52"/>
  <c r="AQ73" i="52"/>
  <c r="AT73" i="52"/>
  <c r="AU73" i="52"/>
  <c r="AV73" i="52"/>
  <c r="AW73" i="52"/>
  <c r="AX73" i="52"/>
  <c r="AM74" i="52"/>
  <c r="AN74" i="52"/>
  <c r="AO74" i="52"/>
  <c r="AP74" i="52"/>
  <c r="AQ74" i="52"/>
  <c r="AT74" i="52"/>
  <c r="AU74" i="52"/>
  <c r="AV74" i="52"/>
  <c r="AW74" i="52"/>
  <c r="AX74" i="52"/>
  <c r="AM75" i="52"/>
  <c r="AN75" i="52"/>
  <c r="AO75" i="52"/>
  <c r="AP75" i="52"/>
  <c r="AQ75" i="52"/>
  <c r="AT75" i="52"/>
  <c r="AU75" i="52"/>
  <c r="AV75" i="52"/>
  <c r="AW75" i="52"/>
  <c r="AX75" i="52"/>
  <c r="AM76" i="52"/>
  <c r="AN76" i="52"/>
  <c r="AO76" i="52"/>
  <c r="AP76" i="52"/>
  <c r="AQ76" i="52"/>
  <c r="AT76" i="52"/>
  <c r="AU76" i="52"/>
  <c r="AV76" i="52"/>
  <c r="AW76" i="52"/>
  <c r="AX76" i="52"/>
  <c r="AM77" i="52"/>
  <c r="AN77" i="52"/>
  <c r="AO77" i="52"/>
  <c r="AP77" i="52"/>
  <c r="AQ77" i="52"/>
  <c r="AT77" i="52"/>
  <c r="AU77" i="52"/>
  <c r="AV77" i="52"/>
  <c r="AW77" i="52"/>
  <c r="AX77" i="52"/>
  <c r="AM78" i="52"/>
  <c r="AN78" i="52"/>
  <c r="AO78" i="52"/>
  <c r="AP78" i="52"/>
  <c r="AQ78" i="52"/>
  <c r="AT78" i="52"/>
  <c r="AU78" i="52"/>
  <c r="AV78" i="52"/>
  <c r="AW78" i="52"/>
  <c r="AX78" i="52"/>
  <c r="AM79" i="52"/>
  <c r="AN79" i="52"/>
  <c r="AO79" i="52"/>
  <c r="AP79" i="52"/>
  <c r="AQ79" i="52"/>
  <c r="AT79" i="52"/>
  <c r="AU79" i="52"/>
  <c r="AV79" i="52"/>
  <c r="AW79" i="52"/>
  <c r="AX79" i="52"/>
  <c r="AM80" i="52"/>
  <c r="AN80" i="52"/>
  <c r="AO80" i="52"/>
  <c r="AP80" i="52"/>
  <c r="AQ80" i="52"/>
  <c r="AT80" i="52"/>
  <c r="AU80" i="52"/>
  <c r="AV80" i="52"/>
  <c r="AW80" i="52"/>
  <c r="AX80" i="52"/>
  <c r="AM81" i="52"/>
  <c r="AN81" i="52"/>
  <c r="AO81" i="52"/>
  <c r="AP81" i="52"/>
  <c r="AQ81" i="52"/>
  <c r="AT81" i="52"/>
  <c r="AU81" i="52"/>
  <c r="AV81" i="52"/>
  <c r="AW81" i="52"/>
  <c r="AX81" i="52"/>
  <c r="AM82" i="52"/>
  <c r="AN82" i="52"/>
  <c r="AO82" i="52"/>
  <c r="AP82" i="52"/>
  <c r="AQ82" i="52"/>
  <c r="AT82" i="52"/>
  <c r="AU82" i="52"/>
  <c r="AV82" i="52"/>
  <c r="AW82" i="52"/>
  <c r="AX82" i="52"/>
  <c r="AM83" i="52"/>
  <c r="AN83" i="52"/>
  <c r="AO83" i="52"/>
  <c r="AP83" i="52"/>
  <c r="AQ83" i="52"/>
  <c r="AT83" i="52"/>
  <c r="AU83" i="52"/>
  <c r="AV83" i="52"/>
  <c r="AW83" i="52"/>
  <c r="AX83" i="52"/>
  <c r="N114" i="52"/>
  <c r="P114" i="52"/>
  <c r="Q114" i="52"/>
  <c r="R114" i="52"/>
  <c r="S114" i="52"/>
  <c r="T114" i="52"/>
  <c r="W114" i="52"/>
  <c r="X114" i="52"/>
  <c r="Y114" i="52"/>
  <c r="Z114" i="52"/>
  <c r="AA114" i="52"/>
  <c r="N115" i="52"/>
  <c r="P115" i="52"/>
  <c r="Q115" i="52"/>
  <c r="R115" i="52"/>
  <c r="S115" i="52"/>
  <c r="T115" i="52"/>
  <c r="W115" i="52"/>
  <c r="X115" i="52"/>
  <c r="Y115" i="52"/>
  <c r="Z115" i="52"/>
  <c r="AA115" i="52"/>
  <c r="N116" i="52"/>
  <c r="P116" i="52"/>
  <c r="Q116" i="52"/>
  <c r="R116" i="52"/>
  <c r="S116" i="52"/>
  <c r="T116" i="52"/>
  <c r="W116" i="52"/>
  <c r="X116" i="52"/>
  <c r="Y116" i="52"/>
  <c r="Z116" i="52"/>
  <c r="AA116" i="52"/>
  <c r="N117" i="52"/>
  <c r="P117" i="52"/>
  <c r="Q117" i="52"/>
  <c r="R117" i="52"/>
  <c r="S117" i="52"/>
  <c r="T117" i="52"/>
  <c r="W117" i="52"/>
  <c r="X117" i="52"/>
  <c r="Y117" i="52"/>
  <c r="Z117" i="52"/>
  <c r="AA117" i="52"/>
  <c r="N118" i="52"/>
  <c r="P118" i="52"/>
  <c r="Q118" i="52"/>
  <c r="R118" i="52"/>
  <c r="S118" i="52"/>
  <c r="T118" i="52"/>
  <c r="W118" i="52"/>
  <c r="X118" i="52"/>
  <c r="Y118" i="52"/>
  <c r="Z118" i="52"/>
  <c r="AA118" i="52"/>
  <c r="N119" i="52"/>
  <c r="P119" i="52"/>
  <c r="Q119" i="52"/>
  <c r="R119" i="52"/>
  <c r="S119" i="52"/>
  <c r="T119" i="52"/>
  <c r="W119" i="52"/>
  <c r="X119" i="52"/>
  <c r="Y119" i="52"/>
  <c r="Z119" i="52"/>
  <c r="AA119" i="52"/>
  <c r="N120" i="52"/>
  <c r="P120" i="52"/>
  <c r="Q120" i="52"/>
  <c r="R120" i="52"/>
  <c r="S120" i="52"/>
  <c r="T120" i="52"/>
  <c r="W120" i="52"/>
  <c r="X120" i="52"/>
  <c r="Y120" i="52"/>
  <c r="Z120" i="52"/>
  <c r="AA120" i="52"/>
  <c r="N121" i="52"/>
  <c r="P121" i="52"/>
  <c r="Q121" i="52"/>
  <c r="R121" i="52"/>
  <c r="S121" i="52"/>
  <c r="T121" i="52"/>
  <c r="W121" i="52"/>
  <c r="X121" i="52"/>
  <c r="Y121" i="52"/>
  <c r="Z121" i="52"/>
  <c r="AA121" i="52"/>
  <c r="N122" i="52"/>
  <c r="P122" i="52"/>
  <c r="Q122" i="52"/>
  <c r="R122" i="52"/>
  <c r="S122" i="52"/>
  <c r="T122" i="52"/>
  <c r="W122" i="52"/>
  <c r="X122" i="52"/>
  <c r="Y122" i="52"/>
  <c r="Z122" i="52"/>
  <c r="AA122" i="52"/>
  <c r="N123" i="52"/>
  <c r="P123" i="52"/>
  <c r="Q123" i="52"/>
  <c r="R123" i="52"/>
  <c r="S123" i="52"/>
  <c r="T123" i="52"/>
  <c r="W123" i="52"/>
  <c r="X123" i="52"/>
  <c r="Y123" i="52"/>
  <c r="Z123" i="52"/>
  <c r="AA123" i="52"/>
  <c r="N124" i="52"/>
  <c r="P124" i="52"/>
  <c r="Q124" i="52"/>
  <c r="R124" i="52"/>
  <c r="S124" i="52"/>
  <c r="T124" i="52"/>
  <c r="W124" i="52"/>
  <c r="X124" i="52"/>
  <c r="Y124" i="52"/>
  <c r="Z124" i="52"/>
  <c r="AA124" i="52"/>
  <c r="N125" i="52"/>
  <c r="P125" i="52"/>
  <c r="Q125" i="52"/>
  <c r="R125" i="52"/>
  <c r="S125" i="52"/>
  <c r="T125" i="52"/>
  <c r="W125" i="52"/>
  <c r="X125" i="52"/>
  <c r="Y125" i="52"/>
  <c r="Z125" i="52"/>
  <c r="AA125" i="52"/>
  <c r="N126" i="52"/>
  <c r="P126" i="52"/>
  <c r="Q126" i="52"/>
  <c r="R126" i="52"/>
  <c r="S126" i="52"/>
  <c r="T126" i="52"/>
  <c r="W126" i="52"/>
  <c r="X126" i="52"/>
  <c r="Y126" i="52"/>
  <c r="Z126" i="52"/>
  <c r="AA126" i="52"/>
  <c r="N127" i="52"/>
  <c r="P127" i="52"/>
  <c r="Q127" i="52"/>
  <c r="R127" i="52"/>
  <c r="S127" i="52"/>
  <c r="T127" i="52"/>
  <c r="W127" i="52"/>
  <c r="X127" i="52"/>
  <c r="Y127" i="52"/>
  <c r="Z127" i="52"/>
  <c r="AA127" i="52"/>
  <c r="N128" i="52"/>
  <c r="P128" i="52"/>
  <c r="Q128" i="52"/>
  <c r="R128" i="52"/>
  <c r="S128" i="52"/>
  <c r="T128" i="52"/>
  <c r="W128" i="52"/>
  <c r="X128" i="52"/>
  <c r="Y128" i="52"/>
  <c r="Z128" i="52"/>
  <c r="AA128" i="52"/>
  <c r="N129" i="52"/>
  <c r="P129" i="52"/>
  <c r="Q129" i="52"/>
  <c r="R129" i="52"/>
  <c r="S129" i="52"/>
  <c r="T129" i="52"/>
  <c r="W129" i="52"/>
  <c r="X129" i="52"/>
  <c r="Y129" i="52"/>
  <c r="Z129" i="52"/>
  <c r="AA129" i="52"/>
  <c r="N130" i="52"/>
  <c r="P130" i="52"/>
  <c r="Q130" i="52"/>
  <c r="R130" i="52"/>
  <c r="S130" i="52"/>
  <c r="T130" i="52"/>
  <c r="W130" i="52"/>
  <c r="X130" i="52"/>
  <c r="Y130" i="52"/>
  <c r="Z130" i="52"/>
  <c r="AA130" i="52"/>
  <c r="N131" i="52"/>
  <c r="P131" i="52"/>
  <c r="Q131" i="52"/>
  <c r="R131" i="52"/>
  <c r="S131" i="52"/>
  <c r="T131" i="52"/>
  <c r="W131" i="52"/>
  <c r="X131" i="52"/>
  <c r="Y131" i="52"/>
  <c r="Z131" i="52"/>
  <c r="AA131" i="52"/>
  <c r="N132" i="52"/>
  <c r="P132" i="52"/>
  <c r="Q132" i="52"/>
  <c r="R132" i="52"/>
  <c r="S132" i="52"/>
  <c r="T132" i="52"/>
  <c r="W132" i="52"/>
  <c r="X132" i="52"/>
  <c r="Y132" i="52"/>
  <c r="Z132" i="52"/>
  <c r="AA132" i="52"/>
  <c r="N133" i="52"/>
  <c r="P133" i="52"/>
  <c r="Q133" i="52"/>
  <c r="R133" i="52"/>
  <c r="S133" i="52"/>
  <c r="T133" i="52"/>
  <c r="W133" i="52"/>
  <c r="X133" i="52"/>
  <c r="Y133" i="52"/>
  <c r="Z133" i="52"/>
  <c r="AA133" i="52"/>
  <c r="N134" i="52"/>
  <c r="P134" i="52"/>
  <c r="Q134" i="52"/>
  <c r="R134" i="52"/>
  <c r="S134" i="52"/>
  <c r="T134" i="52"/>
  <c r="W134" i="52"/>
  <c r="X134" i="52"/>
  <c r="Y134" i="52"/>
  <c r="Z134" i="52"/>
  <c r="AA134" i="52"/>
  <c r="N135" i="52"/>
  <c r="P135" i="52"/>
  <c r="Q135" i="52"/>
  <c r="R135" i="52"/>
  <c r="S135" i="52"/>
  <c r="T135" i="52"/>
  <c r="W135" i="52"/>
  <c r="X135" i="52"/>
  <c r="Y135" i="52"/>
  <c r="Z135" i="52"/>
  <c r="AA135" i="52"/>
  <c r="N136" i="52"/>
  <c r="P136" i="52"/>
  <c r="Q136" i="52"/>
  <c r="R136" i="52"/>
  <c r="S136" i="52"/>
  <c r="T136" i="52"/>
  <c r="W136" i="52"/>
  <c r="X136" i="52"/>
  <c r="Y136" i="52"/>
  <c r="Z136" i="52"/>
  <c r="AA136" i="52"/>
  <c r="N137" i="52"/>
  <c r="P137" i="52"/>
  <c r="Q137" i="52"/>
  <c r="R137" i="52"/>
  <c r="S137" i="52"/>
  <c r="T137" i="52"/>
  <c r="W137" i="52"/>
  <c r="X137" i="52"/>
  <c r="Y137" i="52"/>
  <c r="Z137" i="52"/>
  <c r="AA137" i="52"/>
  <c r="N138" i="52"/>
  <c r="P138" i="52"/>
  <c r="Q138" i="52"/>
  <c r="R138" i="52"/>
  <c r="S138" i="52"/>
  <c r="T138" i="52"/>
  <c r="W138" i="52"/>
  <c r="X138" i="52"/>
  <c r="Y138" i="52"/>
  <c r="Z138" i="52"/>
  <c r="AA138" i="52"/>
  <c r="N139" i="52"/>
  <c r="P139" i="52"/>
  <c r="Q139" i="52"/>
  <c r="R139" i="52"/>
  <c r="S139" i="52"/>
  <c r="T139" i="52"/>
  <c r="W139" i="52"/>
  <c r="X139" i="52"/>
  <c r="Y139" i="52"/>
  <c r="Z139" i="52"/>
  <c r="AA139" i="52"/>
  <c r="N140" i="52"/>
  <c r="P140" i="52"/>
  <c r="Q140" i="52"/>
  <c r="R140" i="52"/>
  <c r="S140" i="52"/>
  <c r="T140" i="52"/>
  <c r="W140" i="52"/>
  <c r="X140" i="52"/>
  <c r="Y140" i="52"/>
  <c r="Z140" i="52"/>
  <c r="AA140" i="52"/>
  <c r="N141" i="52"/>
  <c r="P141" i="52"/>
  <c r="Q141" i="52"/>
  <c r="R141" i="52"/>
  <c r="S141" i="52"/>
  <c r="T141" i="52"/>
  <c r="W141" i="52"/>
  <c r="X141" i="52"/>
  <c r="Y141" i="52"/>
  <c r="Z141" i="52"/>
  <c r="AA141" i="52"/>
  <c r="N142" i="52"/>
  <c r="P142" i="52"/>
  <c r="Q142" i="52"/>
  <c r="R142" i="52"/>
  <c r="S142" i="52"/>
  <c r="T142" i="52"/>
  <c r="W142" i="52"/>
  <c r="X142" i="52"/>
  <c r="Y142" i="52"/>
  <c r="Z142" i="52"/>
  <c r="AA142" i="52"/>
  <c r="N143" i="52"/>
  <c r="P143" i="52"/>
  <c r="Q143" i="52"/>
  <c r="R143" i="52"/>
  <c r="S143" i="52"/>
  <c r="T143" i="52"/>
  <c r="W143" i="52"/>
  <c r="X143" i="52"/>
  <c r="Y143" i="52"/>
  <c r="Z143" i="52"/>
  <c r="AA143" i="52"/>
  <c r="N144" i="52"/>
  <c r="P144" i="52"/>
  <c r="Q144" i="52"/>
  <c r="R144" i="52"/>
  <c r="S144" i="52"/>
  <c r="T144" i="52"/>
  <c r="W144" i="52"/>
  <c r="X144" i="52"/>
  <c r="Y144" i="52"/>
  <c r="Z144" i="52"/>
  <c r="AA144" i="52"/>
  <c r="N145" i="52"/>
  <c r="P145" i="52"/>
  <c r="Q145" i="52"/>
  <c r="R145" i="52"/>
  <c r="S145" i="52"/>
  <c r="T145" i="52"/>
  <c r="W145" i="52"/>
  <c r="X145" i="52"/>
  <c r="Y145" i="52"/>
  <c r="Z145" i="52"/>
  <c r="AA145" i="52"/>
  <c r="N146" i="52"/>
  <c r="P146" i="52"/>
  <c r="Q146" i="52"/>
  <c r="R146" i="52"/>
  <c r="S146" i="52"/>
  <c r="T146" i="52"/>
  <c r="W146" i="52"/>
  <c r="X146" i="52"/>
  <c r="Y146" i="52"/>
  <c r="Z146" i="52"/>
  <c r="AA146" i="52"/>
  <c r="N147" i="52"/>
  <c r="P147" i="52"/>
  <c r="Q147" i="52"/>
  <c r="R147" i="52"/>
  <c r="S147" i="52"/>
  <c r="T147" i="52"/>
  <c r="W147" i="52"/>
  <c r="X147" i="52"/>
  <c r="Y147" i="52"/>
  <c r="Z147" i="52"/>
  <c r="AA147" i="52"/>
  <c r="N148" i="52"/>
  <c r="P148" i="52"/>
  <c r="Q148" i="52"/>
  <c r="R148" i="52"/>
  <c r="S148" i="52"/>
  <c r="T148" i="52"/>
  <c r="W148" i="52"/>
  <c r="X148" i="52"/>
  <c r="Y148" i="52"/>
  <c r="Z148" i="52"/>
  <c r="AA148" i="52"/>
  <c r="N149" i="52"/>
  <c r="P149" i="52"/>
  <c r="Q149" i="52"/>
  <c r="R149" i="52"/>
  <c r="S149" i="52"/>
  <c r="T149" i="52"/>
  <c r="W149" i="52"/>
  <c r="X149" i="52"/>
  <c r="Y149" i="52"/>
  <c r="Z149" i="52"/>
  <c r="AA149" i="52"/>
  <c r="N150" i="52"/>
  <c r="P150" i="52"/>
  <c r="Q150" i="52"/>
  <c r="R150" i="52"/>
  <c r="S150" i="52"/>
  <c r="T150" i="52"/>
  <c r="W150" i="52"/>
  <c r="X150" i="52"/>
  <c r="Y150" i="52"/>
  <c r="Z150" i="52"/>
  <c r="AA150" i="52"/>
  <c r="N151" i="52"/>
  <c r="P151" i="52"/>
  <c r="Q151" i="52"/>
  <c r="R151" i="52"/>
  <c r="S151" i="52"/>
  <c r="T151" i="52"/>
  <c r="W151" i="52"/>
  <c r="X151" i="52"/>
  <c r="Y151" i="52"/>
  <c r="Z151" i="52"/>
  <c r="AA151" i="52"/>
  <c r="N152" i="52"/>
  <c r="P152" i="52"/>
  <c r="Q152" i="52"/>
  <c r="R152" i="52"/>
  <c r="S152" i="52"/>
  <c r="T152" i="52"/>
  <c r="W152" i="52"/>
  <c r="X152" i="52"/>
  <c r="Y152" i="52"/>
  <c r="Z152" i="52"/>
  <c r="AA152" i="52"/>
  <c r="N153" i="52"/>
  <c r="P153" i="52"/>
  <c r="Q153" i="52"/>
  <c r="R153" i="52"/>
  <c r="S153" i="52"/>
  <c r="T153" i="52"/>
  <c r="W153" i="52"/>
  <c r="X153" i="52"/>
  <c r="Y153" i="52"/>
  <c r="Z153" i="52"/>
  <c r="AA153" i="52"/>
  <c r="N154" i="52"/>
  <c r="P154" i="52"/>
  <c r="Q154" i="52"/>
  <c r="R154" i="52"/>
  <c r="S154" i="52"/>
  <c r="T154" i="52"/>
  <c r="W154" i="52"/>
  <c r="X154" i="52"/>
  <c r="Y154" i="52"/>
  <c r="Z154" i="52"/>
  <c r="AA154" i="52"/>
  <c r="N155" i="52"/>
  <c r="P155" i="52"/>
  <c r="Q155" i="52"/>
  <c r="R155" i="52"/>
  <c r="S155" i="52"/>
  <c r="T155" i="52"/>
  <c r="W155" i="52"/>
  <c r="X155" i="52"/>
  <c r="Y155" i="52"/>
  <c r="Z155" i="52"/>
  <c r="AA155" i="52"/>
  <c r="N156" i="52"/>
  <c r="P156" i="52"/>
  <c r="Q156" i="52"/>
  <c r="R156" i="52"/>
  <c r="S156" i="52"/>
  <c r="T156" i="52"/>
  <c r="W156" i="52"/>
  <c r="X156" i="52"/>
  <c r="Y156" i="52"/>
  <c r="Z156" i="52"/>
  <c r="AA156" i="52"/>
  <c r="N157" i="52"/>
  <c r="P157" i="52"/>
  <c r="Q157" i="52"/>
  <c r="R157" i="52"/>
  <c r="S157" i="52"/>
  <c r="T157" i="52"/>
  <c r="W157" i="52"/>
  <c r="X157" i="52"/>
  <c r="Y157" i="52"/>
  <c r="Z157" i="52"/>
  <c r="AA157" i="52"/>
  <c r="N158" i="52"/>
  <c r="P158" i="52"/>
  <c r="Q158" i="52"/>
  <c r="R158" i="52"/>
  <c r="S158" i="52"/>
  <c r="T158" i="52"/>
  <c r="W158" i="52"/>
  <c r="X158" i="52"/>
  <c r="Y158" i="52"/>
  <c r="Z158" i="52"/>
  <c r="AA158" i="52"/>
  <c r="N159" i="52"/>
  <c r="P159" i="52"/>
  <c r="Q159" i="52"/>
  <c r="R159" i="52"/>
  <c r="S159" i="52"/>
  <c r="T159" i="52"/>
  <c r="W159" i="52"/>
  <c r="X159" i="52"/>
  <c r="Y159" i="52"/>
  <c r="Z159" i="52"/>
  <c r="AA159" i="52"/>
  <c r="N160" i="52"/>
  <c r="P160" i="52"/>
  <c r="Q160" i="52"/>
  <c r="R160" i="52"/>
  <c r="S160" i="52"/>
  <c r="T160" i="52"/>
  <c r="W160" i="52"/>
  <c r="X160" i="52"/>
  <c r="Y160" i="52"/>
  <c r="Z160" i="52"/>
  <c r="AA160" i="52"/>
  <c r="N161" i="52"/>
  <c r="P161" i="52"/>
  <c r="Q161" i="52"/>
  <c r="R161" i="52"/>
  <c r="S161" i="52"/>
  <c r="T161" i="52"/>
  <c r="W161" i="52"/>
  <c r="X161" i="52"/>
  <c r="Y161" i="52"/>
  <c r="Z161" i="52"/>
  <c r="AA161" i="52"/>
  <c r="N162" i="52"/>
  <c r="P162" i="52"/>
  <c r="Q162" i="52"/>
  <c r="R162" i="52"/>
  <c r="S162" i="52"/>
  <c r="T162" i="52"/>
  <c r="W162" i="52"/>
  <c r="X162" i="52"/>
  <c r="Y162" i="52"/>
  <c r="Z162" i="52"/>
  <c r="AA162" i="52"/>
  <c r="N163" i="52"/>
  <c r="P163" i="52"/>
  <c r="Q163" i="52"/>
  <c r="R163" i="52"/>
  <c r="S163" i="52"/>
  <c r="T163" i="52"/>
  <c r="W163" i="52"/>
  <c r="X163" i="52"/>
  <c r="Y163" i="52"/>
  <c r="Z163" i="52"/>
  <c r="AA163" i="52"/>
  <c r="F153" i="52"/>
  <c r="G153" i="52"/>
  <c r="F154" i="52"/>
  <c r="G154" i="52"/>
  <c r="F155" i="52"/>
  <c r="G155" i="52"/>
  <c r="F156" i="52"/>
  <c r="G156" i="52"/>
  <c r="F157" i="52"/>
  <c r="G157" i="52"/>
  <c r="F158" i="52"/>
  <c r="G158" i="52"/>
  <c r="F159" i="52"/>
  <c r="G159" i="52"/>
  <c r="F160" i="52"/>
  <c r="G160" i="52"/>
  <c r="F161" i="52"/>
  <c r="G161" i="52"/>
  <c r="F162" i="52"/>
  <c r="G162" i="52"/>
  <c r="I74" i="52"/>
  <c r="J74" i="52"/>
  <c r="K74" i="52"/>
  <c r="I75" i="52"/>
  <c r="J75" i="52"/>
  <c r="K75" i="52"/>
  <c r="I76" i="52"/>
  <c r="J76" i="52"/>
  <c r="K76" i="52"/>
  <c r="I77" i="52"/>
  <c r="J77" i="52"/>
  <c r="K77" i="52"/>
  <c r="I78" i="52"/>
  <c r="J78" i="52"/>
  <c r="K78" i="52"/>
  <c r="I79" i="52"/>
  <c r="J79" i="52"/>
  <c r="K79" i="52"/>
  <c r="I80" i="52"/>
  <c r="J80" i="52"/>
  <c r="K80" i="52"/>
  <c r="I81" i="52"/>
  <c r="J81" i="52"/>
  <c r="K81" i="52"/>
  <c r="I82" i="52"/>
  <c r="J82" i="52"/>
  <c r="K82" i="52"/>
  <c r="I53" i="52"/>
  <c r="J53" i="52"/>
  <c r="K53" i="52"/>
  <c r="I54" i="52"/>
  <c r="J54" i="52"/>
  <c r="K54" i="52"/>
  <c r="I55" i="52"/>
  <c r="J55" i="52"/>
  <c r="K55" i="52"/>
  <c r="I56" i="52"/>
  <c r="J56" i="52"/>
  <c r="K56" i="52"/>
  <c r="I57" i="52"/>
  <c r="J57" i="52"/>
  <c r="K57" i="52"/>
  <c r="I58" i="52"/>
  <c r="J58" i="52"/>
  <c r="K58" i="52"/>
  <c r="I59" i="52"/>
  <c r="J59" i="52"/>
  <c r="K59" i="52"/>
  <c r="I60" i="52"/>
  <c r="J60" i="52"/>
  <c r="K60" i="52"/>
  <c r="I61" i="52"/>
  <c r="J61" i="52"/>
  <c r="K61" i="52"/>
  <c r="I62" i="52"/>
  <c r="J62" i="52"/>
  <c r="K62" i="52"/>
  <c r="I63" i="52"/>
  <c r="J63" i="52"/>
  <c r="K63" i="52"/>
  <c r="I64" i="52"/>
  <c r="J64" i="52"/>
  <c r="K64" i="52"/>
  <c r="I65" i="52"/>
  <c r="J65" i="52"/>
  <c r="K65" i="52"/>
  <c r="I66" i="52"/>
  <c r="J66" i="52"/>
  <c r="K66" i="52"/>
  <c r="I67" i="52"/>
  <c r="J67" i="52"/>
  <c r="K67" i="52"/>
  <c r="I68" i="52"/>
  <c r="J68" i="52"/>
  <c r="K68" i="52"/>
  <c r="I69" i="52"/>
  <c r="J69" i="52"/>
  <c r="K69" i="52"/>
  <c r="I70" i="52"/>
  <c r="J70" i="52"/>
  <c r="K70" i="52"/>
  <c r="I71" i="52"/>
  <c r="J71" i="52"/>
  <c r="K71" i="52"/>
  <c r="I72" i="52"/>
  <c r="J72" i="52"/>
  <c r="K72" i="52"/>
  <c r="I73" i="52"/>
  <c r="J73" i="52"/>
  <c r="K73" i="52"/>
  <c r="D35" i="52"/>
  <c r="C35" i="52"/>
  <c r="B35" i="52"/>
  <c r="D34" i="52"/>
  <c r="C34" i="52"/>
  <c r="B34" i="52"/>
  <c r="D33" i="52"/>
  <c r="C33" i="52"/>
  <c r="B33" i="52"/>
  <c r="D32" i="52"/>
  <c r="C32" i="52"/>
  <c r="B32" i="52"/>
  <c r="D31" i="52"/>
  <c r="C31" i="52"/>
  <c r="B31" i="52"/>
  <c r="D30" i="52"/>
  <c r="C30" i="52"/>
  <c r="B30" i="52"/>
  <c r="D29" i="52"/>
  <c r="C29" i="52"/>
  <c r="B29" i="52"/>
  <c r="D28" i="52"/>
  <c r="C28" i="52"/>
  <c r="B28" i="52"/>
  <c r="D27" i="52"/>
  <c r="C27" i="52"/>
  <c r="B27" i="52"/>
  <c r="D26" i="52"/>
  <c r="C26" i="52"/>
  <c r="B26" i="52"/>
  <c r="D25" i="52"/>
  <c r="C25" i="52"/>
  <c r="B25" i="52"/>
  <c r="D24" i="52"/>
  <c r="C24" i="52"/>
  <c r="B24" i="52"/>
  <c r="D17" i="52"/>
  <c r="C17" i="52"/>
  <c r="B17" i="52"/>
  <c r="D16" i="52"/>
  <c r="C16" i="52"/>
  <c r="B16" i="52"/>
  <c r="D15" i="52"/>
  <c r="C15" i="52"/>
  <c r="B15" i="52"/>
  <c r="D14" i="52"/>
  <c r="C14" i="52"/>
  <c r="B14" i="52"/>
  <c r="D13" i="52"/>
  <c r="C13" i="52"/>
  <c r="B13" i="52"/>
  <c r="D12" i="52"/>
  <c r="C12" i="52"/>
  <c r="B12" i="52"/>
  <c r="D11" i="52"/>
  <c r="C11" i="52"/>
  <c r="B11" i="52"/>
  <c r="D10" i="52"/>
  <c r="C10" i="52"/>
  <c r="B10" i="52"/>
  <c r="D9" i="52"/>
  <c r="C9" i="52"/>
  <c r="B9" i="52"/>
  <c r="D8" i="52"/>
  <c r="C8" i="52"/>
  <c r="B8" i="52"/>
  <c r="I4" i="52"/>
  <c r="J4" i="52"/>
  <c r="K4" i="52"/>
  <c r="I5" i="52"/>
  <c r="J5" i="52"/>
  <c r="K5" i="52"/>
  <c r="I6" i="52"/>
  <c r="J6" i="52"/>
  <c r="K6" i="52"/>
  <c r="I7" i="52"/>
  <c r="J7" i="52"/>
  <c r="K7" i="52"/>
  <c r="I8" i="52"/>
  <c r="J8" i="52"/>
  <c r="K8" i="52"/>
  <c r="I9" i="52"/>
  <c r="J9" i="52"/>
  <c r="K9" i="52"/>
  <c r="I10" i="52"/>
  <c r="J10" i="52"/>
  <c r="K10" i="52"/>
  <c r="I11" i="52"/>
  <c r="J11" i="52"/>
  <c r="K11" i="52"/>
  <c r="I12" i="52"/>
  <c r="J12" i="52"/>
  <c r="K12" i="52"/>
  <c r="I13" i="52"/>
  <c r="J13" i="52"/>
  <c r="K13" i="52"/>
  <c r="I14" i="52"/>
  <c r="J14" i="52"/>
  <c r="K14" i="52"/>
  <c r="I15" i="52"/>
  <c r="J15" i="52"/>
  <c r="K15" i="52"/>
  <c r="I16" i="52"/>
  <c r="J16" i="52"/>
  <c r="K16" i="52"/>
  <c r="I17" i="52"/>
  <c r="J17" i="52"/>
  <c r="K17" i="52"/>
  <c r="I18" i="52"/>
  <c r="J18" i="52"/>
  <c r="K18" i="52"/>
  <c r="I19" i="52"/>
  <c r="J19" i="52"/>
  <c r="K19" i="52"/>
  <c r="I20" i="52"/>
  <c r="J20" i="52"/>
  <c r="K20" i="52"/>
  <c r="I21" i="52"/>
  <c r="J21" i="52"/>
  <c r="K21" i="52"/>
  <c r="I22" i="52"/>
  <c r="J22" i="52"/>
  <c r="K22" i="52"/>
  <c r="I23" i="52"/>
  <c r="J23" i="52"/>
  <c r="K23" i="52"/>
  <c r="I24" i="52"/>
  <c r="J24" i="52"/>
  <c r="K24" i="52"/>
  <c r="I25" i="52"/>
  <c r="J25" i="52"/>
  <c r="K25" i="52"/>
  <c r="I26" i="52"/>
  <c r="J26" i="52"/>
  <c r="K26" i="52"/>
  <c r="I27" i="52"/>
  <c r="J27" i="52"/>
  <c r="K27" i="52"/>
  <c r="I28" i="52"/>
  <c r="J28" i="52"/>
  <c r="K28" i="52"/>
  <c r="I29" i="52"/>
  <c r="J29" i="52"/>
  <c r="K29" i="52"/>
  <c r="I30" i="52"/>
  <c r="J30" i="52"/>
  <c r="K30" i="52"/>
  <c r="I31" i="52"/>
  <c r="J31" i="52"/>
  <c r="K31" i="52"/>
  <c r="I32" i="52"/>
  <c r="J32" i="52"/>
  <c r="K32" i="52"/>
  <c r="I33" i="52"/>
  <c r="J33" i="52"/>
  <c r="K33" i="52"/>
  <c r="I34" i="52"/>
  <c r="J34" i="52"/>
  <c r="K34" i="52"/>
  <c r="I35" i="52"/>
  <c r="J35" i="52"/>
  <c r="K35" i="52"/>
  <c r="I36" i="52"/>
  <c r="J36" i="52"/>
  <c r="K36" i="52"/>
  <c r="I37" i="52"/>
  <c r="J37" i="52"/>
  <c r="K37" i="52"/>
  <c r="I38" i="52"/>
  <c r="J38" i="52"/>
  <c r="K38" i="52"/>
  <c r="I39" i="52"/>
  <c r="J39" i="52"/>
  <c r="K39" i="52"/>
  <c r="I40" i="52"/>
  <c r="J40" i="52"/>
  <c r="K40" i="52"/>
  <c r="I41" i="52"/>
  <c r="J41" i="52"/>
  <c r="K41" i="52"/>
  <c r="I42" i="52"/>
  <c r="J42" i="52"/>
  <c r="K42" i="52"/>
  <c r="I43" i="52"/>
  <c r="J43" i="52"/>
  <c r="K43" i="52"/>
  <c r="I44" i="52"/>
  <c r="J44" i="52"/>
  <c r="K44" i="52"/>
  <c r="I45" i="52"/>
  <c r="J45" i="52"/>
  <c r="K45" i="52"/>
  <c r="I46" i="52"/>
  <c r="J46" i="52"/>
  <c r="K46" i="52"/>
  <c r="I47" i="52"/>
  <c r="J47" i="52"/>
  <c r="K47" i="52"/>
  <c r="I48" i="52"/>
  <c r="J48" i="52"/>
  <c r="K48" i="52"/>
  <c r="I49" i="52"/>
  <c r="J49" i="52"/>
  <c r="K49" i="52"/>
  <c r="I50" i="52"/>
  <c r="J50" i="52"/>
  <c r="K50" i="52"/>
  <c r="I51" i="52"/>
  <c r="J51" i="52"/>
  <c r="K51" i="52"/>
  <c r="I52" i="52"/>
  <c r="J52" i="52"/>
  <c r="K52" i="52"/>
  <c r="K3" i="52"/>
  <c r="J3" i="52"/>
  <c r="I3" i="52"/>
  <c r="F4" i="52"/>
  <c r="G4" i="52"/>
  <c r="F5" i="52"/>
  <c r="G5" i="52"/>
  <c r="F6" i="52"/>
  <c r="G6" i="52"/>
  <c r="F7" i="52"/>
  <c r="G7" i="52"/>
  <c r="F8" i="52"/>
  <c r="G8" i="52"/>
  <c r="F9" i="52"/>
  <c r="G9" i="52"/>
  <c r="F10" i="52"/>
  <c r="G10" i="52"/>
  <c r="F11" i="52"/>
  <c r="G11" i="52"/>
  <c r="F12" i="52"/>
  <c r="G12" i="52"/>
  <c r="F13" i="52"/>
  <c r="G13" i="52"/>
  <c r="F14" i="52"/>
  <c r="G14" i="52"/>
  <c r="F15" i="52"/>
  <c r="G15" i="52"/>
  <c r="F16" i="52"/>
  <c r="G16" i="52"/>
  <c r="F17" i="52"/>
  <c r="G17" i="52"/>
  <c r="F18" i="52"/>
  <c r="G18" i="52"/>
  <c r="F19" i="52"/>
  <c r="G19" i="52"/>
  <c r="F20" i="52"/>
  <c r="G20" i="52"/>
  <c r="F21" i="52"/>
  <c r="G21" i="52"/>
  <c r="F22" i="52"/>
  <c r="G22" i="52"/>
  <c r="F23" i="52"/>
  <c r="G23" i="52"/>
  <c r="F24" i="52"/>
  <c r="G24" i="52"/>
  <c r="F25" i="52"/>
  <c r="G25" i="52"/>
  <c r="F26" i="52"/>
  <c r="G26" i="52"/>
  <c r="F27" i="52"/>
  <c r="G27" i="52"/>
  <c r="F28" i="52"/>
  <c r="G28" i="52"/>
  <c r="F29" i="52"/>
  <c r="G29" i="52"/>
  <c r="F30" i="52"/>
  <c r="G30" i="52"/>
  <c r="F31" i="52"/>
  <c r="G31" i="52"/>
  <c r="F32" i="52"/>
  <c r="G32" i="52"/>
  <c r="F33" i="52"/>
  <c r="G33" i="52"/>
  <c r="F34" i="52"/>
  <c r="G34" i="52"/>
  <c r="F35" i="52"/>
  <c r="G35" i="52"/>
  <c r="F36" i="52"/>
  <c r="G36" i="52"/>
  <c r="F37" i="52"/>
  <c r="G37" i="52"/>
  <c r="F38" i="52"/>
  <c r="G38" i="52"/>
  <c r="F39" i="52"/>
  <c r="G39" i="52"/>
  <c r="F40" i="52"/>
  <c r="G40" i="52"/>
  <c r="F41" i="52"/>
  <c r="G41" i="52"/>
  <c r="F42" i="52"/>
  <c r="G42" i="52"/>
  <c r="F43" i="52"/>
  <c r="G43" i="52"/>
  <c r="F44" i="52"/>
  <c r="G44" i="52"/>
  <c r="F45" i="52"/>
  <c r="G45" i="52"/>
  <c r="F46" i="52"/>
  <c r="G46" i="52"/>
  <c r="F47" i="52"/>
  <c r="G47" i="52"/>
  <c r="F48" i="52"/>
  <c r="G48" i="52"/>
  <c r="F49" i="52"/>
  <c r="G49" i="52"/>
  <c r="F50" i="52"/>
  <c r="G50" i="52"/>
  <c r="F51" i="52"/>
  <c r="G51" i="52"/>
  <c r="F52" i="52"/>
  <c r="G52" i="52"/>
  <c r="F53" i="52"/>
  <c r="G53" i="52"/>
  <c r="F54" i="52"/>
  <c r="G54" i="52"/>
  <c r="F55" i="52"/>
  <c r="G55" i="52"/>
  <c r="F56" i="52"/>
  <c r="G56" i="52"/>
  <c r="F57" i="52"/>
  <c r="G57" i="52"/>
  <c r="F58" i="52"/>
  <c r="G58" i="52"/>
  <c r="F59" i="52"/>
  <c r="G59" i="52"/>
  <c r="F60" i="52"/>
  <c r="G60" i="52"/>
  <c r="F61" i="52"/>
  <c r="G61" i="52"/>
  <c r="F62" i="52"/>
  <c r="G62" i="52"/>
  <c r="F63" i="52"/>
  <c r="G63" i="52"/>
  <c r="F64" i="52"/>
  <c r="G64" i="52"/>
  <c r="F65" i="52"/>
  <c r="G65" i="52"/>
  <c r="F66" i="52"/>
  <c r="G66" i="52"/>
  <c r="F67" i="52"/>
  <c r="G67" i="52"/>
  <c r="F68" i="52"/>
  <c r="G68" i="52"/>
  <c r="F69" i="52"/>
  <c r="G69" i="52"/>
  <c r="F70" i="52"/>
  <c r="G70" i="52"/>
  <c r="F71" i="52"/>
  <c r="G71" i="52"/>
  <c r="F72" i="52"/>
  <c r="G72" i="52"/>
  <c r="F73" i="52"/>
  <c r="G73" i="52"/>
  <c r="F74" i="52"/>
  <c r="G74" i="52"/>
  <c r="F75" i="52"/>
  <c r="G75" i="52"/>
  <c r="F76" i="52"/>
  <c r="G76" i="52"/>
  <c r="F77" i="52"/>
  <c r="G77" i="52"/>
  <c r="F78" i="52"/>
  <c r="G78" i="52"/>
  <c r="F79" i="52"/>
  <c r="G79" i="52"/>
  <c r="F80" i="52"/>
  <c r="G80" i="52"/>
  <c r="F81" i="52"/>
  <c r="G81" i="52"/>
  <c r="F82" i="52"/>
  <c r="G82" i="52"/>
  <c r="F83" i="52"/>
  <c r="G83" i="52"/>
  <c r="F84" i="52"/>
  <c r="G84" i="52"/>
  <c r="F85" i="52"/>
  <c r="G85" i="52"/>
  <c r="F86" i="52"/>
  <c r="G86" i="52"/>
  <c r="F87" i="52"/>
  <c r="G87" i="52"/>
  <c r="F88" i="52"/>
  <c r="G88" i="52"/>
  <c r="F89" i="52"/>
  <c r="G89" i="52"/>
  <c r="F90" i="52"/>
  <c r="G90" i="52"/>
  <c r="F91" i="52"/>
  <c r="G91" i="52"/>
  <c r="F92" i="52"/>
  <c r="G92" i="52"/>
  <c r="F93" i="52"/>
  <c r="G93" i="52"/>
  <c r="F94" i="52"/>
  <c r="G94" i="52"/>
  <c r="F95" i="52"/>
  <c r="G95" i="52"/>
  <c r="F96" i="52"/>
  <c r="G96" i="52"/>
  <c r="F97" i="52"/>
  <c r="G97" i="52"/>
  <c r="F98" i="52"/>
  <c r="G98" i="52"/>
  <c r="F99" i="52"/>
  <c r="G99" i="52"/>
  <c r="F100" i="52"/>
  <c r="G100" i="52"/>
  <c r="F101" i="52"/>
  <c r="G101" i="52"/>
  <c r="F102" i="52"/>
  <c r="G102" i="52"/>
  <c r="F103" i="52"/>
  <c r="G103" i="52"/>
  <c r="F104" i="52"/>
  <c r="G104" i="52"/>
  <c r="F105" i="52"/>
  <c r="G105" i="52"/>
  <c r="F106" i="52"/>
  <c r="G106" i="52"/>
  <c r="F107" i="52"/>
  <c r="G107" i="52"/>
  <c r="F108" i="52"/>
  <c r="G108" i="52"/>
  <c r="F109" i="52"/>
  <c r="G109" i="52"/>
  <c r="F110" i="52"/>
  <c r="G110" i="52"/>
  <c r="F111" i="52"/>
  <c r="G111" i="52"/>
  <c r="F112" i="52"/>
  <c r="G112" i="52"/>
  <c r="F113" i="52"/>
  <c r="G113" i="52"/>
  <c r="F114" i="52"/>
  <c r="G114" i="52"/>
  <c r="F115" i="52"/>
  <c r="G115" i="52"/>
  <c r="F116" i="52"/>
  <c r="G116" i="52"/>
  <c r="F117" i="52"/>
  <c r="G117" i="52"/>
  <c r="F118" i="52"/>
  <c r="G118" i="52"/>
  <c r="F119" i="52"/>
  <c r="G119" i="52"/>
  <c r="F120" i="52"/>
  <c r="G120" i="52"/>
  <c r="F121" i="52"/>
  <c r="G121" i="52"/>
  <c r="F122" i="52"/>
  <c r="G122" i="52"/>
  <c r="F123" i="52"/>
  <c r="G123" i="52"/>
  <c r="F124" i="52"/>
  <c r="G124" i="52"/>
  <c r="F125" i="52"/>
  <c r="G125" i="52"/>
  <c r="F126" i="52"/>
  <c r="G126" i="52"/>
  <c r="F127" i="52"/>
  <c r="G127" i="52"/>
  <c r="F128" i="52"/>
  <c r="G128" i="52"/>
  <c r="F129" i="52"/>
  <c r="G129" i="52"/>
  <c r="F130" i="52"/>
  <c r="G130" i="52"/>
  <c r="F131" i="52"/>
  <c r="G131" i="52"/>
  <c r="F132" i="52"/>
  <c r="G132" i="52"/>
  <c r="F133" i="52"/>
  <c r="G133" i="52"/>
  <c r="F134" i="52"/>
  <c r="G134" i="52"/>
  <c r="F135" i="52"/>
  <c r="G135" i="52"/>
  <c r="F136" i="52"/>
  <c r="G136" i="52"/>
  <c r="F137" i="52"/>
  <c r="G137" i="52"/>
  <c r="F138" i="52"/>
  <c r="G138" i="52"/>
  <c r="F139" i="52"/>
  <c r="G139" i="52"/>
  <c r="F140" i="52"/>
  <c r="G140" i="52"/>
  <c r="F141" i="52"/>
  <c r="G141" i="52"/>
  <c r="F142" i="52"/>
  <c r="G142" i="52"/>
  <c r="F143" i="52"/>
  <c r="G143" i="52"/>
  <c r="F144" i="52"/>
  <c r="G144" i="52"/>
  <c r="F145" i="52"/>
  <c r="G145" i="52"/>
  <c r="F146" i="52"/>
  <c r="G146" i="52"/>
  <c r="F147" i="52"/>
  <c r="G147" i="52"/>
  <c r="F148" i="52"/>
  <c r="G148" i="52"/>
  <c r="F149" i="52"/>
  <c r="G149" i="52"/>
  <c r="F150" i="52"/>
  <c r="G150" i="52"/>
  <c r="F151" i="52"/>
  <c r="G151" i="52"/>
  <c r="F152" i="52"/>
  <c r="G152" i="52"/>
  <c r="G3" i="52"/>
  <c r="F3" i="52"/>
  <c r="AB6" i="63"/>
  <c r="N39" i="61"/>
  <c r="AE5" i="63"/>
  <c r="AA22" i="63"/>
  <c r="AC9" i="63"/>
  <c r="AA9" i="63"/>
  <c r="Q31" i="67"/>
  <c r="O28" i="67"/>
  <c r="N77" i="61"/>
  <c r="N60" i="61"/>
  <c r="AE19" i="63"/>
  <c r="AE13" i="63"/>
  <c r="AD5" i="63"/>
  <c r="AA33" i="63"/>
  <c r="Q33" i="67"/>
  <c r="AC12" i="63"/>
  <c r="AA11" i="63"/>
  <c r="D50" i="60"/>
  <c r="Q26" i="67"/>
  <c r="AC32" i="63"/>
  <c r="AB32" i="63"/>
  <c r="AD17" i="63"/>
  <c r="N38" i="61"/>
  <c r="AC10" i="63"/>
  <c r="N95" i="61"/>
  <c r="AB23" i="63"/>
  <c r="AA23" i="63"/>
  <c r="N18" i="61"/>
  <c r="AB29" i="63"/>
  <c r="AB13" i="63"/>
  <c r="D51" i="60"/>
  <c r="AE29" i="63"/>
  <c r="AE15" i="63"/>
  <c r="N94" i="61"/>
  <c r="AA25" i="63"/>
  <c r="AC24" i="63"/>
  <c r="AC8" i="63"/>
  <c r="AC14" i="63"/>
  <c r="R24" i="67"/>
  <c r="N37" i="61"/>
  <c r="AC33" i="63"/>
  <c r="R27" i="67"/>
  <c r="N75" i="61"/>
  <c r="AE9" i="63"/>
  <c r="AA20" i="63"/>
  <c r="AD31" i="63"/>
  <c r="O26" i="67"/>
  <c r="Q27" i="67"/>
  <c r="AD15" i="63"/>
  <c r="P27" i="67"/>
  <c r="AC18" i="63"/>
  <c r="AA29" i="63"/>
  <c r="AC16" i="63"/>
  <c r="N58" i="61"/>
  <c r="AD23" i="63"/>
  <c r="AA15" i="63"/>
  <c r="N21" i="61"/>
  <c r="AD14" i="63"/>
  <c r="AC28" i="63"/>
  <c r="AB22" i="63"/>
  <c r="D54" i="60"/>
  <c r="AD16" i="63"/>
  <c r="AE21" i="63"/>
  <c r="AA19" i="63"/>
  <c r="AC22" i="63"/>
  <c r="N57" i="61"/>
  <c r="R31" i="67"/>
  <c r="D31" i="60"/>
  <c r="D69" i="60"/>
  <c r="AE14" i="63"/>
  <c r="AA12" i="63"/>
  <c r="AE6" i="63"/>
  <c r="D73" i="60"/>
  <c r="AB28" i="63"/>
  <c r="D34" i="60"/>
  <c r="N79" i="61"/>
  <c r="AA27" i="63"/>
  <c r="P31" i="67"/>
  <c r="N40" i="61"/>
  <c r="AD18" i="63"/>
  <c r="N56" i="61"/>
  <c r="AE22" i="63"/>
  <c r="AD27" i="63"/>
  <c r="AE23" i="63"/>
  <c r="AE17" i="63"/>
  <c r="Q29" i="67"/>
  <c r="AE24" i="63"/>
  <c r="R30" i="67"/>
  <c r="O24" i="67"/>
  <c r="N22" i="61"/>
  <c r="AB9" i="63"/>
  <c r="R29" i="67"/>
  <c r="P33" i="67"/>
  <c r="P25" i="67"/>
  <c r="P24" i="67"/>
  <c r="AD28" i="63"/>
  <c r="AB25" i="63"/>
  <c r="AD22" i="63"/>
  <c r="AE11" i="63"/>
  <c r="O32" i="67"/>
  <c r="P29" i="67"/>
  <c r="D107" i="60"/>
  <c r="AB16" i="63"/>
  <c r="AA21" i="63"/>
  <c r="D110" i="60"/>
  <c r="AE12" i="63"/>
  <c r="AE10" i="63"/>
  <c r="R33" i="67"/>
  <c r="Q28" i="67"/>
  <c r="R32" i="67"/>
  <c r="AC20" i="63"/>
  <c r="Q24" i="67"/>
  <c r="AA13" i="63"/>
  <c r="D90" i="60"/>
  <c r="Q32" i="67"/>
  <c r="D71" i="60"/>
  <c r="R26" i="67"/>
  <c r="AB27" i="63"/>
  <c r="P32" i="67"/>
  <c r="P30" i="67"/>
  <c r="AA5" i="63"/>
  <c r="AB11" i="63"/>
  <c r="AB8" i="63"/>
  <c r="AE31" i="63"/>
  <c r="AB21" i="63"/>
  <c r="AA24" i="63"/>
  <c r="D89" i="60"/>
  <c r="D72" i="60"/>
  <c r="AB7" i="63"/>
  <c r="AC19" i="63"/>
  <c r="Q25" i="67"/>
  <c r="R25" i="67"/>
  <c r="AD8" i="63"/>
  <c r="AB24" i="63"/>
  <c r="O31" i="67"/>
  <c r="AB26" i="63"/>
  <c r="AC17" i="63"/>
  <c r="AA17" i="63"/>
  <c r="D52" i="60"/>
  <c r="O30" i="67"/>
  <c r="AD11" i="63"/>
  <c r="AA8" i="63"/>
  <c r="N41" i="61"/>
  <c r="O29" i="67"/>
  <c r="D32" i="60"/>
  <c r="O25" i="67"/>
  <c r="AD29" i="63"/>
  <c r="O33" i="67"/>
  <c r="R28" i="67"/>
  <c r="N19" i="61"/>
  <c r="AD20" i="63"/>
  <c r="AB12" i="63"/>
  <c r="AA14" i="63"/>
  <c r="AB15" i="63"/>
  <c r="AD10" i="63"/>
  <c r="AE8" i="63"/>
  <c r="P26" i="67"/>
  <c r="Q30" i="67"/>
  <c r="AD25" i="63"/>
  <c r="D70" i="60"/>
  <c r="AD33" i="63"/>
  <c r="AB10" i="63"/>
  <c r="AB14" i="63"/>
  <c r="N97" i="61"/>
  <c r="AA26" i="63"/>
  <c r="N98" i="61"/>
  <c r="AC23" i="63"/>
  <c r="AE25" i="63"/>
  <c r="AA18" i="63"/>
  <c r="AB33" i="63"/>
  <c r="AC6" i="63"/>
  <c r="AB19" i="63"/>
  <c r="AC31" i="63"/>
  <c r="AE16" i="63"/>
  <c r="AC29" i="63"/>
  <c r="AB31" i="63"/>
  <c r="AA6" i="63"/>
  <c r="AA7" i="63"/>
  <c r="AE32" i="63"/>
  <c r="AE33" i="63"/>
  <c r="AC25" i="63"/>
  <c r="AA31" i="63"/>
  <c r="AA16" i="63"/>
  <c r="D35" i="60"/>
  <c r="AA28" i="63"/>
  <c r="D108" i="60"/>
  <c r="AD32" i="63"/>
  <c r="AC26" i="63"/>
  <c r="AC15" i="63"/>
  <c r="N96" i="61"/>
  <c r="D88" i="60"/>
  <c r="D91" i="60"/>
  <c r="AA30" i="63"/>
  <c r="AE20" i="63"/>
  <c r="AC21" i="63"/>
  <c r="AD12" i="63"/>
  <c r="AD7" i="63"/>
  <c r="AB30" i="63"/>
  <c r="D92" i="60"/>
  <c r="AC30" i="63"/>
  <c r="N76" i="61"/>
  <c r="N78" i="61"/>
  <c r="AA10" i="63"/>
  <c r="AD6" i="63"/>
  <c r="AE28" i="63"/>
  <c r="AB20" i="63"/>
  <c r="AD30" i="63"/>
  <c r="AD9" i="63"/>
  <c r="AC11" i="63"/>
  <c r="O27" i="67"/>
  <c r="D109" i="60"/>
  <c r="AD26" i="63"/>
  <c r="AE18" i="63"/>
  <c r="P28" i="67"/>
  <c r="D53" i="60"/>
  <c r="AA32" i="63"/>
  <c r="AC5" i="63"/>
  <c r="D33" i="60"/>
  <c r="AD24" i="63"/>
  <c r="AE7" i="63"/>
  <c r="AE26" i="63"/>
  <c r="AB5" i="63"/>
  <c r="AE27" i="63"/>
  <c r="AB18" i="63"/>
  <c r="AC13" i="63"/>
  <c r="AC27" i="63"/>
  <c r="D111" i="60"/>
  <c r="AD13" i="63"/>
  <c r="AD21" i="63"/>
  <c r="N20" i="61"/>
  <c r="N59" i="61"/>
  <c r="AC7" i="63"/>
  <c r="AE30" i="63"/>
  <c r="AD19" i="63"/>
  <c r="AB17" i="63"/>
  <c r="AN8" i="61" l="1"/>
  <c r="H37" i="61"/>
  <c r="D37" i="61"/>
  <c r="I37" i="61"/>
  <c r="AM9" i="61"/>
  <c r="AO9" i="61" s="1"/>
  <c r="AK10" i="61"/>
  <c r="H63" i="67"/>
  <c r="H6" i="67"/>
  <c r="H82" i="67"/>
  <c r="H8" i="67"/>
  <c r="H44" i="67"/>
  <c r="H25" i="67"/>
  <c r="N60" i="66"/>
  <c r="O59" i="66"/>
  <c r="N4" i="52"/>
  <c r="N5" i="52"/>
  <c r="N6" i="52"/>
  <c r="N7" i="52"/>
  <c r="N8" i="52"/>
  <c r="N9" i="52"/>
  <c r="N10" i="52"/>
  <c r="N11" i="52"/>
  <c r="N12" i="52"/>
  <c r="N13" i="52"/>
  <c r="N14" i="52"/>
  <c r="N15" i="52"/>
  <c r="N16" i="52"/>
  <c r="N17" i="52"/>
  <c r="N18" i="52"/>
  <c r="N19" i="52"/>
  <c r="N20" i="52"/>
  <c r="N21" i="52"/>
  <c r="N22" i="52"/>
  <c r="N23" i="52"/>
  <c r="N24" i="52"/>
  <c r="N25" i="52"/>
  <c r="N26" i="52"/>
  <c r="N27" i="52"/>
  <c r="N28" i="52"/>
  <c r="N29" i="52"/>
  <c r="N30" i="52"/>
  <c r="N31" i="52"/>
  <c r="N32" i="52"/>
  <c r="N33" i="52"/>
  <c r="N34" i="52"/>
  <c r="N35" i="52"/>
  <c r="N36" i="52"/>
  <c r="N37" i="52"/>
  <c r="N38" i="52"/>
  <c r="N39" i="52"/>
  <c r="N40" i="52"/>
  <c r="N41" i="52"/>
  <c r="N42" i="52"/>
  <c r="N43" i="52"/>
  <c r="N44" i="52"/>
  <c r="N45" i="52"/>
  <c r="N46" i="52"/>
  <c r="N47" i="52"/>
  <c r="N48" i="52"/>
  <c r="N49" i="52"/>
  <c r="N50" i="52"/>
  <c r="N51" i="52"/>
  <c r="N52" i="52"/>
  <c r="N53" i="52"/>
  <c r="N54" i="52"/>
  <c r="N55" i="52"/>
  <c r="N56" i="52"/>
  <c r="N57" i="52"/>
  <c r="N58" i="52"/>
  <c r="N59" i="52"/>
  <c r="N60" i="52"/>
  <c r="N61" i="52"/>
  <c r="N62" i="52"/>
  <c r="N63" i="52"/>
  <c r="N64" i="52"/>
  <c r="N65" i="52"/>
  <c r="N66" i="52"/>
  <c r="N67" i="52"/>
  <c r="N68" i="52"/>
  <c r="N69" i="52"/>
  <c r="N70" i="52"/>
  <c r="N71" i="52"/>
  <c r="N72" i="52"/>
  <c r="N73" i="52"/>
  <c r="N74" i="52"/>
  <c r="N75" i="52"/>
  <c r="N76" i="52"/>
  <c r="N77" i="52"/>
  <c r="N78" i="52"/>
  <c r="N79" i="52"/>
  <c r="N80" i="52"/>
  <c r="N81" i="52"/>
  <c r="N82" i="52"/>
  <c r="N83" i="52"/>
  <c r="N84" i="52"/>
  <c r="N85" i="52"/>
  <c r="N86" i="52"/>
  <c r="N87" i="52"/>
  <c r="N88" i="52"/>
  <c r="N89" i="52"/>
  <c r="N90" i="52"/>
  <c r="N91" i="52"/>
  <c r="N92" i="52"/>
  <c r="N93" i="52"/>
  <c r="N94" i="52"/>
  <c r="N95" i="52"/>
  <c r="N96" i="52"/>
  <c r="N97" i="52"/>
  <c r="N98" i="52"/>
  <c r="N99" i="52"/>
  <c r="N100" i="52"/>
  <c r="N101" i="52"/>
  <c r="N102" i="52"/>
  <c r="N103" i="52"/>
  <c r="N104" i="52"/>
  <c r="N105" i="52"/>
  <c r="N106" i="52"/>
  <c r="N107" i="52"/>
  <c r="N108" i="52"/>
  <c r="N109" i="52"/>
  <c r="N110" i="52"/>
  <c r="N111" i="52"/>
  <c r="N112" i="52"/>
  <c r="N113" i="52"/>
  <c r="N3" i="52"/>
  <c r="Q5" i="67"/>
  <c r="R6" i="67"/>
  <c r="P10" i="67"/>
  <c r="Q21" i="67"/>
  <c r="N25" i="67"/>
  <c r="N5" i="67"/>
  <c r="R16" i="67"/>
  <c r="O8" i="67"/>
  <c r="R5" i="67"/>
  <c r="P8" i="67"/>
  <c r="Q6" i="67"/>
  <c r="O19" i="67"/>
  <c r="O16" i="67"/>
  <c r="N9" i="67"/>
  <c r="O22" i="67"/>
  <c r="N12" i="67"/>
  <c r="O12" i="67"/>
  <c r="Q15" i="67"/>
  <c r="R14" i="67"/>
  <c r="P15" i="67"/>
  <c r="O6" i="67"/>
  <c r="N15" i="67"/>
  <c r="O13" i="67"/>
  <c r="Q23" i="67"/>
  <c r="Q10" i="67"/>
  <c r="R21" i="67"/>
  <c r="P23" i="67"/>
  <c r="P16" i="67"/>
  <c r="P9" i="67"/>
  <c r="N26" i="67"/>
  <c r="R12" i="67"/>
  <c r="N18" i="67"/>
  <c r="P7" i="67"/>
  <c r="R10" i="67"/>
  <c r="Q16" i="67"/>
  <c r="P11" i="67"/>
  <c r="O10" i="67"/>
  <c r="N31" i="67"/>
  <c r="Q9" i="67"/>
  <c r="N22" i="67"/>
  <c r="Q13" i="67"/>
  <c r="Q22" i="67"/>
  <c r="N16" i="67"/>
  <c r="N6" i="67"/>
  <c r="Q12" i="67"/>
  <c r="N28" i="67"/>
  <c r="R20" i="67"/>
  <c r="R11" i="67"/>
  <c r="N32" i="67"/>
  <c r="O18" i="67"/>
  <c r="P5" i="67"/>
  <c r="P17" i="67"/>
  <c r="O15" i="67"/>
  <c r="Q7" i="67"/>
  <c r="R15" i="67"/>
  <c r="R8" i="67"/>
  <c r="R13" i="67"/>
  <c r="P21" i="67"/>
  <c r="O17" i="67"/>
  <c r="O20" i="67"/>
  <c r="O9" i="67"/>
  <c r="N24" i="67"/>
  <c r="N13" i="67"/>
  <c r="P13" i="67"/>
  <c r="R9" i="67"/>
  <c r="Q8" i="67"/>
  <c r="P18" i="67"/>
  <c r="P12" i="67"/>
  <c r="N20" i="67"/>
  <c r="Q18" i="67"/>
  <c r="N17" i="67"/>
  <c r="N14" i="67"/>
  <c r="R19" i="67"/>
  <c r="Q11" i="67"/>
  <c r="Q20" i="67"/>
  <c r="N27" i="67"/>
  <c r="R17" i="67"/>
  <c r="R7" i="67"/>
  <c r="O11" i="67"/>
  <c r="N21" i="67"/>
  <c r="N30" i="67"/>
  <c r="Q17" i="67"/>
  <c r="R23" i="67"/>
  <c r="P19" i="67"/>
  <c r="N10" i="67"/>
  <c r="N7" i="67"/>
  <c r="Q14" i="67"/>
  <c r="P6" i="67"/>
  <c r="O21" i="67"/>
  <c r="N11" i="67"/>
  <c r="P22" i="67"/>
  <c r="O5" i="67"/>
  <c r="R22" i="67"/>
  <c r="O23" i="67"/>
  <c r="N29" i="67"/>
  <c r="R18" i="67"/>
  <c r="Q19" i="67"/>
  <c r="N8" i="67"/>
  <c r="N33" i="67"/>
  <c r="N23" i="67"/>
  <c r="O7" i="67"/>
  <c r="P14" i="67"/>
  <c r="P20" i="67"/>
  <c r="O14" i="67"/>
  <c r="N19" i="67"/>
  <c r="AN9" i="61" l="1"/>
  <c r="AM10" i="61"/>
  <c r="AO10" i="61" s="1"/>
  <c r="AK11" i="61"/>
  <c r="AN10" i="61"/>
  <c r="N61" i="66"/>
  <c r="O60" i="66"/>
  <c r="AH363" i="52"/>
  <c r="AG363" i="52"/>
  <c r="AF363" i="52"/>
  <c r="AE363" i="52"/>
  <c r="AD363" i="52"/>
  <c r="AH362" i="52"/>
  <c r="AG362" i="52"/>
  <c r="AF362" i="52"/>
  <c r="AE362" i="52"/>
  <c r="AD362" i="52"/>
  <c r="AH361" i="52"/>
  <c r="AG361" i="52"/>
  <c r="AF361" i="52"/>
  <c r="AE361" i="52"/>
  <c r="AD361" i="52"/>
  <c r="AH360" i="52"/>
  <c r="AG360" i="52"/>
  <c r="AF360" i="52"/>
  <c r="AE360" i="52"/>
  <c r="AD360" i="52"/>
  <c r="AH359" i="52"/>
  <c r="AG359" i="52"/>
  <c r="AF359" i="52"/>
  <c r="AE359" i="52"/>
  <c r="AD359" i="52"/>
  <c r="AH358" i="52"/>
  <c r="AG358" i="52"/>
  <c r="AF358" i="52"/>
  <c r="AE358" i="52"/>
  <c r="AD358" i="52"/>
  <c r="AH357" i="52"/>
  <c r="AG357" i="52"/>
  <c r="AF357" i="52"/>
  <c r="AE357" i="52"/>
  <c r="AD357" i="52"/>
  <c r="AH356" i="52"/>
  <c r="AG356" i="52"/>
  <c r="AF356" i="52"/>
  <c r="AE356" i="52"/>
  <c r="AD356" i="52"/>
  <c r="AH355" i="52"/>
  <c r="AG355" i="52"/>
  <c r="AF355" i="52"/>
  <c r="AE355" i="52"/>
  <c r="AD355" i="52"/>
  <c r="AH354" i="52"/>
  <c r="AG354" i="52"/>
  <c r="AF354" i="52"/>
  <c r="AE354" i="52"/>
  <c r="AD354" i="52"/>
  <c r="AH353" i="52"/>
  <c r="AG353" i="52"/>
  <c r="AF353" i="52"/>
  <c r="AE353" i="52"/>
  <c r="AD353" i="52"/>
  <c r="AH352" i="52"/>
  <c r="AG352" i="52"/>
  <c r="AF352" i="52"/>
  <c r="AE352" i="52"/>
  <c r="AD352" i="52"/>
  <c r="AH351" i="52"/>
  <c r="AG351" i="52"/>
  <c r="AF351" i="52"/>
  <c r="AE351" i="52"/>
  <c r="AD351" i="52"/>
  <c r="AH350" i="52"/>
  <c r="AG350" i="52"/>
  <c r="AF350" i="52"/>
  <c r="AE350" i="52"/>
  <c r="AD350" i="52"/>
  <c r="AH349" i="52"/>
  <c r="AG349" i="52"/>
  <c r="AF349" i="52"/>
  <c r="AE349" i="52"/>
  <c r="AD349" i="52"/>
  <c r="AH348" i="52"/>
  <c r="AG348" i="52"/>
  <c r="AF348" i="52"/>
  <c r="AE348" i="52"/>
  <c r="AD348" i="52"/>
  <c r="AH347" i="52"/>
  <c r="AG347" i="52"/>
  <c r="AF347" i="52"/>
  <c r="AE347" i="52"/>
  <c r="AD347" i="52"/>
  <c r="AH346" i="52"/>
  <c r="AG346" i="52"/>
  <c r="AF346" i="52"/>
  <c r="AE346" i="52"/>
  <c r="AD346" i="52"/>
  <c r="AH345" i="52"/>
  <c r="AG345" i="52"/>
  <c r="AF345" i="52"/>
  <c r="AE345" i="52"/>
  <c r="AD345" i="52"/>
  <c r="AH344" i="52"/>
  <c r="AG344" i="52"/>
  <c r="AF344" i="52"/>
  <c r="AE344" i="52"/>
  <c r="AD344" i="52"/>
  <c r="AH343" i="52"/>
  <c r="AG343" i="52"/>
  <c r="AF343" i="52"/>
  <c r="AE343" i="52"/>
  <c r="AD343" i="52"/>
  <c r="AH342" i="52"/>
  <c r="AG342" i="52"/>
  <c r="AF342" i="52"/>
  <c r="AE342" i="52"/>
  <c r="AD342" i="52"/>
  <c r="AH341" i="52"/>
  <c r="AG341" i="52"/>
  <c r="AF341" i="52"/>
  <c r="AE341" i="52"/>
  <c r="AD341" i="52"/>
  <c r="AH340" i="52"/>
  <c r="AG340" i="52"/>
  <c r="AF340" i="52"/>
  <c r="AE340" i="52"/>
  <c r="AD340" i="52"/>
  <c r="AH339" i="52"/>
  <c r="AG339" i="52"/>
  <c r="AF339" i="52"/>
  <c r="AE339" i="52"/>
  <c r="AD339" i="52"/>
  <c r="AH338" i="52"/>
  <c r="AG338" i="52"/>
  <c r="AF338" i="52"/>
  <c r="AE338" i="52"/>
  <c r="AD338" i="52"/>
  <c r="AH337" i="52"/>
  <c r="AG337" i="52"/>
  <c r="AF337" i="52"/>
  <c r="AE337" i="52"/>
  <c r="AD337" i="52"/>
  <c r="AH336" i="52"/>
  <c r="AG336" i="52"/>
  <c r="AF336" i="52"/>
  <c r="AE336" i="52"/>
  <c r="AD336" i="52"/>
  <c r="AH335" i="52"/>
  <c r="AG335" i="52"/>
  <c r="AF335" i="52"/>
  <c r="AE335" i="52"/>
  <c r="AD335" i="52"/>
  <c r="AH334" i="52"/>
  <c r="AG334" i="52"/>
  <c r="AF334" i="52"/>
  <c r="AE334" i="52"/>
  <c r="AD334" i="52"/>
  <c r="AH333" i="52"/>
  <c r="AG333" i="52"/>
  <c r="AF333" i="52"/>
  <c r="AE333" i="52"/>
  <c r="AD333" i="52"/>
  <c r="AH332" i="52"/>
  <c r="AG332" i="52"/>
  <c r="AF332" i="52"/>
  <c r="AE332" i="52"/>
  <c r="AD332" i="52"/>
  <c r="AH331" i="52"/>
  <c r="AG331" i="52"/>
  <c r="AF331" i="52"/>
  <c r="AE331" i="52"/>
  <c r="AD331" i="52"/>
  <c r="AH330" i="52"/>
  <c r="AG330" i="52"/>
  <c r="AF330" i="52"/>
  <c r="AE330" i="52"/>
  <c r="AD330" i="52"/>
  <c r="AH329" i="52"/>
  <c r="AG329" i="52"/>
  <c r="AF329" i="52"/>
  <c r="AE329" i="52"/>
  <c r="AD329" i="52"/>
  <c r="AH328" i="52"/>
  <c r="AG328" i="52"/>
  <c r="AF328" i="52"/>
  <c r="AE328" i="52"/>
  <c r="AD328" i="52"/>
  <c r="AH327" i="52"/>
  <c r="AG327" i="52"/>
  <c r="AF327" i="52"/>
  <c r="AE327" i="52"/>
  <c r="AD327" i="52"/>
  <c r="AH326" i="52"/>
  <c r="AG326" i="52"/>
  <c r="AF326" i="52"/>
  <c r="AE326" i="52"/>
  <c r="AD326" i="52"/>
  <c r="AH325" i="52"/>
  <c r="AG325" i="52"/>
  <c r="AF325" i="52"/>
  <c r="AE325" i="52"/>
  <c r="AD325" i="52"/>
  <c r="AH324" i="52"/>
  <c r="AG324" i="52"/>
  <c r="AF324" i="52"/>
  <c r="AE324" i="52"/>
  <c r="AD324" i="52"/>
  <c r="AH323" i="52"/>
  <c r="AG323" i="52"/>
  <c r="AF323" i="52"/>
  <c r="AE323" i="52"/>
  <c r="AD323" i="52"/>
  <c r="AH322" i="52"/>
  <c r="AG322" i="52"/>
  <c r="AF322" i="52"/>
  <c r="AE322" i="52"/>
  <c r="AD322" i="52"/>
  <c r="AH321" i="52"/>
  <c r="AG321" i="52"/>
  <c r="AF321" i="52"/>
  <c r="AE321" i="52"/>
  <c r="AD321" i="52"/>
  <c r="AH320" i="52"/>
  <c r="AG320" i="52"/>
  <c r="AF320" i="52"/>
  <c r="AE320" i="52"/>
  <c r="AD320" i="52"/>
  <c r="AH319" i="52"/>
  <c r="AG319" i="52"/>
  <c r="AF319" i="52"/>
  <c r="AE319" i="52"/>
  <c r="AD319" i="52"/>
  <c r="AH318" i="52"/>
  <c r="AG318" i="52"/>
  <c r="AF318" i="52"/>
  <c r="AE318" i="52"/>
  <c r="AD318" i="52"/>
  <c r="AH317" i="52"/>
  <c r="AG317" i="52"/>
  <c r="AF317" i="52"/>
  <c r="AE317" i="52"/>
  <c r="AD317" i="52"/>
  <c r="AH316" i="52"/>
  <c r="AG316" i="52"/>
  <c r="AF316" i="52"/>
  <c r="AE316" i="52"/>
  <c r="AD316" i="52"/>
  <c r="AH315" i="52"/>
  <c r="AG315" i="52"/>
  <c r="AF315" i="52"/>
  <c r="AE315" i="52"/>
  <c r="AD315" i="52"/>
  <c r="AH314" i="52"/>
  <c r="AG314" i="52"/>
  <c r="AF314" i="52"/>
  <c r="AE314" i="52"/>
  <c r="AD314" i="52"/>
  <c r="AH313" i="52"/>
  <c r="AG313" i="52"/>
  <c r="AF313" i="52"/>
  <c r="AE313" i="52"/>
  <c r="AD313" i="52"/>
  <c r="AH312" i="52"/>
  <c r="AG312" i="52"/>
  <c r="AF312" i="52"/>
  <c r="AE312" i="52"/>
  <c r="AD312" i="52"/>
  <c r="AH311" i="52"/>
  <c r="AG311" i="52"/>
  <c r="AF311" i="52"/>
  <c r="AE311" i="52"/>
  <c r="AD311" i="52"/>
  <c r="AH310" i="52"/>
  <c r="AG310" i="52"/>
  <c r="AF310" i="52"/>
  <c r="AE310" i="52"/>
  <c r="AD310" i="52"/>
  <c r="AH309" i="52"/>
  <c r="AG309" i="52"/>
  <c r="AF309" i="52"/>
  <c r="AE309" i="52"/>
  <c r="AD309" i="52"/>
  <c r="AH308" i="52"/>
  <c r="AG308" i="52"/>
  <c r="AF308" i="52"/>
  <c r="AE308" i="52"/>
  <c r="AD308" i="52"/>
  <c r="AH307" i="52"/>
  <c r="AG307" i="52"/>
  <c r="AF307" i="52"/>
  <c r="AE307" i="52"/>
  <c r="AD307" i="52"/>
  <c r="AH306" i="52"/>
  <c r="AG306" i="52"/>
  <c r="AF306" i="52"/>
  <c r="AE306" i="52"/>
  <c r="AD306" i="52"/>
  <c r="AH305" i="52"/>
  <c r="AG305" i="52"/>
  <c r="AF305" i="52"/>
  <c r="AE305" i="52"/>
  <c r="AD305" i="52"/>
  <c r="AH304" i="52"/>
  <c r="AG304" i="52"/>
  <c r="AF304" i="52"/>
  <c r="AE304" i="52"/>
  <c r="AD304" i="52"/>
  <c r="AH303" i="52"/>
  <c r="AG303" i="52"/>
  <c r="AF303" i="52"/>
  <c r="AE303" i="52"/>
  <c r="AD303" i="52"/>
  <c r="AH302" i="52"/>
  <c r="AG302" i="52"/>
  <c r="AF302" i="52"/>
  <c r="AE302" i="52"/>
  <c r="AD302" i="52"/>
  <c r="AH301" i="52"/>
  <c r="AG301" i="52"/>
  <c r="AF301" i="52"/>
  <c r="AE301" i="52"/>
  <c r="AD301" i="52"/>
  <c r="AH300" i="52"/>
  <c r="AG300" i="52"/>
  <c r="AF300" i="52"/>
  <c r="AE300" i="52"/>
  <c r="AD300" i="52"/>
  <c r="AH299" i="52"/>
  <c r="AG299" i="52"/>
  <c r="AF299" i="52"/>
  <c r="AE299" i="52"/>
  <c r="AD299" i="52"/>
  <c r="AH298" i="52"/>
  <c r="AG298" i="52"/>
  <c r="AF298" i="52"/>
  <c r="AE298" i="52"/>
  <c r="AD298" i="52"/>
  <c r="AH297" i="52"/>
  <c r="AG297" i="52"/>
  <c r="AF297" i="52"/>
  <c r="AE297" i="52"/>
  <c r="AD297" i="52"/>
  <c r="AH296" i="52"/>
  <c r="AG296" i="52"/>
  <c r="AF296" i="52"/>
  <c r="AE296" i="52"/>
  <c r="AD296" i="52"/>
  <c r="AH295" i="52"/>
  <c r="AG295" i="52"/>
  <c r="AF295" i="52"/>
  <c r="AE295" i="52"/>
  <c r="AD295" i="52"/>
  <c r="AH294" i="52"/>
  <c r="AG294" i="52"/>
  <c r="AF294" i="52"/>
  <c r="AE294" i="52"/>
  <c r="AD294" i="52"/>
  <c r="AH293" i="52"/>
  <c r="AG293" i="52"/>
  <c r="AF293" i="52"/>
  <c r="AE293" i="52"/>
  <c r="AD293" i="52"/>
  <c r="AH292" i="52"/>
  <c r="AG292" i="52"/>
  <c r="AF292" i="52"/>
  <c r="AE292" i="52"/>
  <c r="AD292" i="52"/>
  <c r="AH291" i="52"/>
  <c r="AG291" i="52"/>
  <c r="AF291" i="52"/>
  <c r="AE291" i="52"/>
  <c r="AD291" i="52"/>
  <c r="AH290" i="52"/>
  <c r="AG290" i="52"/>
  <c r="AF290" i="52"/>
  <c r="AE290" i="52"/>
  <c r="AD290" i="52"/>
  <c r="AH289" i="52"/>
  <c r="AG289" i="52"/>
  <c r="AF289" i="52"/>
  <c r="AE289" i="52"/>
  <c r="AD289" i="52"/>
  <c r="AH288" i="52"/>
  <c r="AG288" i="52"/>
  <c r="AF288" i="52"/>
  <c r="AE288" i="52"/>
  <c r="AD288" i="52"/>
  <c r="AH287" i="52"/>
  <c r="AG287" i="52"/>
  <c r="AF287" i="52"/>
  <c r="AE287" i="52"/>
  <c r="AD287" i="52"/>
  <c r="AH286" i="52"/>
  <c r="AG286" i="52"/>
  <c r="AF286" i="52"/>
  <c r="AE286" i="52"/>
  <c r="AD286" i="52"/>
  <c r="AH285" i="52"/>
  <c r="AG285" i="52"/>
  <c r="AF285" i="52"/>
  <c r="AE285" i="52"/>
  <c r="AD285" i="52"/>
  <c r="AH284" i="52"/>
  <c r="AG284" i="52"/>
  <c r="AF284" i="52"/>
  <c r="AE284" i="52"/>
  <c r="AD284" i="52"/>
  <c r="AH283" i="52"/>
  <c r="AG283" i="52"/>
  <c r="AF283" i="52"/>
  <c r="AE283" i="52"/>
  <c r="AD283" i="52"/>
  <c r="AH282" i="52"/>
  <c r="AG282" i="52"/>
  <c r="AF282" i="52"/>
  <c r="AE282" i="52"/>
  <c r="AD282" i="52"/>
  <c r="AH281" i="52"/>
  <c r="AG281" i="52"/>
  <c r="AF281" i="52"/>
  <c r="AE281" i="52"/>
  <c r="AD281" i="52"/>
  <c r="AH280" i="52"/>
  <c r="AG280" i="52"/>
  <c r="AF280" i="52"/>
  <c r="AE280" i="52"/>
  <c r="AD280" i="52"/>
  <c r="AH279" i="52"/>
  <c r="AG279" i="52"/>
  <c r="AF279" i="52"/>
  <c r="AE279" i="52"/>
  <c r="AD279" i="52"/>
  <c r="AH278" i="52"/>
  <c r="AG278" i="52"/>
  <c r="AF278" i="52"/>
  <c r="AE278" i="52"/>
  <c r="AD278" i="52"/>
  <c r="AH277" i="52"/>
  <c r="AG277" i="52"/>
  <c r="AF277" i="52"/>
  <c r="AE277" i="52"/>
  <c r="AD277" i="52"/>
  <c r="AH276" i="52"/>
  <c r="AG276" i="52"/>
  <c r="AF276" i="52"/>
  <c r="AE276" i="52"/>
  <c r="AD276" i="52"/>
  <c r="AH275" i="52"/>
  <c r="AG275" i="52"/>
  <c r="AF275" i="52"/>
  <c r="AE275" i="52"/>
  <c r="AD275" i="52"/>
  <c r="AH274" i="52"/>
  <c r="AG274" i="52"/>
  <c r="AF274" i="52"/>
  <c r="AE274" i="52"/>
  <c r="AD274" i="52"/>
  <c r="AH273" i="52"/>
  <c r="AG273" i="52"/>
  <c r="AF273" i="52"/>
  <c r="AE273" i="52"/>
  <c r="AD273" i="52"/>
  <c r="AH272" i="52"/>
  <c r="AG272" i="52"/>
  <c r="AF272" i="52"/>
  <c r="AE272" i="52"/>
  <c r="AD272" i="52"/>
  <c r="AH271" i="52"/>
  <c r="AG271" i="52"/>
  <c r="AF271" i="52"/>
  <c r="AE271" i="52"/>
  <c r="AD271" i="52"/>
  <c r="AH270" i="52"/>
  <c r="AG270" i="52"/>
  <c r="AF270" i="52"/>
  <c r="AE270" i="52"/>
  <c r="AD270" i="52"/>
  <c r="AH269" i="52"/>
  <c r="AG269" i="52"/>
  <c r="AF269" i="52"/>
  <c r="AE269" i="52"/>
  <c r="AD269" i="52"/>
  <c r="AH268" i="52"/>
  <c r="AG268" i="52"/>
  <c r="AF268" i="52"/>
  <c r="AE268" i="52"/>
  <c r="AD268" i="52"/>
  <c r="AH267" i="52"/>
  <c r="AG267" i="52"/>
  <c r="AF267" i="52"/>
  <c r="AE267" i="52"/>
  <c r="AD267" i="52"/>
  <c r="AH266" i="52"/>
  <c r="AG266" i="52"/>
  <c r="AF266" i="52"/>
  <c r="AE266" i="52"/>
  <c r="AD266" i="52"/>
  <c r="AH265" i="52"/>
  <c r="AG265" i="52"/>
  <c r="AF265" i="52"/>
  <c r="AE265" i="52"/>
  <c r="AD265" i="52"/>
  <c r="AH264" i="52"/>
  <c r="AG264" i="52"/>
  <c r="AF264" i="52"/>
  <c r="AE264" i="52"/>
  <c r="AD264" i="52"/>
  <c r="AH263" i="52"/>
  <c r="AG263" i="52"/>
  <c r="AF263" i="52"/>
  <c r="AE263" i="52"/>
  <c r="AD263" i="52"/>
  <c r="AH262" i="52"/>
  <c r="AG262" i="52"/>
  <c r="AF262" i="52"/>
  <c r="AE262" i="52"/>
  <c r="AD262" i="52"/>
  <c r="AH261" i="52"/>
  <c r="AG261" i="52"/>
  <c r="AF261" i="52"/>
  <c r="AE261" i="52"/>
  <c r="AD261" i="52"/>
  <c r="AH260" i="52"/>
  <c r="AG260" i="52"/>
  <c r="AF260" i="52"/>
  <c r="AE260" i="52"/>
  <c r="AD260" i="52"/>
  <c r="AH259" i="52"/>
  <c r="AG259" i="52"/>
  <c r="AF259" i="52"/>
  <c r="AE259" i="52"/>
  <c r="AD259" i="52"/>
  <c r="AH258" i="52"/>
  <c r="AG258" i="52"/>
  <c r="AF258" i="52"/>
  <c r="AE258" i="52"/>
  <c r="AD258" i="52"/>
  <c r="AH257" i="52"/>
  <c r="AG257" i="52"/>
  <c r="AF257" i="52"/>
  <c r="AE257" i="52"/>
  <c r="AD257" i="52"/>
  <c r="AH256" i="52"/>
  <c r="AG256" i="52"/>
  <c r="AF256" i="52"/>
  <c r="AE256" i="52"/>
  <c r="AD256" i="52"/>
  <c r="AH255" i="52"/>
  <c r="AG255" i="52"/>
  <c r="AF255" i="52"/>
  <c r="AE255" i="52"/>
  <c r="AD255" i="52"/>
  <c r="AH254" i="52"/>
  <c r="AG254" i="52"/>
  <c r="AF254" i="52"/>
  <c r="AE254" i="52"/>
  <c r="AD254" i="52"/>
  <c r="AH253" i="52"/>
  <c r="AG253" i="52"/>
  <c r="AF253" i="52"/>
  <c r="AE253" i="52"/>
  <c r="AD253" i="52"/>
  <c r="AH252" i="52"/>
  <c r="AG252" i="52"/>
  <c r="AF252" i="52"/>
  <c r="AE252" i="52"/>
  <c r="AD252" i="52"/>
  <c r="AH251" i="52"/>
  <c r="AG251" i="52"/>
  <c r="AF251" i="52"/>
  <c r="AE251" i="52"/>
  <c r="AD251" i="52"/>
  <c r="AH250" i="52"/>
  <c r="AG250" i="52"/>
  <c r="AF250" i="52"/>
  <c r="AE250" i="52"/>
  <c r="AD250" i="52"/>
  <c r="AH249" i="52"/>
  <c r="AG249" i="52"/>
  <c r="AF249" i="52"/>
  <c r="AE249" i="52"/>
  <c r="AD249" i="52"/>
  <c r="AH248" i="52"/>
  <c r="AG248" i="52"/>
  <c r="AF248" i="52"/>
  <c r="AE248" i="52"/>
  <c r="AD248" i="52"/>
  <c r="AH247" i="52"/>
  <c r="AG247" i="52"/>
  <c r="AF247" i="52"/>
  <c r="AE247" i="52"/>
  <c r="AD247" i="52"/>
  <c r="AH246" i="52"/>
  <c r="AG246" i="52"/>
  <c r="AF246" i="52"/>
  <c r="AE246" i="52"/>
  <c r="AD246" i="52"/>
  <c r="AH245" i="52"/>
  <c r="AG245" i="52"/>
  <c r="AF245" i="52"/>
  <c r="AE245" i="52"/>
  <c r="AD245" i="52"/>
  <c r="AH244" i="52"/>
  <c r="AG244" i="52"/>
  <c r="AF244" i="52"/>
  <c r="AE244" i="52"/>
  <c r="AD244" i="52"/>
  <c r="AH243" i="52"/>
  <c r="AG243" i="52"/>
  <c r="AF243" i="52"/>
  <c r="AE243" i="52"/>
  <c r="AD243" i="52"/>
  <c r="AH242" i="52"/>
  <c r="AG242" i="52"/>
  <c r="AF242" i="52"/>
  <c r="AE242" i="52"/>
  <c r="AD242" i="52"/>
  <c r="AH241" i="52"/>
  <c r="AG241" i="52"/>
  <c r="AF241" i="52"/>
  <c r="AE241" i="52"/>
  <c r="AD241" i="52"/>
  <c r="AH240" i="52"/>
  <c r="AG240" i="52"/>
  <c r="AF240" i="52"/>
  <c r="AE240" i="52"/>
  <c r="AD240" i="52"/>
  <c r="AH239" i="52"/>
  <c r="AG239" i="52"/>
  <c r="AF239" i="52"/>
  <c r="AE239" i="52"/>
  <c r="AD239" i="52"/>
  <c r="AH238" i="52"/>
  <c r="AG238" i="52"/>
  <c r="AF238" i="52"/>
  <c r="AE238" i="52"/>
  <c r="AD238" i="52"/>
  <c r="AH237" i="52"/>
  <c r="AG237" i="52"/>
  <c r="AF237" i="52"/>
  <c r="AE237" i="52"/>
  <c r="AD237" i="52"/>
  <c r="AH236" i="52"/>
  <c r="AG236" i="52"/>
  <c r="AF236" i="52"/>
  <c r="AE236" i="52"/>
  <c r="AD236" i="52"/>
  <c r="AH235" i="52"/>
  <c r="AG235" i="52"/>
  <c r="AF235" i="52"/>
  <c r="AE235" i="52"/>
  <c r="AD235" i="52"/>
  <c r="AH234" i="52"/>
  <c r="AG234" i="52"/>
  <c r="AF234" i="52"/>
  <c r="AE234" i="52"/>
  <c r="AD234" i="52"/>
  <c r="AH233" i="52"/>
  <c r="AG233" i="52"/>
  <c r="AF233" i="52"/>
  <c r="AE233" i="52"/>
  <c r="AD233" i="52"/>
  <c r="AH232" i="52"/>
  <c r="AG232" i="52"/>
  <c r="AF232" i="52"/>
  <c r="AE232" i="52"/>
  <c r="AD232" i="52"/>
  <c r="AH231" i="52"/>
  <c r="AG231" i="52"/>
  <c r="AF231" i="52"/>
  <c r="AE231" i="52"/>
  <c r="AD231" i="52"/>
  <c r="AH230" i="52"/>
  <c r="AG230" i="52"/>
  <c r="AF230" i="52"/>
  <c r="AE230" i="52"/>
  <c r="AD230" i="52"/>
  <c r="AH229" i="52"/>
  <c r="AG229" i="52"/>
  <c r="AF229" i="52"/>
  <c r="AE229" i="52"/>
  <c r="AD229" i="52"/>
  <c r="AH228" i="52"/>
  <c r="AG228" i="52"/>
  <c r="AF228" i="52"/>
  <c r="AE228" i="52"/>
  <c r="AD228" i="52"/>
  <c r="AH227" i="52"/>
  <c r="AG227" i="52"/>
  <c r="AF227" i="52"/>
  <c r="AE227" i="52"/>
  <c r="AD227" i="52"/>
  <c r="AH226" i="52"/>
  <c r="AG226" i="52"/>
  <c r="AF226" i="52"/>
  <c r="AE226" i="52"/>
  <c r="AD226" i="52"/>
  <c r="AH225" i="52"/>
  <c r="AG225" i="52"/>
  <c r="AF225" i="52"/>
  <c r="AE225" i="52"/>
  <c r="AD225" i="52"/>
  <c r="AH224" i="52"/>
  <c r="AG224" i="52"/>
  <c r="AF224" i="52"/>
  <c r="AE224" i="52"/>
  <c r="AD224" i="52"/>
  <c r="AH223" i="52"/>
  <c r="AG223" i="52"/>
  <c r="AF223" i="52"/>
  <c r="AE223" i="52"/>
  <c r="AD223" i="52"/>
  <c r="AH222" i="52"/>
  <c r="AG222" i="52"/>
  <c r="AF222" i="52"/>
  <c r="AE222" i="52"/>
  <c r="AD222" i="52"/>
  <c r="AH221" i="52"/>
  <c r="AG221" i="52"/>
  <c r="AF221" i="52"/>
  <c r="AE221" i="52"/>
  <c r="AD221" i="52"/>
  <c r="AH220" i="52"/>
  <c r="AG220" i="52"/>
  <c r="AF220" i="52"/>
  <c r="AE220" i="52"/>
  <c r="AD220" i="52"/>
  <c r="AH219" i="52"/>
  <c r="AG219" i="52"/>
  <c r="AF219" i="52"/>
  <c r="AE219" i="52"/>
  <c r="AD219" i="52"/>
  <c r="AH218" i="52"/>
  <c r="AG218" i="52"/>
  <c r="AF218" i="52"/>
  <c r="AE218" i="52"/>
  <c r="AD218" i="52"/>
  <c r="AH217" i="52"/>
  <c r="AG217" i="52"/>
  <c r="AF217" i="52"/>
  <c r="AE217" i="52"/>
  <c r="AD217" i="52"/>
  <c r="AH216" i="52"/>
  <c r="AG216" i="52"/>
  <c r="AF216" i="52"/>
  <c r="AE216" i="52"/>
  <c r="AD216" i="52"/>
  <c r="AH215" i="52"/>
  <c r="AG215" i="52"/>
  <c r="AF215" i="52"/>
  <c r="AE215" i="52"/>
  <c r="AD215" i="52"/>
  <c r="AH214" i="52"/>
  <c r="AG214" i="52"/>
  <c r="AF214" i="52"/>
  <c r="AE214" i="52"/>
  <c r="AD214" i="52"/>
  <c r="AH213" i="52"/>
  <c r="AG213" i="52"/>
  <c r="AF213" i="52"/>
  <c r="AE213" i="52"/>
  <c r="AD213" i="52"/>
  <c r="AH212" i="52"/>
  <c r="AG212" i="52"/>
  <c r="AF212" i="52"/>
  <c r="AE212" i="52"/>
  <c r="AD212" i="52"/>
  <c r="AH211" i="52"/>
  <c r="AG211" i="52"/>
  <c r="AF211" i="52"/>
  <c r="AE211" i="52"/>
  <c r="AD211" i="52"/>
  <c r="AH210" i="52"/>
  <c r="AG210" i="52"/>
  <c r="AF210" i="52"/>
  <c r="AE210" i="52"/>
  <c r="AD210" i="52"/>
  <c r="AH209" i="52"/>
  <c r="AG209" i="52"/>
  <c r="AF209" i="52"/>
  <c r="AE209" i="52"/>
  <c r="AD209" i="52"/>
  <c r="AH208" i="52"/>
  <c r="AG208" i="52"/>
  <c r="AF208" i="52"/>
  <c r="AE208" i="52"/>
  <c r="AD208" i="52"/>
  <c r="AH207" i="52"/>
  <c r="AG207" i="52"/>
  <c r="AF207" i="52"/>
  <c r="AE207" i="52"/>
  <c r="AD207" i="52"/>
  <c r="AH206" i="52"/>
  <c r="AG206" i="52"/>
  <c r="AF206" i="52"/>
  <c r="AE206" i="52"/>
  <c r="AD206" i="52"/>
  <c r="AH205" i="52"/>
  <c r="AG205" i="52"/>
  <c r="AF205" i="52"/>
  <c r="AE205" i="52"/>
  <c r="AD205" i="52"/>
  <c r="AH204" i="52"/>
  <c r="AG204" i="52"/>
  <c r="AF204" i="52"/>
  <c r="AE204" i="52"/>
  <c r="AD204" i="52"/>
  <c r="AH203" i="52"/>
  <c r="AG203" i="52"/>
  <c r="AF203" i="52"/>
  <c r="AE203" i="52"/>
  <c r="AD203" i="52"/>
  <c r="AH202" i="52"/>
  <c r="AG202" i="52"/>
  <c r="AF202" i="52"/>
  <c r="AE202" i="52"/>
  <c r="AD202" i="52"/>
  <c r="AH201" i="52"/>
  <c r="AG201" i="52"/>
  <c r="AF201" i="52"/>
  <c r="AE201" i="52"/>
  <c r="AD201" i="52"/>
  <c r="AH200" i="52"/>
  <c r="AG200" i="52"/>
  <c r="AF200" i="52"/>
  <c r="AE200" i="52"/>
  <c r="AD200" i="52"/>
  <c r="AH199" i="52"/>
  <c r="AG199" i="52"/>
  <c r="AF199" i="52"/>
  <c r="AE199" i="52"/>
  <c r="AD199" i="52"/>
  <c r="AH198" i="52"/>
  <c r="AG198" i="52"/>
  <c r="AF198" i="52"/>
  <c r="AE198" i="52"/>
  <c r="AD198" i="52"/>
  <c r="AH197" i="52"/>
  <c r="AG197" i="52"/>
  <c r="AF197" i="52"/>
  <c r="AE197" i="52"/>
  <c r="AD197" i="52"/>
  <c r="AH196" i="52"/>
  <c r="AG196" i="52"/>
  <c r="AF196" i="52"/>
  <c r="AE196" i="52"/>
  <c r="AD196" i="52"/>
  <c r="AH195" i="52"/>
  <c r="AG195" i="52"/>
  <c r="AF195" i="52"/>
  <c r="AE195" i="52"/>
  <c r="AD195" i="52"/>
  <c r="AH194" i="52"/>
  <c r="AG194" i="52"/>
  <c r="AF194" i="52"/>
  <c r="AE194" i="52"/>
  <c r="AD194" i="52"/>
  <c r="AH193" i="52"/>
  <c r="AG193" i="52"/>
  <c r="AF193" i="52"/>
  <c r="AE193" i="52"/>
  <c r="AD193" i="52"/>
  <c r="AH192" i="52"/>
  <c r="AG192" i="52"/>
  <c r="AF192" i="52"/>
  <c r="AE192" i="52"/>
  <c r="AD192" i="52"/>
  <c r="AH191" i="52"/>
  <c r="AG191" i="52"/>
  <c r="AF191" i="52"/>
  <c r="AE191" i="52"/>
  <c r="AD191" i="52"/>
  <c r="AH190" i="52"/>
  <c r="AG190" i="52"/>
  <c r="AF190" i="52"/>
  <c r="AE190" i="52"/>
  <c r="AD190" i="52"/>
  <c r="AH189" i="52"/>
  <c r="AG189" i="52"/>
  <c r="AF189" i="52"/>
  <c r="AE189" i="52"/>
  <c r="AD189" i="52"/>
  <c r="AH188" i="52"/>
  <c r="AG188" i="52"/>
  <c r="AF188" i="52"/>
  <c r="AE188" i="52"/>
  <c r="AD188" i="52"/>
  <c r="AH187" i="52"/>
  <c r="AG187" i="52"/>
  <c r="AF187" i="52"/>
  <c r="AE187" i="52"/>
  <c r="AD187" i="52"/>
  <c r="AH186" i="52"/>
  <c r="AG186" i="52"/>
  <c r="AF186" i="52"/>
  <c r="AE186" i="52"/>
  <c r="AD186" i="52"/>
  <c r="AH185" i="52"/>
  <c r="AG185" i="52"/>
  <c r="AF185" i="52"/>
  <c r="AE185" i="52"/>
  <c r="AD185" i="52"/>
  <c r="AH184" i="52"/>
  <c r="AG184" i="52"/>
  <c r="AF184" i="52"/>
  <c r="AE184" i="52"/>
  <c r="AD184" i="52"/>
  <c r="AH183" i="52"/>
  <c r="AG183" i="52"/>
  <c r="AF183" i="52"/>
  <c r="AE183" i="52"/>
  <c r="AD183" i="52"/>
  <c r="AH182" i="52"/>
  <c r="AG182" i="52"/>
  <c r="AF182" i="52"/>
  <c r="AE182" i="52"/>
  <c r="AD182" i="52"/>
  <c r="AH181" i="52"/>
  <c r="AG181" i="52"/>
  <c r="AF181" i="52"/>
  <c r="AE181" i="52"/>
  <c r="AD181" i="52"/>
  <c r="AH180" i="52"/>
  <c r="AG180" i="52"/>
  <c r="AF180" i="52"/>
  <c r="AE180" i="52"/>
  <c r="AD180" i="52"/>
  <c r="AH179" i="52"/>
  <c r="AG179" i="52"/>
  <c r="AF179" i="52"/>
  <c r="AE179" i="52"/>
  <c r="AD179" i="52"/>
  <c r="AH178" i="52"/>
  <c r="AG178" i="52"/>
  <c r="AF178" i="52"/>
  <c r="AE178" i="52"/>
  <c r="AD178" i="52"/>
  <c r="AH177" i="52"/>
  <c r="AG177" i="52"/>
  <c r="AF177" i="52"/>
  <c r="AE177" i="52"/>
  <c r="AD177" i="52"/>
  <c r="AH176" i="52"/>
  <c r="AG176" i="52"/>
  <c r="AF176" i="52"/>
  <c r="AE176" i="52"/>
  <c r="AD176" i="52"/>
  <c r="AH175" i="52"/>
  <c r="AG175" i="52"/>
  <c r="AF175" i="52"/>
  <c r="AE175" i="52"/>
  <c r="AD175" i="52"/>
  <c r="AH174" i="52"/>
  <c r="AG174" i="52"/>
  <c r="AF174" i="52"/>
  <c r="AE174" i="52"/>
  <c r="AD174" i="52"/>
  <c r="AH173" i="52"/>
  <c r="AG173" i="52"/>
  <c r="AF173" i="52"/>
  <c r="AE173" i="52"/>
  <c r="AD173" i="52"/>
  <c r="AH172" i="52"/>
  <c r="AG172" i="52"/>
  <c r="AF172" i="52"/>
  <c r="AE172" i="52"/>
  <c r="AD172" i="52"/>
  <c r="AH171" i="52"/>
  <c r="AG171" i="52"/>
  <c r="AF171" i="52"/>
  <c r="AE171" i="52"/>
  <c r="AD171" i="52"/>
  <c r="AH170" i="52"/>
  <c r="AG170" i="52"/>
  <c r="AF170" i="52"/>
  <c r="AE170" i="52"/>
  <c r="AD170" i="52"/>
  <c r="AH169" i="52"/>
  <c r="AG169" i="52"/>
  <c r="AF169" i="52"/>
  <c r="AE169" i="52"/>
  <c r="AD169" i="52"/>
  <c r="AH168" i="52"/>
  <c r="AG168" i="52"/>
  <c r="AF168" i="52"/>
  <c r="AE168" i="52"/>
  <c r="AD168" i="52"/>
  <c r="AH167" i="52"/>
  <c r="AG167" i="52"/>
  <c r="AF167" i="52"/>
  <c r="AE167" i="52"/>
  <c r="AD167" i="52"/>
  <c r="AH166" i="52"/>
  <c r="AG166" i="52"/>
  <c r="AF166" i="52"/>
  <c r="AE166" i="52"/>
  <c r="AD166" i="52"/>
  <c r="AH165" i="52"/>
  <c r="AG165" i="52"/>
  <c r="AF165" i="52"/>
  <c r="AE165" i="52"/>
  <c r="AD165" i="52"/>
  <c r="AH164" i="52"/>
  <c r="AG164" i="52"/>
  <c r="AF164" i="52"/>
  <c r="AE164" i="52"/>
  <c r="AD164" i="52"/>
  <c r="AH163" i="52"/>
  <c r="AG163" i="52"/>
  <c r="AF163" i="52"/>
  <c r="AE163" i="52"/>
  <c r="AD163" i="52"/>
  <c r="AH162" i="52"/>
  <c r="AG162" i="52"/>
  <c r="AF162" i="52"/>
  <c r="AE162" i="52"/>
  <c r="AD162" i="52"/>
  <c r="AH161" i="52"/>
  <c r="AG161" i="52"/>
  <c r="AF161" i="52"/>
  <c r="AE161" i="52"/>
  <c r="AD161" i="52"/>
  <c r="AH160" i="52"/>
  <c r="AG160" i="52"/>
  <c r="AF160" i="52"/>
  <c r="AE160" i="52"/>
  <c r="AD160" i="52"/>
  <c r="AH159" i="52"/>
  <c r="AG159" i="52"/>
  <c r="AF159" i="52"/>
  <c r="AE159" i="52"/>
  <c r="AD159" i="52"/>
  <c r="AH158" i="52"/>
  <c r="AG158" i="52"/>
  <c r="AF158" i="52"/>
  <c r="AE158" i="52"/>
  <c r="AD158" i="52"/>
  <c r="AH157" i="52"/>
  <c r="AG157" i="52"/>
  <c r="AF157" i="52"/>
  <c r="AE157" i="52"/>
  <c r="AD157" i="52"/>
  <c r="AH156" i="52"/>
  <c r="AG156" i="52"/>
  <c r="AF156" i="52"/>
  <c r="AE156" i="52"/>
  <c r="AD156" i="52"/>
  <c r="AH155" i="52"/>
  <c r="AG155" i="52"/>
  <c r="AF155" i="52"/>
  <c r="AE155" i="52"/>
  <c r="AD155" i="52"/>
  <c r="AH154" i="52"/>
  <c r="AG154" i="52"/>
  <c r="AF154" i="52"/>
  <c r="AE154" i="52"/>
  <c r="AD154" i="52"/>
  <c r="AH153" i="52"/>
  <c r="AG153" i="52"/>
  <c r="AF153" i="52"/>
  <c r="AE153" i="52"/>
  <c r="AD153" i="52"/>
  <c r="AH152" i="52"/>
  <c r="AG152" i="52"/>
  <c r="AF152" i="52"/>
  <c r="AE152" i="52"/>
  <c r="AD152" i="52"/>
  <c r="AH151" i="52"/>
  <c r="AG151" i="52"/>
  <c r="AF151" i="52"/>
  <c r="AE151" i="52"/>
  <c r="AD151" i="52"/>
  <c r="AH150" i="52"/>
  <c r="AG150" i="52"/>
  <c r="AF150" i="52"/>
  <c r="AE150" i="52"/>
  <c r="AD150" i="52"/>
  <c r="AH149" i="52"/>
  <c r="AG149" i="52"/>
  <c r="AF149" i="52"/>
  <c r="AE149" i="52"/>
  <c r="AD149" i="52"/>
  <c r="AH148" i="52"/>
  <c r="AG148" i="52"/>
  <c r="AF148" i="52"/>
  <c r="AE148" i="52"/>
  <c r="AD148" i="52"/>
  <c r="AH147" i="52"/>
  <c r="AG147" i="52"/>
  <c r="AF147" i="52"/>
  <c r="AE147" i="52"/>
  <c r="AD147" i="52"/>
  <c r="AH146" i="52"/>
  <c r="AG146" i="52"/>
  <c r="AF146" i="52"/>
  <c r="AE146" i="52"/>
  <c r="AD146" i="52"/>
  <c r="AH145" i="52"/>
  <c r="AG145" i="52"/>
  <c r="AF145" i="52"/>
  <c r="AE145" i="52"/>
  <c r="AD145" i="52"/>
  <c r="AH144" i="52"/>
  <c r="AG144" i="52"/>
  <c r="AF144" i="52"/>
  <c r="AE144" i="52"/>
  <c r="AD144" i="52"/>
  <c r="AH143" i="52"/>
  <c r="AG143" i="52"/>
  <c r="AF143" i="52"/>
  <c r="AE143" i="52"/>
  <c r="AD143" i="52"/>
  <c r="AH142" i="52"/>
  <c r="AG142" i="52"/>
  <c r="AF142" i="52"/>
  <c r="AE142" i="52"/>
  <c r="AD142" i="52"/>
  <c r="AH141" i="52"/>
  <c r="AG141" i="52"/>
  <c r="AF141" i="52"/>
  <c r="AE141" i="52"/>
  <c r="AD141" i="52"/>
  <c r="AH140" i="52"/>
  <c r="AG140" i="52"/>
  <c r="AF140" i="52"/>
  <c r="AE140" i="52"/>
  <c r="AD140" i="52"/>
  <c r="AH139" i="52"/>
  <c r="AG139" i="52"/>
  <c r="AF139" i="52"/>
  <c r="AE139" i="52"/>
  <c r="AD139" i="52"/>
  <c r="AH138" i="52"/>
  <c r="AG138" i="52"/>
  <c r="AF138" i="52"/>
  <c r="AE138" i="52"/>
  <c r="AD138" i="52"/>
  <c r="AH137" i="52"/>
  <c r="AG137" i="52"/>
  <c r="AF137" i="52"/>
  <c r="AE137" i="52"/>
  <c r="AD137" i="52"/>
  <c r="AH136" i="52"/>
  <c r="AG136" i="52"/>
  <c r="AF136" i="52"/>
  <c r="AE136" i="52"/>
  <c r="AD136" i="52"/>
  <c r="AH135" i="52"/>
  <c r="AG135" i="52"/>
  <c r="AF135" i="52"/>
  <c r="AE135" i="52"/>
  <c r="AD135" i="52"/>
  <c r="AH134" i="52"/>
  <c r="AG134" i="52"/>
  <c r="AF134" i="52"/>
  <c r="AE134" i="52"/>
  <c r="AD134" i="52"/>
  <c r="AH133" i="52"/>
  <c r="AG133" i="52"/>
  <c r="AF133" i="52"/>
  <c r="AE133" i="52"/>
  <c r="AD133" i="52"/>
  <c r="AH132" i="52"/>
  <c r="AG132" i="52"/>
  <c r="AF132" i="52"/>
  <c r="AE132" i="52"/>
  <c r="AD132" i="52"/>
  <c r="AH131" i="52"/>
  <c r="AG131" i="52"/>
  <c r="AF131" i="52"/>
  <c r="AE131" i="52"/>
  <c r="AD131" i="52"/>
  <c r="AH130" i="52"/>
  <c r="AG130" i="52"/>
  <c r="AF130" i="52"/>
  <c r="AE130" i="52"/>
  <c r="AD130" i="52"/>
  <c r="AH129" i="52"/>
  <c r="AG129" i="52"/>
  <c r="AF129" i="52"/>
  <c r="AE129" i="52"/>
  <c r="AD129" i="52"/>
  <c r="AH128" i="52"/>
  <c r="AG128" i="52"/>
  <c r="AF128" i="52"/>
  <c r="AE128" i="52"/>
  <c r="AD128" i="52"/>
  <c r="AH127" i="52"/>
  <c r="AG127" i="52"/>
  <c r="AF127" i="52"/>
  <c r="AE127" i="52"/>
  <c r="AD127" i="52"/>
  <c r="AH126" i="52"/>
  <c r="AG126" i="52"/>
  <c r="AF126" i="52"/>
  <c r="AE126" i="52"/>
  <c r="AD126" i="52"/>
  <c r="AH125" i="52"/>
  <c r="AG125" i="52"/>
  <c r="AF125" i="52"/>
  <c r="AE125" i="52"/>
  <c r="AD125" i="52"/>
  <c r="AH124" i="52"/>
  <c r="AG124" i="52"/>
  <c r="AF124" i="52"/>
  <c r="AE124" i="52"/>
  <c r="AD124" i="52"/>
  <c r="AH123" i="52"/>
  <c r="AG123" i="52"/>
  <c r="AF123" i="52"/>
  <c r="AE123" i="52"/>
  <c r="AD123" i="52"/>
  <c r="AH122" i="52"/>
  <c r="AG122" i="52"/>
  <c r="AF122" i="52"/>
  <c r="AE122" i="52"/>
  <c r="AD122" i="52"/>
  <c r="AH121" i="52"/>
  <c r="AG121" i="52"/>
  <c r="AF121" i="52"/>
  <c r="AE121" i="52"/>
  <c r="AD121" i="52"/>
  <c r="AH120" i="52"/>
  <c r="AG120" i="52"/>
  <c r="AF120" i="52"/>
  <c r="AE120" i="52"/>
  <c r="AD120" i="52"/>
  <c r="AH119" i="52"/>
  <c r="AG119" i="52"/>
  <c r="AF119" i="52"/>
  <c r="AE119" i="52"/>
  <c r="AD119" i="52"/>
  <c r="AH118" i="52"/>
  <c r="AG118" i="52"/>
  <c r="AF118" i="52"/>
  <c r="AE118" i="52"/>
  <c r="AD118" i="52"/>
  <c r="AH117" i="52"/>
  <c r="AG117" i="52"/>
  <c r="AF117" i="52"/>
  <c r="AE117" i="52"/>
  <c r="AD117" i="52"/>
  <c r="AH116" i="52"/>
  <c r="AG116" i="52"/>
  <c r="AF116" i="52"/>
  <c r="AE116" i="52"/>
  <c r="AD116" i="52"/>
  <c r="AH115" i="52"/>
  <c r="AG115" i="52"/>
  <c r="AF115" i="52"/>
  <c r="AE115" i="52"/>
  <c r="AD115" i="52"/>
  <c r="AH114" i="52"/>
  <c r="AG114" i="52"/>
  <c r="AF114" i="52"/>
  <c r="AE114" i="52"/>
  <c r="AD114" i="52"/>
  <c r="AH113" i="52"/>
  <c r="AG113" i="52"/>
  <c r="AF113" i="52"/>
  <c r="AE113" i="52"/>
  <c r="AD113" i="52"/>
  <c r="AA113" i="52"/>
  <c r="Z113" i="52"/>
  <c r="Y113" i="52"/>
  <c r="X113" i="52"/>
  <c r="W113" i="52"/>
  <c r="T113" i="52"/>
  <c r="S113" i="52"/>
  <c r="R113" i="52"/>
  <c r="Q113" i="52"/>
  <c r="P113" i="52"/>
  <c r="AH112" i="52"/>
  <c r="AG112" i="52"/>
  <c r="AF112" i="52"/>
  <c r="AE112" i="52"/>
  <c r="AD112" i="52"/>
  <c r="AA112" i="52"/>
  <c r="Z112" i="52"/>
  <c r="Y112" i="52"/>
  <c r="X112" i="52"/>
  <c r="W112" i="52"/>
  <c r="T112" i="52"/>
  <c r="S112" i="52"/>
  <c r="R112" i="52"/>
  <c r="Q112" i="52"/>
  <c r="P112" i="52"/>
  <c r="AH111" i="52"/>
  <c r="AG111" i="52"/>
  <c r="AF111" i="52"/>
  <c r="AE111" i="52"/>
  <c r="AD111" i="52"/>
  <c r="AA111" i="52"/>
  <c r="Z111" i="52"/>
  <c r="Y111" i="52"/>
  <c r="X111" i="52"/>
  <c r="W111" i="52"/>
  <c r="T111" i="52"/>
  <c r="S111" i="52"/>
  <c r="R111" i="52"/>
  <c r="Q111" i="52"/>
  <c r="P111" i="52"/>
  <c r="AH110" i="52"/>
  <c r="AG110" i="52"/>
  <c r="AF110" i="52"/>
  <c r="AE110" i="52"/>
  <c r="AD110" i="52"/>
  <c r="AA110" i="52"/>
  <c r="Z110" i="52"/>
  <c r="Y110" i="52"/>
  <c r="X110" i="52"/>
  <c r="W110" i="52"/>
  <c r="T110" i="52"/>
  <c r="S110" i="52"/>
  <c r="R110" i="52"/>
  <c r="Q110" i="52"/>
  <c r="P110" i="52"/>
  <c r="AH109" i="52"/>
  <c r="AG109" i="52"/>
  <c r="AF109" i="52"/>
  <c r="AE109" i="52"/>
  <c r="AD109" i="52"/>
  <c r="AA109" i="52"/>
  <c r="Z109" i="52"/>
  <c r="Y109" i="52"/>
  <c r="X109" i="52"/>
  <c r="W109" i="52"/>
  <c r="T109" i="52"/>
  <c r="S109" i="52"/>
  <c r="R109" i="52"/>
  <c r="Q109" i="52"/>
  <c r="P109" i="52"/>
  <c r="AH108" i="52"/>
  <c r="AG108" i="52"/>
  <c r="AF108" i="52"/>
  <c r="AE108" i="52"/>
  <c r="AD108" i="52"/>
  <c r="AA108" i="52"/>
  <c r="Z108" i="52"/>
  <c r="Y108" i="52"/>
  <c r="X108" i="52"/>
  <c r="W108" i="52"/>
  <c r="T108" i="52"/>
  <c r="S108" i="52"/>
  <c r="R108" i="52"/>
  <c r="Q108" i="52"/>
  <c r="P108" i="52"/>
  <c r="AH107" i="52"/>
  <c r="AG107" i="52"/>
  <c r="AF107" i="52"/>
  <c r="AE107" i="52"/>
  <c r="AD107" i="52"/>
  <c r="AA107" i="52"/>
  <c r="Z107" i="52"/>
  <c r="Y107" i="52"/>
  <c r="X107" i="52"/>
  <c r="W107" i="52"/>
  <c r="T107" i="52"/>
  <c r="S107" i="52"/>
  <c r="R107" i="52"/>
  <c r="Q107" i="52"/>
  <c r="P107" i="52"/>
  <c r="AH106" i="52"/>
  <c r="AG106" i="52"/>
  <c r="AF106" i="52"/>
  <c r="AE106" i="52"/>
  <c r="AD106" i="52"/>
  <c r="AA106" i="52"/>
  <c r="Z106" i="52"/>
  <c r="Y106" i="52"/>
  <c r="X106" i="52"/>
  <c r="W106" i="52"/>
  <c r="T106" i="52"/>
  <c r="S106" i="52"/>
  <c r="R106" i="52"/>
  <c r="Q106" i="52"/>
  <c r="P106" i="52"/>
  <c r="AH105" i="52"/>
  <c r="AG105" i="52"/>
  <c r="AF105" i="52"/>
  <c r="AE105" i="52"/>
  <c r="AD105" i="52"/>
  <c r="AA105" i="52"/>
  <c r="Z105" i="52"/>
  <c r="Y105" i="52"/>
  <c r="X105" i="52"/>
  <c r="W105" i="52"/>
  <c r="T105" i="52"/>
  <c r="S105" i="52"/>
  <c r="R105" i="52"/>
  <c r="Q105" i="52"/>
  <c r="P105" i="52"/>
  <c r="AH104" i="52"/>
  <c r="AG104" i="52"/>
  <c r="AF104" i="52"/>
  <c r="AE104" i="52"/>
  <c r="AD104" i="52"/>
  <c r="AA104" i="52"/>
  <c r="Z104" i="52"/>
  <c r="Y104" i="52"/>
  <c r="X104" i="52"/>
  <c r="W104" i="52"/>
  <c r="T104" i="52"/>
  <c r="S104" i="52"/>
  <c r="R104" i="52"/>
  <c r="Q104" i="52"/>
  <c r="P104" i="52"/>
  <c r="AH103" i="52"/>
  <c r="AG103" i="52"/>
  <c r="AF103" i="52"/>
  <c r="AE103" i="52"/>
  <c r="AD103" i="52"/>
  <c r="AA103" i="52"/>
  <c r="Z103" i="52"/>
  <c r="Y103" i="52"/>
  <c r="X103" i="52"/>
  <c r="W103" i="52"/>
  <c r="T103" i="52"/>
  <c r="S103" i="52"/>
  <c r="R103" i="52"/>
  <c r="Q103" i="52"/>
  <c r="P103" i="52"/>
  <c r="AH102" i="52"/>
  <c r="AG102" i="52"/>
  <c r="AF102" i="52"/>
  <c r="AE102" i="52"/>
  <c r="AD102" i="52"/>
  <c r="AA102" i="52"/>
  <c r="Z102" i="52"/>
  <c r="Y102" i="52"/>
  <c r="X102" i="52"/>
  <c r="W102" i="52"/>
  <c r="T102" i="52"/>
  <c r="S102" i="52"/>
  <c r="R102" i="52"/>
  <c r="Q102" i="52"/>
  <c r="P102" i="52"/>
  <c r="AH101" i="52"/>
  <c r="AG101" i="52"/>
  <c r="AF101" i="52"/>
  <c r="AE101" i="52"/>
  <c r="AD101" i="52"/>
  <c r="AA101" i="52"/>
  <c r="Z101" i="52"/>
  <c r="Y101" i="52"/>
  <c r="X101" i="52"/>
  <c r="W101" i="52"/>
  <c r="T101" i="52"/>
  <c r="S101" i="52"/>
  <c r="R101" i="52"/>
  <c r="Q101" i="52"/>
  <c r="P101" i="52"/>
  <c r="AH100" i="52"/>
  <c r="AG100" i="52"/>
  <c r="AF100" i="52"/>
  <c r="AE100" i="52"/>
  <c r="AD100" i="52"/>
  <c r="AA100" i="52"/>
  <c r="Z100" i="52"/>
  <c r="Y100" i="52"/>
  <c r="X100" i="52"/>
  <c r="W100" i="52"/>
  <c r="T100" i="52"/>
  <c r="S100" i="52"/>
  <c r="R100" i="52"/>
  <c r="Q100" i="52"/>
  <c r="P100" i="52"/>
  <c r="AH99" i="52"/>
  <c r="AG99" i="52"/>
  <c r="AF99" i="52"/>
  <c r="AE99" i="52"/>
  <c r="AD99" i="52"/>
  <c r="AA99" i="52"/>
  <c r="Z99" i="52"/>
  <c r="Y99" i="52"/>
  <c r="X99" i="52"/>
  <c r="W99" i="52"/>
  <c r="T99" i="52"/>
  <c r="S99" i="52"/>
  <c r="R99" i="52"/>
  <c r="Q99" i="52"/>
  <c r="P99" i="52"/>
  <c r="AH98" i="52"/>
  <c r="AG98" i="52"/>
  <c r="AF98" i="52"/>
  <c r="AE98" i="52"/>
  <c r="AD98" i="52"/>
  <c r="AA98" i="52"/>
  <c r="Z98" i="52"/>
  <c r="Y98" i="52"/>
  <c r="X98" i="52"/>
  <c r="W98" i="52"/>
  <c r="T98" i="52"/>
  <c r="S98" i="52"/>
  <c r="R98" i="52"/>
  <c r="Q98" i="52"/>
  <c r="P98" i="52"/>
  <c r="AH97" i="52"/>
  <c r="AG97" i="52"/>
  <c r="AF97" i="52"/>
  <c r="AE97" i="52"/>
  <c r="AD97" i="52"/>
  <c r="AA97" i="52"/>
  <c r="Z97" i="52"/>
  <c r="Y97" i="52"/>
  <c r="X97" i="52"/>
  <c r="W97" i="52"/>
  <c r="T97" i="52"/>
  <c r="S97" i="52"/>
  <c r="R97" i="52"/>
  <c r="Q97" i="52"/>
  <c r="P97" i="52"/>
  <c r="AH96" i="52"/>
  <c r="AG96" i="52"/>
  <c r="AF96" i="52"/>
  <c r="AE96" i="52"/>
  <c r="AD96" i="52"/>
  <c r="AA96" i="52"/>
  <c r="Z96" i="52"/>
  <c r="Y96" i="52"/>
  <c r="X96" i="52"/>
  <c r="W96" i="52"/>
  <c r="T96" i="52"/>
  <c r="S96" i="52"/>
  <c r="R96" i="52"/>
  <c r="Q96" i="52"/>
  <c r="P96" i="52"/>
  <c r="AH95" i="52"/>
  <c r="AG95" i="52"/>
  <c r="AF95" i="52"/>
  <c r="AE95" i="52"/>
  <c r="AD95" i="52"/>
  <c r="AA95" i="52"/>
  <c r="Z95" i="52"/>
  <c r="Y95" i="52"/>
  <c r="X95" i="52"/>
  <c r="W95" i="52"/>
  <c r="T95" i="52"/>
  <c r="S95" i="52"/>
  <c r="R95" i="52"/>
  <c r="Q95" i="52"/>
  <c r="P95" i="52"/>
  <c r="AH94" i="52"/>
  <c r="AG94" i="52"/>
  <c r="AF94" i="52"/>
  <c r="AE94" i="52"/>
  <c r="AD94" i="52"/>
  <c r="AA94" i="52"/>
  <c r="Z94" i="52"/>
  <c r="Y94" i="52"/>
  <c r="X94" i="52"/>
  <c r="W94" i="52"/>
  <c r="T94" i="52"/>
  <c r="S94" i="52"/>
  <c r="R94" i="52"/>
  <c r="Q94" i="52"/>
  <c r="P94" i="52"/>
  <c r="AH93" i="52"/>
  <c r="AG93" i="52"/>
  <c r="AF93" i="52"/>
  <c r="AE93" i="52"/>
  <c r="AD93" i="52"/>
  <c r="AA93" i="52"/>
  <c r="Z93" i="52"/>
  <c r="Y93" i="52"/>
  <c r="X93" i="52"/>
  <c r="W93" i="52"/>
  <c r="T93" i="52"/>
  <c r="S93" i="52"/>
  <c r="R93" i="52"/>
  <c r="Q93" i="52"/>
  <c r="P93" i="52"/>
  <c r="AH92" i="52"/>
  <c r="AG92" i="52"/>
  <c r="AF92" i="52"/>
  <c r="AE92" i="52"/>
  <c r="AD92" i="52"/>
  <c r="AA92" i="52"/>
  <c r="Z92" i="52"/>
  <c r="Y92" i="52"/>
  <c r="X92" i="52"/>
  <c r="W92" i="52"/>
  <c r="T92" i="52"/>
  <c r="S92" i="52"/>
  <c r="R92" i="52"/>
  <c r="Q92" i="52"/>
  <c r="P92" i="52"/>
  <c r="AH91" i="52"/>
  <c r="AG91" i="52"/>
  <c r="AF91" i="52"/>
  <c r="AE91" i="52"/>
  <c r="AD91" i="52"/>
  <c r="AA91" i="52"/>
  <c r="Z91" i="52"/>
  <c r="Y91" i="52"/>
  <c r="X91" i="52"/>
  <c r="W91" i="52"/>
  <c r="T91" i="52"/>
  <c r="S91" i="52"/>
  <c r="R91" i="52"/>
  <c r="Q91" i="52"/>
  <c r="P91" i="52"/>
  <c r="AH90" i="52"/>
  <c r="AG90" i="52"/>
  <c r="AF90" i="52"/>
  <c r="AE90" i="52"/>
  <c r="AD90" i="52"/>
  <c r="AA90" i="52"/>
  <c r="Z90" i="52"/>
  <c r="Y90" i="52"/>
  <c r="X90" i="52"/>
  <c r="W90" i="52"/>
  <c r="T90" i="52"/>
  <c r="S90" i="52"/>
  <c r="R90" i="52"/>
  <c r="Q90" i="52"/>
  <c r="P90" i="52"/>
  <c r="AH89" i="52"/>
  <c r="AG89" i="52"/>
  <c r="AF89" i="52"/>
  <c r="AE89" i="52"/>
  <c r="AD89" i="52"/>
  <c r="AA89" i="52"/>
  <c r="Z89" i="52"/>
  <c r="Y89" i="52"/>
  <c r="X89" i="52"/>
  <c r="W89" i="52"/>
  <c r="T89" i="52"/>
  <c r="S89" i="52"/>
  <c r="R89" i="52"/>
  <c r="Q89" i="52"/>
  <c r="P89" i="52"/>
  <c r="AH88" i="52"/>
  <c r="AG88" i="52"/>
  <c r="AF88" i="52"/>
  <c r="AE88" i="52"/>
  <c r="AD88" i="52"/>
  <c r="AA88" i="52"/>
  <c r="Z88" i="52"/>
  <c r="Y88" i="52"/>
  <c r="X88" i="52"/>
  <c r="W88" i="52"/>
  <c r="T88" i="52"/>
  <c r="S88" i="52"/>
  <c r="R88" i="52"/>
  <c r="Q88" i="52"/>
  <c r="P88" i="52"/>
  <c r="AH87" i="52"/>
  <c r="AG87" i="52"/>
  <c r="AF87" i="52"/>
  <c r="AE87" i="52"/>
  <c r="AD87" i="52"/>
  <c r="AA87" i="52"/>
  <c r="Z87" i="52"/>
  <c r="Y87" i="52"/>
  <c r="X87" i="52"/>
  <c r="W87" i="52"/>
  <c r="T87" i="52"/>
  <c r="S87" i="52"/>
  <c r="R87" i="52"/>
  <c r="Q87" i="52"/>
  <c r="P87" i="52"/>
  <c r="AH86" i="52"/>
  <c r="AG86" i="52"/>
  <c r="AF86" i="52"/>
  <c r="AE86" i="52"/>
  <c r="AD86" i="52"/>
  <c r="AA86" i="52"/>
  <c r="Z86" i="52"/>
  <c r="Y86" i="52"/>
  <c r="X86" i="52"/>
  <c r="W86" i="52"/>
  <c r="T86" i="52"/>
  <c r="S86" i="52"/>
  <c r="R86" i="52"/>
  <c r="Q86" i="52"/>
  <c r="P86" i="52"/>
  <c r="AH85" i="52"/>
  <c r="AG85" i="52"/>
  <c r="AF85" i="52"/>
  <c r="AE85" i="52"/>
  <c r="AD85" i="52"/>
  <c r="AA85" i="52"/>
  <c r="Z85" i="52"/>
  <c r="Y85" i="52"/>
  <c r="X85" i="52"/>
  <c r="W85" i="52"/>
  <c r="T85" i="52"/>
  <c r="S85" i="52"/>
  <c r="R85" i="52"/>
  <c r="Q85" i="52"/>
  <c r="P85" i="52"/>
  <c r="AH84" i="52"/>
  <c r="AG84" i="52"/>
  <c r="AF84" i="52"/>
  <c r="AE84" i="52"/>
  <c r="AD84" i="52"/>
  <c r="AA84" i="52"/>
  <c r="Z84" i="52"/>
  <c r="Y84" i="52"/>
  <c r="X84" i="52"/>
  <c r="W84" i="52"/>
  <c r="T84" i="52"/>
  <c r="S84" i="52"/>
  <c r="R84" i="52"/>
  <c r="Q84" i="52"/>
  <c r="P84" i="52"/>
  <c r="AH83" i="52"/>
  <c r="AG83" i="52"/>
  <c r="AF83" i="52"/>
  <c r="AE83" i="52"/>
  <c r="AD83" i="52"/>
  <c r="AA83" i="52"/>
  <c r="Z83" i="52"/>
  <c r="Y83" i="52"/>
  <c r="X83" i="52"/>
  <c r="W83" i="52"/>
  <c r="T83" i="52"/>
  <c r="S83" i="52"/>
  <c r="R83" i="52"/>
  <c r="Q83" i="52"/>
  <c r="P83" i="52"/>
  <c r="AH82" i="52"/>
  <c r="AG82" i="52"/>
  <c r="AF82" i="52"/>
  <c r="AE82" i="52"/>
  <c r="AD82" i="52"/>
  <c r="AA82" i="52"/>
  <c r="Z82" i="52"/>
  <c r="Y82" i="52"/>
  <c r="X82" i="52"/>
  <c r="W82" i="52"/>
  <c r="T82" i="52"/>
  <c r="S82" i="52"/>
  <c r="R82" i="52"/>
  <c r="Q82" i="52"/>
  <c r="P82" i="52"/>
  <c r="AH81" i="52"/>
  <c r="AG81" i="52"/>
  <c r="AF81" i="52"/>
  <c r="AE81" i="52"/>
  <c r="AD81" i="52"/>
  <c r="AA81" i="52"/>
  <c r="Z81" i="52"/>
  <c r="Y81" i="52"/>
  <c r="X81" i="52"/>
  <c r="W81" i="52"/>
  <c r="T81" i="52"/>
  <c r="S81" i="52"/>
  <c r="R81" i="52"/>
  <c r="Q81" i="52"/>
  <c r="P81" i="52"/>
  <c r="AH80" i="52"/>
  <c r="AG80" i="52"/>
  <c r="AF80" i="52"/>
  <c r="AE80" i="52"/>
  <c r="AD80" i="52"/>
  <c r="AA80" i="52"/>
  <c r="Z80" i="52"/>
  <c r="Y80" i="52"/>
  <c r="X80" i="52"/>
  <c r="W80" i="52"/>
  <c r="T80" i="52"/>
  <c r="S80" i="52"/>
  <c r="R80" i="52"/>
  <c r="Q80" i="52"/>
  <c r="P80" i="52"/>
  <c r="AH79" i="52"/>
  <c r="AG79" i="52"/>
  <c r="AF79" i="52"/>
  <c r="AE79" i="52"/>
  <c r="AD79" i="52"/>
  <c r="AA79" i="52"/>
  <c r="Z79" i="52"/>
  <c r="Y79" i="52"/>
  <c r="X79" i="52"/>
  <c r="W79" i="52"/>
  <c r="T79" i="52"/>
  <c r="S79" i="52"/>
  <c r="R79" i="52"/>
  <c r="Q79" i="52"/>
  <c r="P79" i="52"/>
  <c r="AH78" i="52"/>
  <c r="AG78" i="52"/>
  <c r="AF78" i="52"/>
  <c r="AE78" i="52"/>
  <c r="AD78" i="52"/>
  <c r="AA78" i="52"/>
  <c r="Z78" i="52"/>
  <c r="Y78" i="52"/>
  <c r="X78" i="52"/>
  <c r="W78" i="52"/>
  <c r="T78" i="52"/>
  <c r="S78" i="52"/>
  <c r="R78" i="52"/>
  <c r="Q78" i="52"/>
  <c r="P78" i="52"/>
  <c r="AH77" i="52"/>
  <c r="AG77" i="52"/>
  <c r="AF77" i="52"/>
  <c r="AE77" i="52"/>
  <c r="AD77" i="52"/>
  <c r="AA77" i="52"/>
  <c r="Z77" i="52"/>
  <c r="Y77" i="52"/>
  <c r="X77" i="52"/>
  <c r="W77" i="52"/>
  <c r="T77" i="52"/>
  <c r="S77" i="52"/>
  <c r="R77" i="52"/>
  <c r="Q77" i="52"/>
  <c r="P77" i="52"/>
  <c r="AH76" i="52"/>
  <c r="AG76" i="52"/>
  <c r="AF76" i="52"/>
  <c r="AE76" i="52"/>
  <c r="AD76" i="52"/>
  <c r="AA76" i="52"/>
  <c r="Z76" i="52"/>
  <c r="Y76" i="52"/>
  <c r="X76" i="52"/>
  <c r="W76" i="52"/>
  <c r="T76" i="52"/>
  <c r="S76" i="52"/>
  <c r="R76" i="52"/>
  <c r="Q76" i="52"/>
  <c r="P76" i="52"/>
  <c r="AH75" i="52"/>
  <c r="AG75" i="52"/>
  <c r="AF75" i="52"/>
  <c r="AE75" i="52"/>
  <c r="AD75" i="52"/>
  <c r="AA75" i="52"/>
  <c r="Z75" i="52"/>
  <c r="Y75" i="52"/>
  <c r="X75" i="52"/>
  <c r="W75" i="52"/>
  <c r="T75" i="52"/>
  <c r="S75" i="52"/>
  <c r="R75" i="52"/>
  <c r="Q75" i="52"/>
  <c r="P75" i="52"/>
  <c r="AH74" i="52"/>
  <c r="AG74" i="52"/>
  <c r="AF74" i="52"/>
  <c r="AE74" i="52"/>
  <c r="AD74" i="52"/>
  <c r="AA74" i="52"/>
  <c r="Z74" i="52"/>
  <c r="Y74" i="52"/>
  <c r="X74" i="52"/>
  <c r="W74" i="52"/>
  <c r="T74" i="52"/>
  <c r="S74" i="52"/>
  <c r="R74" i="52"/>
  <c r="Q74" i="52"/>
  <c r="P74" i="52"/>
  <c r="AH73" i="52"/>
  <c r="AG73" i="52"/>
  <c r="AF73" i="52"/>
  <c r="AE73" i="52"/>
  <c r="AD73" i="52"/>
  <c r="AA73" i="52"/>
  <c r="Z73" i="52"/>
  <c r="Y73" i="52"/>
  <c r="X73" i="52"/>
  <c r="W73" i="52"/>
  <c r="T73" i="52"/>
  <c r="S73" i="52"/>
  <c r="R73" i="52"/>
  <c r="Q73" i="52"/>
  <c r="P73" i="52"/>
  <c r="AH72" i="52"/>
  <c r="AG72" i="52"/>
  <c r="AF72" i="52"/>
  <c r="AE72" i="52"/>
  <c r="AD72" i="52"/>
  <c r="AA72" i="52"/>
  <c r="Z72" i="52"/>
  <c r="Y72" i="52"/>
  <c r="X72" i="52"/>
  <c r="W72" i="52"/>
  <c r="T72" i="52"/>
  <c r="S72" i="52"/>
  <c r="R72" i="52"/>
  <c r="Q72" i="52"/>
  <c r="P72" i="52"/>
  <c r="AH71" i="52"/>
  <c r="AG71" i="52"/>
  <c r="AF71" i="52"/>
  <c r="AE71" i="52"/>
  <c r="AD71" i="52"/>
  <c r="AA71" i="52"/>
  <c r="Z71" i="52"/>
  <c r="Y71" i="52"/>
  <c r="X71" i="52"/>
  <c r="W71" i="52"/>
  <c r="T71" i="52"/>
  <c r="S71" i="52"/>
  <c r="R71" i="52"/>
  <c r="Q71" i="52"/>
  <c r="P71" i="52"/>
  <c r="AH70" i="52"/>
  <c r="AG70" i="52"/>
  <c r="AF70" i="52"/>
  <c r="AE70" i="52"/>
  <c r="AD70" i="52"/>
  <c r="AA70" i="52"/>
  <c r="Z70" i="52"/>
  <c r="Y70" i="52"/>
  <c r="X70" i="52"/>
  <c r="W70" i="52"/>
  <c r="T70" i="52"/>
  <c r="S70" i="52"/>
  <c r="R70" i="52"/>
  <c r="Q70" i="52"/>
  <c r="P70" i="52"/>
  <c r="AH69" i="52"/>
  <c r="AG69" i="52"/>
  <c r="AF69" i="52"/>
  <c r="AE69" i="52"/>
  <c r="AD69" i="52"/>
  <c r="AA69" i="52"/>
  <c r="Z69" i="52"/>
  <c r="Y69" i="52"/>
  <c r="X69" i="52"/>
  <c r="W69" i="52"/>
  <c r="T69" i="52"/>
  <c r="S69" i="52"/>
  <c r="R69" i="52"/>
  <c r="Q69" i="52"/>
  <c r="P69" i="52"/>
  <c r="AH68" i="52"/>
  <c r="AG68" i="52"/>
  <c r="AF68" i="52"/>
  <c r="AE68" i="52"/>
  <c r="AD68" i="52"/>
  <c r="AA68" i="52"/>
  <c r="Z68" i="52"/>
  <c r="Y68" i="52"/>
  <c r="X68" i="52"/>
  <c r="W68" i="52"/>
  <c r="T68" i="52"/>
  <c r="S68" i="52"/>
  <c r="R68" i="52"/>
  <c r="Q68" i="52"/>
  <c r="P68" i="52"/>
  <c r="AH67" i="52"/>
  <c r="AG67" i="52"/>
  <c r="AF67" i="52"/>
  <c r="AE67" i="52"/>
  <c r="AD67" i="52"/>
  <c r="AA67" i="52"/>
  <c r="Z67" i="52"/>
  <c r="Y67" i="52"/>
  <c r="X67" i="52"/>
  <c r="W67" i="52"/>
  <c r="T67" i="52"/>
  <c r="S67" i="52"/>
  <c r="R67" i="52"/>
  <c r="Q67" i="52"/>
  <c r="P67" i="52"/>
  <c r="AH66" i="52"/>
  <c r="AG66" i="52"/>
  <c r="AF66" i="52"/>
  <c r="AE66" i="52"/>
  <c r="AD66" i="52"/>
  <c r="AA66" i="52"/>
  <c r="Z66" i="52"/>
  <c r="Y66" i="52"/>
  <c r="X66" i="52"/>
  <c r="W66" i="52"/>
  <c r="T66" i="52"/>
  <c r="S66" i="52"/>
  <c r="R66" i="52"/>
  <c r="Q66" i="52"/>
  <c r="P66" i="52"/>
  <c r="AH65" i="52"/>
  <c r="AG65" i="52"/>
  <c r="AF65" i="52"/>
  <c r="AE65" i="52"/>
  <c r="AD65" i="52"/>
  <c r="AA65" i="52"/>
  <c r="Z65" i="52"/>
  <c r="Y65" i="52"/>
  <c r="X65" i="52"/>
  <c r="W65" i="52"/>
  <c r="T65" i="52"/>
  <c r="S65" i="52"/>
  <c r="R65" i="52"/>
  <c r="Q65" i="52"/>
  <c r="P65" i="52"/>
  <c r="AH64" i="52"/>
  <c r="AG64" i="52"/>
  <c r="AF64" i="52"/>
  <c r="AE64" i="52"/>
  <c r="AD64" i="52"/>
  <c r="AA64" i="52"/>
  <c r="Z64" i="52"/>
  <c r="Y64" i="52"/>
  <c r="X64" i="52"/>
  <c r="W64" i="52"/>
  <c r="T64" i="52"/>
  <c r="S64" i="52"/>
  <c r="R64" i="52"/>
  <c r="Q64" i="52"/>
  <c r="P64" i="52"/>
  <c r="AH63" i="52"/>
  <c r="AG63" i="52"/>
  <c r="AF63" i="52"/>
  <c r="AE63" i="52"/>
  <c r="AD63" i="52"/>
  <c r="AA63" i="52"/>
  <c r="Z63" i="52"/>
  <c r="Y63" i="52"/>
  <c r="X63" i="52"/>
  <c r="W63" i="52"/>
  <c r="T63" i="52"/>
  <c r="S63" i="52"/>
  <c r="R63" i="52"/>
  <c r="Q63" i="52"/>
  <c r="P63" i="52"/>
  <c r="AH62" i="52"/>
  <c r="AG62" i="52"/>
  <c r="AF62" i="52"/>
  <c r="AE62" i="52"/>
  <c r="AD62" i="52"/>
  <c r="AA62" i="52"/>
  <c r="Z62" i="52"/>
  <c r="Y62" i="52"/>
  <c r="X62" i="52"/>
  <c r="W62" i="52"/>
  <c r="T62" i="52"/>
  <c r="S62" i="52"/>
  <c r="R62" i="52"/>
  <c r="Q62" i="52"/>
  <c r="P62" i="52"/>
  <c r="AH61" i="52"/>
  <c r="AG61" i="52"/>
  <c r="AF61" i="52"/>
  <c r="AE61" i="52"/>
  <c r="AD61" i="52"/>
  <c r="AA61" i="52"/>
  <c r="Z61" i="52"/>
  <c r="Y61" i="52"/>
  <c r="X61" i="52"/>
  <c r="W61" i="52"/>
  <c r="T61" i="52"/>
  <c r="S61" i="52"/>
  <c r="R61" i="52"/>
  <c r="Q61" i="52"/>
  <c r="P61" i="52"/>
  <c r="AH60" i="52"/>
  <c r="AG60" i="52"/>
  <c r="AF60" i="52"/>
  <c r="AE60" i="52"/>
  <c r="AD60" i="52"/>
  <c r="AA60" i="52"/>
  <c r="Z60" i="52"/>
  <c r="Y60" i="52"/>
  <c r="X60" i="52"/>
  <c r="W60" i="52"/>
  <c r="T60" i="52"/>
  <c r="S60" i="52"/>
  <c r="R60" i="52"/>
  <c r="Q60" i="52"/>
  <c r="P60" i="52"/>
  <c r="AH59" i="52"/>
  <c r="AG59" i="52"/>
  <c r="AF59" i="52"/>
  <c r="AE59" i="52"/>
  <c r="AD59" i="52"/>
  <c r="AA59" i="52"/>
  <c r="Z59" i="52"/>
  <c r="Y59" i="52"/>
  <c r="X59" i="52"/>
  <c r="W59" i="52"/>
  <c r="T59" i="52"/>
  <c r="S59" i="52"/>
  <c r="R59" i="52"/>
  <c r="Q59" i="52"/>
  <c r="P59" i="52"/>
  <c r="AH58" i="52"/>
  <c r="AG58" i="52"/>
  <c r="AF58" i="52"/>
  <c r="AE58" i="52"/>
  <c r="AD58" i="52"/>
  <c r="AA58" i="52"/>
  <c r="Z58" i="52"/>
  <c r="Y58" i="52"/>
  <c r="X58" i="52"/>
  <c r="W58" i="52"/>
  <c r="T58" i="52"/>
  <c r="S58" i="52"/>
  <c r="R58" i="52"/>
  <c r="Q58" i="52"/>
  <c r="P58" i="52"/>
  <c r="AH57" i="52"/>
  <c r="AG57" i="52"/>
  <c r="AF57" i="52"/>
  <c r="AE57" i="52"/>
  <c r="AD57" i="52"/>
  <c r="AA57" i="52"/>
  <c r="Z57" i="52"/>
  <c r="Y57" i="52"/>
  <c r="X57" i="52"/>
  <c r="W57" i="52"/>
  <c r="T57" i="52"/>
  <c r="S57" i="52"/>
  <c r="R57" i="52"/>
  <c r="Q57" i="52"/>
  <c r="P57" i="52"/>
  <c r="AH56" i="52"/>
  <c r="AG56" i="52"/>
  <c r="AF56" i="52"/>
  <c r="AE56" i="52"/>
  <c r="AD56" i="52"/>
  <c r="AA56" i="52"/>
  <c r="Z56" i="52"/>
  <c r="Y56" i="52"/>
  <c r="X56" i="52"/>
  <c r="W56" i="52"/>
  <c r="T56" i="52"/>
  <c r="S56" i="52"/>
  <c r="R56" i="52"/>
  <c r="Q56" i="52"/>
  <c r="P56" i="52"/>
  <c r="AH55" i="52"/>
  <c r="AG55" i="52"/>
  <c r="AF55" i="52"/>
  <c r="AE55" i="52"/>
  <c r="AD55" i="52"/>
  <c r="AA55" i="52"/>
  <c r="Z55" i="52"/>
  <c r="Y55" i="52"/>
  <c r="X55" i="52"/>
  <c r="W55" i="52"/>
  <c r="T55" i="52"/>
  <c r="S55" i="52"/>
  <c r="R55" i="52"/>
  <c r="Q55" i="52"/>
  <c r="P55" i="52"/>
  <c r="AH54" i="52"/>
  <c r="AG54" i="52"/>
  <c r="AF54" i="52"/>
  <c r="AE54" i="52"/>
  <c r="AD54" i="52"/>
  <c r="AA54" i="52"/>
  <c r="Z54" i="52"/>
  <c r="Y54" i="52"/>
  <c r="X54" i="52"/>
  <c r="W54" i="52"/>
  <c r="T54" i="52"/>
  <c r="S54" i="52"/>
  <c r="R54" i="52"/>
  <c r="Q54" i="52"/>
  <c r="P54" i="52"/>
  <c r="BE53" i="52"/>
  <c r="BD53" i="52"/>
  <c r="BC53" i="52"/>
  <c r="BB53" i="52"/>
  <c r="BA53" i="52"/>
  <c r="AX53" i="52"/>
  <c r="AW53" i="52"/>
  <c r="AV53" i="52"/>
  <c r="AU53" i="52"/>
  <c r="AT53" i="52"/>
  <c r="AQ53" i="52"/>
  <c r="AP53" i="52"/>
  <c r="AO53" i="52"/>
  <c r="AN53" i="52"/>
  <c r="AM53" i="52"/>
  <c r="AH53" i="52"/>
  <c r="AG53" i="52"/>
  <c r="AF53" i="52"/>
  <c r="AE53" i="52"/>
  <c r="AD53" i="52"/>
  <c r="AA53" i="52"/>
  <c r="Z53" i="52"/>
  <c r="Y53" i="52"/>
  <c r="X53" i="52"/>
  <c r="W53" i="52"/>
  <c r="T53" i="52"/>
  <c r="S53" i="52"/>
  <c r="R53" i="52"/>
  <c r="Q53" i="52"/>
  <c r="P53" i="52"/>
  <c r="BE52" i="52"/>
  <c r="BD52" i="52"/>
  <c r="BC52" i="52"/>
  <c r="BB52" i="52"/>
  <c r="BA52" i="52"/>
  <c r="AX52" i="52"/>
  <c r="AW52" i="52"/>
  <c r="AV52" i="52"/>
  <c r="AU52" i="52"/>
  <c r="AT52" i="52"/>
  <c r="AQ52" i="52"/>
  <c r="AP52" i="52"/>
  <c r="AO52" i="52"/>
  <c r="AN52" i="52"/>
  <c r="AM52" i="52"/>
  <c r="AH52" i="52"/>
  <c r="AG52" i="52"/>
  <c r="AF52" i="52"/>
  <c r="AE52" i="52"/>
  <c r="AD52" i="52"/>
  <c r="AA52" i="52"/>
  <c r="Z52" i="52"/>
  <c r="Y52" i="52"/>
  <c r="X52" i="52"/>
  <c r="W52" i="52"/>
  <c r="T52" i="52"/>
  <c r="S52" i="52"/>
  <c r="R52" i="52"/>
  <c r="Q52" i="52"/>
  <c r="P52" i="52"/>
  <c r="BE51" i="52"/>
  <c r="BD51" i="52"/>
  <c r="BC51" i="52"/>
  <c r="BB51" i="52"/>
  <c r="BA51" i="52"/>
  <c r="AX51" i="52"/>
  <c r="AW51" i="52"/>
  <c r="AV51" i="52"/>
  <c r="AU51" i="52"/>
  <c r="AT51" i="52"/>
  <c r="AQ51" i="52"/>
  <c r="AP51" i="52"/>
  <c r="AO51" i="52"/>
  <c r="AN51" i="52"/>
  <c r="AM51" i="52"/>
  <c r="AH51" i="52"/>
  <c r="AG51" i="52"/>
  <c r="AF51" i="52"/>
  <c r="AE51" i="52"/>
  <c r="AD51" i="52"/>
  <c r="AA51" i="52"/>
  <c r="Z51" i="52"/>
  <c r="Y51" i="52"/>
  <c r="X51" i="52"/>
  <c r="W51" i="52"/>
  <c r="T51" i="52"/>
  <c r="S51" i="52"/>
  <c r="R51" i="52"/>
  <c r="Q51" i="52"/>
  <c r="P51" i="52"/>
  <c r="BE50" i="52"/>
  <c r="BD50" i="52"/>
  <c r="BC50" i="52"/>
  <c r="BB50" i="52"/>
  <c r="BA50" i="52"/>
  <c r="AX50" i="52"/>
  <c r="AW50" i="52"/>
  <c r="AV50" i="52"/>
  <c r="AU50" i="52"/>
  <c r="AT50" i="52"/>
  <c r="AQ50" i="52"/>
  <c r="AP50" i="52"/>
  <c r="AO50" i="52"/>
  <c r="AN50" i="52"/>
  <c r="AM50" i="52"/>
  <c r="AH50" i="52"/>
  <c r="AG50" i="52"/>
  <c r="AF50" i="52"/>
  <c r="AE50" i="52"/>
  <c r="AD50" i="52"/>
  <c r="AA50" i="52"/>
  <c r="Z50" i="52"/>
  <c r="Y50" i="52"/>
  <c r="X50" i="52"/>
  <c r="W50" i="52"/>
  <c r="T50" i="52"/>
  <c r="S50" i="52"/>
  <c r="R50" i="52"/>
  <c r="Q50" i="52"/>
  <c r="P50" i="52"/>
  <c r="BE49" i="52"/>
  <c r="BD49" i="52"/>
  <c r="BC49" i="52"/>
  <c r="BB49" i="52"/>
  <c r="BA49" i="52"/>
  <c r="AX49" i="52"/>
  <c r="AW49" i="52"/>
  <c r="AV49" i="52"/>
  <c r="AU49" i="52"/>
  <c r="AT49" i="52"/>
  <c r="AQ49" i="52"/>
  <c r="AP49" i="52"/>
  <c r="AO49" i="52"/>
  <c r="AN49" i="52"/>
  <c r="AM49" i="52"/>
  <c r="AH49" i="52"/>
  <c r="AG49" i="52"/>
  <c r="AF49" i="52"/>
  <c r="AE49" i="52"/>
  <c r="AD49" i="52"/>
  <c r="AA49" i="52"/>
  <c r="Z49" i="52"/>
  <c r="Y49" i="52"/>
  <c r="X49" i="52"/>
  <c r="W49" i="52"/>
  <c r="T49" i="52"/>
  <c r="S49" i="52"/>
  <c r="R49" i="52"/>
  <c r="Q49" i="52"/>
  <c r="P49" i="52"/>
  <c r="BE48" i="52"/>
  <c r="BD48" i="52"/>
  <c r="BC48" i="52"/>
  <c r="BB48" i="52"/>
  <c r="BA48" i="52"/>
  <c r="AX48" i="52"/>
  <c r="AW48" i="52"/>
  <c r="AV48" i="52"/>
  <c r="AU48" i="52"/>
  <c r="AT48" i="52"/>
  <c r="AQ48" i="52"/>
  <c r="AP48" i="52"/>
  <c r="AO48" i="52"/>
  <c r="AN48" i="52"/>
  <c r="AM48" i="52"/>
  <c r="AH48" i="52"/>
  <c r="AG48" i="52"/>
  <c r="AF48" i="52"/>
  <c r="AE48" i="52"/>
  <c r="AD48" i="52"/>
  <c r="AA48" i="52"/>
  <c r="Z48" i="52"/>
  <c r="Y48" i="52"/>
  <c r="X48" i="52"/>
  <c r="W48" i="52"/>
  <c r="T48" i="52"/>
  <c r="S48" i="52"/>
  <c r="R48" i="52"/>
  <c r="Q48" i="52"/>
  <c r="P48" i="52"/>
  <c r="BE47" i="52"/>
  <c r="BD47" i="52"/>
  <c r="BC47" i="52"/>
  <c r="BB47" i="52"/>
  <c r="BA47" i="52"/>
  <c r="AX47" i="52"/>
  <c r="AW47" i="52"/>
  <c r="AV47" i="52"/>
  <c r="AU47" i="52"/>
  <c r="AT47" i="52"/>
  <c r="AQ47" i="52"/>
  <c r="AP47" i="52"/>
  <c r="AO47" i="52"/>
  <c r="AN47" i="52"/>
  <c r="AM47" i="52"/>
  <c r="AH47" i="52"/>
  <c r="AG47" i="52"/>
  <c r="AF47" i="52"/>
  <c r="AE47" i="52"/>
  <c r="AD47" i="52"/>
  <c r="AA47" i="52"/>
  <c r="Z47" i="52"/>
  <c r="Y47" i="52"/>
  <c r="X47" i="52"/>
  <c r="W47" i="52"/>
  <c r="T47" i="52"/>
  <c r="S47" i="52"/>
  <c r="R47" i="52"/>
  <c r="Q47" i="52"/>
  <c r="P47" i="52"/>
  <c r="BE46" i="52"/>
  <c r="BD46" i="52"/>
  <c r="BC46" i="52"/>
  <c r="BB46" i="52"/>
  <c r="BA46" i="52"/>
  <c r="AX46" i="52"/>
  <c r="AW46" i="52"/>
  <c r="AV46" i="52"/>
  <c r="AU46" i="52"/>
  <c r="AT46" i="52"/>
  <c r="AQ46" i="52"/>
  <c r="AP46" i="52"/>
  <c r="AO46" i="52"/>
  <c r="AN46" i="52"/>
  <c r="AM46" i="52"/>
  <c r="AH46" i="52"/>
  <c r="AG46" i="52"/>
  <c r="AF46" i="52"/>
  <c r="AE46" i="52"/>
  <c r="AD46" i="52"/>
  <c r="AA46" i="52"/>
  <c r="Z46" i="52"/>
  <c r="Y46" i="52"/>
  <c r="X46" i="52"/>
  <c r="W46" i="52"/>
  <c r="T46" i="52"/>
  <c r="S46" i="52"/>
  <c r="R46" i="52"/>
  <c r="Q46" i="52"/>
  <c r="P46" i="52"/>
  <c r="BE45" i="52"/>
  <c r="BD45" i="52"/>
  <c r="BC45" i="52"/>
  <c r="BB45" i="52"/>
  <c r="BA45" i="52"/>
  <c r="AX45" i="52"/>
  <c r="AW45" i="52"/>
  <c r="AV45" i="52"/>
  <c r="AU45" i="52"/>
  <c r="AT45" i="52"/>
  <c r="AQ45" i="52"/>
  <c r="AP45" i="52"/>
  <c r="AO45" i="52"/>
  <c r="AN45" i="52"/>
  <c r="AM45" i="52"/>
  <c r="AH45" i="52"/>
  <c r="AG45" i="52"/>
  <c r="AF45" i="52"/>
  <c r="AE45" i="52"/>
  <c r="AD45" i="52"/>
  <c r="AA45" i="52"/>
  <c r="Z45" i="52"/>
  <c r="Y45" i="52"/>
  <c r="X45" i="52"/>
  <c r="W45" i="52"/>
  <c r="T45" i="52"/>
  <c r="S45" i="52"/>
  <c r="R45" i="52"/>
  <c r="Q45" i="52"/>
  <c r="P45" i="52"/>
  <c r="BE44" i="52"/>
  <c r="BD44" i="52"/>
  <c r="BC44" i="52"/>
  <c r="BB44" i="52"/>
  <c r="BA44" i="52"/>
  <c r="AX44" i="52"/>
  <c r="AW44" i="52"/>
  <c r="AV44" i="52"/>
  <c r="AU44" i="52"/>
  <c r="AT44" i="52"/>
  <c r="AQ44" i="52"/>
  <c r="AP44" i="52"/>
  <c r="AO44" i="52"/>
  <c r="AN44" i="52"/>
  <c r="AM44" i="52"/>
  <c r="AH44" i="52"/>
  <c r="AG44" i="52"/>
  <c r="AF44" i="52"/>
  <c r="AE44" i="52"/>
  <c r="AD44" i="52"/>
  <c r="AA44" i="52"/>
  <c r="Z44" i="52"/>
  <c r="Y44" i="52"/>
  <c r="X44" i="52"/>
  <c r="W44" i="52"/>
  <c r="T44" i="52"/>
  <c r="S44" i="52"/>
  <c r="R44" i="52"/>
  <c r="Q44" i="52"/>
  <c r="P44" i="52"/>
  <c r="BE43" i="52"/>
  <c r="BD43" i="52"/>
  <c r="BC43" i="52"/>
  <c r="BB43" i="52"/>
  <c r="BA43" i="52"/>
  <c r="AX43" i="52"/>
  <c r="AW43" i="52"/>
  <c r="AV43" i="52"/>
  <c r="AU43" i="52"/>
  <c r="AT43" i="52"/>
  <c r="AQ43" i="52"/>
  <c r="AP43" i="52"/>
  <c r="AO43" i="52"/>
  <c r="AN43" i="52"/>
  <c r="AM43" i="52"/>
  <c r="AH43" i="52"/>
  <c r="AG43" i="52"/>
  <c r="AF43" i="52"/>
  <c r="AE43" i="52"/>
  <c r="AD43" i="52"/>
  <c r="AA43" i="52"/>
  <c r="Z43" i="52"/>
  <c r="Y43" i="52"/>
  <c r="X43" i="52"/>
  <c r="W43" i="52"/>
  <c r="T43" i="52"/>
  <c r="S43" i="52"/>
  <c r="R43" i="52"/>
  <c r="Q43" i="52"/>
  <c r="P43" i="52"/>
  <c r="BE42" i="52"/>
  <c r="BD42" i="52"/>
  <c r="BC42" i="52"/>
  <c r="BB42" i="52"/>
  <c r="BA42" i="52"/>
  <c r="AX42" i="52"/>
  <c r="AW42" i="52"/>
  <c r="AV42" i="52"/>
  <c r="AU42" i="52"/>
  <c r="AT42" i="52"/>
  <c r="AQ42" i="52"/>
  <c r="AP42" i="52"/>
  <c r="AO42" i="52"/>
  <c r="AN42" i="52"/>
  <c r="AM42" i="52"/>
  <c r="AH42" i="52"/>
  <c r="AG42" i="52"/>
  <c r="AF42" i="52"/>
  <c r="AE42" i="52"/>
  <c r="AD42" i="52"/>
  <c r="AA42" i="52"/>
  <c r="Z42" i="52"/>
  <c r="Y42" i="52"/>
  <c r="X42" i="52"/>
  <c r="W42" i="52"/>
  <c r="T42" i="52"/>
  <c r="S42" i="52"/>
  <c r="R42" i="52"/>
  <c r="Q42" i="52"/>
  <c r="P42" i="52"/>
  <c r="BE41" i="52"/>
  <c r="BD41" i="52"/>
  <c r="BC41" i="52"/>
  <c r="BB41" i="52"/>
  <c r="BA41" i="52"/>
  <c r="AX41" i="52"/>
  <c r="AW41" i="52"/>
  <c r="AV41" i="52"/>
  <c r="AU41" i="52"/>
  <c r="AT41" i="52"/>
  <c r="AQ41" i="52"/>
  <c r="AP41" i="52"/>
  <c r="AO41" i="52"/>
  <c r="AN41" i="52"/>
  <c r="AM41" i="52"/>
  <c r="AH41" i="52"/>
  <c r="AG41" i="52"/>
  <c r="AF41" i="52"/>
  <c r="AE41" i="52"/>
  <c r="AD41" i="52"/>
  <c r="AA41" i="52"/>
  <c r="Z41" i="52"/>
  <c r="Y41" i="52"/>
  <c r="X41" i="52"/>
  <c r="W41" i="52"/>
  <c r="T41" i="52"/>
  <c r="S41" i="52"/>
  <c r="R41" i="52"/>
  <c r="Q41" i="52"/>
  <c r="P41" i="52"/>
  <c r="BE40" i="52"/>
  <c r="BD40" i="52"/>
  <c r="BC40" i="52"/>
  <c r="BB40" i="52"/>
  <c r="BA40" i="52"/>
  <c r="AX40" i="52"/>
  <c r="AW40" i="52"/>
  <c r="AV40" i="52"/>
  <c r="AU40" i="52"/>
  <c r="AT40" i="52"/>
  <c r="AQ40" i="52"/>
  <c r="AP40" i="52"/>
  <c r="AO40" i="52"/>
  <c r="AN40" i="52"/>
  <c r="AM40" i="52"/>
  <c r="AH40" i="52"/>
  <c r="AG40" i="52"/>
  <c r="AF40" i="52"/>
  <c r="AE40" i="52"/>
  <c r="AD40" i="52"/>
  <c r="AA40" i="52"/>
  <c r="Z40" i="52"/>
  <c r="Y40" i="52"/>
  <c r="X40" i="52"/>
  <c r="W40" i="52"/>
  <c r="T40" i="52"/>
  <c r="S40" i="52"/>
  <c r="R40" i="52"/>
  <c r="Q40" i="52"/>
  <c r="P40" i="52"/>
  <c r="BE39" i="52"/>
  <c r="BD39" i="52"/>
  <c r="BC39" i="52"/>
  <c r="BB39" i="52"/>
  <c r="BA39" i="52"/>
  <c r="AX39" i="52"/>
  <c r="AW39" i="52"/>
  <c r="AV39" i="52"/>
  <c r="AU39" i="52"/>
  <c r="AT39" i="52"/>
  <c r="AQ39" i="52"/>
  <c r="AP39" i="52"/>
  <c r="AO39" i="52"/>
  <c r="AN39" i="52"/>
  <c r="AM39" i="52"/>
  <c r="AH39" i="52"/>
  <c r="AG39" i="52"/>
  <c r="AF39" i="52"/>
  <c r="AE39" i="52"/>
  <c r="AD39" i="52"/>
  <c r="AA39" i="52"/>
  <c r="Z39" i="52"/>
  <c r="Y39" i="52"/>
  <c r="X39" i="52"/>
  <c r="W39" i="52"/>
  <c r="T39" i="52"/>
  <c r="S39" i="52"/>
  <c r="R39" i="52"/>
  <c r="Q39" i="52"/>
  <c r="P39" i="52"/>
  <c r="BE38" i="52"/>
  <c r="BD38" i="52"/>
  <c r="BC38" i="52"/>
  <c r="BB38" i="52"/>
  <c r="BA38" i="52"/>
  <c r="AX38" i="52"/>
  <c r="AW38" i="52"/>
  <c r="AV38" i="52"/>
  <c r="AU38" i="52"/>
  <c r="AT38" i="52"/>
  <c r="AQ38" i="52"/>
  <c r="AP38" i="52"/>
  <c r="AO38" i="52"/>
  <c r="AN38" i="52"/>
  <c r="AM38" i="52"/>
  <c r="AH38" i="52"/>
  <c r="AG38" i="52"/>
  <c r="AF38" i="52"/>
  <c r="AE38" i="52"/>
  <c r="AD38" i="52"/>
  <c r="AA38" i="52"/>
  <c r="Z38" i="52"/>
  <c r="Y38" i="52"/>
  <c r="X38" i="52"/>
  <c r="W38" i="52"/>
  <c r="T38" i="52"/>
  <c r="S38" i="52"/>
  <c r="R38" i="52"/>
  <c r="Q38" i="52"/>
  <c r="P38" i="52"/>
  <c r="BE37" i="52"/>
  <c r="BD37" i="52"/>
  <c r="BC37" i="52"/>
  <c r="BB37" i="52"/>
  <c r="BA37" i="52"/>
  <c r="AX37" i="52"/>
  <c r="AW37" i="52"/>
  <c r="AV37" i="52"/>
  <c r="AU37" i="52"/>
  <c r="AT37" i="52"/>
  <c r="AQ37" i="52"/>
  <c r="AP37" i="52"/>
  <c r="AO37" i="52"/>
  <c r="AN37" i="52"/>
  <c r="AM37" i="52"/>
  <c r="AH37" i="52"/>
  <c r="AG37" i="52"/>
  <c r="AF37" i="52"/>
  <c r="AE37" i="52"/>
  <c r="AD37" i="52"/>
  <c r="AA37" i="52"/>
  <c r="Z37" i="52"/>
  <c r="Y37" i="52"/>
  <c r="X37" i="52"/>
  <c r="W37" i="52"/>
  <c r="T37" i="52"/>
  <c r="S37" i="52"/>
  <c r="R37" i="52"/>
  <c r="Q37" i="52"/>
  <c r="P37" i="52"/>
  <c r="BE36" i="52"/>
  <c r="BD36" i="52"/>
  <c r="BC36" i="52"/>
  <c r="BB36" i="52"/>
  <c r="BA36" i="52"/>
  <c r="AX36" i="52"/>
  <c r="AW36" i="52"/>
  <c r="AV36" i="52"/>
  <c r="AU36" i="52"/>
  <c r="AT36" i="52"/>
  <c r="AQ36" i="52"/>
  <c r="AP36" i="52"/>
  <c r="AO36" i="52"/>
  <c r="AN36" i="52"/>
  <c r="AM36" i="52"/>
  <c r="AH36" i="52"/>
  <c r="AG36" i="52"/>
  <c r="AF36" i="52"/>
  <c r="AE36" i="52"/>
  <c r="AD36" i="52"/>
  <c r="AA36" i="52"/>
  <c r="Z36" i="52"/>
  <c r="Y36" i="52"/>
  <c r="X36" i="52"/>
  <c r="W36" i="52"/>
  <c r="T36" i="52"/>
  <c r="S36" i="52"/>
  <c r="R36" i="52"/>
  <c r="Q36" i="52"/>
  <c r="P36" i="52"/>
  <c r="BE35" i="52"/>
  <c r="BD35" i="52"/>
  <c r="BC35" i="52"/>
  <c r="BB35" i="52"/>
  <c r="BA35" i="52"/>
  <c r="AX35" i="52"/>
  <c r="AW35" i="52"/>
  <c r="AV35" i="52"/>
  <c r="AU35" i="52"/>
  <c r="AT35" i="52"/>
  <c r="AQ35" i="52"/>
  <c r="AP35" i="52"/>
  <c r="AO35" i="52"/>
  <c r="AN35" i="52"/>
  <c r="AM35" i="52"/>
  <c r="AH35" i="52"/>
  <c r="AG35" i="52"/>
  <c r="AF35" i="52"/>
  <c r="AE35" i="52"/>
  <c r="AD35" i="52"/>
  <c r="AA35" i="52"/>
  <c r="Z35" i="52"/>
  <c r="Y35" i="52"/>
  <c r="X35" i="52"/>
  <c r="W35" i="52"/>
  <c r="T35" i="52"/>
  <c r="S35" i="52"/>
  <c r="R35" i="52"/>
  <c r="Q35" i="52"/>
  <c r="P35" i="52"/>
  <c r="BE34" i="52"/>
  <c r="BD34" i="52"/>
  <c r="BC34" i="52"/>
  <c r="BB34" i="52"/>
  <c r="BA34" i="52"/>
  <c r="AX34" i="52"/>
  <c r="AW34" i="52"/>
  <c r="AV34" i="52"/>
  <c r="AU34" i="52"/>
  <c r="AT34" i="52"/>
  <c r="AQ34" i="52"/>
  <c r="AP34" i="52"/>
  <c r="AO34" i="52"/>
  <c r="AN34" i="52"/>
  <c r="AM34" i="52"/>
  <c r="AH34" i="52"/>
  <c r="AG34" i="52"/>
  <c r="AF34" i="52"/>
  <c r="AE34" i="52"/>
  <c r="AD34" i="52"/>
  <c r="AA34" i="52"/>
  <c r="Z34" i="52"/>
  <c r="Y34" i="52"/>
  <c r="X34" i="52"/>
  <c r="W34" i="52"/>
  <c r="T34" i="52"/>
  <c r="S34" i="52"/>
  <c r="R34" i="52"/>
  <c r="Q34" i="52"/>
  <c r="P34" i="52"/>
  <c r="BE33" i="52"/>
  <c r="BD33" i="52"/>
  <c r="BC33" i="52"/>
  <c r="BB33" i="52"/>
  <c r="BA33" i="52"/>
  <c r="AX33" i="52"/>
  <c r="AW33" i="52"/>
  <c r="AV33" i="52"/>
  <c r="AU33" i="52"/>
  <c r="AT33" i="52"/>
  <c r="AQ33" i="52"/>
  <c r="AP33" i="52"/>
  <c r="AO33" i="52"/>
  <c r="AN33" i="52"/>
  <c r="AM33" i="52"/>
  <c r="AH33" i="52"/>
  <c r="AG33" i="52"/>
  <c r="AF33" i="52"/>
  <c r="AE33" i="52"/>
  <c r="AD33" i="52"/>
  <c r="AA33" i="52"/>
  <c r="Z33" i="52"/>
  <c r="Y33" i="52"/>
  <c r="X33" i="52"/>
  <c r="W33" i="52"/>
  <c r="T33" i="52"/>
  <c r="S33" i="52"/>
  <c r="R33" i="52"/>
  <c r="Q33" i="52"/>
  <c r="P33" i="52"/>
  <c r="BE32" i="52"/>
  <c r="BD32" i="52"/>
  <c r="BC32" i="52"/>
  <c r="BB32" i="52"/>
  <c r="BA32" i="52"/>
  <c r="AX32" i="52"/>
  <c r="AW32" i="52"/>
  <c r="AV32" i="52"/>
  <c r="AU32" i="52"/>
  <c r="AT32" i="52"/>
  <c r="AQ32" i="52"/>
  <c r="AP32" i="52"/>
  <c r="AO32" i="52"/>
  <c r="AN32" i="52"/>
  <c r="AM32" i="52"/>
  <c r="AH32" i="52"/>
  <c r="AG32" i="52"/>
  <c r="AF32" i="52"/>
  <c r="AE32" i="52"/>
  <c r="AD32" i="52"/>
  <c r="AA32" i="52"/>
  <c r="Z32" i="52"/>
  <c r="Y32" i="52"/>
  <c r="X32" i="52"/>
  <c r="W32" i="52"/>
  <c r="T32" i="52"/>
  <c r="S32" i="52"/>
  <c r="R32" i="52"/>
  <c r="Q32" i="52"/>
  <c r="P32" i="52"/>
  <c r="BE31" i="52"/>
  <c r="BD31" i="52"/>
  <c r="BC31" i="52"/>
  <c r="BB31" i="52"/>
  <c r="BA31" i="52"/>
  <c r="AX31" i="52"/>
  <c r="AW31" i="52"/>
  <c r="AV31" i="52"/>
  <c r="AU31" i="52"/>
  <c r="AT31" i="52"/>
  <c r="AQ31" i="52"/>
  <c r="AP31" i="52"/>
  <c r="AO31" i="52"/>
  <c r="AN31" i="52"/>
  <c r="AM31" i="52"/>
  <c r="AH31" i="52"/>
  <c r="AG31" i="52"/>
  <c r="AF31" i="52"/>
  <c r="AE31" i="52"/>
  <c r="AD31" i="52"/>
  <c r="AA31" i="52"/>
  <c r="Z31" i="52"/>
  <c r="Y31" i="52"/>
  <c r="X31" i="52"/>
  <c r="W31" i="52"/>
  <c r="T31" i="52"/>
  <c r="S31" i="52"/>
  <c r="R31" i="52"/>
  <c r="Q31" i="52"/>
  <c r="P31" i="52"/>
  <c r="BE30" i="52"/>
  <c r="BD30" i="52"/>
  <c r="BC30" i="52"/>
  <c r="BB30" i="52"/>
  <c r="BA30" i="52"/>
  <c r="AX30" i="52"/>
  <c r="AW30" i="52"/>
  <c r="AV30" i="52"/>
  <c r="AU30" i="52"/>
  <c r="AT30" i="52"/>
  <c r="AQ30" i="52"/>
  <c r="AP30" i="52"/>
  <c r="AO30" i="52"/>
  <c r="AN30" i="52"/>
  <c r="AM30" i="52"/>
  <c r="AH30" i="52"/>
  <c r="AG30" i="52"/>
  <c r="AF30" i="52"/>
  <c r="AE30" i="52"/>
  <c r="AD30" i="52"/>
  <c r="AA30" i="52"/>
  <c r="Z30" i="52"/>
  <c r="Y30" i="52"/>
  <c r="X30" i="52"/>
  <c r="W30" i="52"/>
  <c r="T30" i="52"/>
  <c r="S30" i="52"/>
  <c r="R30" i="52"/>
  <c r="Q30" i="52"/>
  <c r="P30" i="52"/>
  <c r="BE29" i="52"/>
  <c r="BD29" i="52"/>
  <c r="BC29" i="52"/>
  <c r="BB29" i="52"/>
  <c r="BA29" i="52"/>
  <c r="AX29" i="52"/>
  <c r="AW29" i="52"/>
  <c r="AV29" i="52"/>
  <c r="AU29" i="52"/>
  <c r="AT29" i="52"/>
  <c r="AQ29" i="52"/>
  <c r="AP29" i="52"/>
  <c r="AO29" i="52"/>
  <c r="AN29" i="52"/>
  <c r="AM29" i="52"/>
  <c r="AH29" i="52"/>
  <c r="AG29" i="52"/>
  <c r="AF29" i="52"/>
  <c r="AE29" i="52"/>
  <c r="AD29" i="52"/>
  <c r="AA29" i="52"/>
  <c r="Z29" i="52"/>
  <c r="Y29" i="52"/>
  <c r="X29" i="52"/>
  <c r="W29" i="52"/>
  <c r="T29" i="52"/>
  <c r="S29" i="52"/>
  <c r="R29" i="52"/>
  <c r="Q29" i="52"/>
  <c r="P29" i="52"/>
  <c r="BE28" i="52"/>
  <c r="BD28" i="52"/>
  <c r="BC28" i="52"/>
  <c r="BB28" i="52"/>
  <c r="BA28" i="52"/>
  <c r="AX28" i="52"/>
  <c r="AW28" i="52"/>
  <c r="AV28" i="52"/>
  <c r="AU28" i="52"/>
  <c r="AT28" i="52"/>
  <c r="AQ28" i="52"/>
  <c r="AP28" i="52"/>
  <c r="AO28" i="52"/>
  <c r="AN28" i="52"/>
  <c r="AM28" i="52"/>
  <c r="AH28" i="52"/>
  <c r="AG28" i="52"/>
  <c r="AF28" i="52"/>
  <c r="AE28" i="52"/>
  <c r="AD28" i="52"/>
  <c r="AA28" i="52"/>
  <c r="Z28" i="52"/>
  <c r="Y28" i="52"/>
  <c r="X28" i="52"/>
  <c r="W28" i="52"/>
  <c r="T28" i="52"/>
  <c r="S28" i="52"/>
  <c r="R28" i="52"/>
  <c r="Q28" i="52"/>
  <c r="P28" i="52"/>
  <c r="BE27" i="52"/>
  <c r="BD27" i="52"/>
  <c r="BC27" i="52"/>
  <c r="BB27" i="52"/>
  <c r="BA27" i="52"/>
  <c r="AX27" i="52"/>
  <c r="AW27" i="52"/>
  <c r="AV27" i="52"/>
  <c r="AU27" i="52"/>
  <c r="AT27" i="52"/>
  <c r="AQ27" i="52"/>
  <c r="AP27" i="52"/>
  <c r="AO27" i="52"/>
  <c r="AN27" i="52"/>
  <c r="AM27" i="52"/>
  <c r="AH27" i="52"/>
  <c r="AG27" i="52"/>
  <c r="AF27" i="52"/>
  <c r="AE27" i="52"/>
  <c r="AD27" i="52"/>
  <c r="AA27" i="52"/>
  <c r="Z27" i="52"/>
  <c r="Y27" i="52"/>
  <c r="X27" i="52"/>
  <c r="W27" i="52"/>
  <c r="T27" i="52"/>
  <c r="S27" i="52"/>
  <c r="R27" i="52"/>
  <c r="Q27" i="52"/>
  <c r="P27" i="52"/>
  <c r="BE26" i="52"/>
  <c r="BD26" i="52"/>
  <c r="BC26" i="52"/>
  <c r="BB26" i="52"/>
  <c r="BA26" i="52"/>
  <c r="AX26" i="52"/>
  <c r="AW26" i="52"/>
  <c r="AV26" i="52"/>
  <c r="AU26" i="52"/>
  <c r="AT26" i="52"/>
  <c r="AQ26" i="52"/>
  <c r="AP26" i="52"/>
  <c r="AO26" i="52"/>
  <c r="AN26" i="52"/>
  <c r="AM26" i="52"/>
  <c r="AH26" i="52"/>
  <c r="AG26" i="52"/>
  <c r="AF26" i="52"/>
  <c r="AE26" i="52"/>
  <c r="AD26" i="52"/>
  <c r="AA26" i="52"/>
  <c r="Z26" i="52"/>
  <c r="Y26" i="52"/>
  <c r="X26" i="52"/>
  <c r="W26" i="52"/>
  <c r="T26" i="52"/>
  <c r="S26" i="52"/>
  <c r="R26" i="52"/>
  <c r="Q26" i="52"/>
  <c r="P26" i="52"/>
  <c r="BE25" i="52"/>
  <c r="BD25" i="52"/>
  <c r="BC25" i="52"/>
  <c r="BB25" i="52"/>
  <c r="BA25" i="52"/>
  <c r="AX25" i="52"/>
  <c r="AW25" i="52"/>
  <c r="AV25" i="52"/>
  <c r="AU25" i="52"/>
  <c r="AT25" i="52"/>
  <c r="AQ25" i="52"/>
  <c r="AP25" i="52"/>
  <c r="AO25" i="52"/>
  <c r="AN25" i="52"/>
  <c r="AM25" i="52"/>
  <c r="AH25" i="52"/>
  <c r="AG25" i="52"/>
  <c r="AF25" i="52"/>
  <c r="AE25" i="52"/>
  <c r="AD25" i="52"/>
  <c r="AA25" i="52"/>
  <c r="Z25" i="52"/>
  <c r="Y25" i="52"/>
  <c r="X25" i="52"/>
  <c r="W25" i="52"/>
  <c r="T25" i="52"/>
  <c r="S25" i="52"/>
  <c r="R25" i="52"/>
  <c r="Q25" i="52"/>
  <c r="P25" i="52"/>
  <c r="BE24" i="52"/>
  <c r="BD24" i="52"/>
  <c r="BC24" i="52"/>
  <c r="BB24" i="52"/>
  <c r="BA24" i="52"/>
  <c r="AX24" i="52"/>
  <c r="AW24" i="52"/>
  <c r="AV24" i="52"/>
  <c r="AU24" i="52"/>
  <c r="AT24" i="52"/>
  <c r="AQ24" i="52"/>
  <c r="AP24" i="52"/>
  <c r="AO24" i="52"/>
  <c r="AN24" i="52"/>
  <c r="AM24" i="52"/>
  <c r="AH24" i="52"/>
  <c r="AG24" i="52"/>
  <c r="AF24" i="52"/>
  <c r="AE24" i="52"/>
  <c r="AD24" i="52"/>
  <c r="AA24" i="52"/>
  <c r="Z24" i="52"/>
  <c r="Y24" i="52"/>
  <c r="X24" i="52"/>
  <c r="W24" i="52"/>
  <c r="T24" i="52"/>
  <c r="S24" i="52"/>
  <c r="R24" i="52"/>
  <c r="Q24" i="52"/>
  <c r="P24" i="52"/>
  <c r="BE23" i="52"/>
  <c r="BD23" i="52"/>
  <c r="BC23" i="52"/>
  <c r="BB23" i="52"/>
  <c r="BA23" i="52"/>
  <c r="AX23" i="52"/>
  <c r="AW23" i="52"/>
  <c r="AV23" i="52"/>
  <c r="AU23" i="52"/>
  <c r="AT23" i="52"/>
  <c r="AQ23" i="52"/>
  <c r="AP23" i="52"/>
  <c r="AO23" i="52"/>
  <c r="AN23" i="52"/>
  <c r="AM23" i="52"/>
  <c r="AH23" i="52"/>
  <c r="AG23" i="52"/>
  <c r="AF23" i="52"/>
  <c r="AE23" i="52"/>
  <c r="AD23" i="52"/>
  <c r="AA23" i="52"/>
  <c r="Z23" i="52"/>
  <c r="Y23" i="52"/>
  <c r="X23" i="52"/>
  <c r="W23" i="52"/>
  <c r="T23" i="52"/>
  <c r="S23" i="52"/>
  <c r="R23" i="52"/>
  <c r="Q23" i="52"/>
  <c r="P23" i="52"/>
  <c r="BE22" i="52"/>
  <c r="BD22" i="52"/>
  <c r="BC22" i="52"/>
  <c r="BB22" i="52"/>
  <c r="BA22" i="52"/>
  <c r="AX22" i="52"/>
  <c r="AW22" i="52"/>
  <c r="AV22" i="52"/>
  <c r="AU22" i="52"/>
  <c r="AT22" i="52"/>
  <c r="AQ22" i="52"/>
  <c r="AP22" i="52"/>
  <c r="AO22" i="52"/>
  <c r="AN22" i="52"/>
  <c r="AM22" i="52"/>
  <c r="AH22" i="52"/>
  <c r="AG22" i="52"/>
  <c r="AF22" i="52"/>
  <c r="AE22" i="52"/>
  <c r="AD22" i="52"/>
  <c r="AA22" i="52"/>
  <c r="Z22" i="52"/>
  <c r="Y22" i="52"/>
  <c r="X22" i="52"/>
  <c r="W22" i="52"/>
  <c r="T22" i="52"/>
  <c r="S22" i="52"/>
  <c r="R22" i="52"/>
  <c r="Q22" i="52"/>
  <c r="P22" i="52"/>
  <c r="BE21" i="52"/>
  <c r="BD21" i="52"/>
  <c r="BC21" i="52"/>
  <c r="BB21" i="52"/>
  <c r="BA21" i="52"/>
  <c r="AX21" i="52"/>
  <c r="AW21" i="52"/>
  <c r="AV21" i="52"/>
  <c r="AU21" i="52"/>
  <c r="AT21" i="52"/>
  <c r="AQ21" i="52"/>
  <c r="AP21" i="52"/>
  <c r="AO21" i="52"/>
  <c r="AN21" i="52"/>
  <c r="AM21" i="52"/>
  <c r="AH21" i="52"/>
  <c r="AG21" i="52"/>
  <c r="AF21" i="52"/>
  <c r="AE21" i="52"/>
  <c r="AD21" i="52"/>
  <c r="AA21" i="52"/>
  <c r="Z21" i="52"/>
  <c r="Y21" i="52"/>
  <c r="X21" i="52"/>
  <c r="W21" i="52"/>
  <c r="T21" i="52"/>
  <c r="S21" i="52"/>
  <c r="R21" i="52"/>
  <c r="Q21" i="52"/>
  <c r="P21" i="52"/>
  <c r="BE20" i="52"/>
  <c r="BD20" i="52"/>
  <c r="BC20" i="52"/>
  <c r="BB20" i="52"/>
  <c r="BA20" i="52"/>
  <c r="AX20" i="52"/>
  <c r="AW20" i="52"/>
  <c r="AV20" i="52"/>
  <c r="AU20" i="52"/>
  <c r="AT20" i="52"/>
  <c r="AQ20" i="52"/>
  <c r="AP20" i="52"/>
  <c r="AO20" i="52"/>
  <c r="AN20" i="52"/>
  <c r="AM20" i="52"/>
  <c r="AH20" i="52"/>
  <c r="AG20" i="52"/>
  <c r="AF20" i="52"/>
  <c r="AE20" i="52"/>
  <c r="AD20" i="52"/>
  <c r="AA20" i="52"/>
  <c r="Z20" i="52"/>
  <c r="Y20" i="52"/>
  <c r="X20" i="52"/>
  <c r="W20" i="52"/>
  <c r="T20" i="52"/>
  <c r="S20" i="52"/>
  <c r="R20" i="52"/>
  <c r="Q20" i="52"/>
  <c r="P20" i="52"/>
  <c r="BE19" i="52"/>
  <c r="BD19" i="52"/>
  <c r="BC19" i="52"/>
  <c r="BB19" i="52"/>
  <c r="BA19" i="52"/>
  <c r="AX19" i="52"/>
  <c r="AW19" i="52"/>
  <c r="AV19" i="52"/>
  <c r="AU19" i="52"/>
  <c r="AT19" i="52"/>
  <c r="AQ19" i="52"/>
  <c r="AP19" i="52"/>
  <c r="AO19" i="52"/>
  <c r="AN19" i="52"/>
  <c r="AM19" i="52"/>
  <c r="AH19" i="52"/>
  <c r="AG19" i="52"/>
  <c r="AF19" i="52"/>
  <c r="AE19" i="52"/>
  <c r="AD19" i="52"/>
  <c r="AA19" i="52"/>
  <c r="Z19" i="52"/>
  <c r="Y19" i="52"/>
  <c r="X19" i="52"/>
  <c r="W19" i="52"/>
  <c r="T19" i="52"/>
  <c r="S19" i="52"/>
  <c r="R19" i="52"/>
  <c r="Q19" i="52"/>
  <c r="P19" i="52"/>
  <c r="BE18" i="52"/>
  <c r="BD18" i="52"/>
  <c r="BC18" i="52"/>
  <c r="BB18" i="52"/>
  <c r="BA18" i="52"/>
  <c r="AX18" i="52"/>
  <c r="AW18" i="52"/>
  <c r="AV18" i="52"/>
  <c r="AU18" i="52"/>
  <c r="AT18" i="52"/>
  <c r="AQ18" i="52"/>
  <c r="AP18" i="52"/>
  <c r="AO18" i="52"/>
  <c r="AN18" i="52"/>
  <c r="AM18" i="52"/>
  <c r="AH18" i="52"/>
  <c r="AG18" i="52"/>
  <c r="AF18" i="52"/>
  <c r="AE18" i="52"/>
  <c r="AD18" i="52"/>
  <c r="AA18" i="52"/>
  <c r="Z18" i="52"/>
  <c r="Y18" i="52"/>
  <c r="X18" i="52"/>
  <c r="W18" i="52"/>
  <c r="T18" i="52"/>
  <c r="S18" i="52"/>
  <c r="R18" i="52"/>
  <c r="Q18" i="52"/>
  <c r="P18" i="52"/>
  <c r="BE17" i="52"/>
  <c r="BD17" i="52"/>
  <c r="BC17" i="52"/>
  <c r="BB17" i="52"/>
  <c r="BA17" i="52"/>
  <c r="AX17" i="52"/>
  <c r="AW17" i="52"/>
  <c r="AV17" i="52"/>
  <c r="AU17" i="52"/>
  <c r="AT17" i="52"/>
  <c r="AQ17" i="52"/>
  <c r="AP17" i="52"/>
  <c r="AO17" i="52"/>
  <c r="AN17" i="52"/>
  <c r="AM17" i="52"/>
  <c r="AH17" i="52"/>
  <c r="AG17" i="52"/>
  <c r="AF17" i="52"/>
  <c r="AE17" i="52"/>
  <c r="AD17" i="52"/>
  <c r="AA17" i="52"/>
  <c r="Z17" i="52"/>
  <c r="Y17" i="52"/>
  <c r="X17" i="52"/>
  <c r="W17" i="52"/>
  <c r="T17" i="52"/>
  <c r="S17" i="52"/>
  <c r="R17" i="52"/>
  <c r="Q17" i="52"/>
  <c r="P17" i="52"/>
  <c r="BE16" i="52"/>
  <c r="BD16" i="52"/>
  <c r="BC16" i="52"/>
  <c r="BB16" i="52"/>
  <c r="BA16" i="52"/>
  <c r="AX16" i="52"/>
  <c r="AW16" i="52"/>
  <c r="AV16" i="52"/>
  <c r="AU16" i="52"/>
  <c r="AT16" i="52"/>
  <c r="AQ16" i="52"/>
  <c r="AP16" i="52"/>
  <c r="AO16" i="52"/>
  <c r="AN16" i="52"/>
  <c r="AM16" i="52"/>
  <c r="AH16" i="52"/>
  <c r="AG16" i="52"/>
  <c r="AF16" i="52"/>
  <c r="AE16" i="52"/>
  <c r="AD16" i="52"/>
  <c r="AA16" i="52"/>
  <c r="Z16" i="52"/>
  <c r="Y16" i="52"/>
  <c r="X16" i="52"/>
  <c r="W16" i="52"/>
  <c r="T16" i="52"/>
  <c r="S16" i="52"/>
  <c r="R16" i="52"/>
  <c r="Q16" i="52"/>
  <c r="P16" i="52"/>
  <c r="BE15" i="52"/>
  <c r="BD15" i="52"/>
  <c r="BC15" i="52"/>
  <c r="BB15" i="52"/>
  <c r="BA15" i="52"/>
  <c r="AX15" i="52"/>
  <c r="AW15" i="52"/>
  <c r="AV15" i="52"/>
  <c r="AU15" i="52"/>
  <c r="AT15" i="52"/>
  <c r="AQ15" i="52"/>
  <c r="AP15" i="52"/>
  <c r="AO15" i="52"/>
  <c r="AN15" i="52"/>
  <c r="AM15" i="52"/>
  <c r="AH15" i="52"/>
  <c r="AG15" i="52"/>
  <c r="AF15" i="52"/>
  <c r="AE15" i="52"/>
  <c r="AD15" i="52"/>
  <c r="AA15" i="52"/>
  <c r="Z15" i="52"/>
  <c r="Y15" i="52"/>
  <c r="X15" i="52"/>
  <c r="W15" i="52"/>
  <c r="T15" i="52"/>
  <c r="S15" i="52"/>
  <c r="R15" i="52"/>
  <c r="Q15" i="52"/>
  <c r="P15" i="52"/>
  <c r="BE14" i="52"/>
  <c r="BD14" i="52"/>
  <c r="BC14" i="52"/>
  <c r="BB14" i="52"/>
  <c r="BA14" i="52"/>
  <c r="AX14" i="52"/>
  <c r="AW14" i="52"/>
  <c r="AV14" i="52"/>
  <c r="AU14" i="52"/>
  <c r="AT14" i="52"/>
  <c r="AQ14" i="52"/>
  <c r="AP14" i="52"/>
  <c r="AO14" i="52"/>
  <c r="AN14" i="52"/>
  <c r="AM14" i="52"/>
  <c r="AH14" i="52"/>
  <c r="AG14" i="52"/>
  <c r="AF14" i="52"/>
  <c r="AE14" i="52"/>
  <c r="AD14" i="52"/>
  <c r="AA14" i="52"/>
  <c r="Z14" i="52"/>
  <c r="Y14" i="52"/>
  <c r="X14" i="52"/>
  <c r="W14" i="52"/>
  <c r="T14" i="52"/>
  <c r="S14" i="52"/>
  <c r="R14" i="52"/>
  <c r="Q14" i="52"/>
  <c r="P14" i="52"/>
  <c r="BE13" i="52"/>
  <c r="BD13" i="52"/>
  <c r="BC13" i="52"/>
  <c r="BB13" i="52"/>
  <c r="BA13" i="52"/>
  <c r="AX13" i="52"/>
  <c r="AW13" i="52"/>
  <c r="AV13" i="52"/>
  <c r="AU13" i="52"/>
  <c r="AT13" i="52"/>
  <c r="AQ13" i="52"/>
  <c r="AP13" i="52"/>
  <c r="AO13" i="52"/>
  <c r="AN13" i="52"/>
  <c r="AM13" i="52"/>
  <c r="AH13" i="52"/>
  <c r="AG13" i="52"/>
  <c r="AF13" i="52"/>
  <c r="AE13" i="52"/>
  <c r="AD13" i="52"/>
  <c r="AA13" i="52"/>
  <c r="Z13" i="52"/>
  <c r="Y13" i="52"/>
  <c r="X13" i="52"/>
  <c r="W13" i="52"/>
  <c r="T13" i="52"/>
  <c r="S13" i="52"/>
  <c r="R13" i="52"/>
  <c r="Q13" i="52"/>
  <c r="P13" i="52"/>
  <c r="BE12" i="52"/>
  <c r="BD12" i="52"/>
  <c r="BC12" i="52"/>
  <c r="BB12" i="52"/>
  <c r="BA12" i="52"/>
  <c r="AX12" i="52"/>
  <c r="AW12" i="52"/>
  <c r="AV12" i="52"/>
  <c r="AU12" i="52"/>
  <c r="AT12" i="52"/>
  <c r="AQ12" i="52"/>
  <c r="AP12" i="52"/>
  <c r="AO12" i="52"/>
  <c r="AN12" i="52"/>
  <c r="AM12" i="52"/>
  <c r="AH12" i="52"/>
  <c r="AG12" i="52"/>
  <c r="AF12" i="52"/>
  <c r="AE12" i="52"/>
  <c r="AD12" i="52"/>
  <c r="AA12" i="52"/>
  <c r="Z12" i="52"/>
  <c r="Y12" i="52"/>
  <c r="X12" i="52"/>
  <c r="W12" i="52"/>
  <c r="T12" i="52"/>
  <c r="S12" i="52"/>
  <c r="R12" i="52"/>
  <c r="Q12" i="52"/>
  <c r="P12" i="52"/>
  <c r="BE11" i="52"/>
  <c r="BD11" i="52"/>
  <c r="BC11" i="52"/>
  <c r="BB11" i="52"/>
  <c r="BA11" i="52"/>
  <c r="AX11" i="52"/>
  <c r="AW11" i="52"/>
  <c r="AV11" i="52"/>
  <c r="AU11" i="52"/>
  <c r="AT11" i="52"/>
  <c r="AQ11" i="52"/>
  <c r="AP11" i="52"/>
  <c r="AO11" i="52"/>
  <c r="AN11" i="52"/>
  <c r="AM11" i="52"/>
  <c r="AH11" i="52"/>
  <c r="AG11" i="52"/>
  <c r="AF11" i="52"/>
  <c r="AE11" i="52"/>
  <c r="AD11" i="52"/>
  <c r="AA11" i="52"/>
  <c r="Z11" i="52"/>
  <c r="Y11" i="52"/>
  <c r="X11" i="52"/>
  <c r="W11" i="52"/>
  <c r="T11" i="52"/>
  <c r="S11" i="52"/>
  <c r="R11" i="52"/>
  <c r="Q11" i="52"/>
  <c r="P11" i="52"/>
  <c r="BE10" i="52"/>
  <c r="BD10" i="52"/>
  <c r="BC10" i="52"/>
  <c r="BB10" i="52"/>
  <c r="BA10" i="52"/>
  <c r="AX10" i="52"/>
  <c r="AW10" i="52"/>
  <c r="AV10" i="52"/>
  <c r="AU10" i="52"/>
  <c r="AT10" i="52"/>
  <c r="AQ10" i="52"/>
  <c r="AP10" i="52"/>
  <c r="AO10" i="52"/>
  <c r="AN10" i="52"/>
  <c r="AM10" i="52"/>
  <c r="AH10" i="52"/>
  <c r="AG10" i="52"/>
  <c r="AF10" i="52"/>
  <c r="AE10" i="52"/>
  <c r="AD10" i="52"/>
  <c r="AA10" i="52"/>
  <c r="Z10" i="52"/>
  <c r="Y10" i="52"/>
  <c r="X10" i="52"/>
  <c r="W10" i="52"/>
  <c r="T10" i="52"/>
  <c r="S10" i="52"/>
  <c r="R10" i="52"/>
  <c r="Q10" i="52"/>
  <c r="P10" i="52"/>
  <c r="BE9" i="52"/>
  <c r="BD9" i="52"/>
  <c r="BC9" i="52"/>
  <c r="BB9" i="52"/>
  <c r="BA9" i="52"/>
  <c r="AX9" i="52"/>
  <c r="AW9" i="52"/>
  <c r="AV9" i="52"/>
  <c r="AU9" i="52"/>
  <c r="AT9" i="52"/>
  <c r="AQ9" i="52"/>
  <c r="AP9" i="52"/>
  <c r="AO9" i="52"/>
  <c r="AN9" i="52"/>
  <c r="AM9" i="52"/>
  <c r="AH9" i="52"/>
  <c r="AG9" i="52"/>
  <c r="AF9" i="52"/>
  <c r="AE9" i="52"/>
  <c r="AD9" i="52"/>
  <c r="AA9" i="52"/>
  <c r="Z9" i="52"/>
  <c r="Y9" i="52"/>
  <c r="X9" i="52"/>
  <c r="W9" i="52"/>
  <c r="T9" i="52"/>
  <c r="S9" i="52"/>
  <c r="R9" i="52"/>
  <c r="Q9" i="52"/>
  <c r="P9" i="52"/>
  <c r="BE8" i="52"/>
  <c r="BD8" i="52"/>
  <c r="BC8" i="52"/>
  <c r="BB8" i="52"/>
  <c r="BA8" i="52"/>
  <c r="AX8" i="52"/>
  <c r="AW8" i="52"/>
  <c r="AV8" i="52"/>
  <c r="AU8" i="52"/>
  <c r="AT8" i="52"/>
  <c r="AQ8" i="52"/>
  <c r="AP8" i="52"/>
  <c r="AO8" i="52"/>
  <c r="AN8" i="52"/>
  <c r="AM8" i="52"/>
  <c r="AH8" i="52"/>
  <c r="AG8" i="52"/>
  <c r="AF8" i="52"/>
  <c r="AE8" i="52"/>
  <c r="AD8" i="52"/>
  <c r="AA8" i="52"/>
  <c r="Z8" i="52"/>
  <c r="Y8" i="52"/>
  <c r="X8" i="52"/>
  <c r="W8" i="52"/>
  <c r="T8" i="52"/>
  <c r="S8" i="52"/>
  <c r="R8" i="52"/>
  <c r="Q8" i="52"/>
  <c r="P8" i="52"/>
  <c r="BE7" i="52"/>
  <c r="BD7" i="52"/>
  <c r="BC7" i="52"/>
  <c r="BB7" i="52"/>
  <c r="BA7" i="52"/>
  <c r="AX7" i="52"/>
  <c r="AW7" i="52"/>
  <c r="AV7" i="52"/>
  <c r="AU7" i="52"/>
  <c r="AT7" i="52"/>
  <c r="AQ7" i="52"/>
  <c r="AP7" i="52"/>
  <c r="AO7" i="52"/>
  <c r="AN7" i="52"/>
  <c r="AM7" i="52"/>
  <c r="AH7" i="52"/>
  <c r="AG7" i="52"/>
  <c r="AF7" i="52"/>
  <c r="AE7" i="52"/>
  <c r="AD7" i="52"/>
  <c r="AA7" i="52"/>
  <c r="Z7" i="52"/>
  <c r="Y7" i="52"/>
  <c r="X7" i="52"/>
  <c r="W7" i="52"/>
  <c r="T7" i="52"/>
  <c r="S7" i="52"/>
  <c r="R7" i="52"/>
  <c r="Q7" i="52"/>
  <c r="P7" i="52"/>
  <c r="BE6" i="52"/>
  <c r="BD6" i="52"/>
  <c r="BC6" i="52"/>
  <c r="BB6" i="52"/>
  <c r="BA6" i="52"/>
  <c r="AX6" i="52"/>
  <c r="AW6" i="52"/>
  <c r="AV6" i="52"/>
  <c r="AU6" i="52"/>
  <c r="AT6" i="52"/>
  <c r="AQ6" i="52"/>
  <c r="AP6" i="52"/>
  <c r="AO6" i="52"/>
  <c r="AN6" i="52"/>
  <c r="AM6" i="52"/>
  <c r="AH6" i="52"/>
  <c r="AG6" i="52"/>
  <c r="AF6" i="52"/>
  <c r="AE6" i="52"/>
  <c r="AD6" i="52"/>
  <c r="AA6" i="52"/>
  <c r="Z6" i="52"/>
  <c r="Y6" i="52"/>
  <c r="X6" i="52"/>
  <c r="W6" i="52"/>
  <c r="T6" i="52"/>
  <c r="S6" i="52"/>
  <c r="R6" i="52"/>
  <c r="Q6" i="52"/>
  <c r="P6" i="52"/>
  <c r="BE5" i="52"/>
  <c r="BD5" i="52"/>
  <c r="BC5" i="52"/>
  <c r="BB5" i="52"/>
  <c r="BA5" i="52"/>
  <c r="AX5" i="52"/>
  <c r="AW5" i="52"/>
  <c r="AV5" i="52"/>
  <c r="AU5" i="52"/>
  <c r="AT5" i="52"/>
  <c r="AQ5" i="52"/>
  <c r="AP5" i="52"/>
  <c r="AO5" i="52"/>
  <c r="AN5" i="52"/>
  <c r="AM5" i="52"/>
  <c r="AH5" i="52"/>
  <c r="AG5" i="52"/>
  <c r="AF5" i="52"/>
  <c r="AE5" i="52"/>
  <c r="AD5" i="52"/>
  <c r="AA5" i="52"/>
  <c r="Z5" i="52"/>
  <c r="Y5" i="52"/>
  <c r="X5" i="52"/>
  <c r="W5" i="52"/>
  <c r="T5" i="52"/>
  <c r="S5" i="52"/>
  <c r="R5" i="52"/>
  <c r="Q5" i="52"/>
  <c r="P5" i="52"/>
  <c r="BE4" i="52"/>
  <c r="BD4" i="52"/>
  <c r="BC4" i="52"/>
  <c r="BB4" i="52"/>
  <c r="BA4" i="52"/>
  <c r="AX4" i="52"/>
  <c r="AW4" i="52"/>
  <c r="AV4" i="52"/>
  <c r="AU4" i="52"/>
  <c r="AT4" i="52"/>
  <c r="AQ4" i="52"/>
  <c r="AP4" i="52"/>
  <c r="AO4" i="52"/>
  <c r="AN4" i="52"/>
  <c r="AM4" i="52"/>
  <c r="AH4" i="52"/>
  <c r="AG4" i="52"/>
  <c r="AF4" i="52"/>
  <c r="AE4" i="52"/>
  <c r="AD4" i="52"/>
  <c r="AA4" i="52"/>
  <c r="Z4" i="52"/>
  <c r="Y4" i="52"/>
  <c r="X4" i="52"/>
  <c r="W4" i="52"/>
  <c r="T4" i="52"/>
  <c r="S4" i="52"/>
  <c r="R4" i="52"/>
  <c r="Q4" i="52"/>
  <c r="P4" i="52"/>
  <c r="N35" i="61"/>
  <c r="D23" i="60"/>
  <c r="D84" i="60"/>
  <c r="N31" i="61"/>
  <c r="D86" i="60"/>
  <c r="N92" i="61"/>
  <c r="N26" i="61"/>
  <c r="D87" i="60"/>
  <c r="D47" i="60"/>
  <c r="D27" i="60"/>
  <c r="N89" i="61"/>
  <c r="N16" i="61"/>
  <c r="D21" i="60"/>
  <c r="D41" i="60"/>
  <c r="N15" i="61"/>
  <c r="N14" i="61"/>
  <c r="D22" i="60"/>
  <c r="D64" i="60"/>
  <c r="D43" i="60"/>
  <c r="D66" i="60"/>
  <c r="N46" i="61"/>
  <c r="D85" i="60"/>
  <c r="D39" i="60"/>
  <c r="D102" i="60"/>
  <c r="N27" i="61"/>
  <c r="D58" i="60"/>
  <c r="N72" i="61"/>
  <c r="D25" i="60"/>
  <c r="D65" i="60"/>
  <c r="D106" i="60"/>
  <c r="D81" i="60"/>
  <c r="N84" i="61"/>
  <c r="N34" i="61"/>
  <c r="D80" i="60"/>
  <c r="D63" i="60"/>
  <c r="D49" i="60"/>
  <c r="D30" i="60"/>
  <c r="N11" i="61"/>
  <c r="D79" i="60"/>
  <c r="D26" i="60"/>
  <c r="N7" i="61"/>
  <c r="D83" i="60"/>
  <c r="N83" i="61"/>
  <c r="D46" i="60"/>
  <c r="N90" i="61"/>
  <c r="N69" i="61"/>
  <c r="N93" i="61"/>
  <c r="N87" i="61"/>
  <c r="D78" i="60"/>
  <c r="D101" i="60"/>
  <c r="N48" i="61"/>
  <c r="N12" i="61"/>
  <c r="N45" i="61"/>
  <c r="D44" i="60"/>
  <c r="D24" i="60"/>
  <c r="D100" i="60"/>
  <c r="D104" i="60"/>
  <c r="N65" i="61"/>
  <c r="N55" i="61"/>
  <c r="N74" i="61"/>
  <c r="D98" i="60"/>
  <c r="D45" i="60"/>
  <c r="D82" i="60"/>
  <c r="N67" i="61"/>
  <c r="N70" i="61"/>
  <c r="D61" i="60"/>
  <c r="N49" i="61"/>
  <c r="D20" i="60"/>
  <c r="N36" i="61"/>
  <c r="N86" i="61"/>
  <c r="D103" i="60"/>
  <c r="D97" i="60"/>
  <c r="N32" i="61"/>
  <c r="N10" i="61"/>
  <c r="N29" i="61"/>
  <c r="D67" i="60"/>
  <c r="D42" i="60"/>
  <c r="D40" i="60"/>
  <c r="D29" i="60"/>
  <c r="D62" i="60"/>
  <c r="D105" i="60"/>
  <c r="D96" i="60"/>
  <c r="D28" i="60"/>
  <c r="N50" i="61"/>
  <c r="D99" i="60"/>
  <c r="N9" i="61"/>
  <c r="N17" i="61"/>
  <c r="N88" i="61"/>
  <c r="D77" i="60"/>
  <c r="D48" i="60"/>
  <c r="N30" i="61"/>
  <c r="N73" i="61"/>
  <c r="N51" i="61"/>
  <c r="N8" i="61"/>
  <c r="D68" i="60"/>
  <c r="N28" i="61"/>
  <c r="N71" i="61"/>
  <c r="N66" i="61"/>
  <c r="N91" i="61"/>
  <c r="D60" i="60"/>
  <c r="N68" i="61"/>
  <c r="N53" i="61"/>
  <c r="N47" i="61"/>
  <c r="D59" i="60"/>
  <c r="N64" i="61"/>
  <c r="N54" i="61"/>
  <c r="N52" i="61"/>
  <c r="N33" i="61"/>
  <c r="N85" i="61"/>
  <c r="N13" i="61"/>
  <c r="AM11" i="61" l="1"/>
  <c r="AO11" i="61" s="1"/>
  <c r="AK12" i="61"/>
  <c r="Y7" i="61"/>
  <c r="AG7" i="61" s="1"/>
  <c r="V7" i="61"/>
  <c r="AD7" i="61" s="1"/>
  <c r="W7" i="61"/>
  <c r="AE7" i="61" s="1"/>
  <c r="X7" i="61"/>
  <c r="AF7" i="61" s="1"/>
  <c r="N62" i="66"/>
  <c r="O61" i="66"/>
  <c r="P19" i="64"/>
  <c r="P18" i="64"/>
  <c r="P16" i="64"/>
  <c r="P20" i="64"/>
  <c r="P17" i="64"/>
  <c r="P37" i="64"/>
  <c r="P39" i="64"/>
  <c r="P36" i="64"/>
  <c r="P38" i="64"/>
  <c r="P95" i="64"/>
  <c r="P93" i="64"/>
  <c r="P74" i="64"/>
  <c r="P77" i="64"/>
  <c r="P96" i="64"/>
  <c r="P73" i="64"/>
  <c r="P92" i="64"/>
  <c r="P75" i="64"/>
  <c r="P76" i="64"/>
  <c r="P54" i="64"/>
  <c r="P57" i="64"/>
  <c r="P56" i="64"/>
  <c r="P55" i="64"/>
  <c r="P58" i="64"/>
  <c r="AO7" i="63"/>
  <c r="AO5" i="63"/>
  <c r="AO63" i="63"/>
  <c r="AO64" i="63"/>
  <c r="AO62" i="63"/>
  <c r="AO24" i="63"/>
  <c r="AO26" i="63"/>
  <c r="AO25" i="63"/>
  <c r="AO6" i="63"/>
  <c r="AO45" i="63"/>
  <c r="AO83" i="63"/>
  <c r="AO82" i="63"/>
  <c r="AO81" i="63"/>
  <c r="AO43" i="63"/>
  <c r="AO44" i="63"/>
  <c r="J6" i="35"/>
  <c r="K6" i="35"/>
  <c r="L6" i="35"/>
  <c r="M6" i="35"/>
  <c r="N6" i="35"/>
  <c r="J7" i="35"/>
  <c r="K7" i="35"/>
  <c r="L7" i="35"/>
  <c r="M7" i="35"/>
  <c r="N7" i="35"/>
  <c r="J8" i="35"/>
  <c r="K8" i="35"/>
  <c r="L8" i="35"/>
  <c r="M8" i="35"/>
  <c r="N8" i="35"/>
  <c r="J9" i="35"/>
  <c r="K9" i="35"/>
  <c r="L9" i="35"/>
  <c r="M9" i="35"/>
  <c r="N9" i="35"/>
  <c r="J10" i="35"/>
  <c r="K10" i="35"/>
  <c r="L10" i="35"/>
  <c r="M10" i="35"/>
  <c r="N10" i="35"/>
  <c r="J11" i="35"/>
  <c r="K11" i="35"/>
  <c r="L11" i="35"/>
  <c r="M11" i="35"/>
  <c r="N11" i="35"/>
  <c r="J12" i="35"/>
  <c r="K12" i="35"/>
  <c r="L12" i="35"/>
  <c r="M12" i="35"/>
  <c r="N12" i="35"/>
  <c r="J13" i="35"/>
  <c r="K13" i="35"/>
  <c r="L13" i="35"/>
  <c r="M13" i="35"/>
  <c r="N13" i="35"/>
  <c r="J14" i="35"/>
  <c r="K14" i="35"/>
  <c r="L14" i="35"/>
  <c r="M14" i="35"/>
  <c r="N14" i="35"/>
  <c r="J15" i="35"/>
  <c r="K15" i="35"/>
  <c r="L15" i="35"/>
  <c r="M15" i="35"/>
  <c r="N15" i="35"/>
  <c r="J16" i="35"/>
  <c r="K16" i="35"/>
  <c r="L16" i="35"/>
  <c r="M16" i="35"/>
  <c r="N16" i="35"/>
  <c r="J17" i="35"/>
  <c r="K17" i="35"/>
  <c r="L17" i="35"/>
  <c r="M17" i="35"/>
  <c r="N17" i="35"/>
  <c r="J18" i="35"/>
  <c r="K18" i="35"/>
  <c r="L18" i="35"/>
  <c r="M18" i="35"/>
  <c r="N18" i="35"/>
  <c r="J19" i="35"/>
  <c r="K19" i="35"/>
  <c r="L19" i="35"/>
  <c r="M19" i="35"/>
  <c r="N19" i="35"/>
  <c r="J20" i="35"/>
  <c r="K20" i="35"/>
  <c r="L20" i="35"/>
  <c r="M20" i="35"/>
  <c r="N20" i="35"/>
  <c r="J21" i="35"/>
  <c r="K21" i="35"/>
  <c r="L21" i="35"/>
  <c r="M21" i="35"/>
  <c r="N21" i="35"/>
  <c r="J22" i="35"/>
  <c r="K22" i="35"/>
  <c r="L22" i="35"/>
  <c r="M22" i="35"/>
  <c r="N22" i="35"/>
  <c r="J23" i="35"/>
  <c r="K23" i="35"/>
  <c r="L23" i="35"/>
  <c r="M23" i="35"/>
  <c r="N23" i="35"/>
  <c r="J24" i="35"/>
  <c r="Q5" i="35" s="1"/>
  <c r="K24" i="35"/>
  <c r="L24" i="35"/>
  <c r="M24" i="35"/>
  <c r="N24" i="35"/>
  <c r="J25" i="35"/>
  <c r="K25" i="35"/>
  <c r="L25" i="35"/>
  <c r="M25" i="35"/>
  <c r="N25" i="35"/>
  <c r="J26" i="35"/>
  <c r="K26" i="35"/>
  <c r="L26" i="35"/>
  <c r="M26" i="35"/>
  <c r="N26" i="35"/>
  <c r="J27" i="35"/>
  <c r="K27" i="35"/>
  <c r="L27" i="35"/>
  <c r="M27" i="35"/>
  <c r="N27" i="35"/>
  <c r="J28" i="35"/>
  <c r="K28" i="35"/>
  <c r="L28" i="35"/>
  <c r="M28" i="35"/>
  <c r="N28" i="35"/>
  <c r="J29" i="35"/>
  <c r="K29" i="35"/>
  <c r="L29" i="35"/>
  <c r="M29" i="35"/>
  <c r="N29" i="35"/>
  <c r="J30" i="35"/>
  <c r="K30" i="35"/>
  <c r="L30" i="35"/>
  <c r="M30" i="35"/>
  <c r="N30" i="35"/>
  <c r="J31" i="35"/>
  <c r="K31" i="35"/>
  <c r="L31" i="35"/>
  <c r="M31" i="35"/>
  <c r="N31" i="35"/>
  <c r="J32" i="35"/>
  <c r="K32" i="35"/>
  <c r="L32" i="35"/>
  <c r="M32" i="35"/>
  <c r="N32" i="35"/>
  <c r="J33" i="35"/>
  <c r="K33" i="35"/>
  <c r="L33" i="35"/>
  <c r="M33" i="35"/>
  <c r="N33" i="35"/>
  <c r="J34" i="35"/>
  <c r="K34" i="35"/>
  <c r="Q6" i="35" s="1"/>
  <c r="AE8" i="35" s="1"/>
  <c r="L34" i="35"/>
  <c r="M34" i="35"/>
  <c r="N34" i="35"/>
  <c r="J35" i="35"/>
  <c r="K35" i="35"/>
  <c r="L35" i="35"/>
  <c r="M35" i="35"/>
  <c r="N35" i="35"/>
  <c r="J36" i="35"/>
  <c r="K36" i="35"/>
  <c r="L36" i="35"/>
  <c r="M36" i="35"/>
  <c r="N36" i="35"/>
  <c r="J37" i="35"/>
  <c r="K37" i="35"/>
  <c r="L37" i="35"/>
  <c r="M37" i="35"/>
  <c r="N37" i="35"/>
  <c r="J38" i="35"/>
  <c r="K38" i="35"/>
  <c r="L38" i="35"/>
  <c r="M38" i="35"/>
  <c r="N38" i="35"/>
  <c r="J39" i="35"/>
  <c r="K39" i="35"/>
  <c r="L39" i="35"/>
  <c r="M39" i="35"/>
  <c r="N39" i="35"/>
  <c r="J40" i="35"/>
  <c r="K40" i="35"/>
  <c r="L40" i="35"/>
  <c r="M40" i="35"/>
  <c r="N40" i="35"/>
  <c r="J41" i="35"/>
  <c r="K41" i="35"/>
  <c r="L41" i="35"/>
  <c r="M41" i="35"/>
  <c r="N41" i="35"/>
  <c r="J42" i="35"/>
  <c r="K42" i="35"/>
  <c r="L42" i="35"/>
  <c r="M42" i="35"/>
  <c r="N42" i="35"/>
  <c r="J43" i="35"/>
  <c r="K43" i="35"/>
  <c r="L43" i="35"/>
  <c r="M43" i="35"/>
  <c r="N43" i="35"/>
  <c r="J44" i="35"/>
  <c r="K44" i="35"/>
  <c r="Q7" i="35" s="1"/>
  <c r="AE9" i="35" s="1"/>
  <c r="L44" i="35"/>
  <c r="Q8" i="35" s="1"/>
  <c r="M44" i="35"/>
  <c r="N44" i="35"/>
  <c r="J45" i="35"/>
  <c r="K45" i="35"/>
  <c r="L45" i="35"/>
  <c r="M45" i="35"/>
  <c r="N45" i="35"/>
  <c r="J46" i="35"/>
  <c r="K46" i="35"/>
  <c r="L46" i="35"/>
  <c r="M46" i="35"/>
  <c r="N46" i="35"/>
  <c r="J47" i="35"/>
  <c r="K47" i="35"/>
  <c r="L47" i="35"/>
  <c r="M47" i="35"/>
  <c r="N47" i="35"/>
  <c r="J48" i="35"/>
  <c r="K48" i="35"/>
  <c r="L48" i="35"/>
  <c r="M48" i="35"/>
  <c r="N48" i="35"/>
  <c r="J49" i="35"/>
  <c r="K49" i="35"/>
  <c r="L49" i="35"/>
  <c r="M49" i="35"/>
  <c r="N49" i="35"/>
  <c r="J50" i="35"/>
  <c r="K50" i="35"/>
  <c r="L50" i="35"/>
  <c r="M50" i="35"/>
  <c r="N50" i="35"/>
  <c r="J51" i="35"/>
  <c r="K51" i="35"/>
  <c r="L51" i="35"/>
  <c r="M51" i="35"/>
  <c r="N51" i="35"/>
  <c r="J52" i="35"/>
  <c r="K52" i="35"/>
  <c r="L52" i="35"/>
  <c r="M52" i="35"/>
  <c r="N52" i="35"/>
  <c r="J53" i="35"/>
  <c r="K53" i="35"/>
  <c r="L53" i="35"/>
  <c r="M53" i="35"/>
  <c r="N53" i="35"/>
  <c r="J54" i="35"/>
  <c r="K54" i="35"/>
  <c r="L54" i="35"/>
  <c r="Q9" i="35" s="1"/>
  <c r="M54" i="35"/>
  <c r="Q11" i="35" s="1"/>
  <c r="N54" i="35"/>
  <c r="J55" i="35"/>
  <c r="K55" i="35"/>
  <c r="L55" i="35"/>
  <c r="M55" i="35"/>
  <c r="N55" i="35"/>
  <c r="J56" i="35"/>
  <c r="K56" i="35"/>
  <c r="L56" i="35"/>
  <c r="M56" i="35"/>
  <c r="N56" i="35"/>
  <c r="J57" i="35"/>
  <c r="K57" i="35"/>
  <c r="L57" i="35"/>
  <c r="M57" i="35"/>
  <c r="N57" i="35"/>
  <c r="J58" i="35"/>
  <c r="K58" i="35"/>
  <c r="L58" i="35"/>
  <c r="M58" i="35"/>
  <c r="N58" i="35"/>
  <c r="J59" i="35"/>
  <c r="K59" i="35"/>
  <c r="L59" i="35"/>
  <c r="M59" i="35"/>
  <c r="N59" i="35"/>
  <c r="J60" i="35"/>
  <c r="K60" i="35"/>
  <c r="L60" i="35"/>
  <c r="M60" i="35"/>
  <c r="N60" i="35"/>
  <c r="J61" i="35"/>
  <c r="K61" i="35"/>
  <c r="L61" i="35"/>
  <c r="M61" i="35"/>
  <c r="N61" i="35"/>
  <c r="J62" i="35"/>
  <c r="K62" i="35"/>
  <c r="L62" i="35"/>
  <c r="M62" i="35"/>
  <c r="N62" i="35"/>
  <c r="J63" i="35"/>
  <c r="K63" i="35"/>
  <c r="L63" i="35"/>
  <c r="M63" i="35"/>
  <c r="N63" i="35"/>
  <c r="J64" i="35"/>
  <c r="K64" i="35"/>
  <c r="L64" i="35"/>
  <c r="Q10" i="35" s="1"/>
  <c r="M64" i="35"/>
  <c r="Q12" i="35" s="1"/>
  <c r="N64" i="35"/>
  <c r="Q15" i="35" s="1"/>
  <c r="AD19" i="35" s="1"/>
  <c r="J65" i="35"/>
  <c r="K65" i="35"/>
  <c r="L65" i="35"/>
  <c r="M65" i="35"/>
  <c r="N65" i="35"/>
  <c r="J66" i="35"/>
  <c r="K66" i="35"/>
  <c r="L66" i="35"/>
  <c r="M66" i="35"/>
  <c r="N66" i="35"/>
  <c r="J67" i="35"/>
  <c r="K67" i="35"/>
  <c r="L67" i="35"/>
  <c r="M67" i="35"/>
  <c r="N67" i="35"/>
  <c r="J68" i="35"/>
  <c r="K68" i="35"/>
  <c r="L68" i="35"/>
  <c r="M68" i="35"/>
  <c r="N68" i="35"/>
  <c r="J69" i="35"/>
  <c r="K69" i="35"/>
  <c r="L69" i="35"/>
  <c r="M69" i="35"/>
  <c r="N69" i="35"/>
  <c r="J70" i="35"/>
  <c r="K70" i="35"/>
  <c r="L70" i="35"/>
  <c r="M70" i="35"/>
  <c r="N70" i="35"/>
  <c r="J71" i="35"/>
  <c r="K71" i="35"/>
  <c r="L71" i="35"/>
  <c r="M71" i="35"/>
  <c r="N71" i="35"/>
  <c r="J72" i="35"/>
  <c r="K72" i="35"/>
  <c r="L72" i="35"/>
  <c r="M72" i="35"/>
  <c r="N72" i="35"/>
  <c r="J73" i="35"/>
  <c r="K73" i="35"/>
  <c r="L73" i="35"/>
  <c r="M73" i="35"/>
  <c r="N73" i="35"/>
  <c r="J74" i="35"/>
  <c r="K74" i="35"/>
  <c r="L74" i="35"/>
  <c r="M74" i="35"/>
  <c r="Q13" i="35" s="1"/>
  <c r="N74" i="35"/>
  <c r="Q16" i="35" s="1"/>
  <c r="J75" i="35"/>
  <c r="K75" i="35"/>
  <c r="L75" i="35"/>
  <c r="M75" i="35"/>
  <c r="N75" i="35"/>
  <c r="J76" i="35"/>
  <c r="K76" i="35"/>
  <c r="L76" i="35"/>
  <c r="M76" i="35"/>
  <c r="N76" i="35"/>
  <c r="J77" i="35"/>
  <c r="K77" i="35"/>
  <c r="L77" i="35"/>
  <c r="M77" i="35"/>
  <c r="N77" i="35"/>
  <c r="J78" i="35"/>
  <c r="K78" i="35"/>
  <c r="L78" i="35"/>
  <c r="M78" i="35"/>
  <c r="N78" i="35"/>
  <c r="J79" i="35"/>
  <c r="K79" i="35"/>
  <c r="L79" i="35"/>
  <c r="M79" i="35"/>
  <c r="N79" i="35"/>
  <c r="J80" i="35"/>
  <c r="K80" i="35"/>
  <c r="L80" i="35"/>
  <c r="M80" i="35"/>
  <c r="N80" i="35"/>
  <c r="J81" i="35"/>
  <c r="K81" i="35"/>
  <c r="L81" i="35"/>
  <c r="M81" i="35"/>
  <c r="N81" i="35"/>
  <c r="J82" i="35"/>
  <c r="K82" i="35"/>
  <c r="L82" i="35"/>
  <c r="M82" i="35"/>
  <c r="N82" i="35"/>
  <c r="J83" i="35"/>
  <c r="K83" i="35"/>
  <c r="L83" i="35"/>
  <c r="M83" i="35"/>
  <c r="N83" i="35"/>
  <c r="J84" i="35"/>
  <c r="K84" i="35"/>
  <c r="L84" i="35"/>
  <c r="M84" i="35"/>
  <c r="Q14" i="35" s="1"/>
  <c r="N84" i="35"/>
  <c r="Q17" i="35" s="1"/>
  <c r="J85" i="35"/>
  <c r="K85" i="35"/>
  <c r="L85" i="35"/>
  <c r="M85" i="35"/>
  <c r="N85" i="35"/>
  <c r="J86" i="35"/>
  <c r="K86" i="35"/>
  <c r="L86" i="35"/>
  <c r="M86" i="35"/>
  <c r="N86" i="35"/>
  <c r="J87" i="35"/>
  <c r="K87" i="35"/>
  <c r="L87" i="35"/>
  <c r="M87" i="35"/>
  <c r="N87" i="35"/>
  <c r="J88" i="35"/>
  <c r="K88" i="35"/>
  <c r="L88" i="35"/>
  <c r="M88" i="35"/>
  <c r="N88" i="35"/>
  <c r="J89" i="35"/>
  <c r="K89" i="35"/>
  <c r="L89" i="35"/>
  <c r="M89" i="35"/>
  <c r="N89" i="35"/>
  <c r="J90" i="35"/>
  <c r="K90" i="35"/>
  <c r="L90" i="35"/>
  <c r="M90" i="35"/>
  <c r="N90" i="35"/>
  <c r="J91" i="35"/>
  <c r="K91" i="35"/>
  <c r="L91" i="35"/>
  <c r="M91" i="35"/>
  <c r="N91" i="35"/>
  <c r="J92" i="35"/>
  <c r="K92" i="35"/>
  <c r="L92" i="35"/>
  <c r="M92" i="35"/>
  <c r="N92" i="35"/>
  <c r="J93" i="35"/>
  <c r="K93" i="35"/>
  <c r="L93" i="35"/>
  <c r="M93" i="35"/>
  <c r="N93" i="35"/>
  <c r="J94" i="35"/>
  <c r="K94" i="35"/>
  <c r="L94" i="35"/>
  <c r="M94" i="35"/>
  <c r="N94" i="35"/>
  <c r="Q18" i="35" s="1"/>
  <c r="AD21" i="35" s="1"/>
  <c r="J95" i="35"/>
  <c r="K95" i="35"/>
  <c r="L95" i="35"/>
  <c r="M95" i="35"/>
  <c r="N95" i="35"/>
  <c r="J96" i="35"/>
  <c r="K96" i="35"/>
  <c r="L96" i="35"/>
  <c r="M96" i="35"/>
  <c r="N96" i="35"/>
  <c r="J97" i="35"/>
  <c r="K97" i="35"/>
  <c r="L97" i="35"/>
  <c r="M97" i="35"/>
  <c r="N97" i="35"/>
  <c r="J98" i="35"/>
  <c r="K98" i="35"/>
  <c r="L98" i="35"/>
  <c r="M98" i="35"/>
  <c r="N98" i="35"/>
  <c r="J99" i="35"/>
  <c r="K99" i="35"/>
  <c r="L99" i="35"/>
  <c r="M99" i="35"/>
  <c r="N99" i="35"/>
  <c r="J100" i="35"/>
  <c r="K100" i="35"/>
  <c r="L100" i="35"/>
  <c r="M100" i="35"/>
  <c r="N100" i="35"/>
  <c r="J101" i="35"/>
  <c r="K101" i="35"/>
  <c r="L101" i="35"/>
  <c r="M101" i="35"/>
  <c r="N101" i="35"/>
  <c r="J102" i="35"/>
  <c r="K102" i="35"/>
  <c r="L102" i="35"/>
  <c r="M102" i="35"/>
  <c r="N102" i="35"/>
  <c r="J103" i="35"/>
  <c r="K103" i="35"/>
  <c r="L103" i="35"/>
  <c r="M103" i="35"/>
  <c r="N103" i="35"/>
  <c r="J104" i="35"/>
  <c r="K104" i="35"/>
  <c r="L104" i="35"/>
  <c r="M104" i="35"/>
  <c r="N104" i="35"/>
  <c r="Q19" i="35" s="1"/>
  <c r="AE17" i="35" s="1"/>
  <c r="J105" i="35"/>
  <c r="K105" i="35"/>
  <c r="L105" i="35"/>
  <c r="M105" i="35"/>
  <c r="N105" i="35"/>
  <c r="J106" i="35"/>
  <c r="K106" i="35"/>
  <c r="L106" i="35"/>
  <c r="M106" i="35"/>
  <c r="N106" i="35"/>
  <c r="J107" i="35"/>
  <c r="K107" i="35"/>
  <c r="L107" i="35"/>
  <c r="M107" i="35"/>
  <c r="N107" i="35"/>
  <c r="J108" i="35"/>
  <c r="K108" i="35"/>
  <c r="L108" i="35"/>
  <c r="M108" i="35"/>
  <c r="N108" i="35"/>
  <c r="J109" i="35"/>
  <c r="K109" i="35"/>
  <c r="L109" i="35"/>
  <c r="M109" i="35"/>
  <c r="N109" i="35"/>
  <c r="J110" i="35"/>
  <c r="K110" i="35"/>
  <c r="L110" i="35"/>
  <c r="M110" i="35"/>
  <c r="N110" i="35"/>
  <c r="J111" i="35"/>
  <c r="K111" i="35"/>
  <c r="L111" i="35"/>
  <c r="M111" i="35"/>
  <c r="N111" i="35"/>
  <c r="J112" i="35"/>
  <c r="K112" i="35"/>
  <c r="L112" i="35"/>
  <c r="M112" i="35"/>
  <c r="N112" i="35"/>
  <c r="J113" i="35"/>
  <c r="K113" i="35"/>
  <c r="L113" i="35"/>
  <c r="M113" i="35"/>
  <c r="N113" i="35"/>
  <c r="J114" i="35"/>
  <c r="K114" i="35"/>
  <c r="L114" i="35"/>
  <c r="M114" i="35"/>
  <c r="N114" i="35"/>
  <c r="Q20" i="35" s="1"/>
  <c r="AD22" i="35" s="1"/>
  <c r="AH88" i="35" s="1"/>
  <c r="K5" i="35"/>
  <c r="L5" i="35"/>
  <c r="M5" i="35"/>
  <c r="N5" i="35"/>
  <c r="J5" i="35"/>
  <c r="AW22" i="63"/>
  <c r="R19" i="63"/>
  <c r="AT14" i="63"/>
  <c r="AS13" i="63"/>
  <c r="AS29" i="63"/>
  <c r="AS22" i="63"/>
  <c r="AU20" i="63"/>
  <c r="AV8" i="63"/>
  <c r="AT30" i="63"/>
  <c r="AV33" i="63"/>
  <c r="AT13" i="63"/>
  <c r="AV23" i="63"/>
  <c r="N111" i="60"/>
  <c r="AW6" i="63"/>
  <c r="AS9" i="63"/>
  <c r="N90" i="60"/>
  <c r="AU6" i="63"/>
  <c r="AU12" i="63"/>
  <c r="AS27" i="63"/>
  <c r="AU8" i="63"/>
  <c r="AV19" i="63"/>
  <c r="AW10" i="63"/>
  <c r="AS21" i="63"/>
  <c r="AW13" i="63"/>
  <c r="N110" i="60"/>
  <c r="AT10" i="63"/>
  <c r="AV9" i="63"/>
  <c r="AU30" i="63"/>
  <c r="AU13" i="63"/>
  <c r="AU26" i="63"/>
  <c r="N72" i="60"/>
  <c r="AV32" i="63"/>
  <c r="AV11" i="63"/>
  <c r="AU9" i="63"/>
  <c r="AT5" i="63"/>
  <c r="AV5" i="63"/>
  <c r="AS6" i="63"/>
  <c r="AS30" i="63"/>
  <c r="AT17" i="63"/>
  <c r="AT32" i="63"/>
  <c r="AS23" i="63"/>
  <c r="AV31" i="63"/>
  <c r="AV18" i="63"/>
  <c r="AS33" i="63"/>
  <c r="AU28" i="63"/>
  <c r="AV16" i="63"/>
  <c r="AT22" i="63"/>
  <c r="AU22" i="63"/>
  <c r="N91" i="60"/>
  <c r="AT31" i="63"/>
  <c r="N73" i="60"/>
  <c r="AS11" i="63"/>
  <c r="N109" i="60"/>
  <c r="AV7" i="63"/>
  <c r="AS32" i="63"/>
  <c r="N54" i="60"/>
  <c r="N88" i="60"/>
  <c r="AT20" i="63"/>
  <c r="AS18" i="63"/>
  <c r="AT15" i="63"/>
  <c r="AT16" i="63"/>
  <c r="N69" i="60"/>
  <c r="N92" i="60"/>
  <c r="AT19" i="63"/>
  <c r="AT21" i="63"/>
  <c r="AV12" i="63"/>
  <c r="AT23" i="63"/>
  <c r="AV20" i="63"/>
  <c r="N71" i="60"/>
  <c r="AT28" i="63"/>
  <c r="AU33" i="63"/>
  <c r="N108" i="60"/>
  <c r="AU32" i="63"/>
  <c r="AU19" i="63"/>
  <c r="AS25" i="63"/>
  <c r="N51" i="60"/>
  <c r="AT7" i="63"/>
  <c r="N52" i="60"/>
  <c r="AW16" i="63"/>
  <c r="AW21" i="63"/>
  <c r="AT27" i="63"/>
  <c r="AS28" i="63"/>
  <c r="AW11" i="63"/>
  <c r="AS16" i="63"/>
  <c r="AW20" i="63"/>
  <c r="AV15" i="63"/>
  <c r="AV21" i="63"/>
  <c r="AU17" i="63"/>
  <c r="AU16" i="63"/>
  <c r="AS10" i="63"/>
  <c r="AV25" i="63"/>
  <c r="AW12" i="63"/>
  <c r="AS7" i="63"/>
  <c r="AU7" i="63"/>
  <c r="AW7" i="63"/>
  <c r="N50" i="60"/>
  <c r="AS26" i="63"/>
  <c r="AT25" i="63"/>
  <c r="AS19" i="63"/>
  <c r="AV24" i="63"/>
  <c r="AW29" i="63"/>
  <c r="AT29" i="63"/>
  <c r="AU5" i="63"/>
  <c r="AT11" i="63"/>
  <c r="AW19" i="63"/>
  <c r="AU23" i="63"/>
  <c r="AU15" i="63"/>
  <c r="AV10" i="63"/>
  <c r="AV14" i="63"/>
  <c r="AT9" i="63"/>
  <c r="AW33" i="63"/>
  <c r="AW17" i="63"/>
  <c r="AT26" i="63"/>
  <c r="AV13" i="63"/>
  <c r="AW24" i="63"/>
  <c r="AW14" i="63"/>
  <c r="AW31" i="63"/>
  <c r="AU31" i="63"/>
  <c r="AS24" i="63"/>
  <c r="AV29" i="63"/>
  <c r="N70" i="60"/>
  <c r="AW9" i="63"/>
  <c r="AW27" i="63"/>
  <c r="AW30" i="63"/>
  <c r="AT18" i="63"/>
  <c r="AT24" i="63"/>
  <c r="AW15" i="63"/>
  <c r="AW25" i="63"/>
  <c r="AT12" i="63"/>
  <c r="AW26" i="63"/>
  <c r="AS12" i="63"/>
  <c r="AV26" i="63"/>
  <c r="AV28" i="63"/>
  <c r="AS14" i="63"/>
  <c r="AS31" i="63"/>
  <c r="AU18" i="63"/>
  <c r="AS5" i="63"/>
  <c r="AW32" i="63"/>
  <c r="AU14" i="63"/>
  <c r="N107" i="60"/>
  <c r="AU29" i="63"/>
  <c r="AW28" i="63"/>
  <c r="AV30" i="63"/>
  <c r="AS8" i="63"/>
  <c r="AU10" i="63"/>
  <c r="AS17" i="63"/>
  <c r="AW18" i="63"/>
  <c r="AV17" i="63"/>
  <c r="AU11" i="63"/>
  <c r="AV6" i="63"/>
  <c r="AT33" i="63"/>
  <c r="AV22" i="63"/>
  <c r="AS15" i="63"/>
  <c r="AT6" i="63"/>
  <c r="AU21" i="63"/>
  <c r="AS20" i="63"/>
  <c r="AU25" i="63"/>
  <c r="N53" i="60"/>
  <c r="AU24" i="63"/>
  <c r="AW5" i="63"/>
  <c r="AV27" i="63"/>
  <c r="AW8" i="63"/>
  <c r="AU27" i="63"/>
  <c r="AW23" i="63"/>
  <c r="AT8" i="63"/>
  <c r="AN11" i="61" l="1"/>
  <c r="AM12" i="61"/>
  <c r="AO12" i="61" s="1"/>
  <c r="AK13" i="61"/>
  <c r="N63" i="66"/>
  <c r="O62" i="66"/>
  <c r="P94" i="64"/>
  <c r="P35" i="64"/>
  <c r="S9" i="64"/>
  <c r="S10" i="64"/>
  <c r="S8" i="64"/>
  <c r="S28" i="64"/>
  <c r="S27" i="64"/>
  <c r="S29" i="64"/>
  <c r="S46" i="64"/>
  <c r="S47" i="64"/>
  <c r="S48" i="64"/>
  <c r="S67" i="64"/>
  <c r="S66" i="64"/>
  <c r="S65" i="64"/>
  <c r="P15" i="64"/>
  <c r="P14" i="64"/>
  <c r="P11" i="64"/>
  <c r="P12" i="64"/>
  <c r="P8" i="64"/>
  <c r="T8" i="64" s="1"/>
  <c r="P10" i="64"/>
  <c r="P13" i="64"/>
  <c r="P9" i="64"/>
  <c r="S84" i="64"/>
  <c r="S86" i="64"/>
  <c r="P32" i="64"/>
  <c r="S85" i="64"/>
  <c r="P27" i="64"/>
  <c r="T27" i="64" s="1"/>
  <c r="P34" i="64"/>
  <c r="P30" i="64"/>
  <c r="P28" i="64"/>
  <c r="P29" i="64"/>
  <c r="P33" i="64"/>
  <c r="P31" i="64"/>
  <c r="O58" i="64"/>
  <c r="O55" i="64"/>
  <c r="P89" i="64"/>
  <c r="P66" i="64"/>
  <c r="P65" i="64"/>
  <c r="T65" i="64" s="1"/>
  <c r="P91" i="64"/>
  <c r="P67" i="64"/>
  <c r="P72" i="64"/>
  <c r="P70" i="64"/>
  <c r="P87" i="64"/>
  <c r="P88" i="64"/>
  <c r="P71" i="64"/>
  <c r="P85" i="64"/>
  <c r="P68" i="64"/>
  <c r="P90" i="64"/>
  <c r="P86" i="64"/>
  <c r="P69" i="64"/>
  <c r="P84" i="64"/>
  <c r="T84" i="64" s="1"/>
  <c r="P46" i="64"/>
  <c r="T46" i="64" s="1"/>
  <c r="P49" i="64"/>
  <c r="P50" i="64"/>
  <c r="P48" i="64"/>
  <c r="P51" i="64"/>
  <c r="P47" i="64"/>
  <c r="P53" i="64"/>
  <c r="P52" i="64"/>
  <c r="AO46" i="63"/>
  <c r="AO65" i="63"/>
  <c r="AO84" i="63"/>
  <c r="O56" i="64"/>
  <c r="O76" i="64"/>
  <c r="O95" i="64"/>
  <c r="O57" i="64"/>
  <c r="O37" i="64"/>
  <c r="O93" i="64"/>
  <c r="O94" i="64"/>
  <c r="O73" i="64"/>
  <c r="O35" i="64"/>
  <c r="O75" i="64"/>
  <c r="O77" i="64"/>
  <c r="O39" i="64"/>
  <c r="O54" i="64"/>
  <c r="O92" i="64"/>
  <c r="O96" i="64"/>
  <c r="O36" i="64"/>
  <c r="O38" i="64"/>
  <c r="O27" i="63"/>
  <c r="Q46" i="63"/>
  <c r="R27" i="63"/>
  <c r="O84" i="63"/>
  <c r="Q84" i="63"/>
  <c r="P27" i="63"/>
  <c r="P84" i="63"/>
  <c r="O46" i="63"/>
  <c r="R84" i="63"/>
  <c r="R65" i="63"/>
  <c r="O65" i="63"/>
  <c r="Q65" i="63"/>
  <c r="P65" i="63"/>
  <c r="Q27" i="63"/>
  <c r="P46" i="63"/>
  <c r="R46" i="63"/>
  <c r="AD11" i="35"/>
  <c r="AE13" i="35"/>
  <c r="AD15" i="35"/>
  <c r="AD8" i="35"/>
  <c r="AD9" i="35"/>
  <c r="AE16" i="35"/>
  <c r="AD17" i="35"/>
  <c r="AD16" i="35"/>
  <c r="AE18" i="35"/>
  <c r="AI107" i="35" s="1"/>
  <c r="AD20" i="35"/>
  <c r="AE15" i="35"/>
  <c r="AD18" i="35"/>
  <c r="AE14" i="35"/>
  <c r="AD14" i="35"/>
  <c r="AD10" i="35"/>
  <c r="AE12" i="35"/>
  <c r="AD13" i="35"/>
  <c r="AE11" i="35"/>
  <c r="AD12" i="35"/>
  <c r="AE10" i="35"/>
  <c r="AH111" i="35"/>
  <c r="AH95" i="35"/>
  <c r="AH107" i="35"/>
  <c r="AH91" i="35"/>
  <c r="AH103" i="35"/>
  <c r="AH99" i="35"/>
  <c r="AH114" i="35"/>
  <c r="AH110" i="35"/>
  <c r="AH106" i="35"/>
  <c r="AH102" i="35"/>
  <c r="AH98" i="35"/>
  <c r="AH94" i="35"/>
  <c r="AH90" i="35"/>
  <c r="AH113" i="35"/>
  <c r="AH109" i="35"/>
  <c r="AH105" i="35"/>
  <c r="AH101" i="35"/>
  <c r="AH97" i="35"/>
  <c r="AH93" i="35"/>
  <c r="AH89" i="35"/>
  <c r="AH112" i="35"/>
  <c r="AH108" i="35"/>
  <c r="AH104" i="35"/>
  <c r="AH100" i="35"/>
  <c r="AH96" i="35"/>
  <c r="AH92" i="35"/>
  <c r="P8" i="63"/>
  <c r="O8" i="63"/>
  <c r="R8" i="63"/>
  <c r="Q8" i="63"/>
  <c r="R30" i="63"/>
  <c r="N105" i="60"/>
  <c r="AU35" i="63"/>
  <c r="AL37" i="64"/>
  <c r="AV37" i="63"/>
  <c r="AL41" i="64"/>
  <c r="AV41" i="63"/>
  <c r="AW35" i="63"/>
  <c r="AY34" i="64"/>
  <c r="O16" i="63"/>
  <c r="AZ35" i="64"/>
  <c r="R96" i="63"/>
  <c r="BA39" i="64"/>
  <c r="N84" i="60"/>
  <c r="AP37" i="64"/>
  <c r="AN41" i="64"/>
  <c r="AU41" i="63"/>
  <c r="N87" i="60"/>
  <c r="AL38" i="64"/>
  <c r="AO35" i="64"/>
  <c r="AY39" i="64"/>
  <c r="R76" i="63"/>
  <c r="AW40" i="64"/>
  <c r="AN39" i="64"/>
  <c r="AO34" i="64"/>
  <c r="AP38" i="64"/>
  <c r="AP35" i="64"/>
  <c r="AZ36" i="64"/>
  <c r="AL35" i="64"/>
  <c r="O20" i="63"/>
  <c r="AN34" i="64"/>
  <c r="AW34" i="64"/>
  <c r="AW39" i="63"/>
  <c r="AZ40" i="64"/>
  <c r="R36" i="63"/>
  <c r="N86" i="60"/>
  <c r="R35" i="63"/>
  <c r="AN38" i="64"/>
  <c r="AP40" i="64"/>
  <c r="AP36" i="64"/>
  <c r="AX34" i="64"/>
  <c r="AN37" i="64"/>
  <c r="AY37" i="64"/>
  <c r="AZ43" i="64"/>
  <c r="AM35" i="64"/>
  <c r="AO39" i="64"/>
  <c r="BA43" i="64"/>
  <c r="AY43" i="64"/>
  <c r="AO43" i="64"/>
  <c r="AW36" i="64"/>
  <c r="BA35" i="64"/>
  <c r="R92" i="63"/>
  <c r="R75" i="63"/>
  <c r="AU37" i="63"/>
  <c r="AO40" i="64"/>
  <c r="AY42" i="64"/>
  <c r="R39" i="63"/>
  <c r="N48" i="60"/>
  <c r="P17" i="63"/>
  <c r="AW42" i="64"/>
  <c r="R57" i="63"/>
  <c r="AW42" i="63"/>
  <c r="R74" i="63"/>
  <c r="AM40" i="64"/>
  <c r="R95" i="63"/>
  <c r="AM36" i="64"/>
  <c r="BA38" i="64"/>
  <c r="P18" i="63"/>
  <c r="AN35" i="64"/>
  <c r="AN43" i="64"/>
  <c r="AX40" i="64"/>
  <c r="R94" i="63"/>
  <c r="N68" i="60"/>
  <c r="R93" i="63"/>
  <c r="AV36" i="63"/>
  <c r="AZ41" i="64"/>
  <c r="N66" i="60"/>
  <c r="R55" i="63"/>
  <c r="AO41" i="64"/>
  <c r="AY38" i="64"/>
  <c r="R38" i="63"/>
  <c r="N103" i="60"/>
  <c r="BA36" i="64"/>
  <c r="AW41" i="64"/>
  <c r="AW36" i="63"/>
  <c r="AU42" i="63"/>
  <c r="AV42" i="63"/>
  <c r="O19" i="63"/>
  <c r="AV43" i="63"/>
  <c r="R37" i="63"/>
  <c r="AP43" i="64"/>
  <c r="AM37" i="64"/>
  <c r="R16" i="63"/>
  <c r="R18" i="63"/>
  <c r="AO42" i="64"/>
  <c r="AL40" i="64"/>
  <c r="AY36" i="64"/>
  <c r="BA42" i="64"/>
  <c r="R58" i="63"/>
  <c r="AL36" i="64"/>
  <c r="AY41" i="64"/>
  <c r="N67" i="60"/>
  <c r="AX43" i="64"/>
  <c r="N47" i="60"/>
  <c r="AM43" i="64"/>
  <c r="N106" i="60"/>
  <c r="N49" i="60"/>
  <c r="Q16" i="63"/>
  <c r="AL42" i="64"/>
  <c r="AP39" i="64"/>
  <c r="AX35" i="64"/>
  <c r="AW39" i="64"/>
  <c r="AX39" i="64"/>
  <c r="AW37" i="63"/>
  <c r="R56" i="63"/>
  <c r="R20" i="63"/>
  <c r="AM41" i="64"/>
  <c r="AL43" i="64"/>
  <c r="AM38" i="64"/>
  <c r="AU34" i="63"/>
  <c r="R73" i="63"/>
  <c r="AW41" i="63"/>
  <c r="AO38" i="64"/>
  <c r="AP34" i="64"/>
  <c r="AW43" i="63"/>
  <c r="N104" i="60"/>
  <c r="Q19" i="63"/>
  <c r="AX41" i="64"/>
  <c r="AW38" i="63"/>
  <c r="AX36" i="64"/>
  <c r="P16" i="63"/>
  <c r="AM34" i="64"/>
  <c r="AX42" i="64"/>
  <c r="AY35" i="64"/>
  <c r="AO37" i="64"/>
  <c r="BA40" i="64"/>
  <c r="AP41" i="64"/>
  <c r="AW34" i="63"/>
  <c r="AL39" i="64"/>
  <c r="O17" i="63"/>
  <c r="AV38" i="63"/>
  <c r="BA34" i="64"/>
  <c r="AM39" i="64"/>
  <c r="R54" i="63"/>
  <c r="AN42" i="64"/>
  <c r="AZ37" i="64"/>
  <c r="AX37" i="64"/>
  <c r="Q17" i="63"/>
  <c r="P20" i="63"/>
  <c r="AW35" i="64"/>
  <c r="P19" i="63"/>
  <c r="R15" i="63"/>
  <c r="BA41" i="64"/>
  <c r="AZ38" i="64"/>
  <c r="AV34" i="63"/>
  <c r="BA37" i="64"/>
  <c r="AO36" i="64"/>
  <c r="R77" i="63"/>
  <c r="AN36" i="64"/>
  <c r="R17" i="63"/>
  <c r="AZ34" i="64"/>
  <c r="AN40" i="64"/>
  <c r="AV35" i="63"/>
  <c r="N85" i="60"/>
  <c r="Q18" i="63"/>
  <c r="AM42" i="64"/>
  <c r="AU36" i="63"/>
  <c r="O18" i="63"/>
  <c r="AZ39" i="64"/>
  <c r="AZ42" i="64"/>
  <c r="AV39" i="63"/>
  <c r="AU40" i="63"/>
  <c r="AU38" i="63"/>
  <c r="AU39" i="63"/>
  <c r="AX38" i="64"/>
  <c r="AW38" i="64"/>
  <c r="AV40" i="63"/>
  <c r="AY40" i="64"/>
  <c r="AW37" i="64"/>
  <c r="R91" i="63"/>
  <c r="AW43" i="64"/>
  <c r="AL34" i="64"/>
  <c r="AW40" i="63"/>
  <c r="AU43" i="63"/>
  <c r="N89" i="60"/>
  <c r="AP42" i="64"/>
  <c r="Q20" i="63"/>
  <c r="AN12" i="61" l="1"/>
  <c r="AM13" i="61"/>
  <c r="AN13" i="61" s="1"/>
  <c r="AK14" i="61"/>
  <c r="N64" i="66"/>
  <c r="O63" i="66"/>
  <c r="G85" i="67"/>
  <c r="G47" i="67"/>
  <c r="G9" i="67"/>
  <c r="G66" i="67"/>
  <c r="G28" i="67"/>
  <c r="AO47" i="63"/>
  <c r="AO67" i="63"/>
  <c r="AO66" i="63"/>
  <c r="AO85" i="63"/>
  <c r="O29" i="64"/>
  <c r="O52" i="64"/>
  <c r="O70" i="64"/>
  <c r="O9" i="64"/>
  <c r="O69" i="64"/>
  <c r="O91" i="64"/>
  <c r="O48" i="64"/>
  <c r="O90" i="64"/>
  <c r="O32" i="64"/>
  <c r="O51" i="64"/>
  <c r="O33" i="64"/>
  <c r="O88" i="64"/>
  <c r="O72" i="64"/>
  <c r="O89" i="64"/>
  <c r="O53" i="64"/>
  <c r="O67" i="64"/>
  <c r="O47" i="64"/>
  <c r="O34" i="64"/>
  <c r="O74" i="64"/>
  <c r="O85" i="64"/>
  <c r="O28" i="64"/>
  <c r="O71" i="64"/>
  <c r="O86" i="64"/>
  <c r="O66" i="64"/>
  <c r="O10" i="64"/>
  <c r="S20" i="63"/>
  <c r="F21" i="67" s="1"/>
  <c r="S19" i="63"/>
  <c r="F20" i="67" s="1"/>
  <c r="S16" i="63"/>
  <c r="F17" i="67" s="1"/>
  <c r="S18" i="63"/>
  <c r="F19" i="67" s="1"/>
  <c r="S17" i="63"/>
  <c r="F18" i="67" s="1"/>
  <c r="S84" i="63"/>
  <c r="F85" i="67" s="1"/>
  <c r="S65" i="63"/>
  <c r="F66" i="67" s="1"/>
  <c r="S8" i="63"/>
  <c r="F9" i="67" s="1"/>
  <c r="S27" i="63"/>
  <c r="F28" i="67" s="1"/>
  <c r="S46" i="63"/>
  <c r="F47" i="67" s="1"/>
  <c r="AI96" i="35"/>
  <c r="AI94" i="35"/>
  <c r="AI93" i="35"/>
  <c r="AI110" i="35"/>
  <c r="AI103" i="35"/>
  <c r="AI98" i="35"/>
  <c r="AI114" i="35"/>
  <c r="AI100" i="35"/>
  <c r="AI97" i="35"/>
  <c r="AI102" i="35"/>
  <c r="AI88" i="35"/>
  <c r="AI104" i="35"/>
  <c r="AI105" i="35"/>
  <c r="AI106" i="35"/>
  <c r="AI92" i="35"/>
  <c r="AI95" i="35"/>
  <c r="AI99" i="35"/>
  <c r="AI108" i="35"/>
  <c r="AI111" i="35"/>
  <c r="AI109" i="35"/>
  <c r="AI112" i="35"/>
  <c r="AI89" i="35"/>
  <c r="AI91" i="35"/>
  <c r="AE19" i="35"/>
  <c r="AE20" i="35" s="1"/>
  <c r="AI101" i="35"/>
  <c r="AI113" i="35"/>
  <c r="AI90" i="35"/>
  <c r="O85" i="63"/>
  <c r="R85" i="63"/>
  <c r="P86" i="63"/>
  <c r="O86" i="63"/>
  <c r="R86" i="63"/>
  <c r="P85" i="63"/>
  <c r="Q47" i="64"/>
  <c r="R47" i="64"/>
  <c r="Q48" i="64"/>
  <c r="R48" i="64"/>
  <c r="Q67" i="64"/>
  <c r="R67" i="64"/>
  <c r="Q9" i="64"/>
  <c r="R9" i="64"/>
  <c r="Q66" i="64"/>
  <c r="R66" i="64"/>
  <c r="Q29" i="64"/>
  <c r="R29" i="64"/>
  <c r="Q85" i="64"/>
  <c r="R85" i="64"/>
  <c r="Q28" i="64"/>
  <c r="R28" i="64"/>
  <c r="Q10" i="64"/>
  <c r="R10" i="64"/>
  <c r="Q86" i="64"/>
  <c r="R86" i="64"/>
  <c r="Q85" i="63"/>
  <c r="Q86" i="63"/>
  <c r="O67" i="63"/>
  <c r="O66" i="63"/>
  <c r="O47" i="63"/>
  <c r="O48" i="63"/>
  <c r="O28" i="63"/>
  <c r="O29" i="63"/>
  <c r="O10" i="63"/>
  <c r="O9" i="63"/>
  <c r="P67" i="63"/>
  <c r="P66" i="63"/>
  <c r="P47" i="63"/>
  <c r="P48" i="63"/>
  <c r="P29" i="63"/>
  <c r="P28" i="63"/>
  <c r="P10" i="63"/>
  <c r="P9" i="63"/>
  <c r="Q67" i="63"/>
  <c r="Q66" i="63"/>
  <c r="Q48" i="63"/>
  <c r="Q47" i="63"/>
  <c r="Q29" i="63"/>
  <c r="Q28" i="63"/>
  <c r="Q9" i="63"/>
  <c r="Q10" i="63"/>
  <c r="R67" i="63"/>
  <c r="R66" i="63"/>
  <c r="R48" i="63"/>
  <c r="R47" i="63"/>
  <c r="R29" i="63"/>
  <c r="R28" i="63"/>
  <c r="R10" i="63"/>
  <c r="R9" i="63"/>
  <c r="R87" i="63"/>
  <c r="R49" i="63"/>
  <c r="R68" i="63"/>
  <c r="R11" i="63"/>
  <c r="AD37" i="63"/>
  <c r="AB38" i="63"/>
  <c r="AZ52" i="64"/>
  <c r="AD42" i="63"/>
  <c r="Q14" i="63"/>
  <c r="AZ60" i="64"/>
  <c r="BA56" i="64"/>
  <c r="AW46" i="64"/>
  <c r="R33" i="63"/>
  <c r="AU51" i="63"/>
  <c r="AA134" i="63"/>
  <c r="AA149" i="63"/>
  <c r="AW45" i="64"/>
  <c r="AY46" i="64"/>
  <c r="AU55" i="63"/>
  <c r="AA160" i="63"/>
  <c r="AA37" i="63"/>
  <c r="AX52" i="64"/>
  <c r="AC34" i="63"/>
  <c r="AZ63" i="64"/>
  <c r="R90" i="63"/>
  <c r="AE40" i="63"/>
  <c r="BA57" i="64"/>
  <c r="AC43" i="63"/>
  <c r="AA155" i="63"/>
  <c r="AY56" i="64"/>
  <c r="AZ54" i="64"/>
  <c r="AX62" i="64"/>
  <c r="AA126" i="63"/>
  <c r="AX59" i="64"/>
  <c r="AZ47" i="64"/>
  <c r="AW50" i="64"/>
  <c r="AU49" i="63"/>
  <c r="AV46" i="63"/>
  <c r="AY62" i="64"/>
  <c r="AA41" i="63"/>
  <c r="AX55" i="64"/>
  <c r="AA154" i="63"/>
  <c r="AA43" i="63"/>
  <c r="AW45" i="63"/>
  <c r="O13" i="63"/>
  <c r="AV57" i="63"/>
  <c r="AC42" i="63"/>
  <c r="AA142" i="63"/>
  <c r="AZ45" i="64"/>
  <c r="AA135" i="63"/>
  <c r="AZ57" i="64"/>
  <c r="AA35" i="63"/>
  <c r="BA63" i="64"/>
  <c r="AU57" i="63"/>
  <c r="AE42" i="63"/>
  <c r="AV60" i="63"/>
  <c r="BA48" i="64"/>
  <c r="AV45" i="63"/>
  <c r="AA159" i="63"/>
  <c r="AA36" i="63"/>
  <c r="AY57" i="64"/>
  <c r="AB42" i="63"/>
  <c r="AA140" i="63"/>
  <c r="AE36" i="63"/>
  <c r="R51" i="63"/>
  <c r="AU47" i="63"/>
  <c r="AW52" i="64"/>
  <c r="AZ49" i="64"/>
  <c r="BA47" i="64"/>
  <c r="AA124" i="63"/>
  <c r="AX45" i="64"/>
  <c r="AY48" i="64"/>
  <c r="AA164" i="63"/>
  <c r="AX53" i="64"/>
  <c r="AY44" i="64"/>
  <c r="AW61" i="64"/>
  <c r="AX48" i="64"/>
  <c r="AU63" i="63"/>
  <c r="AX63" i="64"/>
  <c r="BA51" i="64"/>
  <c r="AW44" i="63"/>
  <c r="AV47" i="63"/>
  <c r="AX60" i="64"/>
  <c r="AD35" i="63"/>
  <c r="AA127" i="63"/>
  <c r="AW57" i="64"/>
  <c r="AW58" i="64"/>
  <c r="AA137" i="63"/>
  <c r="AA143" i="63"/>
  <c r="R88" i="63"/>
  <c r="AX50" i="64"/>
  <c r="AY59" i="64"/>
  <c r="AV54" i="63"/>
  <c r="AY52" i="64"/>
  <c r="AA162" i="63"/>
  <c r="AD36" i="63"/>
  <c r="AA133" i="63"/>
  <c r="AU45" i="63"/>
  <c r="AA38" i="63"/>
  <c r="BA60" i="64"/>
  <c r="AA42" i="63"/>
  <c r="O15" i="63"/>
  <c r="R31" i="63"/>
  <c r="AE38" i="63"/>
  <c r="AB34" i="63"/>
  <c r="AA141" i="63"/>
  <c r="AB43" i="63"/>
  <c r="P15" i="63"/>
  <c r="AZ48" i="64"/>
  <c r="AZ55" i="64"/>
  <c r="P11" i="63"/>
  <c r="AZ58" i="64"/>
  <c r="AU54" i="63"/>
  <c r="AV50" i="63"/>
  <c r="AA148" i="63"/>
  <c r="AY49" i="64"/>
  <c r="AX51" i="64"/>
  <c r="AU53" i="63"/>
  <c r="AV63" i="63"/>
  <c r="AV49" i="63"/>
  <c r="AA144" i="63"/>
  <c r="AA40" i="63"/>
  <c r="R89" i="63"/>
  <c r="AZ51" i="64"/>
  <c r="AV53" i="63"/>
  <c r="R32" i="63"/>
  <c r="AW50" i="63"/>
  <c r="AY50" i="64"/>
  <c r="AX58" i="64"/>
  <c r="AC36" i="63"/>
  <c r="AV52" i="63"/>
  <c r="AW46" i="63"/>
  <c r="AC37" i="63"/>
  <c r="R50" i="63"/>
  <c r="AW55" i="64"/>
  <c r="AB37" i="63"/>
  <c r="AB39" i="63"/>
  <c r="AX44" i="64"/>
  <c r="AA150" i="63"/>
  <c r="AA145" i="63"/>
  <c r="AC38" i="63"/>
  <c r="AC40" i="63"/>
  <c r="AC35" i="63"/>
  <c r="AY45" i="64"/>
  <c r="AW51" i="63"/>
  <c r="O14" i="63"/>
  <c r="AU60" i="63"/>
  <c r="AU61" i="63"/>
  <c r="AW53" i="64"/>
  <c r="AA161" i="63"/>
  <c r="AX47" i="64"/>
  <c r="BA44" i="64"/>
  <c r="AZ44" i="64"/>
  <c r="O11" i="63"/>
  <c r="AA132" i="63"/>
  <c r="BA55" i="64"/>
  <c r="AU62" i="63"/>
  <c r="AZ61" i="64"/>
  <c r="AA151" i="63"/>
  <c r="AW53" i="63"/>
  <c r="AZ59" i="64"/>
  <c r="AU52" i="63"/>
  <c r="AW54" i="64"/>
  <c r="AA156" i="63"/>
  <c r="BA59" i="64"/>
  <c r="AB36" i="63"/>
  <c r="AY60" i="64"/>
  <c r="AV62" i="63"/>
  <c r="AA157" i="63"/>
  <c r="AE37" i="63"/>
  <c r="AB41" i="63"/>
  <c r="AY58" i="64"/>
  <c r="AD39" i="63"/>
  <c r="AZ53" i="64"/>
  <c r="AX61" i="64"/>
  <c r="AA153" i="63"/>
  <c r="AD43" i="63"/>
  <c r="BA53" i="64"/>
  <c r="AA136" i="63"/>
  <c r="AE39" i="63"/>
  <c r="AU59" i="63"/>
  <c r="BA50" i="64"/>
  <c r="BA58" i="64"/>
  <c r="R52" i="63"/>
  <c r="BA49" i="64"/>
  <c r="AA128" i="63"/>
  <c r="AV61" i="63"/>
  <c r="AY51" i="64"/>
  <c r="AW47" i="64"/>
  <c r="R70" i="63"/>
  <c r="BA54" i="64"/>
  <c r="AB40" i="63"/>
  <c r="AC41" i="63"/>
  <c r="AU46" i="63"/>
  <c r="AA152" i="63"/>
  <c r="AV48" i="63"/>
  <c r="R34" i="63"/>
  <c r="R12" i="63"/>
  <c r="BA61" i="64"/>
  <c r="AW59" i="64"/>
  <c r="AA138" i="63"/>
  <c r="AA39" i="63"/>
  <c r="P12" i="63"/>
  <c r="AV56" i="63"/>
  <c r="AW60" i="64"/>
  <c r="Q11" i="63"/>
  <c r="P13" i="63"/>
  <c r="AA147" i="63"/>
  <c r="AY61" i="64"/>
  <c r="AU44" i="63"/>
  <c r="AE41" i="63"/>
  <c r="AW48" i="64"/>
  <c r="Q13" i="63"/>
  <c r="AY54" i="64"/>
  <c r="AZ56" i="64"/>
  <c r="AV55" i="63"/>
  <c r="AW49" i="64"/>
  <c r="AU48" i="63"/>
  <c r="AW56" i="64"/>
  <c r="AY55" i="64"/>
  <c r="AV44" i="63"/>
  <c r="AX49" i="64"/>
  <c r="AX56" i="64"/>
  <c r="AW52" i="63"/>
  <c r="AA129" i="63"/>
  <c r="BA45" i="64"/>
  <c r="AA131" i="63"/>
  <c r="AB35" i="63"/>
  <c r="AA125" i="63"/>
  <c r="R13" i="63"/>
  <c r="AY63" i="64"/>
  <c r="AU56" i="63"/>
  <c r="AX46" i="64"/>
  <c r="AW49" i="63"/>
  <c r="AV51" i="63"/>
  <c r="AE35" i="63"/>
  <c r="AD34" i="63"/>
  <c r="AC39" i="63"/>
  <c r="AA163" i="63"/>
  <c r="AD41" i="63"/>
  <c r="BA62" i="64"/>
  <c r="AD38" i="63"/>
  <c r="AE43" i="63"/>
  <c r="R69" i="63"/>
  <c r="R14" i="63"/>
  <c r="AU58" i="63"/>
  <c r="AW47" i="63"/>
  <c r="AE34" i="63"/>
  <c r="Q15" i="63"/>
  <c r="AV59" i="63"/>
  <c r="AA158" i="63"/>
  <c r="AA130" i="63"/>
  <c r="AY47" i="64"/>
  <c r="AW51" i="64"/>
  <c r="AA146" i="63"/>
  <c r="AD40" i="63"/>
  <c r="AW62" i="64"/>
  <c r="BA52" i="64"/>
  <c r="AU50" i="63"/>
  <c r="AZ62" i="64"/>
  <c r="BA46" i="64"/>
  <c r="AZ50" i="64"/>
  <c r="AA139" i="63"/>
  <c r="O12" i="63"/>
  <c r="AA34" i="63"/>
  <c r="AY53" i="64"/>
  <c r="AW48" i="63"/>
  <c r="AZ46" i="64"/>
  <c r="AX54" i="64"/>
  <c r="R72" i="63"/>
  <c r="R71" i="63"/>
  <c r="P14" i="63"/>
  <c r="AW63" i="64"/>
  <c r="AW44" i="64"/>
  <c r="AX57" i="64"/>
  <c r="Q12" i="63"/>
  <c r="AV58" i="63"/>
  <c r="R53" i="63"/>
  <c r="AM14" i="61" l="1"/>
  <c r="AN14" i="61" s="1"/>
  <c r="AK15" i="61"/>
  <c r="AO13" i="61"/>
  <c r="J44" i="67"/>
  <c r="I44" i="67"/>
  <c r="J82" i="67"/>
  <c r="I82" i="67"/>
  <c r="J63" i="67"/>
  <c r="I63" i="67"/>
  <c r="J25" i="67"/>
  <c r="I25" i="67"/>
  <c r="H9" i="67"/>
  <c r="N65" i="66"/>
  <c r="O64" i="66"/>
  <c r="H85" i="67"/>
  <c r="H28" i="67"/>
  <c r="H66" i="67"/>
  <c r="H47" i="67"/>
  <c r="T86" i="64"/>
  <c r="T10" i="64"/>
  <c r="T28" i="64"/>
  <c r="T85" i="64"/>
  <c r="T29" i="64"/>
  <c r="T66" i="64"/>
  <c r="T9" i="64"/>
  <c r="T67" i="64"/>
  <c r="T48" i="64"/>
  <c r="T47" i="64"/>
  <c r="AO86" i="63"/>
  <c r="AO48" i="63"/>
  <c r="P43" i="60"/>
  <c r="P25" i="60"/>
  <c r="P24" i="60"/>
  <c r="P44" i="60"/>
  <c r="P62" i="60"/>
  <c r="P63" i="60"/>
  <c r="P81" i="60"/>
  <c r="P82" i="60"/>
  <c r="P101" i="60"/>
  <c r="P100" i="60"/>
  <c r="G67" i="67"/>
  <c r="G87" i="67"/>
  <c r="G29" i="67"/>
  <c r="G11" i="67"/>
  <c r="G86" i="67"/>
  <c r="G68" i="67"/>
  <c r="G10" i="67"/>
  <c r="G48" i="67"/>
  <c r="G49" i="67"/>
  <c r="G30" i="67"/>
  <c r="S47" i="63"/>
  <c r="F48" i="67" s="1"/>
  <c r="S11" i="63"/>
  <c r="F12" i="67" s="1"/>
  <c r="S12" i="63"/>
  <c r="F13" i="67" s="1"/>
  <c r="S48" i="63"/>
  <c r="F49" i="67" s="1"/>
  <c r="S67" i="63"/>
  <c r="F68" i="67" s="1"/>
  <c r="S86" i="63"/>
  <c r="F87" i="67" s="1"/>
  <c r="S9" i="63"/>
  <c r="F10" i="67" s="1"/>
  <c r="S85" i="63"/>
  <c r="F86" i="67" s="1"/>
  <c r="S10" i="63"/>
  <c r="F11" i="67" s="1"/>
  <c r="S14" i="63"/>
  <c r="F15" i="67" s="1"/>
  <c r="S66" i="63"/>
  <c r="F67" i="67" s="1"/>
  <c r="S28" i="63"/>
  <c r="F29" i="67" s="1"/>
  <c r="S29" i="63"/>
  <c r="F30" i="67" s="1"/>
  <c r="S13" i="63"/>
  <c r="F14" i="67" s="1"/>
  <c r="S15" i="63"/>
  <c r="F16" i="67" s="1"/>
  <c r="AE21" i="35"/>
  <c r="AH81" i="35"/>
  <c r="AI5" i="35"/>
  <c r="AH77" i="35"/>
  <c r="AH22" i="35"/>
  <c r="AH32" i="35"/>
  <c r="AH33" i="35"/>
  <c r="AH76" i="35"/>
  <c r="AH20" i="35"/>
  <c r="AH65" i="35"/>
  <c r="AH6" i="35"/>
  <c r="AH31" i="35"/>
  <c r="AI66" i="35"/>
  <c r="AI20" i="35"/>
  <c r="AI43" i="35"/>
  <c r="AH18" i="35"/>
  <c r="AI24" i="35"/>
  <c r="AI33" i="35"/>
  <c r="AI13" i="35"/>
  <c r="AH70" i="35"/>
  <c r="AH80" i="35"/>
  <c r="AH39" i="35"/>
  <c r="AI80" i="35"/>
  <c r="AH55" i="35"/>
  <c r="AH83" i="35"/>
  <c r="AI29" i="35"/>
  <c r="AH5" i="35"/>
  <c r="AI70" i="35"/>
  <c r="AI81" i="35"/>
  <c r="AH56" i="35"/>
  <c r="AH60" i="35"/>
  <c r="AI48" i="35"/>
  <c r="AI68" i="35"/>
  <c r="AH23" i="35"/>
  <c r="AI7" i="35"/>
  <c r="AI22" i="35"/>
  <c r="AH8" i="35"/>
  <c r="AH27" i="35"/>
  <c r="AI46" i="35"/>
  <c r="AH28" i="35"/>
  <c r="AI79" i="35"/>
  <c r="AH19" i="35"/>
  <c r="AI52" i="35"/>
  <c r="AH26" i="35"/>
  <c r="AI47" i="35"/>
  <c r="AI21" i="35"/>
  <c r="AH37" i="35"/>
  <c r="AH29" i="35"/>
  <c r="AH48" i="35"/>
  <c r="AI75" i="35"/>
  <c r="AI31" i="35"/>
  <c r="AI10" i="35"/>
  <c r="AH43" i="35"/>
  <c r="AH44" i="35"/>
  <c r="AI73" i="35"/>
  <c r="AI56" i="35"/>
  <c r="AH58" i="35"/>
  <c r="AH66" i="35"/>
  <c r="AI51" i="35"/>
  <c r="AI49" i="35"/>
  <c r="AH54" i="35"/>
  <c r="AI37" i="35"/>
  <c r="AI14" i="35"/>
  <c r="AI67" i="35"/>
  <c r="AH47" i="35"/>
  <c r="AI57" i="35"/>
  <c r="AI53" i="35"/>
  <c r="AI55" i="35"/>
  <c r="AI34" i="35"/>
  <c r="AH63" i="35"/>
  <c r="AI64" i="35"/>
  <c r="AH46" i="35"/>
  <c r="AH15" i="35"/>
  <c r="AH57" i="35"/>
  <c r="AI61" i="35"/>
  <c r="AI41" i="35"/>
  <c r="AH49" i="35"/>
  <c r="AI45" i="35"/>
  <c r="AH74" i="35"/>
  <c r="AI60" i="35"/>
  <c r="AH51" i="35"/>
  <c r="AI27" i="35"/>
  <c r="AI19" i="35"/>
  <c r="AH9" i="35"/>
  <c r="AI78" i="35"/>
  <c r="AI74" i="35"/>
  <c r="AH38" i="35"/>
  <c r="AH82" i="35"/>
  <c r="AH59" i="35"/>
  <c r="AH85" i="35"/>
  <c r="AI25" i="35"/>
  <c r="AH36" i="35"/>
  <c r="AI23" i="35"/>
  <c r="AI72" i="35"/>
  <c r="AI15" i="35"/>
  <c r="AH45" i="35"/>
  <c r="AI38" i="35"/>
  <c r="AI69" i="35"/>
  <c r="AH53" i="35"/>
  <c r="AI58" i="35"/>
  <c r="AI35" i="35"/>
  <c r="AI26" i="35"/>
  <c r="AH14" i="35"/>
  <c r="AI11" i="35"/>
  <c r="AI8" i="35"/>
  <c r="AI36" i="35"/>
  <c r="AI76" i="35"/>
  <c r="AH40" i="35"/>
  <c r="AH12" i="35"/>
  <c r="AH11" i="35"/>
  <c r="AH50" i="35"/>
  <c r="AH67" i="35"/>
  <c r="AI62" i="35"/>
  <c r="AI63" i="35"/>
  <c r="AH24" i="35"/>
  <c r="AH16" i="35"/>
  <c r="AI59" i="35"/>
  <c r="AI77" i="35"/>
  <c r="AH86" i="35"/>
  <c r="AH71" i="35"/>
  <c r="AH21" i="35"/>
  <c r="AI28" i="35"/>
  <c r="AH69" i="35"/>
  <c r="AH68" i="35"/>
  <c r="AI17" i="35"/>
  <c r="AI54" i="35"/>
  <c r="AH84" i="35"/>
  <c r="AH72" i="35"/>
  <c r="AI6" i="35"/>
  <c r="AI71" i="35"/>
  <c r="AH25" i="35"/>
  <c r="AH30" i="35"/>
  <c r="AI50" i="35"/>
  <c r="AH73" i="35"/>
  <c r="AH79" i="35"/>
  <c r="AH87" i="35"/>
  <c r="AI44" i="35"/>
  <c r="AH17" i="35"/>
  <c r="AI32" i="35"/>
  <c r="AI18" i="35"/>
  <c r="AH13" i="35"/>
  <c r="AI65" i="35"/>
  <c r="AI39" i="35"/>
  <c r="AI40" i="35"/>
  <c r="AH78" i="35"/>
  <c r="AH61" i="35"/>
  <c r="AH52" i="35"/>
  <c r="AI16" i="35"/>
  <c r="AH7" i="35"/>
  <c r="AI9" i="35"/>
  <c r="AI42" i="35"/>
  <c r="AH75" i="35"/>
  <c r="AH62" i="35"/>
  <c r="AI30" i="35"/>
  <c r="AH35" i="35"/>
  <c r="AI12" i="35"/>
  <c r="AH42" i="35"/>
  <c r="AH10" i="35"/>
  <c r="AH34" i="35"/>
  <c r="AH64" i="35"/>
  <c r="AH41" i="35"/>
  <c r="AE61" i="63"/>
  <c r="AA94" i="63"/>
  <c r="AO57" i="64"/>
  <c r="AC50" i="63"/>
  <c r="AN44" i="64"/>
  <c r="AO56" i="64"/>
  <c r="AB61" i="63"/>
  <c r="N39" i="67"/>
  <c r="AE50" i="63"/>
  <c r="AA51" i="63"/>
  <c r="AC47" i="63"/>
  <c r="AC56" i="63"/>
  <c r="AE54" i="63"/>
  <c r="AE56" i="63"/>
  <c r="AL55" i="64"/>
  <c r="AO53" i="64"/>
  <c r="AD59" i="63"/>
  <c r="AB49" i="63"/>
  <c r="Q39" i="67"/>
  <c r="AP61" i="64"/>
  <c r="O38" i="67"/>
  <c r="AB52" i="63"/>
  <c r="AM59" i="64"/>
  <c r="AA60" i="63"/>
  <c r="AA89" i="63"/>
  <c r="AA104" i="63"/>
  <c r="AP46" i="64"/>
  <c r="AA91" i="63"/>
  <c r="AL49" i="64"/>
  <c r="AM52" i="64"/>
  <c r="AL61" i="64"/>
  <c r="AL63" i="64"/>
  <c r="AA73" i="63"/>
  <c r="O37" i="67"/>
  <c r="AD52" i="63"/>
  <c r="AA80" i="63"/>
  <c r="N26" i="60"/>
  <c r="AM55" i="64"/>
  <c r="AP53" i="64"/>
  <c r="AA64" i="63"/>
  <c r="AA56" i="63"/>
  <c r="AE53" i="63"/>
  <c r="AN45" i="64"/>
  <c r="AP63" i="64"/>
  <c r="AC62" i="63"/>
  <c r="AA97" i="63"/>
  <c r="Q38" i="67"/>
  <c r="AP58" i="64"/>
  <c r="AN63" i="64"/>
  <c r="AB63" i="63"/>
  <c r="AB47" i="63"/>
  <c r="AC58" i="63"/>
  <c r="AC57" i="63"/>
  <c r="AW55" i="63"/>
  <c r="AA95" i="63"/>
  <c r="AA69" i="63"/>
  <c r="AO62" i="64"/>
  <c r="AO61" i="64"/>
  <c r="AA87" i="63"/>
  <c r="AP45" i="64"/>
  <c r="AC60" i="63"/>
  <c r="AL47" i="64"/>
  <c r="AA47" i="63"/>
  <c r="AA120" i="63"/>
  <c r="AA44" i="63"/>
  <c r="AB48" i="63"/>
  <c r="AM45" i="64"/>
  <c r="AC52" i="63"/>
  <c r="N36" i="67"/>
  <c r="AA98" i="63"/>
  <c r="AW62" i="63"/>
  <c r="AO60" i="64"/>
  <c r="AE57" i="63"/>
  <c r="N35" i="67"/>
  <c r="AE46" i="63"/>
  <c r="AC59" i="63"/>
  <c r="AP57" i="64"/>
  <c r="N41" i="67"/>
  <c r="Q36" i="67"/>
  <c r="AE60" i="63"/>
  <c r="R41" i="67"/>
  <c r="AA71" i="63"/>
  <c r="AL44" i="64"/>
  <c r="AN62" i="64"/>
  <c r="AD45" i="63"/>
  <c r="N34" i="67"/>
  <c r="AD51" i="63"/>
  <c r="R40" i="67"/>
  <c r="Q42" i="67"/>
  <c r="AD47" i="63"/>
  <c r="AN57" i="64"/>
  <c r="P36" i="67"/>
  <c r="AP59" i="64"/>
  <c r="AA66" i="63"/>
  <c r="AN50" i="64"/>
  <c r="P35" i="67"/>
  <c r="AA88" i="63"/>
  <c r="AN59" i="64"/>
  <c r="AD54" i="63"/>
  <c r="AN49" i="64"/>
  <c r="AP60" i="64"/>
  <c r="AW63" i="63"/>
  <c r="AD60" i="63"/>
  <c r="AA59" i="63"/>
  <c r="AL46" i="64"/>
  <c r="AM62" i="64"/>
  <c r="AA62" i="63"/>
  <c r="AB45" i="63"/>
  <c r="Q37" i="67"/>
  <c r="AA81" i="63"/>
  <c r="AO47" i="64"/>
  <c r="AL51" i="64"/>
  <c r="AN61" i="64"/>
  <c r="AA108" i="63"/>
  <c r="AA55" i="63"/>
  <c r="AM51" i="64"/>
  <c r="AA101" i="63"/>
  <c r="AM48" i="64"/>
  <c r="Q41" i="67"/>
  <c r="AN56" i="64"/>
  <c r="AE48" i="63"/>
  <c r="AP56" i="64"/>
  <c r="AM56" i="64"/>
  <c r="AA100" i="63"/>
  <c r="AM57" i="64"/>
  <c r="AP50" i="64"/>
  <c r="AC45" i="63"/>
  <c r="AE63" i="63"/>
  <c r="AO45" i="64"/>
  <c r="AA82" i="63"/>
  <c r="AA58" i="63"/>
  <c r="AL54" i="64"/>
  <c r="AD55" i="63"/>
  <c r="P41" i="67"/>
  <c r="AA75" i="63"/>
  <c r="AM53" i="64"/>
  <c r="AM44" i="64"/>
  <c r="AO63" i="64"/>
  <c r="AA105" i="63"/>
  <c r="AO59" i="64"/>
  <c r="P39" i="67"/>
  <c r="AP49" i="64"/>
  <c r="AA107" i="63"/>
  <c r="AB57" i="63"/>
  <c r="AN46" i="64"/>
  <c r="AC48" i="63"/>
  <c r="AB55" i="63"/>
  <c r="AA77" i="63"/>
  <c r="AA112" i="63"/>
  <c r="AL60" i="64"/>
  <c r="AO54" i="64"/>
  <c r="N42" i="67"/>
  <c r="R43" i="67"/>
  <c r="AN58" i="64"/>
  <c r="AP54" i="64"/>
  <c r="P38" i="67"/>
  <c r="AA46" i="63"/>
  <c r="AE58" i="63"/>
  <c r="AN55" i="64"/>
  <c r="AA53" i="63"/>
  <c r="N43" i="67"/>
  <c r="AD57" i="63"/>
  <c r="AA65" i="63"/>
  <c r="Q43" i="67"/>
  <c r="AM54" i="64"/>
  <c r="AW61" i="63"/>
  <c r="AE45" i="63"/>
  <c r="R39" i="67"/>
  <c r="AB56" i="63"/>
  <c r="AA102" i="63"/>
  <c r="AC54" i="63"/>
  <c r="AE49" i="63"/>
  <c r="AA76" i="63"/>
  <c r="P43" i="67"/>
  <c r="AW57" i="63"/>
  <c r="AD62" i="63"/>
  <c r="AE52" i="63"/>
  <c r="AD48" i="63"/>
  <c r="AA68" i="63"/>
  <c r="O39" i="67"/>
  <c r="AC46" i="63"/>
  <c r="AM63" i="64"/>
  <c r="AL56" i="64"/>
  <c r="AL50" i="64"/>
  <c r="AC49" i="63"/>
  <c r="AW54" i="63"/>
  <c r="AN60" i="64"/>
  <c r="AO48" i="64"/>
  <c r="AA110" i="63"/>
  <c r="AA74" i="63"/>
  <c r="AO46" i="64"/>
  <c r="AW56" i="63"/>
  <c r="AE47" i="63"/>
  <c r="AO50" i="64"/>
  <c r="AC53" i="63"/>
  <c r="AC61" i="63"/>
  <c r="AM47" i="64"/>
  <c r="AA86" i="63"/>
  <c r="AL58" i="64"/>
  <c r="AD46" i="63"/>
  <c r="AD58" i="63"/>
  <c r="AA84" i="63"/>
  <c r="AA115" i="63"/>
  <c r="AD53" i="63"/>
  <c r="AO44" i="64"/>
  <c r="P37" i="67"/>
  <c r="AB60" i="63"/>
  <c r="R38" i="67"/>
  <c r="AN52" i="64"/>
  <c r="AP47" i="64"/>
  <c r="AL48" i="64"/>
  <c r="AA48" i="63"/>
  <c r="AP62" i="64"/>
  <c r="O41" i="67"/>
  <c r="AL57" i="64"/>
  <c r="AO58" i="64"/>
  <c r="AP44" i="64"/>
  <c r="AA85" i="63"/>
  <c r="AA72" i="63"/>
  <c r="AA96" i="63"/>
  <c r="AA109" i="63"/>
  <c r="AL45" i="64"/>
  <c r="AP55" i="64"/>
  <c r="AA52" i="63"/>
  <c r="AP51" i="64"/>
  <c r="R37" i="67"/>
  <c r="AO49" i="64"/>
  <c r="AN48" i="64"/>
  <c r="Q34" i="67"/>
  <c r="AN54" i="64"/>
  <c r="AA122" i="63"/>
  <c r="Q40" i="67"/>
  <c r="AA78" i="63"/>
  <c r="AL62" i="64"/>
  <c r="N40" i="67"/>
  <c r="AB53" i="63"/>
  <c r="O36" i="67"/>
  <c r="AM50" i="64"/>
  <c r="AA121" i="63"/>
  <c r="AB59" i="63"/>
  <c r="AA111" i="63"/>
  <c r="AM61" i="64"/>
  <c r="N37" i="67"/>
  <c r="AA50" i="63"/>
  <c r="AN51" i="64"/>
  <c r="AP52" i="64"/>
  <c r="AA67" i="63"/>
  <c r="P42" i="67"/>
  <c r="AW59" i="63"/>
  <c r="AE59" i="63"/>
  <c r="P40" i="67"/>
  <c r="AO55" i="64"/>
  <c r="AN53" i="64"/>
  <c r="R36" i="67"/>
  <c r="AE62" i="63"/>
  <c r="AD44" i="63"/>
  <c r="R42" i="67"/>
  <c r="AC63" i="63"/>
  <c r="AL59" i="64"/>
  <c r="AA57" i="63"/>
  <c r="AC51" i="63"/>
  <c r="AD56" i="63"/>
  <c r="AA106" i="63"/>
  <c r="AA123" i="63"/>
  <c r="AA49" i="63"/>
  <c r="R35" i="67"/>
  <c r="AW60" i="63"/>
  <c r="O35" i="67"/>
  <c r="AO51" i="64"/>
  <c r="AA61" i="63"/>
  <c r="AD63" i="63"/>
  <c r="AA93" i="63"/>
  <c r="AB50" i="63"/>
  <c r="AD61" i="63"/>
  <c r="AA70" i="63"/>
  <c r="AB58" i="63"/>
  <c r="AA119" i="63"/>
  <c r="AL53" i="64"/>
  <c r="AA83" i="63"/>
  <c r="AA99" i="63"/>
  <c r="AA92" i="63"/>
  <c r="AB51" i="63"/>
  <c r="AM49" i="64"/>
  <c r="AM46" i="64"/>
  <c r="AA45" i="63"/>
  <c r="AW58" i="63"/>
  <c r="AC44" i="63"/>
  <c r="AL52" i="64"/>
  <c r="AC55" i="63"/>
  <c r="AA118" i="63"/>
  <c r="R34" i="67"/>
  <c r="AD49" i="63"/>
  <c r="AP48" i="64"/>
  <c r="AA63" i="63"/>
  <c r="AB54" i="63"/>
  <c r="AM58" i="64"/>
  <c r="N38" i="67"/>
  <c r="AB62" i="63"/>
  <c r="AE44" i="63"/>
  <c r="AA103" i="63"/>
  <c r="AN47" i="64"/>
  <c r="O40" i="67"/>
  <c r="O42" i="67"/>
  <c r="AA54" i="63"/>
  <c r="AE55" i="63"/>
  <c r="AO52" i="64"/>
  <c r="AB44" i="63"/>
  <c r="AA79" i="63"/>
  <c r="AE51" i="63"/>
  <c r="P34" i="67"/>
  <c r="AM60" i="64"/>
  <c r="AD50" i="63"/>
  <c r="AB46" i="63"/>
  <c r="AA116" i="63"/>
  <c r="AA114" i="63"/>
  <c r="AA90" i="63"/>
  <c r="AA117" i="63"/>
  <c r="Q35" i="67"/>
  <c r="O43" i="67"/>
  <c r="AA113" i="63"/>
  <c r="O34" i="67"/>
  <c r="O11" i="64" l="1"/>
  <c r="AM15" i="61"/>
  <c r="AN15" i="61" s="1"/>
  <c r="AK16" i="61"/>
  <c r="AO14" i="61"/>
  <c r="J26" i="67"/>
  <c r="J83" i="67"/>
  <c r="J64" i="67"/>
  <c r="J45" i="67"/>
  <c r="J6" i="67"/>
  <c r="I6" i="67"/>
  <c r="I26" i="67"/>
  <c r="K25" i="67"/>
  <c r="I64" i="67"/>
  <c r="K63" i="67"/>
  <c r="I83" i="67"/>
  <c r="K82" i="67"/>
  <c r="I45" i="67"/>
  <c r="K44" i="67"/>
  <c r="N66" i="66"/>
  <c r="O65" i="66"/>
  <c r="H48" i="67"/>
  <c r="H49" i="67"/>
  <c r="H67" i="67"/>
  <c r="H29" i="67"/>
  <c r="H68" i="67"/>
  <c r="H87" i="67"/>
  <c r="H30" i="67"/>
  <c r="H11" i="67"/>
  <c r="H86" i="67"/>
  <c r="H10" i="67"/>
  <c r="AE22" i="35"/>
  <c r="AI84" i="35"/>
  <c r="AI82" i="35"/>
  <c r="AI87" i="35"/>
  <c r="AI86" i="35"/>
  <c r="AI83" i="35"/>
  <c r="AI85" i="35"/>
  <c r="R47" i="67"/>
  <c r="Q58" i="67"/>
  <c r="N62" i="67"/>
  <c r="Q44" i="67"/>
  <c r="Q47" i="67"/>
  <c r="P50" i="67"/>
  <c r="P57" i="67"/>
  <c r="Q61" i="67"/>
  <c r="P53" i="67"/>
  <c r="N58" i="67"/>
  <c r="P61" i="67"/>
  <c r="R54" i="67"/>
  <c r="Q46" i="67"/>
  <c r="O44" i="67"/>
  <c r="R45" i="67"/>
  <c r="R51" i="67"/>
  <c r="N61" i="67"/>
  <c r="Q62" i="67"/>
  <c r="R49" i="67"/>
  <c r="N47" i="67"/>
  <c r="R44" i="67"/>
  <c r="Q54" i="67"/>
  <c r="Q51" i="67"/>
  <c r="P49" i="67"/>
  <c r="O56" i="67"/>
  <c r="P62" i="67"/>
  <c r="O60" i="67"/>
  <c r="O46" i="67"/>
  <c r="O58" i="67"/>
  <c r="N60" i="67"/>
  <c r="R53" i="67"/>
  <c r="R48" i="67"/>
  <c r="O62" i="67"/>
  <c r="R52" i="67"/>
  <c r="N48" i="67"/>
  <c r="P56" i="67"/>
  <c r="P54" i="67"/>
  <c r="P51" i="67"/>
  <c r="O50" i="67"/>
  <c r="O51" i="67"/>
  <c r="N56" i="67"/>
  <c r="N59" i="67"/>
  <c r="Q52" i="67"/>
  <c r="P47" i="67"/>
  <c r="N63" i="67"/>
  <c r="R58" i="67"/>
  <c r="R62" i="67"/>
  <c r="P59" i="67"/>
  <c r="P60" i="67"/>
  <c r="Q48" i="67"/>
  <c r="P44" i="67"/>
  <c r="P45" i="67"/>
  <c r="R59" i="67"/>
  <c r="R50" i="67"/>
  <c r="P52" i="67"/>
  <c r="O57" i="67"/>
  <c r="Q56" i="67"/>
  <c r="O48" i="67"/>
  <c r="N50" i="67"/>
  <c r="Q49" i="67"/>
  <c r="N54" i="67"/>
  <c r="Q57" i="67"/>
  <c r="N53" i="67"/>
  <c r="Q59" i="67"/>
  <c r="O49" i="67"/>
  <c r="Q55" i="67"/>
  <c r="R56" i="67"/>
  <c r="P58" i="67"/>
  <c r="R11" i="64"/>
  <c r="O55" i="67"/>
  <c r="P63" i="67"/>
  <c r="R46" i="67"/>
  <c r="O47" i="67"/>
  <c r="N57" i="67"/>
  <c r="P46" i="67"/>
  <c r="N51" i="67"/>
  <c r="O54" i="67"/>
  <c r="N46" i="67"/>
  <c r="O53" i="67"/>
  <c r="R55" i="67"/>
  <c r="Q60" i="67"/>
  <c r="R63" i="67"/>
  <c r="P55" i="67"/>
  <c r="N45" i="67"/>
  <c r="R57" i="67"/>
  <c r="O61" i="67"/>
  <c r="R60" i="67"/>
  <c r="O63" i="67"/>
  <c r="O45" i="67"/>
  <c r="Q50" i="67"/>
  <c r="Q63" i="67"/>
  <c r="N27" i="60"/>
  <c r="Q45" i="67"/>
  <c r="O52" i="67"/>
  <c r="N49" i="67"/>
  <c r="R61" i="67"/>
  <c r="N55" i="67"/>
  <c r="Q53" i="67"/>
  <c r="P48" i="67"/>
  <c r="N44" i="67"/>
  <c r="O59" i="67"/>
  <c r="N52" i="67"/>
  <c r="O12" i="64" l="1"/>
  <c r="T11" i="64"/>
  <c r="AM16" i="61"/>
  <c r="AN16" i="61" s="1"/>
  <c r="AK17" i="61"/>
  <c r="AO15" i="61"/>
  <c r="J7" i="67"/>
  <c r="I7" i="67"/>
  <c r="K6" i="67"/>
  <c r="K64" i="67"/>
  <c r="K83" i="67"/>
  <c r="K26" i="67"/>
  <c r="K45" i="67"/>
  <c r="N67" i="66"/>
  <c r="O66" i="66"/>
  <c r="AO28" i="63"/>
  <c r="AO13" i="63"/>
  <c r="AO9" i="63"/>
  <c r="AO14" i="63"/>
  <c r="AO12" i="63"/>
  <c r="AO27" i="63"/>
  <c r="AO29" i="63"/>
  <c r="AO11" i="63"/>
  <c r="AO8" i="63"/>
  <c r="AO10" i="63"/>
  <c r="AS79" i="63"/>
  <c r="AS88" i="63"/>
  <c r="AL67" i="64"/>
  <c r="AS73" i="63"/>
  <c r="AT39" i="63"/>
  <c r="AS74" i="63"/>
  <c r="AT60" i="63"/>
  <c r="AS98" i="63"/>
  <c r="AL66" i="64"/>
  <c r="AT49" i="63"/>
  <c r="AS102" i="63"/>
  <c r="AS52" i="63"/>
  <c r="AL72" i="64"/>
  <c r="AS97" i="63"/>
  <c r="AS47" i="63"/>
  <c r="AT47" i="63"/>
  <c r="AS87" i="63"/>
  <c r="AS86" i="63"/>
  <c r="AS48" i="63"/>
  <c r="AS99" i="63"/>
  <c r="AS77" i="63"/>
  <c r="AS54" i="63"/>
  <c r="AS92" i="63"/>
  <c r="AS58" i="63"/>
  <c r="AL71" i="64"/>
  <c r="AT50" i="63"/>
  <c r="AT63" i="63"/>
  <c r="AS49" i="63"/>
  <c r="AL73" i="64"/>
  <c r="AS38" i="63"/>
  <c r="AS76" i="63"/>
  <c r="AS45" i="63"/>
  <c r="AT55" i="63"/>
  <c r="AS44" i="63"/>
  <c r="AL65" i="64"/>
  <c r="AS95" i="63"/>
  <c r="AS61" i="63"/>
  <c r="AT44" i="63"/>
  <c r="N28" i="60"/>
  <c r="AS59" i="63"/>
  <c r="AT37" i="63"/>
  <c r="AT43" i="63"/>
  <c r="AL70" i="64"/>
  <c r="AL68" i="64"/>
  <c r="AS64" i="63"/>
  <c r="AS40" i="63"/>
  <c r="AS39" i="63"/>
  <c r="AS50" i="63"/>
  <c r="AT36" i="63"/>
  <c r="AT38" i="63"/>
  <c r="Q11" i="64"/>
  <c r="AS66" i="63"/>
  <c r="AT62" i="63"/>
  <c r="AL64" i="64"/>
  <c r="AS71" i="63"/>
  <c r="AS100" i="63"/>
  <c r="AS56" i="63"/>
  <c r="AS93" i="63"/>
  <c r="AS89" i="63"/>
  <c r="AS62" i="63"/>
  <c r="AS72" i="63"/>
  <c r="AS67" i="63"/>
  <c r="AT40" i="63"/>
  <c r="AS69" i="63"/>
  <c r="AS85" i="63"/>
  <c r="AL69" i="64"/>
  <c r="AT59" i="63"/>
  <c r="AS80" i="63"/>
  <c r="AT48" i="63"/>
  <c r="AS68" i="63"/>
  <c r="AT42" i="63"/>
  <c r="AS63" i="63"/>
  <c r="AS84" i="63"/>
  <c r="AS82" i="63"/>
  <c r="AS55" i="63"/>
  <c r="AT61" i="63"/>
  <c r="AS34" i="63"/>
  <c r="AS75" i="63"/>
  <c r="AT54" i="63"/>
  <c r="AS53" i="63"/>
  <c r="AT34" i="63"/>
  <c r="AS57" i="63"/>
  <c r="AS94" i="63"/>
  <c r="AT51" i="63"/>
  <c r="AS51" i="63"/>
  <c r="AT46" i="63"/>
  <c r="AS90" i="63"/>
  <c r="AT52" i="63"/>
  <c r="AS103" i="63"/>
  <c r="AS37" i="63"/>
  <c r="AS101" i="63"/>
  <c r="AS42" i="63"/>
  <c r="AS70" i="63"/>
  <c r="AT57" i="63"/>
  <c r="AS41" i="63"/>
  <c r="AS78" i="63"/>
  <c r="AS96" i="63"/>
  <c r="AS46" i="63"/>
  <c r="AS60" i="63"/>
  <c r="AT45" i="63"/>
  <c r="AS81" i="63"/>
  <c r="AS43" i="63"/>
  <c r="AT41" i="63"/>
  <c r="AT58" i="63"/>
  <c r="AS91" i="63"/>
  <c r="AS35" i="63"/>
  <c r="AT56" i="63"/>
  <c r="AS83" i="63"/>
  <c r="AS36" i="63"/>
  <c r="AS65" i="63"/>
  <c r="AT53" i="63"/>
  <c r="AT35" i="63"/>
  <c r="P26" i="60" l="1"/>
  <c r="O13" i="64"/>
  <c r="AM17" i="61"/>
  <c r="AN17" i="61" s="1"/>
  <c r="AK18" i="61"/>
  <c r="AO16" i="61"/>
  <c r="K7" i="67"/>
  <c r="N68" i="66"/>
  <c r="O67" i="66"/>
  <c r="AO15" i="63"/>
  <c r="AS106" i="63"/>
  <c r="AS105" i="63"/>
  <c r="AS108" i="63"/>
  <c r="AS111" i="63"/>
  <c r="Q12" i="64"/>
  <c r="N29" i="60"/>
  <c r="AS112" i="63"/>
  <c r="AS107" i="63"/>
  <c r="S11" i="64"/>
  <c r="AW71" i="64"/>
  <c r="AS113" i="63"/>
  <c r="AS104" i="63"/>
  <c r="AW68" i="64"/>
  <c r="AS109" i="63"/>
  <c r="AS110" i="63"/>
  <c r="AW72" i="64"/>
  <c r="AW66" i="64"/>
  <c r="AW73" i="64"/>
  <c r="AW64" i="64"/>
  <c r="AW69" i="64"/>
  <c r="AW65" i="64"/>
  <c r="AW67" i="64"/>
  <c r="AW70" i="64"/>
  <c r="G12" i="67" l="1"/>
  <c r="H12" i="67" s="1"/>
  <c r="O14" i="64"/>
  <c r="P27" i="60"/>
  <c r="AM18" i="61"/>
  <c r="AN18" i="61" s="1"/>
  <c r="AK19" i="61"/>
  <c r="AO17" i="61"/>
  <c r="N69" i="66"/>
  <c r="O68" i="66"/>
  <c r="AO16" i="63"/>
  <c r="AO17" i="63"/>
  <c r="AS132" i="63"/>
  <c r="AS127" i="63"/>
  <c r="N66" i="67"/>
  <c r="N30" i="60"/>
  <c r="S12" i="64"/>
  <c r="AW80" i="64" s="1"/>
  <c r="AW83" i="64"/>
  <c r="AS121" i="63"/>
  <c r="AS115" i="63"/>
  <c r="N65" i="67"/>
  <c r="N72" i="67"/>
  <c r="AW79" i="64"/>
  <c r="AW76" i="64"/>
  <c r="AS117" i="63"/>
  <c r="N67" i="67"/>
  <c r="AW78" i="64"/>
  <c r="AS125" i="63"/>
  <c r="AS129" i="63"/>
  <c r="AW77" i="64"/>
  <c r="N68" i="67"/>
  <c r="AS130" i="63"/>
  <c r="N71" i="67"/>
  <c r="AS126" i="63"/>
  <c r="N73" i="67"/>
  <c r="AS124" i="63"/>
  <c r="AW82" i="64"/>
  <c r="AS120" i="63"/>
  <c r="AS119" i="63"/>
  <c r="N69" i="67"/>
  <c r="AS122" i="63"/>
  <c r="AW81" i="64"/>
  <c r="AS131" i="63"/>
  <c r="AS123" i="63"/>
  <c r="N70" i="67"/>
  <c r="AS133" i="63"/>
  <c r="AS116" i="63"/>
  <c r="AS128" i="63"/>
  <c r="AS118" i="63"/>
  <c r="N64" i="67"/>
  <c r="AS114" i="63"/>
  <c r="AW75" i="64"/>
  <c r="AW74" i="64"/>
  <c r="G13" i="67" l="1"/>
  <c r="H13" i="67" s="1"/>
  <c r="O15" i="64"/>
  <c r="AM19" i="61"/>
  <c r="AN19" i="61" s="1"/>
  <c r="AK20" i="61"/>
  <c r="AO18" i="61"/>
  <c r="J84" i="67"/>
  <c r="I84" i="67"/>
  <c r="J27" i="67"/>
  <c r="I27" i="67"/>
  <c r="J46" i="67"/>
  <c r="I46" i="67"/>
  <c r="J65" i="67"/>
  <c r="I65" i="67"/>
  <c r="N70" i="66"/>
  <c r="O69" i="66"/>
  <c r="AO18" i="63"/>
  <c r="AS137" i="63"/>
  <c r="AS142" i="63"/>
  <c r="N81" i="67"/>
  <c r="AS139" i="63"/>
  <c r="N83" i="67"/>
  <c r="N74" i="67"/>
  <c r="AS140" i="63"/>
  <c r="N77" i="67"/>
  <c r="N79" i="67"/>
  <c r="AS141" i="63"/>
  <c r="N80" i="67"/>
  <c r="AS138" i="63"/>
  <c r="AS135" i="63"/>
  <c r="N78" i="67"/>
  <c r="AS136" i="63"/>
  <c r="N82" i="67"/>
  <c r="AS143" i="63"/>
  <c r="N75" i="67"/>
  <c r="N76" i="67"/>
  <c r="AS134" i="63"/>
  <c r="N31" i="60"/>
  <c r="O16" i="64" l="1"/>
  <c r="AM20" i="61"/>
  <c r="AK21" i="61"/>
  <c r="AN20" i="61"/>
  <c r="AO19" i="61"/>
  <c r="J28" i="67"/>
  <c r="J66" i="67"/>
  <c r="J47" i="67"/>
  <c r="J8" i="67"/>
  <c r="I8" i="67"/>
  <c r="I47" i="67"/>
  <c r="K46" i="67"/>
  <c r="I85" i="67"/>
  <c r="K84" i="67"/>
  <c r="I66" i="67"/>
  <c r="K65" i="67"/>
  <c r="J85" i="67"/>
  <c r="I28" i="67"/>
  <c r="K27" i="67"/>
  <c r="N71" i="66"/>
  <c r="O70" i="66"/>
  <c r="AO19" i="63"/>
  <c r="N32" i="60"/>
  <c r="AS145" i="63"/>
  <c r="AS149" i="63"/>
  <c r="AS147" i="63"/>
  <c r="AS152" i="63"/>
  <c r="AS150" i="63"/>
  <c r="AS153" i="63"/>
  <c r="AS151" i="63"/>
  <c r="AS148" i="63"/>
  <c r="AS146" i="63"/>
  <c r="AS144" i="63"/>
  <c r="O17" i="64" l="1"/>
  <c r="AM21" i="61"/>
  <c r="AN21" i="61" s="1"/>
  <c r="AK22" i="61"/>
  <c r="AM22" i="61" s="1"/>
  <c r="AO20" i="61"/>
  <c r="J67" i="67"/>
  <c r="J29" i="67"/>
  <c r="J86" i="67"/>
  <c r="J48" i="67"/>
  <c r="I86" i="67"/>
  <c r="K85" i="67"/>
  <c r="I29" i="67"/>
  <c r="K28" i="67"/>
  <c r="I67" i="67"/>
  <c r="K66" i="67"/>
  <c r="K8" i="67"/>
  <c r="I9" i="67"/>
  <c r="J9" i="67"/>
  <c r="I48" i="67"/>
  <c r="K47" i="67"/>
  <c r="N72" i="66"/>
  <c r="O71" i="66"/>
  <c r="AO20" i="63"/>
  <c r="AS158" i="63"/>
  <c r="AS164" i="63"/>
  <c r="AS159" i="63"/>
  <c r="N33" i="60"/>
  <c r="AS157" i="63"/>
  <c r="AS162" i="63"/>
  <c r="AS154" i="63"/>
  <c r="AS156" i="63"/>
  <c r="AS161" i="63"/>
  <c r="AS155" i="63"/>
  <c r="AS160" i="63"/>
  <c r="AS163" i="63"/>
  <c r="O18" i="64" l="1"/>
  <c r="AN22" i="61"/>
  <c r="AO22" i="61"/>
  <c r="AO21" i="61"/>
  <c r="J10" i="67"/>
  <c r="K67" i="67"/>
  <c r="K86" i="67"/>
  <c r="K48" i="67"/>
  <c r="K9" i="67"/>
  <c r="I10" i="67"/>
  <c r="K29" i="67"/>
  <c r="N73" i="66"/>
  <c r="O72" i="66"/>
  <c r="N34" i="60"/>
  <c r="N35" i="60"/>
  <c r="O19" i="64" l="1"/>
  <c r="O20" i="64"/>
  <c r="J11" i="67"/>
  <c r="I11" i="67"/>
  <c r="K10" i="67"/>
  <c r="N74" i="66"/>
  <c r="O73" i="66"/>
  <c r="H13" i="64"/>
  <c r="H14" i="64"/>
  <c r="H21" i="64"/>
  <c r="H18" i="64"/>
  <c r="H15" i="64"/>
  <c r="H12" i="64"/>
  <c r="H9" i="64"/>
  <c r="H22" i="64"/>
  <c r="H24" i="64"/>
  <c r="H5" i="64"/>
  <c r="H10" i="64"/>
  <c r="H7" i="64"/>
  <c r="H8" i="64"/>
  <c r="H19" i="64"/>
  <c r="H11" i="64"/>
  <c r="H16" i="64"/>
  <c r="H20" i="64"/>
  <c r="H17" i="64"/>
  <c r="H23" i="64"/>
  <c r="H6" i="64"/>
  <c r="J12" i="67" l="1"/>
  <c r="I12" i="67"/>
  <c r="K11" i="67"/>
  <c r="N75" i="66"/>
  <c r="O74" i="66"/>
  <c r="J13" i="67" l="1"/>
  <c r="I13" i="67"/>
  <c r="K12" i="67"/>
  <c r="N76" i="66"/>
  <c r="O75" i="66"/>
  <c r="I14" i="67" l="1"/>
  <c r="K13" i="67"/>
  <c r="N77" i="66"/>
  <c r="O76" i="66"/>
  <c r="N78" i="66" l="1"/>
  <c r="O77" i="66"/>
  <c r="N79" i="66" l="1"/>
  <c r="O78" i="66"/>
  <c r="N80" i="66" l="1"/>
  <c r="O79" i="66"/>
  <c r="N81" i="66" l="1"/>
  <c r="O80" i="66"/>
  <c r="N82" i="66" l="1"/>
  <c r="O81" i="66"/>
  <c r="N83" i="66" l="1"/>
  <c r="O82" i="66"/>
  <c r="N84" i="66" l="1"/>
  <c r="O83" i="66"/>
  <c r="N85" i="66" l="1"/>
  <c r="O84" i="66"/>
  <c r="N86" i="66" l="1"/>
  <c r="O85" i="66"/>
  <c r="N87" i="66" l="1"/>
  <c r="O86" i="66"/>
  <c r="N88" i="66" l="1"/>
  <c r="O87" i="66"/>
  <c r="N89" i="66" l="1"/>
  <c r="O88" i="66"/>
  <c r="N90" i="66" l="1"/>
  <c r="O89" i="66"/>
  <c r="N91" i="66" l="1"/>
  <c r="O90" i="66"/>
  <c r="N92" i="66" l="1"/>
  <c r="O91" i="66"/>
  <c r="N93" i="66" l="1"/>
  <c r="O92" i="66"/>
  <c r="N94" i="66" l="1"/>
  <c r="O93" i="66"/>
  <c r="N95" i="66" l="1"/>
  <c r="O94" i="66"/>
  <c r="N96" i="66" l="1"/>
  <c r="O95" i="66"/>
  <c r="N97" i="66" l="1"/>
  <c r="O96" i="66"/>
  <c r="N98" i="66" l="1"/>
  <c r="O97" i="66"/>
  <c r="N99" i="66" l="1"/>
  <c r="O98" i="66"/>
  <c r="N100" i="66" l="1"/>
  <c r="O99" i="66"/>
  <c r="N101" i="66" l="1"/>
  <c r="O100" i="66"/>
  <c r="N102" i="66" l="1"/>
  <c r="O101" i="66"/>
  <c r="N103" i="66" l="1"/>
  <c r="O102" i="66"/>
  <c r="N104" i="66" l="1"/>
  <c r="O103" i="66"/>
  <c r="N105" i="66" l="1"/>
  <c r="O105" i="66" s="1"/>
  <c r="O104" i="66"/>
  <c r="P61" i="66"/>
  <c r="P51" i="66"/>
  <c r="P84" i="66"/>
  <c r="P63" i="66"/>
  <c r="P102" i="66"/>
  <c r="P69" i="66"/>
  <c r="P53" i="66"/>
  <c r="P58" i="66"/>
  <c r="P26" i="66"/>
  <c r="P88" i="66"/>
  <c r="P95" i="66"/>
  <c r="P31" i="66"/>
  <c r="P23" i="66"/>
  <c r="P25" i="66"/>
  <c r="P22" i="66"/>
  <c r="P99" i="66"/>
  <c r="P43" i="66"/>
  <c r="P104" i="66"/>
  <c r="R12" i="64"/>
  <c r="P94" i="66"/>
  <c r="P57" i="66"/>
  <c r="P65" i="66"/>
  <c r="P87" i="66"/>
  <c r="P39" i="66"/>
  <c r="P96" i="66"/>
  <c r="P73" i="66"/>
  <c r="P81" i="66"/>
  <c r="P56" i="66"/>
  <c r="P80" i="66"/>
  <c r="P32" i="66"/>
  <c r="P40" i="66"/>
  <c r="P72" i="66"/>
  <c r="P37" i="66"/>
  <c r="P42" i="66"/>
  <c r="P33" i="66"/>
  <c r="P50" i="66"/>
  <c r="P92" i="66"/>
  <c r="P67" i="66"/>
  <c r="P34" i="66"/>
  <c r="P64" i="66"/>
  <c r="P62" i="66"/>
  <c r="P28" i="66"/>
  <c r="P71" i="66"/>
  <c r="P98" i="66"/>
  <c r="P83" i="66"/>
  <c r="P100" i="66"/>
  <c r="P41" i="66"/>
  <c r="P85" i="66"/>
  <c r="P78" i="66"/>
  <c r="P21" i="66"/>
  <c r="P90" i="66"/>
  <c r="P45" i="66"/>
  <c r="P68" i="66"/>
  <c r="P35" i="66"/>
  <c r="P103" i="66"/>
  <c r="P36" i="66"/>
  <c r="P46" i="66"/>
  <c r="P66" i="66"/>
  <c r="P60" i="66"/>
  <c r="P54" i="66"/>
  <c r="P48" i="66"/>
  <c r="P49" i="66"/>
  <c r="P52" i="66"/>
  <c r="P19" i="66"/>
  <c r="P89" i="66"/>
  <c r="P17" i="66"/>
  <c r="P75" i="66"/>
  <c r="P105" i="66"/>
  <c r="P27" i="66"/>
  <c r="P44" i="66"/>
  <c r="P24" i="66"/>
  <c r="P86" i="66"/>
  <c r="P47" i="66"/>
  <c r="P101" i="66"/>
  <c r="P74" i="66"/>
  <c r="P59" i="66"/>
  <c r="P20" i="66"/>
  <c r="P82" i="66"/>
  <c r="P29" i="66"/>
  <c r="P97" i="66"/>
  <c r="P91" i="66"/>
  <c r="P18" i="66"/>
  <c r="P77" i="66"/>
  <c r="P76" i="66"/>
  <c r="P70" i="66"/>
  <c r="P93" i="66"/>
  <c r="P79" i="66"/>
  <c r="P38" i="66"/>
  <c r="P55" i="66"/>
  <c r="P30" i="66"/>
  <c r="T12" i="64" l="1"/>
  <c r="Q22" i="66"/>
  <c r="R22" i="66" s="1"/>
  <c r="S22" i="66" s="1"/>
  <c r="T22" i="66" s="1"/>
  <c r="U22" i="66" s="1"/>
  <c r="V22" i="66" s="1"/>
  <c r="W22" i="66" s="1"/>
  <c r="X22" i="66" s="1"/>
  <c r="Y22" i="66" s="1"/>
  <c r="Z22" i="66" s="1"/>
  <c r="AA22" i="66" s="1"/>
  <c r="AB22" i="66" s="1"/>
  <c r="AC22" i="66" s="1"/>
  <c r="AD22" i="66" s="1"/>
  <c r="Q17" i="66"/>
  <c r="Q20" i="66"/>
  <c r="Q18" i="66"/>
  <c r="Q21" i="66"/>
  <c r="Q19" i="66"/>
  <c r="Q64" i="66"/>
  <c r="Q26" i="66"/>
  <c r="Q23" i="66"/>
  <c r="Q96" i="66"/>
  <c r="R13" i="64"/>
  <c r="Q41" i="66"/>
  <c r="Q54" i="66"/>
  <c r="Q35" i="66"/>
  <c r="AL83" i="64"/>
  <c r="Q36" i="66"/>
  <c r="Q68" i="66"/>
  <c r="Q63" i="66"/>
  <c r="Q79" i="66"/>
  <c r="Q75" i="66"/>
  <c r="Q90" i="66"/>
  <c r="AL77" i="64"/>
  <c r="Q97" i="66"/>
  <c r="Q57" i="66"/>
  <c r="AL81" i="64"/>
  <c r="Q52" i="66"/>
  <c r="Q82" i="66"/>
  <c r="Q98" i="66"/>
  <c r="Q53" i="66"/>
  <c r="Q84" i="66"/>
  <c r="Q99" i="66"/>
  <c r="Q60" i="66"/>
  <c r="Q94" i="66"/>
  <c r="Q73" i="66"/>
  <c r="AL75" i="64"/>
  <c r="Q58" i="66"/>
  <c r="Q71" i="66"/>
  <c r="Q48" i="66"/>
  <c r="Q103" i="66"/>
  <c r="Q72" i="66"/>
  <c r="Q89" i="66"/>
  <c r="Q13" i="64"/>
  <c r="S13" i="64"/>
  <c r="Q24" i="66"/>
  <c r="AW92" i="64"/>
  <c r="Q105" i="66"/>
  <c r="Q42" i="66"/>
  <c r="Q102" i="66"/>
  <c r="Q93" i="66"/>
  <c r="Q31" i="66"/>
  <c r="Q65" i="66"/>
  <c r="Q101" i="66"/>
  <c r="Q100" i="66"/>
  <c r="Q95" i="66"/>
  <c r="AL80" i="64"/>
  <c r="Q83" i="66"/>
  <c r="Q30" i="66"/>
  <c r="AW84" i="64"/>
  <c r="Q59" i="66"/>
  <c r="Q38" i="66"/>
  <c r="Q62" i="66"/>
  <c r="Q81" i="66"/>
  <c r="Q88" i="66"/>
  <c r="Q49" i="66"/>
  <c r="Q69" i="66"/>
  <c r="Q74" i="66"/>
  <c r="AW91" i="64"/>
  <c r="Q39" i="66"/>
  <c r="Q87" i="66"/>
  <c r="Q45" i="66"/>
  <c r="AL78" i="64"/>
  <c r="Q44" i="66"/>
  <c r="Q25" i="66"/>
  <c r="Q67" i="66"/>
  <c r="Q50" i="66"/>
  <c r="Q78" i="66"/>
  <c r="Q76" i="66"/>
  <c r="Q85" i="66"/>
  <c r="AL74" i="64"/>
  <c r="Q46" i="66"/>
  <c r="AL82" i="64"/>
  <c r="AW89" i="64"/>
  <c r="Q104" i="66"/>
  <c r="Q47" i="66"/>
  <c r="Q33" i="66"/>
  <c r="AW88" i="64"/>
  <c r="Q51" i="66"/>
  <c r="Q43" i="66"/>
  <c r="Q80" i="66"/>
  <c r="Q29" i="66"/>
  <c r="AL76" i="64"/>
  <c r="Q40" i="66"/>
  <c r="Q70" i="66"/>
  <c r="Q66" i="66"/>
  <c r="Q34" i="66"/>
  <c r="Q86" i="66"/>
  <c r="Q32" i="66"/>
  <c r="Q28" i="66"/>
  <c r="Q61" i="66"/>
  <c r="AL79" i="64"/>
  <c r="Q92" i="66"/>
  <c r="Q56" i="66"/>
  <c r="Q14" i="64"/>
  <c r="AW86" i="64"/>
  <c r="Q91" i="66"/>
  <c r="Q55" i="66"/>
  <c r="Q37" i="66"/>
  <c r="Q77" i="66"/>
  <c r="Q27" i="66"/>
  <c r="AW85" i="64"/>
  <c r="AW90" i="64"/>
  <c r="AW93" i="64"/>
  <c r="AW87" i="64"/>
  <c r="P28" i="60" l="1"/>
  <c r="T13" i="64"/>
  <c r="G14" i="67"/>
  <c r="H14" i="67" s="1"/>
  <c r="P29" i="60"/>
  <c r="R18" i="66"/>
  <c r="R28" i="66"/>
  <c r="R25" i="66"/>
  <c r="R24" i="66"/>
  <c r="R27" i="66"/>
  <c r="R23" i="66"/>
  <c r="R26" i="66"/>
  <c r="S26" i="66" s="1"/>
  <c r="T26" i="66" s="1"/>
  <c r="U26" i="66" s="1"/>
  <c r="V26" i="66" s="1"/>
  <c r="W26" i="66" s="1"/>
  <c r="X26" i="66" s="1"/>
  <c r="Y26" i="66" s="1"/>
  <c r="Z26" i="66" s="1"/>
  <c r="AA26" i="66" s="1"/>
  <c r="AB26" i="66" s="1"/>
  <c r="AC26" i="66" s="1"/>
  <c r="AD26" i="66" s="1"/>
  <c r="R19" i="66"/>
  <c r="R20" i="66"/>
  <c r="R21" i="66"/>
  <c r="R17" i="66"/>
  <c r="R41" i="66"/>
  <c r="R98" i="66"/>
  <c r="R39" i="66"/>
  <c r="R44" i="66"/>
  <c r="AL91" i="64"/>
  <c r="R33" i="66"/>
  <c r="R85" i="66"/>
  <c r="N93" i="67"/>
  <c r="R46" i="66"/>
  <c r="R82" i="66"/>
  <c r="R97" i="66"/>
  <c r="R56" i="66"/>
  <c r="R62" i="66"/>
  <c r="R29" i="66"/>
  <c r="AL90" i="64"/>
  <c r="N86" i="67"/>
  <c r="R91" i="66"/>
  <c r="R35" i="66"/>
  <c r="R67" i="66"/>
  <c r="R94" i="66"/>
  <c r="R49" i="66"/>
  <c r="N88" i="67"/>
  <c r="R104" i="66"/>
  <c r="R74" i="66"/>
  <c r="R102" i="66"/>
  <c r="AL86" i="64"/>
  <c r="N91" i="67"/>
  <c r="N92" i="67"/>
  <c r="R61" i="66"/>
  <c r="R77" i="66"/>
  <c r="R80" i="66"/>
  <c r="R40" i="66"/>
  <c r="R70" i="66"/>
  <c r="R103" i="66"/>
  <c r="R65" i="66"/>
  <c r="R89" i="66"/>
  <c r="R30" i="66"/>
  <c r="R66" i="66"/>
  <c r="R58" i="66"/>
  <c r="R90" i="66"/>
  <c r="R79" i="66"/>
  <c r="N84" i="67"/>
  <c r="AL88" i="64"/>
  <c r="AL87" i="64"/>
  <c r="R45" i="66"/>
  <c r="R43" i="66"/>
  <c r="R55" i="66"/>
  <c r="R81" i="66"/>
  <c r="N89" i="67"/>
  <c r="R63" i="66"/>
  <c r="R34" i="66"/>
  <c r="R53" i="66"/>
  <c r="R31" i="66"/>
  <c r="R96" i="66"/>
  <c r="R51" i="66"/>
  <c r="R68" i="66"/>
  <c r="AL89" i="64"/>
  <c r="AL85" i="64"/>
  <c r="R50" i="66"/>
  <c r="R54" i="66"/>
  <c r="R99" i="66"/>
  <c r="R76" i="66"/>
  <c r="R52" i="66"/>
  <c r="R57" i="66"/>
  <c r="R75" i="66"/>
  <c r="R92" i="66"/>
  <c r="R59" i="66"/>
  <c r="R88" i="66"/>
  <c r="R83" i="66"/>
  <c r="R105" i="66"/>
  <c r="N85" i="67"/>
  <c r="AL93" i="64"/>
  <c r="R93" i="66"/>
  <c r="R86" i="66"/>
  <c r="R38" i="66"/>
  <c r="R95" i="66"/>
  <c r="R100" i="66"/>
  <c r="R87" i="66"/>
  <c r="R64" i="66"/>
  <c r="R37" i="66"/>
  <c r="R47" i="66"/>
  <c r="R69" i="66"/>
  <c r="R73" i="66"/>
  <c r="R101" i="66"/>
  <c r="AL84" i="64"/>
  <c r="R42" i="66"/>
  <c r="R84" i="66"/>
  <c r="R60" i="66"/>
  <c r="R14" i="64"/>
  <c r="R78" i="66"/>
  <c r="AL92" i="64"/>
  <c r="R32" i="66"/>
  <c r="S14" i="64"/>
  <c r="R36" i="66"/>
  <c r="R72" i="66"/>
  <c r="N87" i="67"/>
  <c r="R48" i="66"/>
  <c r="N90" i="67"/>
  <c r="R71" i="66"/>
  <c r="AW99" i="64"/>
  <c r="AW94" i="64"/>
  <c r="AW103" i="64"/>
  <c r="AW95" i="64"/>
  <c r="AW101" i="64"/>
  <c r="AW102" i="64"/>
  <c r="AW98" i="64"/>
  <c r="AW96" i="64"/>
  <c r="AW97" i="64"/>
  <c r="AW100" i="64"/>
  <c r="T14" i="64" l="1"/>
  <c r="J14" i="67"/>
  <c r="K14" i="67" s="1"/>
  <c r="S18" i="66"/>
  <c r="T18" i="66" s="1"/>
  <c r="U18" i="66" s="1"/>
  <c r="V18" i="66" s="1"/>
  <c r="W18" i="66" s="1"/>
  <c r="G15" i="67"/>
  <c r="H15" i="67" s="1"/>
  <c r="S19" i="66"/>
  <c r="T19" i="66" s="1"/>
  <c r="U19" i="66" s="1"/>
  <c r="V19" i="66" s="1"/>
  <c r="W19" i="66" s="1"/>
  <c r="X19" i="66" s="1"/>
  <c r="Y19" i="66" s="1"/>
  <c r="Z19" i="66" s="1"/>
  <c r="AA19" i="66" s="1"/>
  <c r="AB19" i="66" s="1"/>
  <c r="AC19" i="66" s="1"/>
  <c r="AD19" i="66" s="1"/>
  <c r="S30" i="66"/>
  <c r="T30" i="66" s="1"/>
  <c r="S31" i="66"/>
  <c r="T31" i="66" s="1"/>
  <c r="U31" i="66" s="1"/>
  <c r="V31" i="66" s="1"/>
  <c r="W31" i="66" s="1"/>
  <c r="X31" i="66" s="1"/>
  <c r="Y31" i="66" s="1"/>
  <c r="Z31" i="66" s="1"/>
  <c r="AA31" i="66" s="1"/>
  <c r="AB31" i="66" s="1"/>
  <c r="AC31" i="66" s="1"/>
  <c r="AD31" i="66" s="1"/>
  <c r="S29" i="66"/>
  <c r="S32" i="66"/>
  <c r="T32" i="66" s="1"/>
  <c r="U32" i="66" s="1"/>
  <c r="V32" i="66" s="1"/>
  <c r="W32" i="66" s="1"/>
  <c r="X32" i="66" s="1"/>
  <c r="Y32" i="66" s="1"/>
  <c r="Z32" i="66" s="1"/>
  <c r="AA32" i="66" s="1"/>
  <c r="AB32" i="66" s="1"/>
  <c r="AC32" i="66" s="1"/>
  <c r="AD32" i="66" s="1"/>
  <c r="S27" i="66"/>
  <c r="S21" i="66"/>
  <c r="S20" i="66"/>
  <c r="T20" i="66" s="1"/>
  <c r="U20" i="66" s="1"/>
  <c r="V20" i="66" s="1"/>
  <c r="W20" i="66" s="1"/>
  <c r="X20" i="66" s="1"/>
  <c r="Y20" i="66" s="1"/>
  <c r="Z20" i="66" s="1"/>
  <c r="AA20" i="66" s="1"/>
  <c r="AB20" i="66" s="1"/>
  <c r="AC20" i="66" s="1"/>
  <c r="AD20" i="66" s="1"/>
  <c r="S25" i="66"/>
  <c r="T25" i="66" s="1"/>
  <c r="U25" i="66" s="1"/>
  <c r="V25" i="66" s="1"/>
  <c r="W25" i="66" s="1"/>
  <c r="X25" i="66" s="1"/>
  <c r="Y25" i="66" s="1"/>
  <c r="Z25" i="66" s="1"/>
  <c r="AA25" i="66" s="1"/>
  <c r="AB25" i="66" s="1"/>
  <c r="AC25" i="66" s="1"/>
  <c r="AD25" i="66" s="1"/>
  <c r="S23" i="66"/>
  <c r="T23" i="66" s="1"/>
  <c r="U23" i="66" s="1"/>
  <c r="V23" i="66" s="1"/>
  <c r="W23" i="66" s="1"/>
  <c r="X23" i="66" s="1"/>
  <c r="Y23" i="66" s="1"/>
  <c r="Z23" i="66" s="1"/>
  <c r="AA23" i="66" s="1"/>
  <c r="AB23" i="66" s="1"/>
  <c r="AC23" i="66" s="1"/>
  <c r="AD23" i="66" s="1"/>
  <c r="S17" i="66"/>
  <c r="T17" i="66" s="1"/>
  <c r="U17" i="66" s="1"/>
  <c r="V17" i="66" s="1"/>
  <c r="W17" i="66" s="1"/>
  <c r="X17" i="66" s="1"/>
  <c r="Y17" i="66" s="1"/>
  <c r="Z17" i="66" s="1"/>
  <c r="AA17" i="66" s="1"/>
  <c r="AB17" i="66" s="1"/>
  <c r="AC17" i="66" s="1"/>
  <c r="AD17" i="66" s="1"/>
  <c r="S28" i="66"/>
  <c r="T28" i="66" s="1"/>
  <c r="U28" i="66" s="1"/>
  <c r="V28" i="66" s="1"/>
  <c r="W28" i="66" s="1"/>
  <c r="X28" i="66" s="1"/>
  <c r="Y28" i="66" s="1"/>
  <c r="Z28" i="66" s="1"/>
  <c r="AA28" i="66" s="1"/>
  <c r="AB28" i="66" s="1"/>
  <c r="AC28" i="66" s="1"/>
  <c r="AD28" i="66" s="1"/>
  <c r="S24" i="66"/>
  <c r="S79" i="66"/>
  <c r="N103" i="67"/>
  <c r="S81" i="66"/>
  <c r="AL95" i="64"/>
  <c r="S49" i="66"/>
  <c r="S44" i="66"/>
  <c r="S46" i="66"/>
  <c r="S103" i="66"/>
  <c r="S47" i="66"/>
  <c r="N100" i="67"/>
  <c r="S75" i="66"/>
  <c r="S64" i="66"/>
  <c r="N94" i="67"/>
  <c r="S100" i="66"/>
  <c r="AL102" i="64"/>
  <c r="AL94" i="64"/>
  <c r="S37" i="66"/>
  <c r="S48" i="66"/>
  <c r="S38" i="66"/>
  <c r="N97" i="67"/>
  <c r="S82" i="66"/>
  <c r="S89" i="66"/>
  <c r="S67" i="66"/>
  <c r="S71" i="66"/>
  <c r="S92" i="66"/>
  <c r="S72" i="66"/>
  <c r="S97" i="66"/>
  <c r="AL103" i="64"/>
  <c r="S62" i="66"/>
  <c r="S105" i="66"/>
  <c r="S34" i="66"/>
  <c r="S86" i="66"/>
  <c r="S51" i="66"/>
  <c r="S85" i="66"/>
  <c r="S74" i="66"/>
  <c r="S70" i="66"/>
  <c r="S56" i="66"/>
  <c r="S78" i="66"/>
  <c r="S66" i="66"/>
  <c r="S63" i="66"/>
  <c r="AL97" i="64"/>
  <c r="AL96" i="64"/>
  <c r="S57" i="66"/>
  <c r="S90" i="66"/>
  <c r="N95" i="67"/>
  <c r="S52" i="66"/>
  <c r="S87" i="66"/>
  <c r="S102" i="66"/>
  <c r="S73" i="66"/>
  <c r="S42" i="66"/>
  <c r="S40" i="66"/>
  <c r="S88" i="66"/>
  <c r="S76" i="66"/>
  <c r="S59" i="66"/>
  <c r="N101" i="67"/>
  <c r="S98" i="66"/>
  <c r="S50" i="66"/>
  <c r="AL98" i="64"/>
  <c r="S95" i="66"/>
  <c r="S65" i="66"/>
  <c r="S84" i="66"/>
  <c r="S68" i="66"/>
  <c r="S41" i="66"/>
  <c r="S99" i="66"/>
  <c r="S77" i="66"/>
  <c r="N102" i="67"/>
  <c r="S61" i="66"/>
  <c r="S101" i="66"/>
  <c r="S93" i="66"/>
  <c r="S53" i="66"/>
  <c r="S96" i="66"/>
  <c r="N98" i="67"/>
  <c r="N99" i="67"/>
  <c r="S55" i="66"/>
  <c r="S58" i="66"/>
  <c r="S104" i="66"/>
  <c r="S69" i="66"/>
  <c r="AL100" i="64"/>
  <c r="S43" i="66"/>
  <c r="S54" i="66"/>
  <c r="N96" i="67"/>
  <c r="S83" i="66"/>
  <c r="S39" i="66"/>
  <c r="S45" i="66"/>
  <c r="Q32" i="64"/>
  <c r="S94" i="66"/>
  <c r="S35" i="66"/>
  <c r="AL101" i="64"/>
  <c r="S91" i="66"/>
  <c r="S80" i="66"/>
  <c r="S33" i="66"/>
  <c r="AL99" i="64"/>
  <c r="S36" i="66"/>
  <c r="S60" i="66"/>
  <c r="P47" i="60" l="1"/>
  <c r="X18" i="66"/>
  <c r="Y18" i="66" s="1"/>
  <c r="Z18" i="66" s="1"/>
  <c r="AA18" i="66" s="1"/>
  <c r="AB18" i="66" s="1"/>
  <c r="AC18" i="66" s="1"/>
  <c r="AD18" i="66" s="1"/>
  <c r="T27" i="66"/>
  <c r="U27" i="66" s="1"/>
  <c r="V27" i="66" s="1"/>
  <c r="W27" i="66" s="1"/>
  <c r="X27" i="66" s="1"/>
  <c r="Y27" i="66" s="1"/>
  <c r="T24" i="66"/>
  <c r="U24" i="66" s="1"/>
  <c r="V24" i="66" s="1"/>
  <c r="W24" i="66" s="1"/>
  <c r="X24" i="66" s="1"/>
  <c r="T21" i="66"/>
  <c r="U21" i="66" s="1"/>
  <c r="V21" i="66" s="1"/>
  <c r="W21" i="66" s="1"/>
  <c r="X21" i="66" s="1"/>
  <c r="U30" i="66"/>
  <c r="V30" i="66" s="1"/>
  <c r="W30" i="66" s="1"/>
  <c r="X30" i="66" s="1"/>
  <c r="Y30" i="66" s="1"/>
  <c r="Z30" i="66" s="1"/>
  <c r="AA30" i="66" s="1"/>
  <c r="AB30" i="66" s="1"/>
  <c r="AC30" i="66" s="1"/>
  <c r="AD30" i="66" s="1"/>
  <c r="T29" i="66"/>
  <c r="U29" i="66" s="1"/>
  <c r="V29" i="66" s="1"/>
  <c r="T34" i="66"/>
  <c r="U34" i="66" s="1"/>
  <c r="V34" i="66" s="1"/>
  <c r="W34" i="66" s="1"/>
  <c r="X34" i="66" s="1"/>
  <c r="Y34" i="66" s="1"/>
  <c r="Z34" i="66" s="1"/>
  <c r="AA34" i="66" s="1"/>
  <c r="AB34" i="66" s="1"/>
  <c r="AC34" i="66" s="1"/>
  <c r="AD34" i="66" s="1"/>
  <c r="T35" i="66"/>
  <c r="U35" i="66" s="1"/>
  <c r="V35" i="66" s="1"/>
  <c r="W35" i="66" s="1"/>
  <c r="X35" i="66" s="1"/>
  <c r="Y35" i="66" s="1"/>
  <c r="Z35" i="66" s="1"/>
  <c r="AA35" i="66" s="1"/>
  <c r="AB35" i="66" s="1"/>
  <c r="AC35" i="66" s="1"/>
  <c r="AD35" i="66" s="1"/>
  <c r="T33" i="66"/>
  <c r="U33" i="66" s="1"/>
  <c r="V33" i="66" s="1"/>
  <c r="W33" i="66" s="1"/>
  <c r="X33" i="66" s="1"/>
  <c r="Y33" i="66" s="1"/>
  <c r="Z33" i="66" s="1"/>
  <c r="AA33" i="66" s="1"/>
  <c r="AB33" i="66" s="1"/>
  <c r="AC33" i="66" s="1"/>
  <c r="AD33" i="66" s="1"/>
  <c r="T36" i="66"/>
  <c r="U36" i="66" s="1"/>
  <c r="V36" i="66" s="1"/>
  <c r="W36" i="66" s="1"/>
  <c r="X36" i="66" s="1"/>
  <c r="Y36" i="66" s="1"/>
  <c r="Z36" i="66" s="1"/>
  <c r="T37" i="66"/>
  <c r="U37" i="66" s="1"/>
  <c r="V37" i="66" s="1"/>
  <c r="W37" i="66" s="1"/>
  <c r="X37" i="66" s="1"/>
  <c r="Y37" i="66" s="1"/>
  <c r="Z37" i="66" s="1"/>
  <c r="Q15" i="64"/>
  <c r="Q69" i="64"/>
  <c r="T88" i="66"/>
  <c r="T51" i="66"/>
  <c r="T46" i="66"/>
  <c r="T68" i="66"/>
  <c r="T97" i="66"/>
  <c r="T102" i="66"/>
  <c r="T91" i="66"/>
  <c r="T85" i="66"/>
  <c r="T92" i="66"/>
  <c r="T48" i="66"/>
  <c r="T55" i="66"/>
  <c r="T83" i="66"/>
  <c r="T59" i="66"/>
  <c r="R15" i="64"/>
  <c r="T41" i="66"/>
  <c r="T79" i="66"/>
  <c r="T58" i="66"/>
  <c r="T44" i="66"/>
  <c r="T67" i="66"/>
  <c r="T64" i="66"/>
  <c r="T86" i="66"/>
  <c r="T63" i="66"/>
  <c r="T96" i="66"/>
  <c r="T60" i="66"/>
  <c r="Q88" i="64"/>
  <c r="S88" i="64" s="1"/>
  <c r="T52" i="66"/>
  <c r="S32" i="64"/>
  <c r="T98" i="66"/>
  <c r="T56" i="66"/>
  <c r="T100" i="66"/>
  <c r="T94" i="66"/>
  <c r="T50" i="66"/>
  <c r="T70" i="66"/>
  <c r="T73" i="66"/>
  <c r="T78" i="66"/>
  <c r="T43" i="66"/>
  <c r="T66" i="66"/>
  <c r="T49" i="66"/>
  <c r="T47" i="66"/>
  <c r="T61" i="66"/>
  <c r="T53" i="66"/>
  <c r="T82" i="66"/>
  <c r="T72" i="66"/>
  <c r="T57" i="66"/>
  <c r="T104" i="66"/>
  <c r="T40" i="66"/>
  <c r="T54" i="66"/>
  <c r="T77" i="66"/>
  <c r="T87" i="66"/>
  <c r="T65" i="66"/>
  <c r="T95" i="66"/>
  <c r="T76" i="66"/>
  <c r="T103" i="66"/>
  <c r="T42" i="66"/>
  <c r="T39" i="66"/>
  <c r="T105" i="66"/>
  <c r="T93" i="66"/>
  <c r="Q51" i="64"/>
  <c r="T69" i="66"/>
  <c r="T62" i="66"/>
  <c r="T90" i="66"/>
  <c r="T75" i="66"/>
  <c r="T71" i="66"/>
  <c r="T38" i="66"/>
  <c r="T101" i="66"/>
  <c r="T89" i="66"/>
  <c r="T99" i="66"/>
  <c r="T80" i="66"/>
  <c r="T45" i="66"/>
  <c r="T81" i="66"/>
  <c r="T84" i="66"/>
  <c r="T74" i="66"/>
  <c r="T15" i="64" l="1"/>
  <c r="P30" i="60"/>
  <c r="G33" i="67"/>
  <c r="G89" i="67"/>
  <c r="P103" i="60"/>
  <c r="P84" i="60"/>
  <c r="P66" i="60"/>
  <c r="AA36" i="66"/>
  <c r="AB36" i="66" s="1"/>
  <c r="AC36" i="66" s="1"/>
  <c r="AD36" i="66" s="1"/>
  <c r="Z27" i="66"/>
  <c r="AA27" i="66" s="1"/>
  <c r="AB27" i="66" s="1"/>
  <c r="AC27" i="66" s="1"/>
  <c r="AD27" i="66" s="1"/>
  <c r="Y21" i="66"/>
  <c r="Z21" i="66" s="1"/>
  <c r="AA21" i="66" s="1"/>
  <c r="AB21" i="66" s="1"/>
  <c r="AC21" i="66" s="1"/>
  <c r="AD21" i="66" s="1"/>
  <c r="Y24" i="66"/>
  <c r="Z24" i="66" s="1"/>
  <c r="AA24" i="66" s="1"/>
  <c r="AB24" i="66" s="1"/>
  <c r="AC24" i="66" s="1"/>
  <c r="AD24" i="66" s="1"/>
  <c r="AA37" i="66"/>
  <c r="AB37" i="66" s="1"/>
  <c r="AC37" i="66" s="1"/>
  <c r="AD37" i="66" s="1"/>
  <c r="U38" i="66"/>
  <c r="V38" i="66" s="1"/>
  <c r="W38" i="66" s="1"/>
  <c r="X38" i="66" s="1"/>
  <c r="Y38" i="66" s="1"/>
  <c r="Z38" i="66" s="1"/>
  <c r="U41" i="66"/>
  <c r="V41" i="66" s="1"/>
  <c r="W41" i="66" s="1"/>
  <c r="X41" i="66" s="1"/>
  <c r="Y41" i="66" s="1"/>
  <c r="Z41" i="66" s="1"/>
  <c r="AA41" i="66" s="1"/>
  <c r="AB41" i="66" s="1"/>
  <c r="AC41" i="66" s="1"/>
  <c r="AD41" i="66" s="1"/>
  <c r="U40" i="66"/>
  <c r="V40" i="66" s="1"/>
  <c r="W40" i="66" s="1"/>
  <c r="X40" i="66" s="1"/>
  <c r="Y40" i="66" s="1"/>
  <c r="Z40" i="66" s="1"/>
  <c r="AA40" i="66" s="1"/>
  <c r="AB40" i="66" s="1"/>
  <c r="AC40" i="66" s="1"/>
  <c r="AD40" i="66" s="1"/>
  <c r="U39" i="66"/>
  <c r="V39" i="66" s="1"/>
  <c r="W39" i="66" s="1"/>
  <c r="X39" i="66" s="1"/>
  <c r="Y39" i="66" s="1"/>
  <c r="Z39" i="66" s="1"/>
  <c r="AA39" i="66" s="1"/>
  <c r="AB39" i="66" s="1"/>
  <c r="AC39" i="66" s="1"/>
  <c r="AD39" i="66" s="1"/>
  <c r="W29" i="66"/>
  <c r="AL106" i="64"/>
  <c r="AL109" i="64"/>
  <c r="AL113" i="64"/>
  <c r="AL111" i="64"/>
  <c r="AL110" i="64"/>
  <c r="AL105" i="64"/>
  <c r="AL107" i="64"/>
  <c r="AL108" i="64"/>
  <c r="AL104" i="64"/>
  <c r="AL112" i="64"/>
  <c r="U74" i="66"/>
  <c r="U89" i="66"/>
  <c r="U85" i="66"/>
  <c r="U83" i="66"/>
  <c r="U92" i="66"/>
  <c r="U70" i="66"/>
  <c r="U59" i="66"/>
  <c r="U67" i="66"/>
  <c r="S69" i="64"/>
  <c r="U98" i="66"/>
  <c r="U77" i="66"/>
  <c r="U100" i="66"/>
  <c r="U52" i="66"/>
  <c r="U72" i="66"/>
  <c r="U97" i="66"/>
  <c r="U88" i="66"/>
  <c r="U53" i="66"/>
  <c r="U102" i="66"/>
  <c r="U46" i="66"/>
  <c r="U60" i="66"/>
  <c r="U51" i="66"/>
  <c r="U54" i="66"/>
  <c r="U57" i="66"/>
  <c r="U80" i="66"/>
  <c r="U45" i="66"/>
  <c r="U101" i="66"/>
  <c r="U56" i="66"/>
  <c r="U93" i="66"/>
  <c r="S51" i="64"/>
  <c r="U76" i="66"/>
  <c r="U91" i="66"/>
  <c r="U42" i="66"/>
  <c r="U48" i="66"/>
  <c r="U62" i="66"/>
  <c r="U86" i="66"/>
  <c r="U103" i="66"/>
  <c r="U66" i="66"/>
  <c r="U95" i="66"/>
  <c r="U96" i="66"/>
  <c r="U43" i="66"/>
  <c r="U81" i="66"/>
  <c r="U75" i="66"/>
  <c r="U94" i="66"/>
  <c r="U71" i="66"/>
  <c r="U79" i="66"/>
  <c r="U99" i="66"/>
  <c r="U65" i="66"/>
  <c r="U84" i="66"/>
  <c r="U44" i="66"/>
  <c r="U78" i="66"/>
  <c r="S15" i="64"/>
  <c r="U69" i="66"/>
  <c r="U63" i="66"/>
  <c r="U104" i="66"/>
  <c r="U55" i="66"/>
  <c r="U50" i="66"/>
  <c r="U82" i="66"/>
  <c r="U87" i="66"/>
  <c r="U105" i="66"/>
  <c r="U61" i="66"/>
  <c r="U47" i="66"/>
  <c r="U58" i="66"/>
  <c r="U49" i="66"/>
  <c r="U90" i="66"/>
  <c r="U68" i="66"/>
  <c r="U64" i="66"/>
  <c r="U73" i="66"/>
  <c r="AW108" i="64"/>
  <c r="AW109" i="64"/>
  <c r="AW110" i="64"/>
  <c r="AW112" i="64"/>
  <c r="AW107" i="64"/>
  <c r="AW113" i="64"/>
  <c r="AW105" i="64"/>
  <c r="AW111" i="64"/>
  <c r="AW106" i="64"/>
  <c r="AW104" i="64"/>
  <c r="G16" i="67" l="1"/>
  <c r="H16" i="67" s="1"/>
  <c r="G70" i="67"/>
  <c r="G52" i="67"/>
  <c r="AA38" i="66"/>
  <c r="AB38" i="66" s="1"/>
  <c r="AC38" i="66" s="1"/>
  <c r="AD38" i="66" s="1"/>
  <c r="V42" i="66"/>
  <c r="W42" i="66" s="1"/>
  <c r="X42" i="66" s="1"/>
  <c r="Y42" i="66" s="1"/>
  <c r="Z42" i="66" s="1"/>
  <c r="V44" i="66"/>
  <c r="W44" i="66" s="1"/>
  <c r="X44" i="66" s="1"/>
  <c r="Y44" i="66" s="1"/>
  <c r="Z44" i="66" s="1"/>
  <c r="AA44" i="66" s="1"/>
  <c r="AB44" i="66" s="1"/>
  <c r="AC44" i="66" s="1"/>
  <c r="AD44" i="66" s="1"/>
  <c r="V45" i="66"/>
  <c r="W45" i="66" s="1"/>
  <c r="X45" i="66" s="1"/>
  <c r="Y45" i="66" s="1"/>
  <c r="Z45" i="66" s="1"/>
  <c r="AA45" i="66" s="1"/>
  <c r="V43" i="66"/>
  <c r="W43" i="66" s="1"/>
  <c r="X43" i="66" s="1"/>
  <c r="Y43" i="66" s="1"/>
  <c r="Z43" i="66" s="1"/>
  <c r="AA43" i="66" s="1"/>
  <c r="AB43" i="66" s="1"/>
  <c r="AC43" i="66" s="1"/>
  <c r="AD43" i="66" s="1"/>
  <c r="X29" i="66"/>
  <c r="Y29" i="66" s="1"/>
  <c r="V63" i="66"/>
  <c r="V75" i="66"/>
  <c r="V105" i="66"/>
  <c r="Q52" i="64"/>
  <c r="V81" i="66"/>
  <c r="V92" i="66"/>
  <c r="V72" i="66"/>
  <c r="V85" i="66"/>
  <c r="V46" i="66"/>
  <c r="V94" i="66"/>
  <c r="V79" i="66"/>
  <c r="V84" i="66"/>
  <c r="V103" i="66"/>
  <c r="V60" i="66"/>
  <c r="V58" i="66"/>
  <c r="V102" i="66"/>
  <c r="V76" i="66"/>
  <c r="Q16" i="64"/>
  <c r="V69" i="66"/>
  <c r="V80" i="66"/>
  <c r="V47" i="66"/>
  <c r="V65" i="66"/>
  <c r="V82" i="66"/>
  <c r="V87" i="66"/>
  <c r="V57" i="66"/>
  <c r="V73" i="66"/>
  <c r="V100" i="66"/>
  <c r="V89" i="66"/>
  <c r="V67" i="66"/>
  <c r="V59" i="66"/>
  <c r="V71" i="66"/>
  <c r="V61" i="66"/>
  <c r="V68" i="66"/>
  <c r="V56" i="66"/>
  <c r="Q33" i="64"/>
  <c r="V99" i="66"/>
  <c r="V55" i="66"/>
  <c r="V49" i="66"/>
  <c r="V53" i="66"/>
  <c r="V83" i="66"/>
  <c r="V98" i="66"/>
  <c r="V93" i="66"/>
  <c r="R16" i="64"/>
  <c r="V51" i="66"/>
  <c r="V90" i="66"/>
  <c r="V101" i="66"/>
  <c r="V104" i="66"/>
  <c r="V66" i="66"/>
  <c r="V54" i="66"/>
  <c r="V50" i="66"/>
  <c r="V52" i="66"/>
  <c r="V96" i="66"/>
  <c r="V91" i="66"/>
  <c r="V86" i="66"/>
  <c r="V88" i="66"/>
  <c r="V95" i="66"/>
  <c r="V48" i="66"/>
  <c r="N105" i="67"/>
  <c r="N109" i="67"/>
  <c r="N112" i="67"/>
  <c r="N110" i="67"/>
  <c r="N111" i="67"/>
  <c r="N113" i="67"/>
  <c r="N108" i="67"/>
  <c r="N104" i="67"/>
  <c r="N107" i="67"/>
  <c r="N106" i="67"/>
  <c r="V70" i="66"/>
  <c r="V64" i="66"/>
  <c r="V77" i="66"/>
  <c r="V62" i="66"/>
  <c r="Q70" i="64"/>
  <c r="V74" i="66"/>
  <c r="V78" i="66"/>
  <c r="V97" i="66"/>
  <c r="T16" i="64" l="1"/>
  <c r="P31" i="60"/>
  <c r="P48" i="60"/>
  <c r="P67" i="60"/>
  <c r="Z29" i="66"/>
  <c r="AA29" i="66" s="1"/>
  <c r="AB29" i="66" s="1"/>
  <c r="AC29" i="66" s="1"/>
  <c r="AD29" i="66" s="1"/>
  <c r="P85" i="60"/>
  <c r="AB45" i="66"/>
  <c r="AC45" i="66" s="1"/>
  <c r="AD45" i="66" s="1"/>
  <c r="AA42" i="66"/>
  <c r="AB42" i="66" s="1"/>
  <c r="AC42" i="66" s="1"/>
  <c r="AD42" i="66" s="1"/>
  <c r="W48" i="66"/>
  <c r="X48" i="66" s="1"/>
  <c r="Y48" i="66" s="1"/>
  <c r="Z48" i="66" s="1"/>
  <c r="AA48" i="66" s="1"/>
  <c r="AB48" i="66" s="1"/>
  <c r="AC48" i="66" s="1"/>
  <c r="AD48" i="66" s="1"/>
  <c r="W47" i="66"/>
  <c r="X47" i="66" s="1"/>
  <c r="Y47" i="66" s="1"/>
  <c r="Z47" i="66" s="1"/>
  <c r="AA47" i="66" s="1"/>
  <c r="AB47" i="66" s="1"/>
  <c r="AC47" i="66" s="1"/>
  <c r="AD47" i="66" s="1"/>
  <c r="W46" i="66"/>
  <c r="X46" i="66" s="1"/>
  <c r="Y46" i="66" s="1"/>
  <c r="Z46" i="66" s="1"/>
  <c r="AA46" i="66" s="1"/>
  <c r="AL123" i="64"/>
  <c r="AL120" i="64"/>
  <c r="AL118" i="64"/>
  <c r="AL116" i="64"/>
  <c r="AL122" i="64"/>
  <c r="AL119" i="64"/>
  <c r="AL114" i="64"/>
  <c r="AL121" i="64"/>
  <c r="AL117" i="64"/>
  <c r="AL115" i="64"/>
  <c r="W85" i="66"/>
  <c r="S16" i="64"/>
  <c r="W99" i="66"/>
  <c r="W100" i="66"/>
  <c r="W72" i="66"/>
  <c r="W74" i="66"/>
  <c r="W70" i="66"/>
  <c r="W56" i="66"/>
  <c r="W75" i="66"/>
  <c r="W51" i="66"/>
  <c r="W84" i="66"/>
  <c r="W79" i="66"/>
  <c r="W59" i="66"/>
  <c r="W81" i="66"/>
  <c r="W69" i="66"/>
  <c r="W102" i="66"/>
  <c r="W95" i="66"/>
  <c r="W68" i="66"/>
  <c r="W103" i="66"/>
  <c r="W93" i="66"/>
  <c r="W58" i="66"/>
  <c r="S52" i="64"/>
  <c r="W53" i="66"/>
  <c r="W82" i="66"/>
  <c r="W65" i="66"/>
  <c r="W67" i="66"/>
  <c r="W57" i="66"/>
  <c r="W62" i="66"/>
  <c r="AY100" i="64"/>
  <c r="W64" i="66"/>
  <c r="W88" i="66"/>
  <c r="W52" i="66"/>
  <c r="W91" i="66"/>
  <c r="W71" i="66"/>
  <c r="W54" i="66"/>
  <c r="R17" i="64"/>
  <c r="W73" i="66"/>
  <c r="W55" i="66"/>
  <c r="W66" i="66"/>
  <c r="W90" i="66"/>
  <c r="W86" i="66"/>
  <c r="W80" i="66"/>
  <c r="W76" i="66"/>
  <c r="W92" i="66"/>
  <c r="W49" i="66"/>
  <c r="AY103" i="64"/>
  <c r="W98" i="66"/>
  <c r="W96" i="66"/>
  <c r="W50" i="66"/>
  <c r="W77" i="66"/>
  <c r="W105" i="66"/>
  <c r="W97" i="66"/>
  <c r="W61" i="66"/>
  <c r="W83" i="66"/>
  <c r="W87" i="66"/>
  <c r="W78" i="66"/>
  <c r="W104" i="66"/>
  <c r="W101" i="66"/>
  <c r="S33" i="64"/>
  <c r="W60" i="66"/>
  <c r="S70" i="64"/>
  <c r="AY98" i="64"/>
  <c r="AX98" i="64"/>
  <c r="AZ87" i="64"/>
  <c r="AZ85" i="64"/>
  <c r="AY101" i="64"/>
  <c r="W89" i="66"/>
  <c r="W94" i="66"/>
  <c r="AY99" i="64"/>
  <c r="AX99" i="64"/>
  <c r="W63" i="66"/>
  <c r="AY97" i="64"/>
  <c r="AX102" i="64"/>
  <c r="AW114" i="64"/>
  <c r="AW118" i="64"/>
  <c r="AW116" i="64"/>
  <c r="AW120" i="64"/>
  <c r="AW117" i="64"/>
  <c r="AW115" i="64"/>
  <c r="AW122" i="64"/>
  <c r="AW121" i="64"/>
  <c r="AW119" i="64"/>
  <c r="AW123" i="64"/>
  <c r="AY94" i="64"/>
  <c r="AY96" i="64"/>
  <c r="AY95" i="64"/>
  <c r="AY102" i="64"/>
  <c r="AX96" i="64"/>
  <c r="AX101" i="64"/>
  <c r="AX94" i="64"/>
  <c r="AX100" i="64"/>
  <c r="AX95" i="64"/>
  <c r="AX103" i="64"/>
  <c r="AX97" i="64"/>
  <c r="AZ86" i="64"/>
  <c r="AZ84" i="64"/>
  <c r="AZ92" i="64"/>
  <c r="AZ90" i="64"/>
  <c r="AZ93" i="64"/>
  <c r="AZ89" i="64"/>
  <c r="AZ88" i="64"/>
  <c r="AZ91" i="64"/>
  <c r="G17" i="67" l="1"/>
  <c r="H17" i="67" s="1"/>
  <c r="T17" i="64"/>
  <c r="G34" i="67"/>
  <c r="G53" i="67"/>
  <c r="G71" i="67"/>
  <c r="AB46" i="66"/>
  <c r="AC46" i="66" s="1"/>
  <c r="AD46" i="66" s="1"/>
  <c r="X49" i="66"/>
  <c r="Y49" i="66" s="1"/>
  <c r="Z49" i="66" s="1"/>
  <c r="AA49" i="66" s="1"/>
  <c r="AB49" i="66" s="1"/>
  <c r="AC49" i="66" s="1"/>
  <c r="AD49" i="66" s="1"/>
  <c r="X51" i="66"/>
  <c r="Y51" i="66" s="1"/>
  <c r="Z51" i="66" s="1"/>
  <c r="AA51" i="66" s="1"/>
  <c r="X50" i="66"/>
  <c r="Y50" i="66" s="1"/>
  <c r="Z50" i="66" s="1"/>
  <c r="AA50" i="66" s="1"/>
  <c r="AB50" i="66" s="1"/>
  <c r="AC50" i="66" s="1"/>
  <c r="AD50" i="66" s="1"/>
  <c r="X52" i="66"/>
  <c r="Y52" i="66" s="1"/>
  <c r="Z52" i="66" s="1"/>
  <c r="AA52" i="66" s="1"/>
  <c r="AB52" i="66" s="1"/>
  <c r="AC52" i="66" s="1"/>
  <c r="AD52" i="66" s="1"/>
  <c r="X58" i="66"/>
  <c r="N118" i="67"/>
  <c r="N117" i="67"/>
  <c r="N121" i="67"/>
  <c r="N116" i="67"/>
  <c r="N120" i="67"/>
  <c r="N123" i="67"/>
  <c r="N119" i="67"/>
  <c r="N114" i="67"/>
  <c r="N122" i="67"/>
  <c r="N115" i="67"/>
  <c r="X104" i="66"/>
  <c r="AL125" i="64"/>
  <c r="X93" i="66"/>
  <c r="X53" i="66"/>
  <c r="X70" i="66"/>
  <c r="X62" i="66"/>
  <c r="X59" i="66"/>
  <c r="X89" i="66"/>
  <c r="R69" i="64"/>
  <c r="X84" i="66"/>
  <c r="AL132" i="64"/>
  <c r="X96" i="66"/>
  <c r="X82" i="66"/>
  <c r="X100" i="66"/>
  <c r="X73" i="66"/>
  <c r="X92" i="66"/>
  <c r="AL133" i="64"/>
  <c r="X79" i="66"/>
  <c r="X91" i="66"/>
  <c r="X61" i="66"/>
  <c r="X86" i="66"/>
  <c r="X87" i="66"/>
  <c r="X105" i="66"/>
  <c r="R51" i="64"/>
  <c r="X72" i="66"/>
  <c r="X103" i="66"/>
  <c r="X85" i="66"/>
  <c r="X68" i="66"/>
  <c r="X98" i="66"/>
  <c r="X101" i="66"/>
  <c r="AL124" i="64"/>
  <c r="X54" i="66"/>
  <c r="X97" i="66"/>
  <c r="X77" i="66"/>
  <c r="X57" i="66"/>
  <c r="AL126" i="64"/>
  <c r="AL131" i="64"/>
  <c r="X75" i="66"/>
  <c r="X80" i="66"/>
  <c r="X55" i="66"/>
  <c r="AL128" i="64"/>
  <c r="X69" i="66"/>
  <c r="X95" i="66"/>
  <c r="X63" i="66"/>
  <c r="X99" i="66"/>
  <c r="X65" i="66"/>
  <c r="X64" i="66"/>
  <c r="X60" i="66"/>
  <c r="Q17" i="64"/>
  <c r="X81" i="66"/>
  <c r="X76" i="66"/>
  <c r="X66" i="66"/>
  <c r="X88" i="66"/>
  <c r="AL127" i="64"/>
  <c r="X90" i="66"/>
  <c r="Q34" i="64"/>
  <c r="S34" i="64" s="1"/>
  <c r="X78" i="66"/>
  <c r="X67" i="66"/>
  <c r="X102" i="66"/>
  <c r="AL130" i="64"/>
  <c r="AL129" i="64"/>
  <c r="X83" i="66"/>
  <c r="X94" i="66"/>
  <c r="X71" i="66"/>
  <c r="R32" i="64"/>
  <c r="X56" i="66"/>
  <c r="X74" i="66"/>
  <c r="AX107" i="64"/>
  <c r="AX108" i="64"/>
  <c r="AX109" i="64"/>
  <c r="AX104" i="64"/>
  <c r="AX110" i="64"/>
  <c r="AX106" i="64"/>
  <c r="AX112" i="64"/>
  <c r="AX113" i="64"/>
  <c r="AX105" i="64"/>
  <c r="AX111" i="64"/>
  <c r="T32" i="64" l="1"/>
  <c r="P32" i="60"/>
  <c r="G35" i="67"/>
  <c r="P49" i="60"/>
  <c r="T51" i="64"/>
  <c r="T69" i="64"/>
  <c r="AB51" i="66"/>
  <c r="AC51" i="66" s="1"/>
  <c r="AD51" i="66" s="1"/>
  <c r="J15" i="67"/>
  <c r="I15" i="67"/>
  <c r="Y55" i="66"/>
  <c r="Y53" i="66"/>
  <c r="Z53" i="66" s="1"/>
  <c r="AA53" i="66" s="1"/>
  <c r="Y54" i="66"/>
  <c r="Z54" i="66" s="1"/>
  <c r="AA54" i="66" s="1"/>
  <c r="AB54" i="66" s="1"/>
  <c r="Y68" i="66"/>
  <c r="Y79" i="66"/>
  <c r="S17" i="64"/>
  <c r="Y62" i="66"/>
  <c r="Y69" i="66"/>
  <c r="Y74" i="66"/>
  <c r="Y90" i="66"/>
  <c r="Y89" i="66"/>
  <c r="Y87" i="66"/>
  <c r="Y84" i="66"/>
  <c r="Y63" i="66"/>
  <c r="Y61" i="66"/>
  <c r="Y105" i="66"/>
  <c r="Y71" i="66"/>
  <c r="Y72" i="66"/>
  <c r="Y73" i="66"/>
  <c r="Y86" i="66"/>
  <c r="Y57" i="66"/>
  <c r="Y66" i="66"/>
  <c r="Y80" i="66"/>
  <c r="Q89" i="64"/>
  <c r="Y76" i="66"/>
  <c r="Y70" i="66"/>
  <c r="Y102" i="66"/>
  <c r="Y97" i="66"/>
  <c r="Y98" i="66"/>
  <c r="Y101" i="66"/>
  <c r="Y56" i="66"/>
  <c r="Y99" i="66"/>
  <c r="Y91" i="66"/>
  <c r="Y78" i="66"/>
  <c r="Y83" i="66"/>
  <c r="Y93" i="66"/>
  <c r="Y103" i="66"/>
  <c r="Y94" i="66"/>
  <c r="Y95" i="66"/>
  <c r="Y96" i="66"/>
  <c r="Y88" i="66"/>
  <c r="Y77" i="66"/>
  <c r="Y60" i="66"/>
  <c r="Y58" i="66"/>
  <c r="Y75" i="66"/>
  <c r="Y81" i="66"/>
  <c r="Y104" i="66"/>
  <c r="Y85" i="66"/>
  <c r="Y59" i="66"/>
  <c r="Y67" i="66"/>
  <c r="Y82" i="66"/>
  <c r="Y92" i="66"/>
  <c r="Y100" i="66"/>
  <c r="Y64" i="66"/>
  <c r="Y65" i="66"/>
  <c r="AW125" i="64"/>
  <c r="AW128" i="64"/>
  <c r="AW127" i="64"/>
  <c r="AW131" i="64"/>
  <c r="AW132" i="64"/>
  <c r="AW129" i="64"/>
  <c r="AW126" i="64"/>
  <c r="AW133" i="64"/>
  <c r="AW124" i="64"/>
  <c r="AW130" i="64"/>
  <c r="G18" i="67" l="1"/>
  <c r="H18" i="67" s="1"/>
  <c r="P104" i="60"/>
  <c r="Z55" i="66"/>
  <c r="AC54" i="66"/>
  <c r="AD54" i="66" s="1"/>
  <c r="AB53" i="66"/>
  <c r="AC53" i="66" s="1"/>
  <c r="AD53" i="66" s="1"/>
  <c r="I16" i="67"/>
  <c r="K15" i="67"/>
  <c r="J16" i="67"/>
  <c r="Z58" i="66"/>
  <c r="AA58" i="66" s="1"/>
  <c r="AB58" i="66" s="1"/>
  <c r="AC58" i="66" s="1"/>
  <c r="AD58" i="66" s="1"/>
  <c r="Z56" i="66"/>
  <c r="AA56" i="66" s="1"/>
  <c r="AB56" i="66" s="1"/>
  <c r="AC56" i="66" s="1"/>
  <c r="AD56" i="66" s="1"/>
  <c r="Z57" i="66"/>
  <c r="AA57" i="66" s="1"/>
  <c r="AB57" i="66" s="1"/>
  <c r="AC57" i="66" s="1"/>
  <c r="AD57" i="66" s="1"/>
  <c r="R88" i="64"/>
  <c r="S89" i="64"/>
  <c r="Z91" i="66"/>
  <c r="Z105" i="66"/>
  <c r="Z68" i="66"/>
  <c r="Z93" i="66"/>
  <c r="Z80" i="66"/>
  <c r="Z100" i="66"/>
  <c r="R18" i="64"/>
  <c r="Z70" i="66"/>
  <c r="Z81" i="66"/>
  <c r="Z75" i="66"/>
  <c r="Z61" i="66"/>
  <c r="Z90" i="66"/>
  <c r="Z88" i="66"/>
  <c r="Z84" i="66"/>
  <c r="N132" i="67"/>
  <c r="N124" i="67"/>
  <c r="N127" i="67"/>
  <c r="N131" i="67"/>
  <c r="N125" i="67"/>
  <c r="N133" i="67"/>
  <c r="N130" i="67"/>
  <c r="N126" i="67"/>
  <c r="N128" i="67"/>
  <c r="N129" i="67"/>
  <c r="Z82" i="66"/>
  <c r="Z83" i="66"/>
  <c r="Z102" i="66"/>
  <c r="Z101" i="66"/>
  <c r="Z96" i="66"/>
  <c r="Z95" i="66"/>
  <c r="Z67" i="66"/>
  <c r="Z59" i="66"/>
  <c r="Z79" i="66"/>
  <c r="Z94" i="66"/>
  <c r="R33" i="64"/>
  <c r="Z64" i="66"/>
  <c r="Z103" i="66"/>
  <c r="Z66" i="66"/>
  <c r="R70" i="64"/>
  <c r="Z92" i="66"/>
  <c r="Z65" i="66"/>
  <c r="Z104" i="66"/>
  <c r="Z78" i="66"/>
  <c r="Z74" i="66"/>
  <c r="Z98" i="66"/>
  <c r="Z69" i="66"/>
  <c r="Z89" i="66"/>
  <c r="Z71" i="66"/>
  <c r="Z85" i="66"/>
  <c r="Z77" i="66"/>
  <c r="R52" i="64"/>
  <c r="Z87" i="66"/>
  <c r="Z99" i="66"/>
  <c r="Z60" i="66"/>
  <c r="Z63" i="66"/>
  <c r="Z62" i="66"/>
  <c r="Z76" i="66"/>
  <c r="Z73" i="66"/>
  <c r="Z97" i="66"/>
  <c r="Z86" i="66"/>
  <c r="Z72" i="66"/>
  <c r="BA92" i="64"/>
  <c r="BA86" i="64"/>
  <c r="BA91" i="64"/>
  <c r="BA90" i="64"/>
  <c r="BA88" i="64"/>
  <c r="BA87" i="64"/>
  <c r="BA84" i="64"/>
  <c r="BA85" i="64"/>
  <c r="BA93" i="64"/>
  <c r="BA89" i="64"/>
  <c r="G90" i="67" l="1"/>
  <c r="T88" i="64"/>
  <c r="T18" i="64"/>
  <c r="T33" i="64"/>
  <c r="T52" i="64"/>
  <c r="T70" i="64"/>
  <c r="AA55" i="66"/>
  <c r="J17" i="67"/>
  <c r="I17" i="67"/>
  <c r="K16" i="67"/>
  <c r="AA61" i="66"/>
  <c r="AB61" i="66" s="1"/>
  <c r="AC61" i="66" s="1"/>
  <c r="AD61" i="66" s="1"/>
  <c r="AA59" i="66"/>
  <c r="AB59" i="66" s="1"/>
  <c r="AC59" i="66" s="1"/>
  <c r="AD59" i="66" s="1"/>
  <c r="AA60" i="66"/>
  <c r="AB60" i="66" s="1"/>
  <c r="AC60" i="66" s="1"/>
  <c r="AD60" i="66" s="1"/>
  <c r="Q18" i="64"/>
  <c r="AO92" i="64"/>
  <c r="AA92" i="66"/>
  <c r="AN100" i="64"/>
  <c r="AA85" i="66"/>
  <c r="AA80" i="66"/>
  <c r="AA104" i="66"/>
  <c r="AA64" i="66"/>
  <c r="AL138" i="64"/>
  <c r="AA67" i="66"/>
  <c r="AM98" i="64"/>
  <c r="AA79" i="66"/>
  <c r="AA91" i="66"/>
  <c r="AA87" i="66"/>
  <c r="AN97" i="64"/>
  <c r="AO90" i="64"/>
  <c r="AA74" i="66"/>
  <c r="AO87" i="64"/>
  <c r="AA100" i="66"/>
  <c r="AN95" i="64"/>
  <c r="AL143" i="64"/>
  <c r="AA97" i="66"/>
  <c r="AM102" i="64"/>
  <c r="AA102" i="66"/>
  <c r="AA82" i="66"/>
  <c r="R34" i="64"/>
  <c r="AA73" i="66"/>
  <c r="AA63" i="66"/>
  <c r="AN101" i="64"/>
  <c r="AA71" i="66"/>
  <c r="AA68" i="66"/>
  <c r="AA94" i="66"/>
  <c r="AL141" i="64"/>
  <c r="AO89" i="64"/>
  <c r="AM99" i="64"/>
  <c r="AA99" i="66"/>
  <c r="AA88" i="66"/>
  <c r="AO86" i="64"/>
  <c r="AM95" i="64"/>
  <c r="R89" i="64"/>
  <c r="AN102" i="64"/>
  <c r="AO85" i="64"/>
  <c r="AA76" i="66"/>
  <c r="AA81" i="66"/>
  <c r="AA62" i="66"/>
  <c r="AA70" i="66"/>
  <c r="AL134" i="64"/>
  <c r="AA78" i="66"/>
  <c r="AM103" i="64"/>
  <c r="AA93" i="66"/>
  <c r="AM100" i="64"/>
  <c r="AO88" i="64"/>
  <c r="AA86" i="66"/>
  <c r="AN99" i="64"/>
  <c r="AA103" i="66"/>
  <c r="AA89" i="66"/>
  <c r="AO84" i="64"/>
  <c r="AN98" i="64"/>
  <c r="AA84" i="66"/>
  <c r="AL135" i="64"/>
  <c r="AL142" i="64"/>
  <c r="AA83" i="66"/>
  <c r="AM101" i="64"/>
  <c r="AA77" i="66"/>
  <c r="AA101" i="66"/>
  <c r="AA105" i="66"/>
  <c r="AA69" i="66"/>
  <c r="AA72" i="66"/>
  <c r="AN103" i="64"/>
  <c r="AO91" i="64"/>
  <c r="AA90" i="66"/>
  <c r="AA75" i="66"/>
  <c r="AL139" i="64"/>
  <c r="AL136" i="64"/>
  <c r="AM97" i="64"/>
  <c r="AL137" i="64"/>
  <c r="AM96" i="64"/>
  <c r="AL140" i="64"/>
  <c r="AM94" i="64"/>
  <c r="AA98" i="66"/>
  <c r="AA95" i="66"/>
  <c r="AO93" i="64"/>
  <c r="AA65" i="66"/>
  <c r="AA66" i="66"/>
  <c r="AN94" i="64"/>
  <c r="AA96" i="66"/>
  <c r="AN96" i="64"/>
  <c r="P33" i="60" l="1"/>
  <c r="T34" i="64"/>
  <c r="T89" i="64"/>
  <c r="AB55" i="66"/>
  <c r="J18" i="67"/>
  <c r="I18" i="67"/>
  <c r="K17" i="67"/>
  <c r="AB64" i="66"/>
  <c r="AB63" i="66"/>
  <c r="AB62" i="66"/>
  <c r="AC62" i="66" s="1"/>
  <c r="AD62" i="66" s="1"/>
  <c r="AM110" i="64"/>
  <c r="AP89" i="64"/>
  <c r="AB82" i="66"/>
  <c r="AB92" i="66"/>
  <c r="AP91" i="64"/>
  <c r="AP87" i="64"/>
  <c r="AB105" i="66"/>
  <c r="R19" i="64"/>
  <c r="AM107" i="64"/>
  <c r="AB93" i="66"/>
  <c r="AB65" i="66"/>
  <c r="AB78" i="66"/>
  <c r="AB76" i="66"/>
  <c r="AM105" i="64"/>
  <c r="AP88" i="64"/>
  <c r="AB84" i="66"/>
  <c r="AB103" i="66"/>
  <c r="AB89" i="66"/>
  <c r="AB99" i="66"/>
  <c r="AB75" i="66"/>
  <c r="R53" i="64"/>
  <c r="AM113" i="64"/>
  <c r="AP84" i="64"/>
  <c r="AB66" i="66"/>
  <c r="AP86" i="64"/>
  <c r="AB90" i="66"/>
  <c r="AB83" i="66"/>
  <c r="AB85" i="66"/>
  <c r="AM106" i="64"/>
  <c r="AM104" i="64"/>
  <c r="AB68" i="66"/>
  <c r="AB77" i="66"/>
  <c r="AB72" i="66"/>
  <c r="AB102" i="66"/>
  <c r="AB69" i="66"/>
  <c r="AB100" i="66"/>
  <c r="AB98" i="66"/>
  <c r="AB79" i="66"/>
  <c r="AB94" i="66"/>
  <c r="AM109" i="64"/>
  <c r="AP85" i="64"/>
  <c r="AB70" i="66"/>
  <c r="AP90" i="64"/>
  <c r="AP93" i="64"/>
  <c r="AB101" i="66"/>
  <c r="AB80" i="66"/>
  <c r="AB104" i="66"/>
  <c r="AB91" i="66"/>
  <c r="AP92" i="64"/>
  <c r="AB67" i="66"/>
  <c r="R71" i="64"/>
  <c r="AM112" i="64"/>
  <c r="AB88" i="66"/>
  <c r="AM108" i="64"/>
  <c r="AB87" i="66"/>
  <c r="AB74" i="66"/>
  <c r="AB96" i="66"/>
  <c r="AB81" i="66"/>
  <c r="AB71" i="66"/>
  <c r="AB95" i="66"/>
  <c r="AM111" i="64"/>
  <c r="AB97" i="66"/>
  <c r="AB86" i="66"/>
  <c r="S18" i="64"/>
  <c r="AB73" i="66"/>
  <c r="AW141" i="64"/>
  <c r="AW139" i="64"/>
  <c r="AW137" i="64"/>
  <c r="AW138" i="64"/>
  <c r="AW136" i="64"/>
  <c r="AW135" i="64"/>
  <c r="AW140" i="64"/>
  <c r="AW134" i="64"/>
  <c r="AW142" i="64"/>
  <c r="AW143" i="64"/>
  <c r="G19" i="67" l="1"/>
  <c r="H19" i="67" s="1"/>
  <c r="T53" i="64"/>
  <c r="T19" i="64"/>
  <c r="T71" i="64"/>
  <c r="AC63" i="66"/>
  <c r="AD63" i="66" s="1"/>
  <c r="AC64" i="66"/>
  <c r="AD64" i="66" s="1"/>
  <c r="AC55" i="66"/>
  <c r="I19" i="67"/>
  <c r="K18" i="67"/>
  <c r="AC65" i="66"/>
  <c r="AD65" i="66" s="1"/>
  <c r="AC66" i="66"/>
  <c r="AD66" i="66" s="1"/>
  <c r="N135" i="67"/>
  <c r="N141" i="67"/>
  <c r="N142" i="67"/>
  <c r="N143" i="67"/>
  <c r="N136" i="67"/>
  <c r="N138" i="67"/>
  <c r="N140" i="67"/>
  <c r="N137" i="67"/>
  <c r="N134" i="67"/>
  <c r="N139" i="67"/>
  <c r="AC92" i="66"/>
  <c r="Q53" i="64"/>
  <c r="AL153" i="64"/>
  <c r="AL150" i="64"/>
  <c r="AN109" i="64"/>
  <c r="AC87" i="66"/>
  <c r="AO96" i="64"/>
  <c r="AC99" i="66"/>
  <c r="AC94" i="66"/>
  <c r="AC86" i="66"/>
  <c r="AC105" i="66"/>
  <c r="Q19" i="64"/>
  <c r="AL147" i="64"/>
  <c r="AL144" i="64"/>
  <c r="AN105" i="64"/>
  <c r="AC77" i="66"/>
  <c r="AC75" i="66"/>
  <c r="AC73" i="66"/>
  <c r="AC82" i="66"/>
  <c r="AC103" i="66"/>
  <c r="AO102" i="64"/>
  <c r="AL149" i="64"/>
  <c r="AC104" i="66"/>
  <c r="AN112" i="64"/>
  <c r="Q71" i="64"/>
  <c r="AO103" i="64"/>
  <c r="AC67" i="66"/>
  <c r="AC101" i="66"/>
  <c r="AC90" i="66"/>
  <c r="AC83" i="66"/>
  <c r="AO98" i="64"/>
  <c r="AC68" i="66"/>
  <c r="AC95" i="66"/>
  <c r="AL148" i="64"/>
  <c r="AC102" i="66"/>
  <c r="AO95" i="64"/>
  <c r="AC72" i="66"/>
  <c r="AC98" i="66"/>
  <c r="AL146" i="64"/>
  <c r="AC89" i="66"/>
  <c r="AN110" i="64"/>
  <c r="AC69" i="66"/>
  <c r="AC88" i="66"/>
  <c r="AC78" i="66"/>
  <c r="AO94" i="64"/>
  <c r="AC96" i="66"/>
  <c r="AC80" i="66"/>
  <c r="AC81" i="66"/>
  <c r="AL152" i="64"/>
  <c r="AN107" i="64"/>
  <c r="AN106" i="64"/>
  <c r="AC79" i="66"/>
  <c r="AC97" i="66"/>
  <c r="AC85" i="66"/>
  <c r="AC76" i="66"/>
  <c r="AL145" i="64"/>
  <c r="AN113" i="64"/>
  <c r="AN104" i="64"/>
  <c r="S53" i="64"/>
  <c r="AO99" i="64"/>
  <c r="AC84" i="66"/>
  <c r="AC93" i="66"/>
  <c r="AC91" i="66"/>
  <c r="AO100" i="64"/>
  <c r="AY110" i="64"/>
  <c r="AC71" i="66"/>
  <c r="AL151" i="64"/>
  <c r="AN108" i="64"/>
  <c r="AC70" i="66"/>
  <c r="AC74" i="66"/>
  <c r="AO97" i="64"/>
  <c r="R90" i="64"/>
  <c r="AN111" i="64"/>
  <c r="AC100" i="66"/>
  <c r="AO101" i="64"/>
  <c r="AY105" i="64"/>
  <c r="R35" i="64"/>
  <c r="AY111" i="64"/>
  <c r="AY109" i="64"/>
  <c r="AY108" i="64"/>
  <c r="AY112" i="64"/>
  <c r="AY113" i="64"/>
  <c r="AY107" i="64"/>
  <c r="AY106" i="64"/>
  <c r="AY104" i="64"/>
  <c r="P34" i="60" l="1"/>
  <c r="P68" i="60"/>
  <c r="J19" i="67"/>
  <c r="K19" i="67" s="1"/>
  <c r="T35" i="64"/>
  <c r="G54" i="67"/>
  <c r="P86" i="60"/>
  <c r="T90" i="64"/>
  <c r="AD55" i="66"/>
  <c r="I20" i="67"/>
  <c r="AD69" i="66"/>
  <c r="AD67" i="66"/>
  <c r="AD68" i="66"/>
  <c r="F32" i="71"/>
  <c r="F30" i="71"/>
  <c r="F31" i="71"/>
  <c r="H32" i="71"/>
  <c r="H30" i="71"/>
  <c r="H29" i="71"/>
  <c r="H31" i="71"/>
  <c r="Q35" i="64"/>
  <c r="AP102" i="64"/>
  <c r="AU130" i="71"/>
  <c r="AU110" i="71"/>
  <c r="AW157" i="71"/>
  <c r="AW162" i="71"/>
  <c r="AU158" i="71"/>
  <c r="AD92" i="66"/>
  <c r="AW92" i="71"/>
  <c r="AU124" i="71"/>
  <c r="AU145" i="71"/>
  <c r="AU106" i="71"/>
  <c r="AW136" i="71"/>
  <c r="AU139" i="71"/>
  <c r="AU157" i="71"/>
  <c r="AU99" i="71"/>
  <c r="AU148" i="71"/>
  <c r="AD90" i="66"/>
  <c r="AD84" i="66"/>
  <c r="AD82" i="66"/>
  <c r="AU152" i="71"/>
  <c r="Q77" i="64"/>
  <c r="AW91" i="71"/>
  <c r="AM120" i="64"/>
  <c r="AU147" i="71"/>
  <c r="AW111" i="71"/>
  <c r="Q74" i="64"/>
  <c r="Q20" i="64"/>
  <c r="R54" i="64"/>
  <c r="R95" i="64"/>
  <c r="R94" i="64"/>
  <c r="R73" i="64"/>
  <c r="AW138" i="71"/>
  <c r="AU114" i="71"/>
  <c r="AU153" i="71"/>
  <c r="AW147" i="71"/>
  <c r="AD101" i="66"/>
  <c r="R91" i="64"/>
  <c r="S71" i="64"/>
  <c r="AU160" i="71"/>
  <c r="AP95" i="64"/>
  <c r="AW132" i="71"/>
  <c r="AW96" i="71"/>
  <c r="AU119" i="71"/>
  <c r="AU131" i="71"/>
  <c r="AW115" i="71"/>
  <c r="AW133" i="71"/>
  <c r="AU127" i="71"/>
  <c r="AD103" i="66"/>
  <c r="AW145" i="71"/>
  <c r="AD105" i="66"/>
  <c r="AW149" i="71"/>
  <c r="Q55" i="64"/>
  <c r="Q73" i="64"/>
  <c r="AP101" i="64"/>
  <c r="AU94" i="71"/>
  <c r="AD83" i="66"/>
  <c r="AD99" i="66"/>
  <c r="AU113" i="71"/>
  <c r="AW164" i="71"/>
  <c r="AM118" i="64"/>
  <c r="AD75" i="66"/>
  <c r="Q91" i="64"/>
  <c r="Q58" i="64"/>
  <c r="R37" i="64"/>
  <c r="AU142" i="71"/>
  <c r="AW89" i="71"/>
  <c r="R93" i="64"/>
  <c r="S19" i="64"/>
  <c r="AP100" i="64"/>
  <c r="AU132" i="71"/>
  <c r="AW127" i="71"/>
  <c r="AU155" i="71"/>
  <c r="AD78" i="66"/>
  <c r="AU161" i="71"/>
  <c r="AU123" i="71"/>
  <c r="AW107" i="71"/>
  <c r="AD74" i="66"/>
  <c r="AW151" i="71"/>
  <c r="AU96" i="71"/>
  <c r="AU95" i="71"/>
  <c r="AU137" i="71"/>
  <c r="AD73" i="66"/>
  <c r="AW156" i="71"/>
  <c r="AW142" i="71"/>
  <c r="AU159" i="71"/>
  <c r="AP99" i="64"/>
  <c r="Q56" i="64"/>
  <c r="AU144" i="71"/>
  <c r="AU109" i="71"/>
  <c r="AW99" i="71"/>
  <c r="AM115" i="64"/>
  <c r="AU120" i="71"/>
  <c r="Q94" i="64"/>
  <c r="R58" i="64"/>
  <c r="R36" i="64"/>
  <c r="R96" i="64"/>
  <c r="S20" i="64"/>
  <c r="AW154" i="64"/>
  <c r="AU111" i="71"/>
  <c r="AW93" i="71"/>
  <c r="AW94" i="71"/>
  <c r="AU105" i="71"/>
  <c r="AP98" i="64"/>
  <c r="AU98" i="71"/>
  <c r="AD100" i="66"/>
  <c r="AU104" i="71"/>
  <c r="AD88" i="66"/>
  <c r="Q96" i="64"/>
  <c r="Q90" i="64"/>
  <c r="AD79" i="66"/>
  <c r="AU93" i="71"/>
  <c r="AW148" i="71"/>
  <c r="AD76" i="66"/>
  <c r="AU150" i="71"/>
  <c r="AW154" i="71"/>
  <c r="AU134" i="71"/>
  <c r="AW128" i="71"/>
  <c r="AD87" i="66"/>
  <c r="AW143" i="71"/>
  <c r="AW104" i="71"/>
  <c r="AU112" i="71"/>
  <c r="AW163" i="71"/>
  <c r="Q39" i="64"/>
  <c r="AW144" i="71"/>
  <c r="AW130" i="71"/>
  <c r="AW123" i="71"/>
  <c r="AU163" i="71"/>
  <c r="AD86" i="66"/>
  <c r="AU121" i="71"/>
  <c r="AW155" i="71"/>
  <c r="AM119" i="64"/>
  <c r="AM122" i="64"/>
  <c r="AU136" i="71"/>
  <c r="Q92" i="64"/>
  <c r="Q72" i="64"/>
  <c r="R92" i="64"/>
  <c r="R56" i="64"/>
  <c r="R57" i="64"/>
  <c r="AW160" i="64"/>
  <c r="AW163" i="64"/>
  <c r="AW159" i="64"/>
  <c r="AU138" i="71"/>
  <c r="AW122" i="71"/>
  <c r="AW137" i="71"/>
  <c r="AD70" i="66"/>
  <c r="R20" i="64"/>
  <c r="AU164" i="71"/>
  <c r="Q57" i="64"/>
  <c r="AD71" i="66"/>
  <c r="AU135" i="71"/>
  <c r="AD77" i="66"/>
  <c r="AW110" i="71"/>
  <c r="AU146" i="71"/>
  <c r="AP103" i="64"/>
  <c r="AD85" i="66"/>
  <c r="AU91" i="71"/>
  <c r="AU115" i="71"/>
  <c r="AU162" i="71"/>
  <c r="AD72" i="66"/>
  <c r="AW98" i="71"/>
  <c r="AW140" i="71"/>
  <c r="AW90" i="71"/>
  <c r="AU97" i="71"/>
  <c r="AW109" i="71"/>
  <c r="AW97" i="71"/>
  <c r="AW126" i="71"/>
  <c r="AW125" i="71"/>
  <c r="AD95" i="66"/>
  <c r="AP96" i="64"/>
  <c r="AU151" i="71"/>
  <c r="AM116" i="64"/>
  <c r="AM123" i="64"/>
  <c r="AW161" i="71"/>
  <c r="Q76" i="64"/>
  <c r="Q54" i="64"/>
  <c r="R75" i="64"/>
  <c r="R72" i="64"/>
  <c r="R74" i="64"/>
  <c r="AW164" i="64"/>
  <c r="AW114" i="71"/>
  <c r="AW119" i="71"/>
  <c r="AW146" i="71"/>
  <c r="AD89" i="66"/>
  <c r="R38" i="64"/>
  <c r="S54" i="64"/>
  <c r="AD96" i="66"/>
  <c r="AD98" i="66"/>
  <c r="AU129" i="71"/>
  <c r="AU149" i="71"/>
  <c r="AD102" i="66"/>
  <c r="AW159" i="71"/>
  <c r="AW131" i="71"/>
  <c r="AP97" i="64"/>
  <c r="AW158" i="71"/>
  <c r="AW139" i="71"/>
  <c r="AU156" i="71"/>
  <c r="AU141" i="71"/>
  <c r="AU126" i="71"/>
  <c r="AW121" i="71"/>
  <c r="AU116" i="71"/>
  <c r="AW153" i="71"/>
  <c r="Q38" i="64"/>
  <c r="AD97" i="66"/>
  <c r="AW86" i="71"/>
  <c r="AW124" i="71"/>
  <c r="AW105" i="71"/>
  <c r="AD80" i="66"/>
  <c r="AD81" i="66"/>
  <c r="Q93" i="64"/>
  <c r="AM114" i="64"/>
  <c r="AD91" i="66"/>
  <c r="AW160" i="71"/>
  <c r="Q95" i="64"/>
  <c r="Q36" i="64"/>
  <c r="S36" i="64" s="1"/>
  <c r="R77" i="64"/>
  <c r="R55" i="64"/>
  <c r="R76" i="64"/>
  <c r="AY120" i="64"/>
  <c r="AW158" i="64"/>
  <c r="AW101" i="71"/>
  <c r="AP94" i="64"/>
  <c r="AM117" i="64"/>
  <c r="Q75" i="64"/>
  <c r="AW157" i="64"/>
  <c r="AU154" i="71"/>
  <c r="AW102" i="71"/>
  <c r="AW134" i="71"/>
  <c r="AM121" i="64"/>
  <c r="R39" i="64"/>
  <c r="AW162" i="64"/>
  <c r="AD94" i="66"/>
  <c r="AW141" i="71"/>
  <c r="AU100" i="71"/>
  <c r="AU143" i="71"/>
  <c r="AD104" i="66"/>
  <c r="AU125" i="71"/>
  <c r="AW150" i="71"/>
  <c r="AW152" i="71"/>
  <c r="AW129" i="71"/>
  <c r="AW135" i="71"/>
  <c r="AU140" i="71"/>
  <c r="AU107" i="71"/>
  <c r="AW117" i="71"/>
  <c r="AD93" i="66"/>
  <c r="Q37" i="64"/>
  <c r="S37" i="64" s="1"/>
  <c r="AY115" i="64"/>
  <c r="AW155" i="64"/>
  <c r="S35" i="64"/>
  <c r="AZ101" i="64"/>
  <c r="AZ95" i="64"/>
  <c r="AZ96" i="64"/>
  <c r="AZ100" i="64"/>
  <c r="AZ103" i="64"/>
  <c r="AZ94" i="64"/>
  <c r="AZ97" i="64"/>
  <c r="AZ99" i="64"/>
  <c r="AZ102" i="64"/>
  <c r="AZ98" i="64"/>
  <c r="AW156" i="64"/>
  <c r="AW161" i="64"/>
  <c r="AW145" i="64"/>
  <c r="AW148" i="64"/>
  <c r="AW149" i="64"/>
  <c r="AW146" i="64"/>
  <c r="AW151" i="64"/>
  <c r="AW152" i="64"/>
  <c r="AW153" i="64"/>
  <c r="AW147" i="64"/>
  <c r="AW144" i="64"/>
  <c r="AW150" i="64"/>
  <c r="S90" i="64"/>
  <c r="AY122" i="64"/>
  <c r="AY118" i="64"/>
  <c r="AY116" i="64"/>
  <c r="AY117" i="64"/>
  <c r="AY121" i="64"/>
  <c r="AY114" i="64"/>
  <c r="AY123" i="64"/>
  <c r="AY119" i="64"/>
  <c r="AX139" i="64"/>
  <c r="AX136" i="64"/>
  <c r="AX134" i="64"/>
  <c r="AX137" i="64"/>
  <c r="AX143" i="64"/>
  <c r="AX135" i="64"/>
  <c r="AX142" i="64"/>
  <c r="AX141" i="64"/>
  <c r="AX140" i="64"/>
  <c r="AX138" i="64"/>
  <c r="AX128" i="64"/>
  <c r="AX130" i="64"/>
  <c r="AX124" i="64"/>
  <c r="AX126" i="64"/>
  <c r="AX133" i="64"/>
  <c r="AX129" i="64"/>
  <c r="AX127" i="64"/>
  <c r="AX131" i="64"/>
  <c r="AX125" i="64"/>
  <c r="AX132" i="64"/>
  <c r="AX123" i="64"/>
  <c r="AX120" i="64"/>
  <c r="AX116" i="64"/>
  <c r="AX122" i="64"/>
  <c r="AX121" i="64"/>
  <c r="AX118" i="64"/>
  <c r="AX117" i="64"/>
  <c r="AX114" i="64"/>
  <c r="AX115" i="64"/>
  <c r="AX119" i="64"/>
  <c r="BA98" i="64"/>
  <c r="BA94" i="64"/>
  <c r="BA103" i="64"/>
  <c r="BA99" i="64"/>
  <c r="BA95" i="64"/>
  <c r="BA101" i="64"/>
  <c r="BA96" i="64"/>
  <c r="BA102" i="64"/>
  <c r="BA100" i="64"/>
  <c r="BA97" i="64"/>
  <c r="G36" i="67" l="1"/>
  <c r="P105" i="60"/>
  <c r="G20" i="67"/>
  <c r="G72" i="67"/>
  <c r="P50" i="60"/>
  <c r="G21" i="67"/>
  <c r="H21" i="67" s="1"/>
  <c r="G38" i="67"/>
  <c r="G37" i="67"/>
  <c r="G55" i="67"/>
  <c r="T38" i="64"/>
  <c r="T55" i="64"/>
  <c r="T72" i="64"/>
  <c r="T56" i="64"/>
  <c r="T39" i="64"/>
  <c r="T36" i="64"/>
  <c r="T37" i="64"/>
  <c r="T54" i="64"/>
  <c r="T20" i="64"/>
  <c r="P35" i="60"/>
  <c r="P52" i="60"/>
  <c r="P51" i="60"/>
  <c r="P69" i="60"/>
  <c r="P87" i="60"/>
  <c r="G91" i="67"/>
  <c r="P70" i="60"/>
  <c r="P53" i="60"/>
  <c r="P54" i="60"/>
  <c r="P71" i="60"/>
  <c r="T96" i="64"/>
  <c r="T94" i="64"/>
  <c r="T77" i="64"/>
  <c r="T93" i="64"/>
  <c r="T76" i="64"/>
  <c r="T95" i="64"/>
  <c r="T57" i="64"/>
  <c r="T58" i="64"/>
  <c r="T74" i="64"/>
  <c r="T73" i="64"/>
  <c r="T91" i="64"/>
  <c r="T92" i="64"/>
  <c r="T75" i="64"/>
  <c r="P72" i="60"/>
  <c r="P88" i="60"/>
  <c r="P106" i="60"/>
  <c r="P89" i="60"/>
  <c r="P107" i="60"/>
  <c r="P90" i="60"/>
  <c r="P73" i="60"/>
  <c r="P91" i="60"/>
  <c r="P108" i="60"/>
  <c r="P110" i="60"/>
  <c r="P109" i="60"/>
  <c r="P92" i="60"/>
  <c r="P111" i="60"/>
  <c r="I21" i="67"/>
  <c r="H28" i="71"/>
  <c r="S77" i="64"/>
  <c r="AW47" i="71"/>
  <c r="AW64" i="71"/>
  <c r="AW51" i="71"/>
  <c r="AW37" i="71"/>
  <c r="AM144" i="64"/>
  <c r="AN132" i="64"/>
  <c r="AN123" i="64"/>
  <c r="AN117" i="64"/>
  <c r="AM160" i="64"/>
  <c r="AM157" i="64"/>
  <c r="AL155" i="64"/>
  <c r="AN155" i="64"/>
  <c r="AP140" i="64"/>
  <c r="AN164" i="64"/>
  <c r="AO141" i="64"/>
  <c r="AN143" i="64"/>
  <c r="AO148" i="64"/>
  <c r="AW83" i="71"/>
  <c r="AW13" i="71"/>
  <c r="AW24" i="71"/>
  <c r="AO155" i="64"/>
  <c r="AW40" i="71"/>
  <c r="AO104" i="64"/>
  <c r="S95" i="64"/>
  <c r="AP158" i="64"/>
  <c r="AW45" i="71"/>
  <c r="AP135" i="64"/>
  <c r="AW23" i="71"/>
  <c r="AM130" i="64"/>
  <c r="AM127" i="64"/>
  <c r="AM134" i="64"/>
  <c r="AW82" i="71"/>
  <c r="AO123" i="64"/>
  <c r="S75" i="64"/>
  <c r="AO162" i="64"/>
  <c r="AP132" i="64"/>
  <c r="AO133" i="64"/>
  <c r="AP150" i="64"/>
  <c r="AP155" i="64"/>
  <c r="AP138" i="64"/>
  <c r="AP111" i="64"/>
  <c r="AN153" i="64"/>
  <c r="AW74" i="71"/>
  <c r="AP123" i="64"/>
  <c r="AP161" i="64"/>
  <c r="AW63" i="71"/>
  <c r="AO112" i="64"/>
  <c r="AP126" i="64"/>
  <c r="AW57" i="71"/>
  <c r="AM126" i="64"/>
  <c r="AM129" i="64"/>
  <c r="AM138" i="64"/>
  <c r="AW77" i="71"/>
  <c r="AW70" i="71"/>
  <c r="AN149" i="64"/>
  <c r="AW16" i="71"/>
  <c r="AM164" i="64"/>
  <c r="AO130" i="64"/>
  <c r="AP143" i="64"/>
  <c r="AO119" i="64"/>
  <c r="AN157" i="64"/>
  <c r="AO154" i="64"/>
  <c r="S38" i="64"/>
  <c r="AW34" i="71"/>
  <c r="AP124" i="64"/>
  <c r="AP118" i="64"/>
  <c r="AM146" i="64"/>
  <c r="AM152" i="64"/>
  <c r="AN126" i="64"/>
  <c r="AN121" i="64"/>
  <c r="S96" i="64"/>
  <c r="AM156" i="64"/>
  <c r="AL163" i="64"/>
  <c r="AL159" i="64"/>
  <c r="AW52" i="71"/>
  <c r="AO149" i="64"/>
  <c r="AP157" i="64"/>
  <c r="AN142" i="64"/>
  <c r="AO121" i="64"/>
  <c r="AW44" i="71"/>
  <c r="AW95" i="71"/>
  <c r="AO160" i="64"/>
  <c r="AW81" i="71"/>
  <c r="AO147" i="64"/>
  <c r="AW18" i="71"/>
  <c r="AN144" i="64"/>
  <c r="AO140" i="64"/>
  <c r="AW50" i="71"/>
  <c r="AW116" i="71"/>
  <c r="AO150" i="64"/>
  <c r="AO115" i="64"/>
  <c r="AO127" i="64"/>
  <c r="AP107" i="64"/>
  <c r="AP144" i="64"/>
  <c r="AW84" i="71"/>
  <c r="AM148" i="64"/>
  <c r="AM151" i="64"/>
  <c r="AN130" i="64"/>
  <c r="AN122" i="64"/>
  <c r="AW108" i="71"/>
  <c r="AM162" i="64"/>
  <c r="AL156" i="64"/>
  <c r="AL158" i="64"/>
  <c r="AO138" i="64"/>
  <c r="AP105" i="64"/>
  <c r="AP154" i="64"/>
  <c r="AN140" i="64"/>
  <c r="AW39" i="71"/>
  <c r="AO124" i="64"/>
  <c r="AO134" i="64"/>
  <c r="AP125" i="64"/>
  <c r="AW9" i="71"/>
  <c r="AP145" i="64"/>
  <c r="AO111" i="64"/>
  <c r="AP151" i="64"/>
  <c r="AW41" i="71"/>
  <c r="S39" i="64"/>
  <c r="AW33" i="71"/>
  <c r="S94" i="64"/>
  <c r="AM124" i="64"/>
  <c r="AM143" i="64"/>
  <c r="AM135" i="64"/>
  <c r="AW59" i="71"/>
  <c r="AW14" i="71"/>
  <c r="AO145" i="64"/>
  <c r="AW21" i="71"/>
  <c r="AW106" i="71"/>
  <c r="S57" i="64"/>
  <c r="BA148" i="64"/>
  <c r="BA150" i="64"/>
  <c r="AW26" i="71"/>
  <c r="AW61" i="71"/>
  <c r="S56" i="64"/>
  <c r="AW6" i="71"/>
  <c r="AN154" i="64"/>
  <c r="AW46" i="71"/>
  <c r="AO144" i="64"/>
  <c r="AM153" i="64"/>
  <c r="S58" i="64"/>
  <c r="AN125" i="64"/>
  <c r="AN118" i="64"/>
  <c r="AP113" i="64"/>
  <c r="AM161" i="64"/>
  <c r="AL157" i="64"/>
  <c r="AL164" i="64"/>
  <c r="AP127" i="64"/>
  <c r="AN156" i="64"/>
  <c r="AW8" i="71"/>
  <c r="AN139" i="64"/>
  <c r="AW20" i="71"/>
  <c r="AO146" i="64"/>
  <c r="AW79" i="71"/>
  <c r="AO143" i="64"/>
  <c r="AN146" i="64"/>
  <c r="AP152" i="64"/>
  <c r="AO107" i="64"/>
  <c r="AP115" i="64"/>
  <c r="AP114" i="64"/>
  <c r="AO120" i="64"/>
  <c r="AO153" i="64"/>
  <c r="AW118" i="71"/>
  <c r="AO137" i="64"/>
  <c r="AM128" i="64"/>
  <c r="AM141" i="64"/>
  <c r="AM139" i="64"/>
  <c r="AO116" i="64"/>
  <c r="AP120" i="64"/>
  <c r="AW67" i="71"/>
  <c r="AO156" i="64"/>
  <c r="AO163" i="64"/>
  <c r="BA160" i="64"/>
  <c r="AP162" i="64"/>
  <c r="AP149" i="64"/>
  <c r="AP131" i="64"/>
  <c r="AW38" i="71"/>
  <c r="AP119" i="64"/>
  <c r="AZ164" i="64"/>
  <c r="BA163" i="64"/>
  <c r="BA152" i="64"/>
  <c r="AY159" i="64"/>
  <c r="AY150" i="64"/>
  <c r="S72" i="64"/>
  <c r="AP129" i="64"/>
  <c r="AW35" i="71"/>
  <c r="AW55" i="71"/>
  <c r="AM149" i="64"/>
  <c r="AO158" i="64"/>
  <c r="AN124" i="64"/>
  <c r="AN120" i="64"/>
  <c r="AP122" i="64"/>
  <c r="AM158" i="64"/>
  <c r="AL154" i="64"/>
  <c r="S74" i="64"/>
  <c r="AP136" i="64"/>
  <c r="AW72" i="71"/>
  <c r="AO152" i="64"/>
  <c r="AN137" i="64"/>
  <c r="AN135" i="64"/>
  <c r="AN152" i="64"/>
  <c r="AP117" i="64"/>
  <c r="AO125" i="64"/>
  <c r="AW17" i="71"/>
  <c r="AW62" i="71"/>
  <c r="AO106" i="64"/>
  <c r="AW11" i="71"/>
  <c r="AP116" i="64"/>
  <c r="AP133" i="64"/>
  <c r="AN145" i="64"/>
  <c r="AO139" i="64"/>
  <c r="AP159" i="64"/>
  <c r="AM131" i="64"/>
  <c r="AM137" i="64"/>
  <c r="AW113" i="71"/>
  <c r="AO114" i="64"/>
  <c r="AO129" i="64"/>
  <c r="S93" i="64"/>
  <c r="AW80" i="71"/>
  <c r="AN162" i="64"/>
  <c r="AY164" i="64"/>
  <c r="AP147" i="64"/>
  <c r="AZ105" i="64"/>
  <c r="AY153" i="64"/>
  <c r="AP160" i="64"/>
  <c r="AW53" i="71"/>
  <c r="AO126" i="64"/>
  <c r="AW66" i="71"/>
  <c r="AM147" i="64"/>
  <c r="AN133" i="64"/>
  <c r="AN127" i="64"/>
  <c r="AN114" i="64"/>
  <c r="AO128" i="64"/>
  <c r="AM155" i="64"/>
  <c r="AL160" i="64"/>
  <c r="AW112" i="71"/>
  <c r="AO161" i="64"/>
  <c r="AW69" i="71"/>
  <c r="AP112" i="64"/>
  <c r="AN141" i="64"/>
  <c r="AN136" i="64"/>
  <c r="AN158" i="64"/>
  <c r="AW25" i="71"/>
  <c r="AW54" i="71"/>
  <c r="AN148" i="64"/>
  <c r="AO110" i="64"/>
  <c r="AO109" i="64"/>
  <c r="AW68" i="71"/>
  <c r="AP146" i="64"/>
  <c r="AW22" i="71"/>
  <c r="AW10" i="71"/>
  <c r="AP139" i="64"/>
  <c r="AW43" i="71"/>
  <c r="AM133" i="64"/>
  <c r="AM140" i="64"/>
  <c r="AW32" i="71"/>
  <c r="AP108" i="64"/>
  <c r="AW87" i="71"/>
  <c r="AO118" i="64"/>
  <c r="AO151" i="64"/>
  <c r="AP141" i="64"/>
  <c r="BA149" i="64"/>
  <c r="AO131" i="64"/>
  <c r="AW78" i="71"/>
  <c r="AN161" i="64"/>
  <c r="BA162" i="64"/>
  <c r="AO157" i="64"/>
  <c r="AW56" i="71"/>
  <c r="AZ104" i="64"/>
  <c r="AZ106" i="64"/>
  <c r="AX158" i="64"/>
  <c r="AZ143" i="64"/>
  <c r="AZ138" i="64"/>
  <c r="BA135" i="64"/>
  <c r="AY158" i="64"/>
  <c r="AY144" i="64"/>
  <c r="AY152" i="64"/>
  <c r="AO132" i="64"/>
  <c r="AP134" i="64"/>
  <c r="AN131" i="64"/>
  <c r="AN119" i="64"/>
  <c r="AM159" i="64"/>
  <c r="AP109" i="64"/>
  <c r="AP142" i="64"/>
  <c r="AN134" i="64"/>
  <c r="AO135" i="64"/>
  <c r="AW75" i="71"/>
  <c r="AW65" i="71"/>
  <c r="AO108" i="64"/>
  <c r="AW73" i="71"/>
  <c r="AW31" i="71"/>
  <c r="AW7" i="71"/>
  <c r="AM132" i="64"/>
  <c r="AW5" i="71"/>
  <c r="AP137" i="64"/>
  <c r="AW28" i="71"/>
  <c r="AO136" i="64"/>
  <c r="AO122" i="64"/>
  <c r="AN147" i="64"/>
  <c r="AZ112" i="64"/>
  <c r="BA143" i="64"/>
  <c r="AW42" i="71"/>
  <c r="AP163" i="64"/>
  <c r="AP130" i="64"/>
  <c r="AW12" i="71"/>
  <c r="AN150" i="64"/>
  <c r="AM145" i="64"/>
  <c r="AN129" i="64"/>
  <c r="AN128" i="64"/>
  <c r="AN116" i="64"/>
  <c r="S55" i="64"/>
  <c r="AM163" i="64"/>
  <c r="AL162" i="64"/>
  <c r="AW88" i="71"/>
  <c r="AW19" i="71"/>
  <c r="AW71" i="71"/>
  <c r="AW29" i="71"/>
  <c r="AN138" i="64"/>
  <c r="S76" i="64"/>
  <c r="AP156" i="64"/>
  <c r="AW58" i="71"/>
  <c r="AP153" i="64"/>
  <c r="AW100" i="71"/>
  <c r="AP104" i="64"/>
  <c r="AO113" i="64"/>
  <c r="AO105" i="64"/>
  <c r="AW15" i="71"/>
  <c r="AO164" i="64"/>
  <c r="AP110" i="64"/>
  <c r="BA159" i="64"/>
  <c r="S73" i="64"/>
  <c r="BA154" i="64"/>
  <c r="AM125" i="64"/>
  <c r="AM142" i="64"/>
  <c r="AP164" i="64"/>
  <c r="AY137" i="64"/>
  <c r="AZ124" i="64"/>
  <c r="AW103" i="71"/>
  <c r="AP128" i="64"/>
  <c r="AW48" i="71"/>
  <c r="AO142" i="64"/>
  <c r="AZ142" i="64"/>
  <c r="BA144" i="64"/>
  <c r="AN151" i="64"/>
  <c r="AO159" i="64"/>
  <c r="AW36" i="71"/>
  <c r="AY162" i="64"/>
  <c r="AW76" i="71"/>
  <c r="AN163" i="64"/>
  <c r="AZ108" i="64"/>
  <c r="AY128" i="64"/>
  <c r="AZ154" i="64"/>
  <c r="AX154" i="64"/>
  <c r="AZ114" i="64"/>
  <c r="BA145" i="64"/>
  <c r="AZ153" i="64"/>
  <c r="AZ137" i="64"/>
  <c r="BA141" i="64"/>
  <c r="AY160" i="64"/>
  <c r="N164" i="67"/>
  <c r="AP106" i="64"/>
  <c r="AW60" i="71"/>
  <c r="AM150" i="64"/>
  <c r="AN115" i="64"/>
  <c r="AM154" i="64"/>
  <c r="AL161" i="64"/>
  <c r="AP148" i="64"/>
  <c r="AW49" i="71"/>
  <c r="AW120" i="71"/>
  <c r="AP121" i="64"/>
  <c r="AY140" i="64"/>
  <c r="S92" i="64"/>
  <c r="AW30" i="71"/>
  <c r="AX155" i="64"/>
  <c r="AY133" i="64"/>
  <c r="AM136" i="64"/>
  <c r="AO117" i="64"/>
  <c r="AW85" i="71"/>
  <c r="AW27" i="71"/>
  <c r="S91" i="64"/>
  <c r="AZ145" i="64"/>
  <c r="AN159" i="64"/>
  <c r="BA106" i="64"/>
  <c r="AX161" i="64"/>
  <c r="AN160" i="64"/>
  <c r="AY127" i="64"/>
  <c r="BA132" i="64"/>
  <c r="AX156" i="64"/>
  <c r="BA151" i="64"/>
  <c r="AZ147" i="64"/>
  <c r="BA115" i="64"/>
  <c r="AY157" i="64"/>
  <c r="AY148" i="64"/>
  <c r="AZ121" i="64"/>
  <c r="AZ113" i="64"/>
  <c r="AZ115" i="64"/>
  <c r="BA116" i="64"/>
  <c r="AX160" i="64"/>
  <c r="AX163" i="64"/>
  <c r="AX159" i="64"/>
  <c r="AX162" i="64"/>
  <c r="AX145" i="64"/>
  <c r="AX150" i="64"/>
  <c r="AX144" i="64"/>
  <c r="AX147" i="64"/>
  <c r="AX153" i="64"/>
  <c r="AX152" i="64"/>
  <c r="AX151" i="64"/>
  <c r="AX146" i="64"/>
  <c r="AX148" i="64"/>
  <c r="AX149" i="64"/>
  <c r="BA156" i="64"/>
  <c r="BA157" i="64"/>
  <c r="BA155" i="64"/>
  <c r="BA158" i="64"/>
  <c r="BA161" i="64"/>
  <c r="AX157" i="64"/>
  <c r="AX164" i="64"/>
  <c r="BA147" i="64"/>
  <c r="BA153" i="64"/>
  <c r="BA146" i="64"/>
  <c r="AY154" i="64"/>
  <c r="AY156" i="64"/>
  <c r="AY161" i="64"/>
  <c r="AY155" i="64"/>
  <c r="AY163" i="64"/>
  <c r="AY146" i="64"/>
  <c r="AY151" i="64"/>
  <c r="AY149" i="64"/>
  <c r="AY145" i="64"/>
  <c r="AY147" i="64"/>
  <c r="AZ107" i="64"/>
  <c r="AZ118" i="64"/>
  <c r="AZ111" i="64"/>
  <c r="AZ116" i="64"/>
  <c r="AZ119" i="64"/>
  <c r="AZ109" i="64"/>
  <c r="AZ110" i="64"/>
  <c r="AZ122" i="64"/>
  <c r="AZ134" i="64"/>
  <c r="AZ135" i="64"/>
  <c r="AZ139" i="64"/>
  <c r="AZ136" i="64"/>
  <c r="AZ140" i="64"/>
  <c r="AZ141" i="64"/>
  <c r="BA136" i="64"/>
  <c r="BA140" i="64"/>
  <c r="BA137" i="64"/>
  <c r="BA142" i="64"/>
  <c r="BA139" i="64"/>
  <c r="BA138" i="64"/>
  <c r="BA134" i="64"/>
  <c r="AY124" i="64"/>
  <c r="AY125" i="64"/>
  <c r="AY132" i="64"/>
  <c r="AY136" i="64"/>
  <c r="AY131" i="64"/>
  <c r="AY142" i="64"/>
  <c r="AY130" i="64"/>
  <c r="AY134" i="64"/>
  <c r="AY141" i="64"/>
  <c r="AY126" i="64"/>
  <c r="AY129" i="64"/>
  <c r="AY138" i="64"/>
  <c r="AY135" i="64"/>
  <c r="AY143" i="64"/>
  <c r="AY139" i="64"/>
  <c r="AZ146" i="64"/>
  <c r="AZ156" i="64"/>
  <c r="AZ152" i="64"/>
  <c r="AZ158" i="64"/>
  <c r="AZ159" i="64"/>
  <c r="AZ160" i="64"/>
  <c r="AZ144" i="64"/>
  <c r="AZ161" i="64"/>
  <c r="AZ157" i="64"/>
  <c r="AZ163" i="64"/>
  <c r="AZ148" i="64"/>
  <c r="AZ151" i="64"/>
  <c r="AZ162" i="64"/>
  <c r="AZ150" i="64"/>
  <c r="AZ149" i="64"/>
  <c r="AZ155" i="64"/>
  <c r="AZ125" i="64"/>
  <c r="AZ123" i="64"/>
  <c r="AZ130" i="64"/>
  <c r="AZ117" i="64"/>
  <c r="AZ120" i="64"/>
  <c r="AZ131" i="64"/>
  <c r="AZ132" i="64"/>
  <c r="AZ128" i="64"/>
  <c r="AZ126" i="64"/>
  <c r="AZ133" i="64"/>
  <c r="AZ129" i="64"/>
  <c r="AZ127" i="64"/>
  <c r="BA126" i="64"/>
  <c r="BA127" i="64"/>
  <c r="BA129" i="64"/>
  <c r="BA128" i="64"/>
  <c r="BA124" i="64"/>
  <c r="BA131" i="64"/>
  <c r="BA130" i="64"/>
  <c r="BA133" i="64"/>
  <c r="BA125" i="64"/>
  <c r="BA104" i="64"/>
  <c r="BA109" i="64"/>
  <c r="BA119" i="64"/>
  <c r="BA111" i="64"/>
  <c r="BA117" i="64"/>
  <c r="BA110" i="64"/>
  <c r="BA105" i="64"/>
  <c r="BA108" i="64"/>
  <c r="BA113" i="64"/>
  <c r="BA122" i="64"/>
  <c r="BA114" i="64"/>
  <c r="BA107" i="64"/>
  <c r="BA112" i="64"/>
  <c r="BA120" i="64"/>
  <c r="BA121" i="64"/>
  <c r="BA118" i="64"/>
  <c r="BA123" i="64"/>
  <c r="G57" i="67" l="1"/>
  <c r="G39" i="67"/>
  <c r="H20" i="67"/>
  <c r="J20" i="67"/>
  <c r="K20" i="67" s="1"/>
  <c r="G58" i="67"/>
  <c r="G94" i="67"/>
  <c r="G93" i="67"/>
  <c r="G77" i="67"/>
  <c r="G75" i="67"/>
  <c r="G97" i="67"/>
  <c r="G73" i="67"/>
  <c r="G78" i="67"/>
  <c r="G56" i="67"/>
  <c r="G95" i="67"/>
  <c r="G92" i="67"/>
  <c r="G40" i="67"/>
  <c r="G76" i="67"/>
  <c r="G59" i="67"/>
  <c r="G74" i="67"/>
  <c r="G96" i="67"/>
  <c r="BE114" i="71"/>
  <c r="CB114" i="71" s="1"/>
  <c r="BE64" i="71"/>
  <c r="CB64" i="71" s="1"/>
  <c r="BE59" i="71"/>
  <c r="CB59" i="71" s="1"/>
  <c r="BE153" i="71"/>
  <c r="CB153" i="71" s="1"/>
  <c r="BE102" i="71"/>
  <c r="CB102" i="71" s="1"/>
  <c r="BE19" i="71"/>
  <c r="CB19" i="71" s="1"/>
  <c r="BE160" i="71"/>
  <c r="CB160" i="71" s="1"/>
  <c r="BE10" i="71"/>
  <c r="CB10" i="71" s="1"/>
  <c r="BE129" i="71"/>
  <c r="CB129" i="71" s="1"/>
  <c r="BE31" i="71"/>
  <c r="CB31" i="71" s="1"/>
  <c r="BE58" i="71"/>
  <c r="CB58" i="71" s="1"/>
  <c r="BE156" i="71"/>
  <c r="CB156" i="71" s="1"/>
  <c r="BE157" i="71"/>
  <c r="CB157" i="71" s="1"/>
  <c r="BE72" i="71"/>
  <c r="CB72" i="71" s="1"/>
  <c r="BE154" i="71"/>
  <c r="CB154" i="71" s="1"/>
  <c r="BE24" i="71"/>
  <c r="CB24" i="71" s="1"/>
  <c r="BE103" i="71"/>
  <c r="CB103" i="71" s="1"/>
  <c r="BE23" i="71"/>
  <c r="CB23" i="71" s="1"/>
  <c r="BE38" i="71"/>
  <c r="CB38" i="71" s="1"/>
  <c r="BE60" i="71"/>
  <c r="CB60" i="71" s="1"/>
  <c r="BE37" i="71"/>
  <c r="CB37" i="71" s="1"/>
  <c r="BE106" i="71"/>
  <c r="CB106" i="71" s="1"/>
  <c r="BE33" i="71"/>
  <c r="CB33" i="71" s="1"/>
  <c r="BE89" i="71"/>
  <c r="CB89" i="71" s="1"/>
  <c r="BE21" i="71"/>
  <c r="CB21" i="71" s="1"/>
  <c r="BE107" i="71"/>
  <c r="CB107" i="71" s="1"/>
  <c r="BE17" i="71"/>
  <c r="CB17" i="71" s="1"/>
  <c r="BE42" i="71"/>
  <c r="CB42" i="71" s="1"/>
  <c r="BE84" i="71"/>
  <c r="CB84" i="71" s="1"/>
  <c r="BE34" i="71"/>
  <c r="CB34" i="71" s="1"/>
  <c r="BE75" i="71"/>
  <c r="CB75" i="71" s="1"/>
  <c r="BE121" i="71"/>
  <c r="CB121" i="71" s="1"/>
  <c r="BE61" i="71"/>
  <c r="CB61" i="71" s="1"/>
  <c r="BE126" i="71"/>
  <c r="CB126" i="71" s="1"/>
  <c r="BE162" i="71"/>
  <c r="CB162" i="71" s="1"/>
  <c r="BE115" i="71"/>
  <c r="CB115" i="71" s="1"/>
  <c r="BE6" i="71"/>
  <c r="CB6" i="71" s="1"/>
  <c r="BE82" i="71"/>
  <c r="CB82" i="71" s="1"/>
  <c r="BE100" i="71"/>
  <c r="CB100" i="71" s="1"/>
  <c r="BE66" i="71"/>
  <c r="CB66" i="71" s="1"/>
  <c r="BE90" i="71"/>
  <c r="CB90" i="71" s="1"/>
  <c r="BE70" i="71"/>
  <c r="CB70" i="71" s="1"/>
  <c r="BE144" i="71"/>
  <c r="CB144" i="71" s="1"/>
  <c r="BE14" i="71"/>
  <c r="CB14" i="71" s="1"/>
  <c r="BE63" i="71"/>
  <c r="CB63" i="71" s="1"/>
  <c r="BE99" i="71"/>
  <c r="CB99" i="71" s="1"/>
  <c r="BE80" i="71"/>
  <c r="CB80" i="71" s="1"/>
  <c r="BE26" i="71"/>
  <c r="CB26" i="71" s="1"/>
  <c r="BE62" i="71"/>
  <c r="CB62" i="71" s="1"/>
  <c r="BE155" i="71"/>
  <c r="CB155" i="71" s="1"/>
  <c r="BE77" i="71"/>
  <c r="CB77" i="71" s="1"/>
  <c r="BE140" i="71"/>
  <c r="CB140" i="71" s="1"/>
  <c r="BE81" i="71"/>
  <c r="CB81" i="71" s="1"/>
  <c r="BE91" i="71"/>
  <c r="CB91" i="71" s="1"/>
  <c r="BE125" i="71"/>
  <c r="CB125" i="71" s="1"/>
  <c r="BE83" i="71"/>
  <c r="CB83" i="71" s="1"/>
  <c r="BE104" i="71"/>
  <c r="CB104" i="71" s="1"/>
  <c r="BE86" i="71"/>
  <c r="CB86" i="71" s="1"/>
  <c r="BE18" i="71"/>
  <c r="CB18" i="71" s="1"/>
  <c r="BE109" i="71"/>
  <c r="CB109" i="71" s="1"/>
  <c r="BE111" i="71"/>
  <c r="CB111" i="71" s="1"/>
  <c r="BE5" i="71"/>
  <c r="CB5" i="71" s="1"/>
  <c r="BE50" i="71"/>
  <c r="CB50" i="71" s="1"/>
  <c r="BE152" i="71"/>
  <c r="CB152" i="71" s="1"/>
  <c r="BE161" i="71"/>
  <c r="CB161" i="71" s="1"/>
  <c r="BE28" i="71"/>
  <c r="CB28" i="71" s="1"/>
  <c r="BE7" i="71"/>
  <c r="CB7" i="71" s="1"/>
  <c r="BE123" i="71"/>
  <c r="CB123" i="71" s="1"/>
  <c r="BE105" i="71"/>
  <c r="CB105" i="71" s="1"/>
  <c r="BE94" i="71"/>
  <c r="CB94" i="71" s="1"/>
  <c r="BE95" i="71"/>
  <c r="CB95" i="71" s="1"/>
  <c r="BE9" i="71"/>
  <c r="CB9" i="71" s="1"/>
  <c r="BE142" i="71"/>
  <c r="CB142" i="71" s="1"/>
  <c r="BE11" i="71"/>
  <c r="CB11" i="71" s="1"/>
  <c r="BE151" i="71"/>
  <c r="CB151" i="71" s="1"/>
  <c r="BE69" i="71"/>
  <c r="CB69" i="71" s="1"/>
  <c r="BE147" i="71"/>
  <c r="CB147" i="71" s="1"/>
  <c r="BE96" i="71"/>
  <c r="CB96" i="71" s="1"/>
  <c r="BE47" i="71"/>
  <c r="CB47" i="71" s="1"/>
  <c r="BE16" i="71"/>
  <c r="CB16" i="71" s="1"/>
  <c r="BE143" i="71"/>
  <c r="CB143" i="71" s="1"/>
  <c r="BE117" i="71"/>
  <c r="CB117" i="71" s="1"/>
  <c r="BE164" i="71"/>
  <c r="CB164" i="71" s="1"/>
  <c r="BE36" i="71"/>
  <c r="CB36" i="71" s="1"/>
  <c r="BE67" i="71"/>
  <c r="CB67" i="71" s="1"/>
  <c r="BE39" i="71"/>
  <c r="CB39" i="71" s="1"/>
  <c r="BE146" i="71"/>
  <c r="CB146" i="71" s="1"/>
  <c r="BE22" i="71"/>
  <c r="CB22" i="71" s="1"/>
  <c r="BE40" i="71"/>
  <c r="CB40" i="71" s="1"/>
  <c r="BE87" i="71"/>
  <c r="CB87" i="71" s="1"/>
  <c r="BE139" i="71"/>
  <c r="CB139" i="71" s="1"/>
  <c r="BE78" i="71"/>
  <c r="CB78" i="71" s="1"/>
  <c r="BE76" i="71"/>
  <c r="CB76" i="71" s="1"/>
  <c r="BE85" i="71"/>
  <c r="CB85" i="71" s="1"/>
  <c r="BE158" i="71"/>
  <c r="CB158" i="71" s="1"/>
  <c r="BE124" i="71"/>
  <c r="CB124" i="71" s="1"/>
  <c r="BE43" i="71"/>
  <c r="CB43" i="71" s="1"/>
  <c r="BE120" i="71"/>
  <c r="CB120" i="71" s="1"/>
  <c r="BE52" i="71"/>
  <c r="CB52" i="71" s="1"/>
  <c r="BE127" i="71"/>
  <c r="CB127" i="71" s="1"/>
  <c r="BE32" i="71"/>
  <c r="CB32" i="71" s="1"/>
  <c r="BE110" i="71"/>
  <c r="CB110" i="71" s="1"/>
  <c r="BE41" i="71"/>
  <c r="CB41" i="71" s="1"/>
  <c r="BE131" i="71"/>
  <c r="CB131" i="71" s="1"/>
  <c r="BE159" i="71"/>
  <c r="CB159" i="71" s="1"/>
  <c r="BE51" i="71"/>
  <c r="CB51" i="71" s="1"/>
  <c r="BE55" i="71"/>
  <c r="CB55" i="71" s="1"/>
  <c r="BE163" i="71"/>
  <c r="CB163" i="71" s="1"/>
  <c r="BE134" i="71"/>
  <c r="CB134" i="71" s="1"/>
  <c r="BE128" i="71"/>
  <c r="CB128" i="71" s="1"/>
  <c r="BE46" i="71"/>
  <c r="CB46" i="71" s="1"/>
  <c r="BE145" i="71"/>
  <c r="CB145" i="71" s="1"/>
  <c r="BE53" i="71"/>
  <c r="CB53" i="71" s="1"/>
  <c r="BE149" i="71"/>
  <c r="CB149" i="71" s="1"/>
  <c r="BE13" i="71"/>
  <c r="CB13" i="71" s="1"/>
  <c r="BE93" i="71"/>
  <c r="CB93" i="71" s="1"/>
  <c r="BE141" i="71"/>
  <c r="CB141" i="71" s="1"/>
  <c r="BE49" i="71"/>
  <c r="CB49" i="71" s="1"/>
  <c r="BE71" i="71"/>
  <c r="CB71" i="71" s="1"/>
  <c r="BE133" i="71"/>
  <c r="CB133" i="71" s="1"/>
  <c r="BE101" i="71"/>
  <c r="CB101" i="71" s="1"/>
  <c r="BE74" i="71"/>
  <c r="CB74" i="71" s="1"/>
  <c r="BE12" i="71"/>
  <c r="CB12" i="71" s="1"/>
  <c r="BE56" i="71"/>
  <c r="CB56" i="71" s="1"/>
  <c r="BE57" i="71"/>
  <c r="CB57" i="71" s="1"/>
  <c r="BE92" i="71"/>
  <c r="CB92" i="71" s="1"/>
  <c r="BE122" i="71"/>
  <c r="CB122" i="71" s="1"/>
  <c r="BE132" i="71"/>
  <c r="CB132" i="71" s="1"/>
  <c r="BE98" i="71"/>
  <c r="CB98" i="71" s="1"/>
  <c r="BE138" i="71"/>
  <c r="CB138" i="71" s="1"/>
  <c r="BE113" i="71"/>
  <c r="CB113" i="71" s="1"/>
  <c r="BE45" i="71"/>
  <c r="CB45" i="71" s="1"/>
  <c r="BE136" i="71"/>
  <c r="CB136" i="71" s="1"/>
  <c r="BE135" i="71"/>
  <c r="CB135" i="71" s="1"/>
  <c r="BE97" i="71"/>
  <c r="CB97" i="71" s="1"/>
  <c r="BE54" i="71"/>
  <c r="CB54" i="71" s="1"/>
  <c r="BE29" i="71"/>
  <c r="CB29" i="71" s="1"/>
  <c r="BE65" i="71"/>
  <c r="CB65" i="71" s="1"/>
  <c r="BE30" i="71"/>
  <c r="CB30" i="71" s="1"/>
  <c r="BE130" i="71"/>
  <c r="CB130" i="71" s="1"/>
  <c r="BE119" i="71"/>
  <c r="CB119" i="71" s="1"/>
  <c r="BE137" i="71"/>
  <c r="CB137" i="71" s="1"/>
  <c r="BE118" i="71"/>
  <c r="CB118" i="71" s="1"/>
  <c r="BE48" i="71"/>
  <c r="CB48" i="71" s="1"/>
  <c r="BE8" i="71"/>
  <c r="CB8" i="71" s="1"/>
  <c r="BE79" i="71"/>
  <c r="CB79" i="71" s="1"/>
  <c r="BE73" i="71"/>
  <c r="CB73" i="71" s="1"/>
  <c r="BE44" i="71"/>
  <c r="CB44" i="71" s="1"/>
  <c r="BE148" i="71"/>
  <c r="CB148" i="71" s="1"/>
  <c r="BE27" i="71"/>
  <c r="CB27" i="71" s="1"/>
  <c r="BE150" i="71"/>
  <c r="CB150" i="71" s="1"/>
  <c r="BE25" i="71"/>
  <c r="CB25" i="71" s="1"/>
  <c r="BE15" i="71"/>
  <c r="CB15" i="71" s="1"/>
  <c r="BE68" i="71"/>
  <c r="CB68" i="71" s="1"/>
  <c r="BE108" i="71"/>
  <c r="CB108" i="71" s="1"/>
  <c r="BE88" i="71"/>
  <c r="CB88" i="71" s="1"/>
  <c r="BE112" i="71"/>
  <c r="CB112" i="71" s="1"/>
  <c r="BE35" i="71"/>
  <c r="CB35" i="71" s="1"/>
  <c r="BE116" i="71"/>
  <c r="CB116" i="71" s="1"/>
  <c r="BE20" i="71"/>
  <c r="CB20" i="71" s="1"/>
  <c r="AR71" i="61"/>
  <c r="AR70" i="61"/>
  <c r="AR69" i="61"/>
  <c r="AR65" i="61"/>
  <c r="AR78" i="61"/>
  <c r="N158" i="67"/>
  <c r="N161" i="67"/>
  <c r="N155" i="67"/>
  <c r="N154" i="67"/>
  <c r="N157" i="67"/>
  <c r="N162" i="67"/>
  <c r="N156" i="67"/>
  <c r="N160" i="67"/>
  <c r="N159" i="67"/>
  <c r="N163" i="67"/>
  <c r="N150" i="67"/>
  <c r="N147" i="67"/>
  <c r="N148" i="67"/>
  <c r="N145" i="67"/>
  <c r="N149" i="67"/>
  <c r="N151" i="67"/>
  <c r="N152" i="67"/>
  <c r="N146" i="67"/>
  <c r="N153" i="67"/>
  <c r="N144" i="67"/>
  <c r="AR75" i="61"/>
  <c r="AR64" i="61"/>
  <c r="AR77" i="61"/>
  <c r="AR66" i="61"/>
  <c r="AR74" i="61"/>
  <c r="AR67" i="61"/>
  <c r="AR73" i="61"/>
  <c r="AR68" i="61"/>
  <c r="AR79" i="61"/>
  <c r="AR76" i="61"/>
  <c r="BA164" i="64"/>
  <c r="AR72" i="61"/>
  <c r="J21" i="67" l="1"/>
  <c r="K21" i="67" s="1"/>
  <c r="BR133" i="71"/>
  <c r="BW133" i="71"/>
  <c r="BM133" i="71"/>
  <c r="BW163" i="71"/>
  <c r="BM163" i="71"/>
  <c r="BR163" i="71"/>
  <c r="BM124" i="71"/>
  <c r="BW124" i="71"/>
  <c r="BR124" i="71"/>
  <c r="BW36" i="71"/>
  <c r="BM36" i="71"/>
  <c r="BR36" i="71"/>
  <c r="BR9" i="71"/>
  <c r="BM9" i="71"/>
  <c r="BW9" i="71"/>
  <c r="BR109" i="71"/>
  <c r="BW109" i="71"/>
  <c r="BM109" i="71"/>
  <c r="BR26" i="71"/>
  <c r="BM26" i="71"/>
  <c r="BW26" i="71"/>
  <c r="BW115" i="71"/>
  <c r="BR115" i="71"/>
  <c r="BM115" i="71"/>
  <c r="BM89" i="71"/>
  <c r="BW89" i="71"/>
  <c r="BR89" i="71"/>
  <c r="BW156" i="71"/>
  <c r="BR156" i="71"/>
  <c r="BM156" i="71"/>
  <c r="BR88" i="71"/>
  <c r="BM88" i="71"/>
  <c r="BW88" i="71"/>
  <c r="BM113" i="71"/>
  <c r="BW113" i="71"/>
  <c r="BR113" i="71"/>
  <c r="BW71" i="71"/>
  <c r="BM71" i="71"/>
  <c r="BR71" i="71"/>
  <c r="BW55" i="71"/>
  <c r="BR55" i="71"/>
  <c r="BM55" i="71"/>
  <c r="BW158" i="71"/>
  <c r="BM158" i="71"/>
  <c r="BR158" i="71"/>
  <c r="BM164" i="71"/>
  <c r="BR164" i="71"/>
  <c r="BW164" i="71"/>
  <c r="BW95" i="71"/>
  <c r="BR95" i="71"/>
  <c r="BM95" i="71"/>
  <c r="BM18" i="71"/>
  <c r="BR18" i="71"/>
  <c r="BW18" i="71"/>
  <c r="BR80" i="71"/>
  <c r="BM80" i="71"/>
  <c r="BW80" i="71"/>
  <c r="BR162" i="71"/>
  <c r="BM162" i="71"/>
  <c r="BW162" i="71"/>
  <c r="BW33" i="71"/>
  <c r="BR33" i="71"/>
  <c r="BM33" i="71"/>
  <c r="BR58" i="71"/>
  <c r="BW58" i="71"/>
  <c r="BM58" i="71"/>
  <c r="BR45" i="71"/>
  <c r="BW45" i="71"/>
  <c r="BM45" i="71"/>
  <c r="BM68" i="71"/>
  <c r="BW68" i="71"/>
  <c r="BR68" i="71"/>
  <c r="BM49" i="71"/>
  <c r="BR49" i="71"/>
  <c r="BW49" i="71"/>
  <c r="BR51" i="71"/>
  <c r="BW51" i="71"/>
  <c r="BM51" i="71"/>
  <c r="BW85" i="71"/>
  <c r="BM85" i="71"/>
  <c r="BR85" i="71"/>
  <c r="BM117" i="71"/>
  <c r="BW117" i="71"/>
  <c r="BR117" i="71"/>
  <c r="BM94" i="71"/>
  <c r="BW94" i="71"/>
  <c r="BR94" i="71"/>
  <c r="BW86" i="71"/>
  <c r="BR86" i="71"/>
  <c r="BM86" i="71"/>
  <c r="BM99" i="71"/>
  <c r="BW99" i="71"/>
  <c r="BR99" i="71"/>
  <c r="BW126" i="71"/>
  <c r="BR126" i="71"/>
  <c r="BM126" i="71"/>
  <c r="BR106" i="71"/>
  <c r="BW106" i="71"/>
  <c r="BM106" i="71"/>
  <c r="BW31" i="71"/>
  <c r="BR31" i="71"/>
  <c r="BM31" i="71"/>
  <c r="BM118" i="71"/>
  <c r="BR118" i="71"/>
  <c r="BW118" i="71"/>
  <c r="BM138" i="71"/>
  <c r="BW138" i="71"/>
  <c r="BR138" i="71"/>
  <c r="BW15" i="71"/>
  <c r="BR15" i="71"/>
  <c r="BM15" i="71"/>
  <c r="BR98" i="71"/>
  <c r="BM98" i="71"/>
  <c r="BW98" i="71"/>
  <c r="BM141" i="71"/>
  <c r="BR141" i="71"/>
  <c r="BW141" i="71"/>
  <c r="BW159" i="71"/>
  <c r="BM159" i="71"/>
  <c r="BR159" i="71"/>
  <c r="BM76" i="71"/>
  <c r="BR76" i="71"/>
  <c r="BW76" i="71"/>
  <c r="BM143" i="71"/>
  <c r="BW143" i="71"/>
  <c r="BR143" i="71"/>
  <c r="BW105" i="71"/>
  <c r="BM105" i="71"/>
  <c r="BR105" i="71"/>
  <c r="BM104" i="71"/>
  <c r="BW104" i="71"/>
  <c r="BR104" i="71"/>
  <c r="BM63" i="71"/>
  <c r="BR63" i="71"/>
  <c r="BW63" i="71"/>
  <c r="BW61" i="71"/>
  <c r="BR61" i="71"/>
  <c r="BM61" i="71"/>
  <c r="BR37" i="71"/>
  <c r="BW37" i="71"/>
  <c r="BM37" i="71"/>
  <c r="BM129" i="71"/>
  <c r="BW129" i="71"/>
  <c r="BR129" i="71"/>
  <c r="BR48" i="71"/>
  <c r="BM48" i="71"/>
  <c r="BW48" i="71"/>
  <c r="BR137" i="71"/>
  <c r="BM137" i="71"/>
  <c r="BW137" i="71"/>
  <c r="BW119" i="71"/>
  <c r="BM119" i="71"/>
  <c r="BR119" i="71"/>
  <c r="BW25" i="71"/>
  <c r="BM25" i="71"/>
  <c r="BR25" i="71"/>
  <c r="BM130" i="71"/>
  <c r="BW130" i="71"/>
  <c r="BR130" i="71"/>
  <c r="BW132" i="71"/>
  <c r="BM132" i="71"/>
  <c r="BR132" i="71"/>
  <c r="BR93" i="71"/>
  <c r="BW93" i="71"/>
  <c r="BM93" i="71"/>
  <c r="BR131" i="71"/>
  <c r="BM131" i="71"/>
  <c r="BW131" i="71"/>
  <c r="BM78" i="71"/>
  <c r="BR78" i="71"/>
  <c r="BW78" i="71"/>
  <c r="BR16" i="71"/>
  <c r="BM16" i="71"/>
  <c r="BW16" i="71"/>
  <c r="BR123" i="71"/>
  <c r="BM123" i="71"/>
  <c r="BW123" i="71"/>
  <c r="BR83" i="71"/>
  <c r="BW83" i="71"/>
  <c r="BM83" i="71"/>
  <c r="BR14" i="71"/>
  <c r="BM14" i="71"/>
  <c r="BW14" i="71"/>
  <c r="BM121" i="71"/>
  <c r="BR121" i="71"/>
  <c r="BW121" i="71"/>
  <c r="BW60" i="71"/>
  <c r="BR60" i="71"/>
  <c r="BM60" i="71"/>
  <c r="BW10" i="71"/>
  <c r="BR10" i="71"/>
  <c r="BM10" i="71"/>
  <c r="BW112" i="71"/>
  <c r="BM112" i="71"/>
  <c r="BR112" i="71"/>
  <c r="BM122" i="71"/>
  <c r="BW122" i="71"/>
  <c r="BR122" i="71"/>
  <c r="BM41" i="71"/>
  <c r="BR41" i="71"/>
  <c r="BW41" i="71"/>
  <c r="BW139" i="71"/>
  <c r="BR139" i="71"/>
  <c r="BM139" i="71"/>
  <c r="BW47" i="71"/>
  <c r="BR47" i="71"/>
  <c r="BM47" i="71"/>
  <c r="BW7" i="71"/>
  <c r="BR7" i="71"/>
  <c r="BM7" i="71"/>
  <c r="BW125" i="71"/>
  <c r="BM125" i="71"/>
  <c r="BR125" i="71"/>
  <c r="BM144" i="71"/>
  <c r="BR144" i="71"/>
  <c r="BW144" i="71"/>
  <c r="BM75" i="71"/>
  <c r="BR75" i="71"/>
  <c r="BW75" i="71"/>
  <c r="BR38" i="71"/>
  <c r="BW38" i="71"/>
  <c r="BM38" i="71"/>
  <c r="BR160" i="71"/>
  <c r="BW160" i="71"/>
  <c r="BM160" i="71"/>
  <c r="BR108" i="71"/>
  <c r="BW108" i="71"/>
  <c r="BM108" i="71"/>
  <c r="BM30" i="71"/>
  <c r="BR30" i="71"/>
  <c r="BW30" i="71"/>
  <c r="BW27" i="71"/>
  <c r="BR27" i="71"/>
  <c r="BM27" i="71"/>
  <c r="BW65" i="71"/>
  <c r="BR65" i="71"/>
  <c r="BM65" i="71"/>
  <c r="BW92" i="71"/>
  <c r="BM92" i="71"/>
  <c r="BR92" i="71"/>
  <c r="BW149" i="71"/>
  <c r="BR149" i="71"/>
  <c r="BM149" i="71"/>
  <c r="BR110" i="71"/>
  <c r="BW110" i="71"/>
  <c r="BM110" i="71"/>
  <c r="BR87" i="71"/>
  <c r="BM87" i="71"/>
  <c r="BW87" i="71"/>
  <c r="BR96" i="71"/>
  <c r="BW96" i="71"/>
  <c r="BM96" i="71"/>
  <c r="BR28" i="71"/>
  <c r="BM28" i="71"/>
  <c r="BW28" i="71"/>
  <c r="BM91" i="71"/>
  <c r="BW91" i="71"/>
  <c r="BR91" i="71"/>
  <c r="BR70" i="71"/>
  <c r="BM70" i="71"/>
  <c r="BW70" i="71"/>
  <c r="BW34" i="71"/>
  <c r="BM34" i="71"/>
  <c r="BR34" i="71"/>
  <c r="BM23" i="71"/>
  <c r="BR23" i="71"/>
  <c r="BW23" i="71"/>
  <c r="BR19" i="71"/>
  <c r="BM19" i="71"/>
  <c r="BW19" i="71"/>
  <c r="BM150" i="71"/>
  <c r="BW150" i="71"/>
  <c r="BR150" i="71"/>
  <c r="BR13" i="71"/>
  <c r="BW13" i="71"/>
  <c r="BM13" i="71"/>
  <c r="BW148" i="71"/>
  <c r="BR148" i="71"/>
  <c r="BM148" i="71"/>
  <c r="BR29" i="71"/>
  <c r="BM29" i="71"/>
  <c r="BW29" i="71"/>
  <c r="BR57" i="71"/>
  <c r="BW57" i="71"/>
  <c r="BM57" i="71"/>
  <c r="BW53" i="71"/>
  <c r="BM53" i="71"/>
  <c r="BR53" i="71"/>
  <c r="BW32" i="71"/>
  <c r="BR32" i="71"/>
  <c r="BM32" i="71"/>
  <c r="BW40" i="71"/>
  <c r="BR40" i="71"/>
  <c r="BM40" i="71"/>
  <c r="BM147" i="71"/>
  <c r="BW147" i="71"/>
  <c r="BR147" i="71"/>
  <c r="BR161" i="71"/>
  <c r="BM161" i="71"/>
  <c r="BW161" i="71"/>
  <c r="BR81" i="71"/>
  <c r="BM81" i="71"/>
  <c r="BW81" i="71"/>
  <c r="BM90" i="71"/>
  <c r="BR90" i="71"/>
  <c r="BW90" i="71"/>
  <c r="BM84" i="71"/>
  <c r="BW84" i="71"/>
  <c r="BR84" i="71"/>
  <c r="BW103" i="71"/>
  <c r="BM103" i="71"/>
  <c r="BR103" i="71"/>
  <c r="BM102" i="71"/>
  <c r="BR102" i="71"/>
  <c r="BW102" i="71"/>
  <c r="BW44" i="71"/>
  <c r="BM44" i="71"/>
  <c r="BR44" i="71"/>
  <c r="BM56" i="71"/>
  <c r="BW56" i="71"/>
  <c r="BR56" i="71"/>
  <c r="BM145" i="71"/>
  <c r="BW145" i="71"/>
  <c r="BR145" i="71"/>
  <c r="BW127" i="71"/>
  <c r="BR127" i="71"/>
  <c r="BM127" i="71"/>
  <c r="BW22" i="71"/>
  <c r="BM22" i="71"/>
  <c r="BR22" i="71"/>
  <c r="BM69" i="71"/>
  <c r="BR69" i="71"/>
  <c r="BW69" i="71"/>
  <c r="BM152" i="71"/>
  <c r="BW152" i="71"/>
  <c r="BR152" i="71"/>
  <c r="BR140" i="71"/>
  <c r="BM140" i="71"/>
  <c r="BW140" i="71"/>
  <c r="BM66" i="71"/>
  <c r="BR66" i="71"/>
  <c r="BW66" i="71"/>
  <c r="BM42" i="71"/>
  <c r="BW42" i="71"/>
  <c r="BR42" i="71"/>
  <c r="BW24" i="71"/>
  <c r="BM24" i="71"/>
  <c r="BR24" i="71"/>
  <c r="BW153" i="71"/>
  <c r="BR153" i="71"/>
  <c r="BM153" i="71"/>
  <c r="BW20" i="71"/>
  <c r="BM20" i="71"/>
  <c r="BR20" i="71"/>
  <c r="BM54" i="71"/>
  <c r="BW54" i="71"/>
  <c r="BR54" i="71"/>
  <c r="BW73" i="71"/>
  <c r="BM73" i="71"/>
  <c r="BR73" i="71"/>
  <c r="BW12" i="71"/>
  <c r="BM12" i="71"/>
  <c r="BR12" i="71"/>
  <c r="BW46" i="71"/>
  <c r="BM46" i="71"/>
  <c r="BR46" i="71"/>
  <c r="BM52" i="71"/>
  <c r="BW52" i="71"/>
  <c r="BR52" i="71"/>
  <c r="BM146" i="71"/>
  <c r="BW146" i="71"/>
  <c r="BR146" i="71"/>
  <c r="BM151" i="71"/>
  <c r="BW151" i="71"/>
  <c r="BR151" i="71"/>
  <c r="BM50" i="71"/>
  <c r="BR50" i="71"/>
  <c r="BW50" i="71"/>
  <c r="BM77" i="71"/>
  <c r="BW77" i="71"/>
  <c r="BR77" i="71"/>
  <c r="BR100" i="71"/>
  <c r="BM100" i="71"/>
  <c r="BW100" i="71"/>
  <c r="BR17" i="71"/>
  <c r="BW17" i="71"/>
  <c r="BM17" i="71"/>
  <c r="BM154" i="71"/>
  <c r="BR154" i="71"/>
  <c r="BW154" i="71"/>
  <c r="BW59" i="71"/>
  <c r="BM59" i="71"/>
  <c r="BR59" i="71"/>
  <c r="BW116" i="71"/>
  <c r="BM116" i="71"/>
  <c r="BR116" i="71"/>
  <c r="BM97" i="71"/>
  <c r="BR97" i="71"/>
  <c r="BW97" i="71"/>
  <c r="BM35" i="71"/>
  <c r="BW35" i="71"/>
  <c r="BR35" i="71"/>
  <c r="BW79" i="71"/>
  <c r="BM79" i="71"/>
  <c r="BR79" i="71"/>
  <c r="BM135" i="71"/>
  <c r="BR135" i="71"/>
  <c r="BW135" i="71"/>
  <c r="BM74" i="71"/>
  <c r="BW74" i="71"/>
  <c r="BR74" i="71"/>
  <c r="BR128" i="71"/>
  <c r="BW128" i="71"/>
  <c r="BM128" i="71"/>
  <c r="BM120" i="71"/>
  <c r="BW120" i="71"/>
  <c r="BR120" i="71"/>
  <c r="BR39" i="71"/>
  <c r="BW39" i="71"/>
  <c r="BM39" i="71"/>
  <c r="BM11" i="71"/>
  <c r="BR11" i="71"/>
  <c r="BW11" i="71"/>
  <c r="BM5" i="71"/>
  <c r="BR5" i="71"/>
  <c r="BW5" i="71"/>
  <c r="BW155" i="71"/>
  <c r="BR155" i="71"/>
  <c r="BM155" i="71"/>
  <c r="BM82" i="71"/>
  <c r="BW82" i="71"/>
  <c r="BR82" i="71"/>
  <c r="BR107" i="71"/>
  <c r="BW107" i="71"/>
  <c r="BM107" i="71"/>
  <c r="BM72" i="71"/>
  <c r="BW72" i="71"/>
  <c r="BR72" i="71"/>
  <c r="BM64" i="71"/>
  <c r="BW64" i="71"/>
  <c r="BR64" i="71"/>
  <c r="BM8" i="71"/>
  <c r="BR8" i="71"/>
  <c r="BW8" i="71"/>
  <c r="BM136" i="71"/>
  <c r="BR136" i="71"/>
  <c r="BW136" i="71"/>
  <c r="BM101" i="71"/>
  <c r="BW101" i="71"/>
  <c r="BR101" i="71"/>
  <c r="BM134" i="71"/>
  <c r="BW134" i="71"/>
  <c r="BR134" i="71"/>
  <c r="BR43" i="71"/>
  <c r="BM43" i="71"/>
  <c r="BW43" i="71"/>
  <c r="BM67" i="71"/>
  <c r="BR67" i="71"/>
  <c r="BW67" i="71"/>
  <c r="BW142" i="71"/>
  <c r="BM142" i="71"/>
  <c r="BR142" i="71"/>
  <c r="BM111" i="71"/>
  <c r="BR111" i="71"/>
  <c r="BW111" i="71"/>
  <c r="BW62" i="71"/>
  <c r="BM62" i="71"/>
  <c r="BR62" i="71"/>
  <c r="BM6" i="71"/>
  <c r="BR6" i="71"/>
  <c r="BW6" i="71"/>
  <c r="BM21" i="71"/>
  <c r="BR21" i="71"/>
  <c r="BW21" i="71"/>
  <c r="BR157" i="71"/>
  <c r="BW157" i="71"/>
  <c r="BM157" i="71"/>
  <c r="BM114" i="71"/>
  <c r="BR114" i="71"/>
  <c r="BW114" i="71"/>
  <c r="Z72" i="61"/>
  <c r="AB73" i="61"/>
  <c r="AB67" i="61"/>
  <c r="AB77" i="61"/>
  <c r="AB71" i="61"/>
  <c r="AA78" i="61"/>
  <c r="Z65" i="61"/>
  <c r="Z70" i="61"/>
  <c r="Z66" i="61"/>
  <c r="Z77" i="61"/>
  <c r="AB74" i="61"/>
  <c r="Z76" i="61"/>
  <c r="AA68" i="61"/>
  <c r="Z74" i="61"/>
  <c r="Z67" i="61"/>
  <c r="Z78" i="61"/>
  <c r="AB79" i="61"/>
  <c r="AA77" i="61"/>
  <c r="AB66" i="61"/>
  <c r="Z71" i="61"/>
  <c r="AA65" i="61"/>
  <c r="Z73" i="61"/>
  <c r="AB64" i="61"/>
  <c r="AA73" i="61"/>
  <c r="AA76" i="61"/>
  <c r="AB72" i="61"/>
  <c r="AA74" i="61"/>
  <c r="AB75" i="61"/>
  <c r="AA66" i="61"/>
  <c r="AA69" i="61"/>
  <c r="AA64" i="61"/>
  <c r="AA72" i="61"/>
  <c r="Z69" i="61"/>
  <c r="AB78" i="61"/>
  <c r="AB68" i="61"/>
  <c r="Z75" i="61"/>
  <c r="AB70" i="61"/>
  <c r="AA71" i="61"/>
  <c r="Z79" i="61"/>
  <c r="AB69" i="61"/>
  <c r="AB65" i="61"/>
  <c r="Z68" i="61"/>
  <c r="AA70" i="61"/>
  <c r="AA67" i="61"/>
  <c r="AA75" i="61"/>
  <c r="Z64" i="61"/>
  <c r="AB76" i="61"/>
  <c r="AA79" i="61"/>
  <c r="AE74" i="61" l="1"/>
  <c r="AD65" i="61"/>
  <c r="AD66" i="61"/>
  <c r="AE77" i="61"/>
  <c r="AF73" i="61"/>
  <c r="AE79" i="61"/>
  <c r="AD70" i="61"/>
  <c r="AF74" i="61"/>
  <c r="AE65" i="61"/>
  <c r="AE66" i="61"/>
  <c r="AE73" i="61"/>
  <c r="AF65" i="61"/>
  <c r="AF66" i="61"/>
  <c r="AD77" i="61"/>
  <c r="AD73" i="61"/>
  <c r="AD79" i="61"/>
  <c r="AF72" i="61"/>
  <c r="AF77" i="61"/>
  <c r="AD74" i="61"/>
  <c r="AE76" i="61"/>
  <c r="AE69" i="61"/>
  <c r="AE68" i="61"/>
  <c r="AE71" i="61"/>
  <c r="AE75" i="61"/>
  <c r="AD64" i="61"/>
  <c r="AE64" i="61"/>
  <c r="AD72" i="61"/>
  <c r="AF79" i="61"/>
  <c r="AF76" i="61"/>
  <c r="AF69" i="61"/>
  <c r="AF68" i="61"/>
  <c r="AF71" i="61"/>
  <c r="AF75" i="61"/>
  <c r="AD69" i="61"/>
  <c r="AD71" i="61"/>
  <c r="AD75" i="61"/>
  <c r="AF78" i="61"/>
  <c r="AE67" i="61"/>
  <c r="AF70" i="61"/>
  <c r="AD78" i="61"/>
  <c r="AF67" i="61"/>
  <c r="AD76" i="61"/>
  <c r="AD68" i="61"/>
  <c r="AE78" i="61"/>
  <c r="AD67" i="61"/>
  <c r="AE70" i="61"/>
  <c r="AF64" i="61"/>
  <c r="AE72" i="61"/>
  <c r="G83" i="60" l="1"/>
  <c r="M83" i="60" s="1"/>
  <c r="E88" i="60"/>
  <c r="F86" i="60"/>
  <c r="J86" i="60" s="1"/>
  <c r="E87" i="60"/>
  <c r="E83" i="60"/>
  <c r="F83" i="60"/>
  <c r="J83" i="60" s="1"/>
  <c r="F91" i="60"/>
  <c r="J91" i="60" s="1"/>
  <c r="G90" i="60"/>
  <c r="K90" i="60" s="1"/>
  <c r="F92" i="60"/>
  <c r="J92" i="60" s="1"/>
  <c r="E85" i="60"/>
  <c r="F88" i="60"/>
  <c r="J88" i="60" s="1"/>
  <c r="G84" i="60"/>
  <c r="K84" i="60" s="1"/>
  <c r="G89" i="60"/>
  <c r="K89" i="60" s="1"/>
  <c r="G86" i="60"/>
  <c r="K86" i="60" s="1"/>
  <c r="E86" i="60"/>
  <c r="F85" i="60"/>
  <c r="J85" i="60" s="1"/>
  <c r="E84" i="60"/>
  <c r="F84" i="60"/>
  <c r="J84" i="60" s="1"/>
  <c r="G88" i="60"/>
  <c r="K88" i="60" s="1"/>
  <c r="F89" i="60"/>
  <c r="J89" i="60" s="1"/>
  <c r="G87" i="60"/>
  <c r="K87" i="60" s="1"/>
  <c r="E89" i="60"/>
  <c r="G85" i="60"/>
  <c r="K85" i="60" s="1"/>
  <c r="E91" i="60"/>
  <c r="G92" i="60"/>
  <c r="K92" i="60" s="1"/>
  <c r="E92" i="60"/>
  <c r="F90" i="60"/>
  <c r="J90" i="60" s="1"/>
  <c r="E90" i="60"/>
  <c r="G91" i="60"/>
  <c r="K91" i="60" s="1"/>
  <c r="F87" i="60"/>
  <c r="J87" i="60" s="1"/>
  <c r="N74" i="72"/>
  <c r="M71" i="72"/>
  <c r="N72" i="72"/>
  <c r="M74" i="72"/>
  <c r="M68" i="72"/>
  <c r="N76" i="72"/>
  <c r="M75" i="72"/>
  <c r="P75" i="63"/>
  <c r="N71" i="72"/>
  <c r="M73" i="72"/>
  <c r="M72" i="72"/>
  <c r="M77" i="72"/>
  <c r="M70" i="72"/>
  <c r="N75" i="72"/>
  <c r="P71" i="63"/>
  <c r="M76" i="72"/>
  <c r="N77" i="72"/>
  <c r="N69" i="72"/>
  <c r="N73" i="72"/>
  <c r="M69" i="72"/>
  <c r="N70" i="72"/>
  <c r="Q72" i="63"/>
  <c r="K83" i="60" l="1"/>
  <c r="I85" i="60"/>
  <c r="AN70" i="63" s="1"/>
  <c r="I92" i="60"/>
  <c r="I84" i="60"/>
  <c r="AN69" i="63" s="1"/>
  <c r="I91" i="60"/>
  <c r="I87" i="60"/>
  <c r="AN72" i="63" s="1"/>
  <c r="I86" i="60"/>
  <c r="AN71" i="63" s="1"/>
  <c r="I88" i="60"/>
  <c r="AN73" i="63" s="1"/>
  <c r="I90" i="60"/>
  <c r="I89" i="60"/>
  <c r="I83" i="60"/>
  <c r="Q76" i="63"/>
  <c r="Q70" i="63"/>
  <c r="P68" i="63"/>
  <c r="L77" i="72"/>
  <c r="Q71" i="63"/>
  <c r="L76" i="72"/>
  <c r="N68" i="72"/>
  <c r="O70" i="63"/>
  <c r="AM68" i="63"/>
  <c r="Q68" i="63"/>
  <c r="L71" i="72"/>
  <c r="O69" i="63"/>
  <c r="Q74" i="63"/>
  <c r="N83" i="60"/>
  <c r="O71" i="63"/>
  <c r="Q77" i="63"/>
  <c r="O77" i="63"/>
  <c r="P69" i="63"/>
  <c r="O73" i="63"/>
  <c r="L73" i="72"/>
  <c r="O76" i="63"/>
  <c r="L68" i="72"/>
  <c r="Q73" i="63"/>
  <c r="P73" i="63"/>
  <c r="P77" i="63"/>
  <c r="P70" i="63"/>
  <c r="P76" i="63"/>
  <c r="L72" i="72"/>
  <c r="O72" i="63"/>
  <c r="P74" i="63"/>
  <c r="O74" i="63"/>
  <c r="L69" i="72"/>
  <c r="Q69" i="63"/>
  <c r="L75" i="72"/>
  <c r="L74" i="72"/>
  <c r="O68" i="63"/>
  <c r="P72" i="63"/>
  <c r="L70" i="72"/>
  <c r="O75" i="63"/>
  <c r="Q75" i="63"/>
  <c r="O68" i="64" l="1"/>
  <c r="P76" i="72"/>
  <c r="P68" i="72"/>
  <c r="P69" i="72"/>
  <c r="P74" i="72"/>
  <c r="P73" i="72"/>
  <c r="P71" i="72"/>
  <c r="P77" i="72"/>
  <c r="P75" i="72"/>
  <c r="P72" i="72"/>
  <c r="S72" i="63"/>
  <c r="F73" i="67" s="1"/>
  <c r="H73" i="67" s="1"/>
  <c r="P70" i="72"/>
  <c r="S70" i="63"/>
  <c r="F71" i="67" s="1"/>
  <c r="H71" i="67" s="1"/>
  <c r="AN76" i="63"/>
  <c r="AN75" i="63"/>
  <c r="AN77" i="63"/>
  <c r="S73" i="63"/>
  <c r="F74" i="67" s="1"/>
  <c r="H74" i="67" s="1"/>
  <c r="S76" i="63"/>
  <c r="S69" i="63"/>
  <c r="F70" i="67" s="1"/>
  <c r="H70" i="67" s="1"/>
  <c r="S77" i="63"/>
  <c r="F78" i="67" s="1"/>
  <c r="H78" i="67" s="1"/>
  <c r="S71" i="63"/>
  <c r="F72" i="67" s="1"/>
  <c r="H72" i="67" s="1"/>
  <c r="S68" i="63"/>
  <c r="S74" i="63"/>
  <c r="S75" i="63"/>
  <c r="AN68" i="63"/>
  <c r="AO68" i="63" s="1"/>
  <c r="AN74" i="63"/>
  <c r="V99" i="72"/>
  <c r="Q122" i="67"/>
  <c r="V100" i="72"/>
  <c r="AD84" i="63"/>
  <c r="AV65" i="63"/>
  <c r="V107" i="72"/>
  <c r="V160" i="72"/>
  <c r="AD65" i="63"/>
  <c r="V146" i="72"/>
  <c r="AD98" i="63"/>
  <c r="Q113" i="67"/>
  <c r="AD159" i="63"/>
  <c r="Q99" i="67"/>
  <c r="AD142" i="63"/>
  <c r="AD89" i="63"/>
  <c r="AD149" i="63"/>
  <c r="AD132" i="63"/>
  <c r="Q101" i="67"/>
  <c r="V81" i="72"/>
  <c r="AU72" i="63"/>
  <c r="V102" i="72"/>
  <c r="Q92" i="67"/>
  <c r="V131" i="72"/>
  <c r="V84" i="72"/>
  <c r="AD97" i="63"/>
  <c r="Q105" i="67"/>
  <c r="V125" i="72"/>
  <c r="V65" i="72"/>
  <c r="Q86" i="67"/>
  <c r="V85" i="72"/>
  <c r="V139" i="72"/>
  <c r="AD100" i="63"/>
  <c r="Q108" i="67"/>
  <c r="V70" i="72"/>
  <c r="V130" i="72"/>
  <c r="V86" i="72"/>
  <c r="AD115" i="63"/>
  <c r="AD116" i="63"/>
  <c r="V117" i="72"/>
  <c r="V116" i="72"/>
  <c r="AD127" i="63"/>
  <c r="AD76" i="63"/>
  <c r="AD93" i="63"/>
  <c r="AD103" i="63"/>
  <c r="V148" i="72"/>
  <c r="V142" i="72"/>
  <c r="V90" i="72"/>
  <c r="V123" i="72"/>
  <c r="AV72" i="63"/>
  <c r="V106" i="72"/>
  <c r="AD136" i="63"/>
  <c r="AD141" i="63"/>
  <c r="AD148" i="63"/>
  <c r="AD101" i="63"/>
  <c r="AD109" i="63"/>
  <c r="AD96" i="63"/>
  <c r="V91" i="72"/>
  <c r="AU67" i="63"/>
  <c r="V164" i="72"/>
  <c r="AD146" i="63"/>
  <c r="AD161" i="63"/>
  <c r="Q118" i="67"/>
  <c r="V97" i="72"/>
  <c r="AD129" i="63"/>
  <c r="V122" i="72"/>
  <c r="Q100" i="67"/>
  <c r="V98" i="72"/>
  <c r="V153" i="72"/>
  <c r="AD107" i="63"/>
  <c r="AD120" i="63"/>
  <c r="V128" i="72"/>
  <c r="AD104" i="63"/>
  <c r="V152" i="72"/>
  <c r="AD79" i="63"/>
  <c r="V104" i="72"/>
  <c r="AD68" i="63"/>
  <c r="V147" i="72"/>
  <c r="AD121" i="63"/>
  <c r="V71" i="72"/>
  <c r="AD92" i="63"/>
  <c r="V141" i="72"/>
  <c r="AD139" i="63"/>
  <c r="Q96" i="67"/>
  <c r="V77" i="72"/>
  <c r="AD105" i="63"/>
  <c r="AD64" i="63"/>
  <c r="AD155" i="63"/>
  <c r="AD125" i="63"/>
  <c r="V66" i="72"/>
  <c r="V109" i="72"/>
  <c r="V94" i="72"/>
  <c r="AD140" i="63"/>
  <c r="AD83" i="63"/>
  <c r="V75" i="72"/>
  <c r="V115" i="72"/>
  <c r="AD72" i="63"/>
  <c r="V132" i="72"/>
  <c r="V105" i="72"/>
  <c r="Q103" i="67"/>
  <c r="Q106" i="67"/>
  <c r="AD102" i="63"/>
  <c r="V145" i="72"/>
  <c r="AD69" i="63"/>
  <c r="AD106" i="63"/>
  <c r="AD118" i="63"/>
  <c r="AV69" i="63"/>
  <c r="V114" i="72"/>
  <c r="V80" i="72"/>
  <c r="AD128" i="63"/>
  <c r="Q89" i="67"/>
  <c r="V149" i="72"/>
  <c r="AD154" i="63"/>
  <c r="AD134" i="63"/>
  <c r="AD137" i="63"/>
  <c r="Q97" i="67"/>
  <c r="Q94" i="67"/>
  <c r="AD135" i="63"/>
  <c r="Q102" i="67"/>
  <c r="V134" i="72"/>
  <c r="V126" i="72"/>
  <c r="AD75" i="63"/>
  <c r="AD78" i="63"/>
  <c r="V158" i="72"/>
  <c r="Q85" i="67"/>
  <c r="AD152" i="63"/>
  <c r="V103" i="72"/>
  <c r="Q107" i="67"/>
  <c r="AD123" i="63"/>
  <c r="AD150" i="63"/>
  <c r="AD138" i="63"/>
  <c r="AD145" i="63"/>
  <c r="V93" i="72"/>
  <c r="AD157" i="63"/>
  <c r="V111" i="72"/>
  <c r="R68" i="64"/>
  <c r="V108" i="72"/>
  <c r="V119" i="72"/>
  <c r="AD90" i="63"/>
  <c r="V89" i="72"/>
  <c r="Q98" i="67"/>
  <c r="AD164" i="63"/>
  <c r="Q109" i="67"/>
  <c r="V150" i="72"/>
  <c r="AD95" i="63"/>
  <c r="V129" i="72"/>
  <c r="V96" i="72"/>
  <c r="V88" i="72"/>
  <c r="AD143" i="63"/>
  <c r="AD71" i="63"/>
  <c r="V92" i="72"/>
  <c r="AD114" i="63"/>
  <c r="AD111" i="63"/>
  <c r="V138" i="72"/>
  <c r="AD110" i="63"/>
  <c r="Q112" i="67"/>
  <c r="Q120" i="67"/>
  <c r="V161" i="72"/>
  <c r="V79" i="72"/>
  <c r="AD77" i="63"/>
  <c r="Q114" i="67"/>
  <c r="AD85" i="63"/>
  <c r="AV67" i="63"/>
  <c r="V124" i="72"/>
  <c r="V144" i="72"/>
  <c r="V64" i="72"/>
  <c r="AU73" i="63"/>
  <c r="AU68" i="63"/>
  <c r="AU65" i="63"/>
  <c r="Q93" i="67"/>
  <c r="AD91" i="63"/>
  <c r="AD117" i="63"/>
  <c r="V110" i="72"/>
  <c r="AD156" i="63"/>
  <c r="AD66" i="63"/>
  <c r="V155" i="72"/>
  <c r="Q88" i="67"/>
  <c r="AV68" i="63"/>
  <c r="AD151" i="63"/>
  <c r="AD144" i="63"/>
  <c r="AD74" i="63"/>
  <c r="AD87" i="63"/>
  <c r="AM69" i="63"/>
  <c r="AD122" i="63"/>
  <c r="V73" i="72"/>
  <c r="V72" i="72"/>
  <c r="AD160" i="63"/>
  <c r="AD94" i="63"/>
  <c r="AD86" i="63"/>
  <c r="Q164" i="67"/>
  <c r="V83" i="72"/>
  <c r="AU69" i="63"/>
  <c r="AD162" i="63"/>
  <c r="AD99" i="63"/>
  <c r="AD153" i="63"/>
  <c r="V135" i="72"/>
  <c r="Q111" i="67"/>
  <c r="Q119" i="67"/>
  <c r="V68" i="72"/>
  <c r="Q104" i="67"/>
  <c r="AD124" i="63"/>
  <c r="V163" i="72"/>
  <c r="V118" i="72"/>
  <c r="V140" i="72"/>
  <c r="Q115" i="67"/>
  <c r="V137" i="72"/>
  <c r="V159" i="72"/>
  <c r="AU71" i="63"/>
  <c r="V87" i="72"/>
  <c r="AU64" i="63"/>
  <c r="AD113" i="63"/>
  <c r="AD130" i="63"/>
  <c r="AV66" i="63"/>
  <c r="V154" i="72"/>
  <c r="AU66" i="63"/>
  <c r="AV64" i="63"/>
  <c r="V112" i="72"/>
  <c r="AD67" i="63"/>
  <c r="AD108" i="63"/>
  <c r="V74" i="72"/>
  <c r="V162" i="72"/>
  <c r="V76" i="72"/>
  <c r="AU70" i="63"/>
  <c r="V143" i="72"/>
  <c r="V127" i="72"/>
  <c r="AD81" i="63"/>
  <c r="Q91" i="67"/>
  <c r="AV70" i="63"/>
  <c r="V113" i="72"/>
  <c r="Q90" i="67"/>
  <c r="Q123" i="67"/>
  <c r="Q95" i="67"/>
  <c r="Q110" i="67"/>
  <c r="AD73" i="63"/>
  <c r="Q87" i="67"/>
  <c r="V156" i="72"/>
  <c r="Q117" i="67"/>
  <c r="AD131" i="63"/>
  <c r="Q121" i="67"/>
  <c r="AD133" i="63"/>
  <c r="AD88" i="63"/>
  <c r="AD163" i="63"/>
  <c r="V136" i="72"/>
  <c r="Q84" i="67"/>
  <c r="AD126" i="63"/>
  <c r="AD80" i="63"/>
  <c r="V82" i="72"/>
  <c r="V121" i="72"/>
  <c r="AD158" i="63"/>
  <c r="V78" i="72"/>
  <c r="AD119" i="63"/>
  <c r="V95" i="72"/>
  <c r="AD70" i="63"/>
  <c r="AD147" i="63"/>
  <c r="AD82" i="63"/>
  <c r="V101" i="72"/>
  <c r="V157" i="72"/>
  <c r="Q116" i="67"/>
  <c r="AD112" i="63"/>
  <c r="V67" i="72"/>
  <c r="AV73" i="63"/>
  <c r="V133" i="72"/>
  <c r="AV71" i="63"/>
  <c r="V69" i="72"/>
  <c r="V151" i="72"/>
  <c r="V120" i="72"/>
  <c r="Q68" i="64"/>
  <c r="P83" i="60" l="1"/>
  <c r="T68" i="64"/>
  <c r="AO69" i="63"/>
  <c r="F77" i="67"/>
  <c r="H77" i="67" s="1"/>
  <c r="F76" i="67"/>
  <c r="H76" i="67" s="1"/>
  <c r="F75" i="67"/>
  <c r="H75" i="67" s="1"/>
  <c r="F69" i="67"/>
  <c r="I29" i="71"/>
  <c r="I32" i="71"/>
  <c r="I30" i="71"/>
  <c r="I31" i="71"/>
  <c r="Q163" i="67"/>
  <c r="Q137" i="67"/>
  <c r="AX140" i="71"/>
  <c r="AV75" i="63"/>
  <c r="AO70" i="64"/>
  <c r="AU76" i="63"/>
  <c r="Q124" i="67"/>
  <c r="Q128" i="67"/>
  <c r="AX154" i="71"/>
  <c r="AX148" i="71"/>
  <c r="Q160" i="67"/>
  <c r="AX146" i="71"/>
  <c r="AU75" i="63"/>
  <c r="AX153" i="71"/>
  <c r="Q148" i="67"/>
  <c r="Q138" i="67"/>
  <c r="AX120" i="71"/>
  <c r="AX142" i="71"/>
  <c r="Q145" i="67"/>
  <c r="AO71" i="64"/>
  <c r="AX114" i="71"/>
  <c r="Q153" i="67"/>
  <c r="AV79" i="63"/>
  <c r="AO79" i="64"/>
  <c r="AX155" i="71"/>
  <c r="Q159" i="67"/>
  <c r="AX156" i="71"/>
  <c r="AU74" i="63"/>
  <c r="AU80" i="63"/>
  <c r="Q126" i="67"/>
  <c r="Q155" i="67"/>
  <c r="AX150" i="71"/>
  <c r="AX159" i="71"/>
  <c r="Q154" i="67"/>
  <c r="AX157" i="71"/>
  <c r="Q131" i="67"/>
  <c r="AX147" i="71"/>
  <c r="AX133" i="71"/>
  <c r="Q143" i="67"/>
  <c r="AX132" i="71"/>
  <c r="Q146" i="67"/>
  <c r="AX164" i="71"/>
  <c r="Q127" i="67"/>
  <c r="Q139" i="67"/>
  <c r="AV81" i="63"/>
  <c r="AX145" i="71"/>
  <c r="AX110" i="71"/>
  <c r="Q156" i="67"/>
  <c r="AX141" i="71"/>
  <c r="AX119" i="71"/>
  <c r="AO69" i="64"/>
  <c r="AX135" i="71"/>
  <c r="Q133" i="67"/>
  <c r="AU83" i="63"/>
  <c r="Q162" i="67"/>
  <c r="AV80" i="63"/>
  <c r="Q125" i="67"/>
  <c r="AX152" i="71"/>
  <c r="Q136" i="67"/>
  <c r="AM70" i="63"/>
  <c r="AO68" i="64"/>
  <c r="AX90" i="71"/>
  <c r="AO72" i="64"/>
  <c r="AX117" i="71"/>
  <c r="AO81" i="64"/>
  <c r="Q150" i="67"/>
  <c r="AX143" i="71"/>
  <c r="Q158" i="67"/>
  <c r="AV78" i="63"/>
  <c r="AV76" i="63"/>
  <c r="AO83" i="64"/>
  <c r="AO80" i="64"/>
  <c r="AO73" i="64"/>
  <c r="Q140" i="67"/>
  <c r="AX131" i="71"/>
  <c r="AX89" i="71"/>
  <c r="AX122" i="71"/>
  <c r="S68" i="64"/>
  <c r="AX136" i="71"/>
  <c r="AZ79" i="64"/>
  <c r="AX160" i="71"/>
  <c r="Q142" i="67"/>
  <c r="Q130" i="67"/>
  <c r="Q151" i="67"/>
  <c r="AO66" i="64"/>
  <c r="AX104" i="71"/>
  <c r="Q152" i="67"/>
  <c r="Q149" i="67"/>
  <c r="AX137" i="71"/>
  <c r="AX134" i="71"/>
  <c r="AO77" i="64"/>
  <c r="AO75" i="64"/>
  <c r="AZ81" i="64"/>
  <c r="AO78" i="64"/>
  <c r="AO74" i="64"/>
  <c r="AX138" i="71"/>
  <c r="AX139" i="71"/>
  <c r="AZ78" i="64"/>
  <c r="AU79" i="63"/>
  <c r="Q135" i="67"/>
  <c r="AV77" i="63"/>
  <c r="Q134" i="67"/>
  <c r="AO76" i="64"/>
  <c r="AX163" i="71"/>
  <c r="AV74" i="63"/>
  <c r="AU77" i="63"/>
  <c r="AX162" i="71"/>
  <c r="AZ80" i="64"/>
  <c r="Q144" i="67"/>
  <c r="AV82" i="63"/>
  <c r="Q157" i="67"/>
  <c r="AX158" i="71"/>
  <c r="AX151" i="71"/>
  <c r="Q129" i="67"/>
  <c r="Q141" i="67"/>
  <c r="AZ66" i="64"/>
  <c r="AU81" i="63"/>
  <c r="AO82" i="64"/>
  <c r="AX149" i="71"/>
  <c r="AU78" i="63"/>
  <c r="AO64" i="64"/>
  <c r="AV83" i="63"/>
  <c r="AO65" i="64"/>
  <c r="AO67" i="64"/>
  <c r="Q132" i="67"/>
  <c r="AZ76" i="64"/>
  <c r="AZ67" i="64"/>
  <c r="AX144" i="71"/>
  <c r="Q147" i="67"/>
  <c r="AU82" i="63"/>
  <c r="Q161" i="67"/>
  <c r="AX161" i="71"/>
  <c r="AZ72" i="64"/>
  <c r="AZ75" i="64"/>
  <c r="AZ71" i="64"/>
  <c r="AZ70" i="64"/>
  <c r="AZ73" i="64"/>
  <c r="AZ77" i="64"/>
  <c r="AZ74" i="64"/>
  <c r="AZ65" i="64"/>
  <c r="AZ82" i="64"/>
  <c r="AZ64" i="64"/>
  <c r="AZ68" i="64"/>
  <c r="AZ69" i="64"/>
  <c r="AZ83" i="64"/>
  <c r="G69" i="67" l="1"/>
  <c r="H69" i="67" s="1"/>
  <c r="AO70" i="63"/>
  <c r="I28" i="71"/>
  <c r="AX31" i="71"/>
  <c r="AX16" i="71"/>
  <c r="Q73" i="67"/>
  <c r="AX72" i="71"/>
  <c r="AX94" i="71"/>
  <c r="AU86" i="63"/>
  <c r="Q80" i="67"/>
  <c r="AX92" i="71"/>
  <c r="AX62" i="71"/>
  <c r="AX43" i="71"/>
  <c r="AX102" i="71"/>
  <c r="AU92" i="63"/>
  <c r="Q71" i="67"/>
  <c r="Q75" i="67"/>
  <c r="AX130" i="71"/>
  <c r="AX54" i="71"/>
  <c r="AX27" i="71"/>
  <c r="AU89" i="63"/>
  <c r="AX109" i="71"/>
  <c r="AX83" i="71"/>
  <c r="Q74" i="67"/>
  <c r="AX103" i="71"/>
  <c r="AU90" i="63"/>
  <c r="AV84" i="63"/>
  <c r="AX52" i="71"/>
  <c r="AX48" i="71"/>
  <c r="AX21" i="71"/>
  <c r="AX108" i="71"/>
  <c r="Q65" i="67"/>
  <c r="Q69" i="67"/>
  <c r="AX80" i="71"/>
  <c r="AX25" i="71"/>
  <c r="AX121" i="71"/>
  <c r="AX78" i="71"/>
  <c r="AX116" i="71"/>
  <c r="AX30" i="71"/>
  <c r="AX59" i="71"/>
  <c r="AX56" i="71"/>
  <c r="AX95" i="71"/>
  <c r="AX15" i="71"/>
  <c r="AX20" i="71"/>
  <c r="AX118" i="71"/>
  <c r="AX70" i="71"/>
  <c r="AX38" i="71"/>
  <c r="AX55" i="71"/>
  <c r="AX53" i="71"/>
  <c r="AX64" i="71"/>
  <c r="AX111" i="71"/>
  <c r="AU91" i="63"/>
  <c r="AX71" i="71"/>
  <c r="Q70" i="67"/>
  <c r="AX28" i="71"/>
  <c r="AX14" i="71"/>
  <c r="AX82" i="71"/>
  <c r="AX129" i="71"/>
  <c r="AX50" i="71"/>
  <c r="AX22" i="71"/>
  <c r="AX17" i="71"/>
  <c r="AX23" i="71"/>
  <c r="AX35" i="71"/>
  <c r="Q72" i="67"/>
  <c r="AX74" i="71"/>
  <c r="AV88" i="63"/>
  <c r="Q82" i="67"/>
  <c r="AX79" i="71"/>
  <c r="AX115" i="71"/>
  <c r="AU93" i="63"/>
  <c r="AX45" i="71"/>
  <c r="AX6" i="71"/>
  <c r="AX86" i="71"/>
  <c r="AX36" i="71"/>
  <c r="AX87" i="71"/>
  <c r="AX10" i="71"/>
  <c r="AX8" i="71"/>
  <c r="AX42" i="71"/>
  <c r="AX11" i="71"/>
  <c r="AV89" i="63"/>
  <c r="AX66" i="71"/>
  <c r="AX93" i="71"/>
  <c r="AX44" i="71"/>
  <c r="Q78" i="67"/>
  <c r="AX49" i="71"/>
  <c r="AX68" i="71"/>
  <c r="Q83" i="67"/>
  <c r="AX12" i="71"/>
  <c r="Q66" i="67"/>
  <c r="AX126" i="71"/>
  <c r="AX101" i="71"/>
  <c r="AX9" i="71"/>
  <c r="AX34" i="71"/>
  <c r="AX18" i="71"/>
  <c r="AX76" i="71"/>
  <c r="AX24" i="71"/>
  <c r="AX19" i="71"/>
  <c r="Q68" i="67"/>
  <c r="AX106" i="71"/>
  <c r="AX127" i="71"/>
  <c r="AX100" i="71"/>
  <c r="AX26" i="71"/>
  <c r="AM71" i="63"/>
  <c r="AX105" i="71"/>
  <c r="AV91" i="63"/>
  <c r="Q81" i="67"/>
  <c r="AX67" i="71"/>
  <c r="AX107" i="71"/>
  <c r="AX63" i="71"/>
  <c r="AX97" i="71"/>
  <c r="AX13" i="71"/>
  <c r="AV92" i="63"/>
  <c r="Q79" i="67"/>
  <c r="AX47" i="71"/>
  <c r="AX37" i="71"/>
  <c r="AX46" i="71"/>
  <c r="AX57" i="71"/>
  <c r="AX60" i="71"/>
  <c r="AX32" i="71"/>
  <c r="AX81" i="71"/>
  <c r="AX123" i="71"/>
  <c r="AV90" i="63"/>
  <c r="AX33" i="71"/>
  <c r="AV87" i="63"/>
  <c r="AU85" i="63"/>
  <c r="AX5" i="71"/>
  <c r="AV93" i="63"/>
  <c r="AX112" i="71"/>
  <c r="AX77" i="71"/>
  <c r="AX40" i="71"/>
  <c r="AX88" i="71"/>
  <c r="Q76" i="67"/>
  <c r="AX65" i="71"/>
  <c r="AX7" i="71"/>
  <c r="AX128" i="71"/>
  <c r="AX124" i="71"/>
  <c r="AV86" i="63"/>
  <c r="AX73" i="71"/>
  <c r="AX98" i="71"/>
  <c r="Q67" i="67"/>
  <c r="AU84" i="63"/>
  <c r="AV85" i="63"/>
  <c r="Q64" i="67"/>
  <c r="AX85" i="71"/>
  <c r="AX61" i="71"/>
  <c r="AX99" i="71"/>
  <c r="AX51" i="71"/>
  <c r="AX113" i="71"/>
  <c r="AX75" i="71"/>
  <c r="AX39" i="71"/>
  <c r="AX84" i="71"/>
  <c r="AM72" i="63"/>
  <c r="AU87" i="63"/>
  <c r="AX91" i="71"/>
  <c r="AX69" i="71"/>
  <c r="AX125" i="71"/>
  <c r="Q77" i="67"/>
  <c r="AX96" i="71"/>
  <c r="AX41" i="71"/>
  <c r="AU88" i="63"/>
  <c r="AX29" i="71"/>
  <c r="AX58" i="71"/>
  <c r="AO71" i="63" l="1"/>
  <c r="AO72" i="63"/>
  <c r="BF74" i="71"/>
  <c r="CC74" i="71" s="1"/>
  <c r="BF14" i="71"/>
  <c r="CC14" i="71" s="1"/>
  <c r="BF89" i="71"/>
  <c r="CC89" i="71" s="1"/>
  <c r="BF117" i="71"/>
  <c r="CC117" i="71" s="1"/>
  <c r="BF126" i="71"/>
  <c r="CC126" i="71" s="1"/>
  <c r="BF43" i="71"/>
  <c r="CC43" i="71" s="1"/>
  <c r="BF39" i="71"/>
  <c r="CC39" i="71" s="1"/>
  <c r="BF91" i="71"/>
  <c r="CC91" i="71" s="1"/>
  <c r="BF47" i="71"/>
  <c r="CC47" i="71" s="1"/>
  <c r="BF146" i="71"/>
  <c r="CC146" i="71" s="1"/>
  <c r="BF12" i="71"/>
  <c r="CC12" i="71" s="1"/>
  <c r="BF20" i="71"/>
  <c r="CC20" i="71" s="1"/>
  <c r="BF18" i="71"/>
  <c r="CC18" i="71" s="1"/>
  <c r="BF137" i="71"/>
  <c r="CC137" i="71" s="1"/>
  <c r="BF56" i="71"/>
  <c r="CC56" i="71" s="1"/>
  <c r="BF124" i="71"/>
  <c r="CC124" i="71" s="1"/>
  <c r="BF24" i="71"/>
  <c r="CC24" i="71" s="1"/>
  <c r="BF49" i="71"/>
  <c r="CC49" i="71" s="1"/>
  <c r="BF151" i="71"/>
  <c r="CC151" i="71" s="1"/>
  <c r="BF37" i="71"/>
  <c r="CC37" i="71" s="1"/>
  <c r="BF52" i="71"/>
  <c r="CC52" i="71" s="1"/>
  <c r="BF81" i="71"/>
  <c r="CC81" i="71" s="1"/>
  <c r="BF36" i="71"/>
  <c r="CC36" i="71" s="1"/>
  <c r="BF145" i="71"/>
  <c r="CC145" i="71" s="1"/>
  <c r="BF131" i="71"/>
  <c r="CC131" i="71" s="1"/>
  <c r="BF149" i="71"/>
  <c r="CC149" i="71" s="1"/>
  <c r="BF23" i="71"/>
  <c r="CC23" i="71" s="1"/>
  <c r="BF107" i="71"/>
  <c r="CC107" i="71" s="1"/>
  <c r="BF7" i="71"/>
  <c r="CC7" i="71" s="1"/>
  <c r="BF80" i="71"/>
  <c r="CC80" i="71" s="1"/>
  <c r="BF144" i="71"/>
  <c r="CC144" i="71" s="1"/>
  <c r="BF64" i="71"/>
  <c r="CC64" i="71" s="1"/>
  <c r="BF128" i="71"/>
  <c r="CC128" i="71" s="1"/>
  <c r="BF22" i="71"/>
  <c r="CC22" i="71" s="1"/>
  <c r="BF160" i="71"/>
  <c r="CC160" i="71" s="1"/>
  <c r="BF115" i="71"/>
  <c r="CC115" i="71" s="1"/>
  <c r="BF111" i="71"/>
  <c r="CC111" i="71" s="1"/>
  <c r="BF88" i="71"/>
  <c r="CC88" i="71" s="1"/>
  <c r="BF61" i="71"/>
  <c r="CC61" i="71" s="1"/>
  <c r="BF57" i="71"/>
  <c r="CC57" i="71" s="1"/>
  <c r="BF95" i="71"/>
  <c r="CC95" i="71" s="1"/>
  <c r="BF77" i="71"/>
  <c r="CC77" i="71" s="1"/>
  <c r="BF68" i="71"/>
  <c r="CC68" i="71" s="1"/>
  <c r="BF99" i="71"/>
  <c r="CC99" i="71" s="1"/>
  <c r="BF108" i="71"/>
  <c r="CC108" i="71" s="1"/>
  <c r="BF104" i="71"/>
  <c r="CC104" i="71" s="1"/>
  <c r="BF44" i="71"/>
  <c r="CC44" i="71" s="1"/>
  <c r="BF141" i="71"/>
  <c r="CC141" i="71" s="1"/>
  <c r="BF67" i="71"/>
  <c r="CC67" i="71" s="1"/>
  <c r="BF32" i="71"/>
  <c r="CC32" i="71" s="1"/>
  <c r="BF58" i="71"/>
  <c r="CC58" i="71" s="1"/>
  <c r="BF133" i="71"/>
  <c r="CC133" i="71" s="1"/>
  <c r="BF120" i="71"/>
  <c r="CC120" i="71" s="1"/>
  <c r="BF158" i="71"/>
  <c r="CC158" i="71" s="1"/>
  <c r="BF93" i="71"/>
  <c r="CC93" i="71" s="1"/>
  <c r="BF127" i="71"/>
  <c r="CC127" i="71" s="1"/>
  <c r="BF27" i="71"/>
  <c r="CC27" i="71" s="1"/>
  <c r="BF66" i="71"/>
  <c r="CC66" i="71" s="1"/>
  <c r="BF60" i="71"/>
  <c r="CC60" i="71" s="1"/>
  <c r="BF125" i="71"/>
  <c r="CC125" i="71" s="1"/>
  <c r="BF94" i="71"/>
  <c r="CC94" i="71" s="1"/>
  <c r="BF33" i="71"/>
  <c r="CC33" i="71" s="1"/>
  <c r="BF19" i="71"/>
  <c r="CC19" i="71" s="1"/>
  <c r="BF130" i="71"/>
  <c r="CC130" i="71" s="1"/>
  <c r="BF143" i="71"/>
  <c r="CC143" i="71" s="1"/>
  <c r="BF69" i="71"/>
  <c r="CC69" i="71" s="1"/>
  <c r="BF40" i="71"/>
  <c r="CC40" i="71" s="1"/>
  <c r="BF97" i="71"/>
  <c r="CC97" i="71" s="1"/>
  <c r="BF85" i="71"/>
  <c r="CC85" i="71" s="1"/>
  <c r="BF11" i="71"/>
  <c r="CC11" i="71" s="1"/>
  <c r="BF162" i="71"/>
  <c r="CC162" i="71" s="1"/>
  <c r="BF70" i="71"/>
  <c r="CC70" i="71" s="1"/>
  <c r="BF135" i="71"/>
  <c r="CC135" i="71" s="1"/>
  <c r="BF110" i="71"/>
  <c r="CC110" i="71" s="1"/>
  <c r="BF114" i="71"/>
  <c r="CC114" i="71" s="1"/>
  <c r="BF109" i="71"/>
  <c r="CC109" i="71" s="1"/>
  <c r="BF132" i="71"/>
  <c r="CC132" i="71" s="1"/>
  <c r="BF136" i="71"/>
  <c r="CC136" i="71" s="1"/>
  <c r="BF155" i="71"/>
  <c r="CC155" i="71" s="1"/>
  <c r="BF118" i="71"/>
  <c r="CC118" i="71" s="1"/>
  <c r="BF63" i="71"/>
  <c r="CC63" i="71" s="1"/>
  <c r="BF48" i="71"/>
  <c r="CC48" i="71" s="1"/>
  <c r="BF10" i="71"/>
  <c r="CC10" i="71" s="1"/>
  <c r="BF5" i="71"/>
  <c r="CC5" i="71" s="1"/>
  <c r="BF163" i="71"/>
  <c r="CC163" i="71" s="1"/>
  <c r="BF13" i="71"/>
  <c r="CC13" i="71" s="1"/>
  <c r="BF119" i="71"/>
  <c r="CC119" i="71" s="1"/>
  <c r="BF102" i="71"/>
  <c r="CC102" i="71" s="1"/>
  <c r="BF161" i="71"/>
  <c r="CC161" i="71" s="1"/>
  <c r="BF164" i="71"/>
  <c r="CC164" i="71" s="1"/>
  <c r="BF152" i="71"/>
  <c r="CC152" i="71" s="1"/>
  <c r="BF153" i="71"/>
  <c r="CC153" i="71" s="1"/>
  <c r="BF76" i="71"/>
  <c r="CC76" i="71" s="1"/>
  <c r="BF79" i="71"/>
  <c r="CC79" i="71" s="1"/>
  <c r="BF75" i="71"/>
  <c r="CC75" i="71" s="1"/>
  <c r="BF140" i="71"/>
  <c r="CC140" i="71" s="1"/>
  <c r="BF121" i="71"/>
  <c r="CC121" i="71" s="1"/>
  <c r="BF100" i="71"/>
  <c r="CC100" i="71" s="1"/>
  <c r="BF159" i="71"/>
  <c r="CC159" i="71" s="1"/>
  <c r="BF53" i="71"/>
  <c r="CC53" i="71" s="1"/>
  <c r="BF17" i="71"/>
  <c r="CC17" i="71" s="1"/>
  <c r="BF28" i="71"/>
  <c r="CC28" i="71" s="1"/>
  <c r="BF154" i="71"/>
  <c r="CC154" i="71" s="1"/>
  <c r="BF73" i="71"/>
  <c r="CC73" i="71" s="1"/>
  <c r="BF6" i="71"/>
  <c r="CC6" i="71" s="1"/>
  <c r="BF38" i="71"/>
  <c r="CC38" i="71" s="1"/>
  <c r="BF41" i="71"/>
  <c r="CC41" i="71" s="1"/>
  <c r="BF87" i="71"/>
  <c r="CC87" i="71" s="1"/>
  <c r="BF105" i="71"/>
  <c r="CC105" i="71" s="1"/>
  <c r="BF123" i="71"/>
  <c r="CC123" i="71" s="1"/>
  <c r="BF35" i="71"/>
  <c r="CC35" i="71" s="1"/>
  <c r="BF82" i="71"/>
  <c r="CC82" i="71" s="1"/>
  <c r="BF112" i="71"/>
  <c r="CC112" i="71" s="1"/>
  <c r="BF98" i="71"/>
  <c r="CC98" i="71" s="1"/>
  <c r="BF138" i="71"/>
  <c r="CC138" i="71" s="1"/>
  <c r="BF42" i="71"/>
  <c r="CC42" i="71" s="1"/>
  <c r="BF84" i="71"/>
  <c r="CC84" i="71" s="1"/>
  <c r="BF21" i="71"/>
  <c r="CC21" i="71" s="1"/>
  <c r="BF46" i="71"/>
  <c r="CC46" i="71" s="1"/>
  <c r="BF8" i="71"/>
  <c r="CC8" i="71" s="1"/>
  <c r="BF16" i="71"/>
  <c r="CC16" i="71" s="1"/>
  <c r="BF103" i="71"/>
  <c r="CC103" i="71" s="1"/>
  <c r="BF9" i="71"/>
  <c r="CC9" i="71" s="1"/>
  <c r="BF29" i="71"/>
  <c r="CC29" i="71" s="1"/>
  <c r="BF31" i="71"/>
  <c r="CC31" i="71" s="1"/>
  <c r="BF71" i="71"/>
  <c r="CC71" i="71" s="1"/>
  <c r="BF15" i="71"/>
  <c r="CC15" i="71" s="1"/>
  <c r="BF51" i="71"/>
  <c r="CC51" i="71" s="1"/>
  <c r="BF59" i="71"/>
  <c r="CC59" i="71" s="1"/>
  <c r="BF134" i="71"/>
  <c r="CC134" i="71" s="1"/>
  <c r="BF129" i="71"/>
  <c r="CC129" i="71" s="1"/>
  <c r="BF34" i="71"/>
  <c r="CC34" i="71" s="1"/>
  <c r="BF26" i="71"/>
  <c r="CC26" i="71" s="1"/>
  <c r="BF96" i="71"/>
  <c r="CC96" i="71" s="1"/>
  <c r="BF142" i="71"/>
  <c r="CC142" i="71" s="1"/>
  <c r="BF65" i="71"/>
  <c r="CC65" i="71" s="1"/>
  <c r="BF147" i="71"/>
  <c r="CC147" i="71" s="1"/>
  <c r="BF25" i="71"/>
  <c r="CC25" i="71" s="1"/>
  <c r="BF92" i="71"/>
  <c r="CC92" i="71" s="1"/>
  <c r="BF113" i="71"/>
  <c r="CC113" i="71" s="1"/>
  <c r="BF90" i="71"/>
  <c r="CC90" i="71" s="1"/>
  <c r="BF101" i="71"/>
  <c r="CC101" i="71" s="1"/>
  <c r="BF157" i="71"/>
  <c r="CC157" i="71" s="1"/>
  <c r="BF30" i="71"/>
  <c r="CC30" i="71" s="1"/>
  <c r="BF156" i="71"/>
  <c r="CC156" i="71" s="1"/>
  <c r="BF54" i="71"/>
  <c r="CC54" i="71" s="1"/>
  <c r="BF45" i="71"/>
  <c r="CC45" i="71" s="1"/>
  <c r="BF148" i="71"/>
  <c r="CC148" i="71" s="1"/>
  <c r="BF78" i="71"/>
  <c r="CC78" i="71" s="1"/>
  <c r="BF150" i="71"/>
  <c r="CC150" i="71" s="1"/>
  <c r="BF106" i="71"/>
  <c r="CC106" i="71" s="1"/>
  <c r="BF62" i="71"/>
  <c r="CC62" i="71" s="1"/>
  <c r="BF55" i="71"/>
  <c r="CC55" i="71" s="1"/>
  <c r="BF83" i="71"/>
  <c r="CC83" i="71" s="1"/>
  <c r="BF139" i="71"/>
  <c r="CC139" i="71" s="1"/>
  <c r="BF116" i="71"/>
  <c r="CC116" i="71" s="1"/>
  <c r="BF122" i="71"/>
  <c r="CC122" i="71" s="1"/>
  <c r="BF50" i="71"/>
  <c r="CC50" i="71" s="1"/>
  <c r="BF86" i="71"/>
  <c r="CC86" i="71" s="1"/>
  <c r="BF72" i="71"/>
  <c r="CC72" i="71" s="1"/>
  <c r="G32" i="71"/>
  <c r="G31" i="71"/>
  <c r="G30" i="71"/>
  <c r="F29" i="71"/>
  <c r="AV112" i="63"/>
  <c r="AV149" i="71"/>
  <c r="AV96" i="71"/>
  <c r="AV157" i="71"/>
  <c r="AV147" i="71"/>
  <c r="AR97" i="61"/>
  <c r="AV142" i="71"/>
  <c r="AR88" i="61"/>
  <c r="AV104" i="71"/>
  <c r="AV141" i="71"/>
  <c r="AV101" i="63"/>
  <c r="AV152" i="71"/>
  <c r="AV127" i="71"/>
  <c r="AR89" i="61"/>
  <c r="AV126" i="71"/>
  <c r="AV109" i="63"/>
  <c r="AV98" i="63"/>
  <c r="AV91" i="71"/>
  <c r="AV95" i="63"/>
  <c r="AV156" i="71"/>
  <c r="AV146" i="71"/>
  <c r="AV121" i="71"/>
  <c r="AV123" i="71"/>
  <c r="AV116" i="71"/>
  <c r="AV108" i="63"/>
  <c r="AU102" i="63"/>
  <c r="AR95" i="61"/>
  <c r="AV104" i="63"/>
  <c r="AV155" i="71"/>
  <c r="AR85" i="61"/>
  <c r="AV120" i="71"/>
  <c r="AV140" i="71"/>
  <c r="AR87" i="61"/>
  <c r="AV110" i="63"/>
  <c r="AV135" i="71"/>
  <c r="AV150" i="71"/>
  <c r="AU112" i="63"/>
  <c r="AR92" i="61"/>
  <c r="AV102" i="63"/>
  <c r="AV105" i="63"/>
  <c r="AU94" i="63"/>
  <c r="AU99" i="63"/>
  <c r="AV133" i="71"/>
  <c r="AU111" i="63"/>
  <c r="AU105" i="63"/>
  <c r="AV159" i="71"/>
  <c r="AV143" i="71"/>
  <c r="AV103" i="63"/>
  <c r="AV115" i="71"/>
  <c r="AV153" i="71"/>
  <c r="AV94" i="63"/>
  <c r="AV158" i="71"/>
  <c r="AU108" i="63"/>
  <c r="AU100" i="63"/>
  <c r="AV111" i="71"/>
  <c r="AV92" i="71"/>
  <c r="AV138" i="71"/>
  <c r="AR83" i="61"/>
  <c r="AV151" i="71"/>
  <c r="AV105" i="71"/>
  <c r="AM73" i="63"/>
  <c r="AR96" i="61"/>
  <c r="AV137" i="71"/>
  <c r="AV162" i="71"/>
  <c r="AV90" i="71"/>
  <c r="AV96" i="63"/>
  <c r="AV107" i="71"/>
  <c r="AU98" i="63"/>
  <c r="AR98" i="61"/>
  <c r="AV145" i="71"/>
  <c r="AV97" i="71"/>
  <c r="AU103" i="63"/>
  <c r="AU104" i="63"/>
  <c r="AV164" i="71"/>
  <c r="AV111" i="63"/>
  <c r="AV132" i="71"/>
  <c r="AV93" i="71"/>
  <c r="AV163" i="71"/>
  <c r="AR94" i="61"/>
  <c r="AV99" i="71"/>
  <c r="AV106" i="63"/>
  <c r="AV161" i="71"/>
  <c r="AU101" i="63"/>
  <c r="AV112" i="71"/>
  <c r="AV154" i="71"/>
  <c r="AV128" i="71"/>
  <c r="AR91" i="61"/>
  <c r="AV124" i="71"/>
  <c r="AV118" i="71"/>
  <c r="AV97" i="63"/>
  <c r="AV130" i="71"/>
  <c r="AV160" i="71"/>
  <c r="AR93" i="61"/>
  <c r="AV113" i="63"/>
  <c r="AV148" i="71"/>
  <c r="AV114" i="71"/>
  <c r="AV99" i="63"/>
  <c r="AV122" i="71"/>
  <c r="AU95" i="63"/>
  <c r="AV136" i="71"/>
  <c r="AV134" i="71"/>
  <c r="AV139" i="71"/>
  <c r="AV107" i="63"/>
  <c r="AU110" i="63"/>
  <c r="AV125" i="71"/>
  <c r="AV144" i="71"/>
  <c r="AR84" i="61"/>
  <c r="AV113" i="71"/>
  <c r="AV100" i="63"/>
  <c r="AV129" i="71"/>
  <c r="AV103" i="71"/>
  <c r="AR86" i="61"/>
  <c r="AU96" i="63"/>
  <c r="AV101" i="71"/>
  <c r="AU107" i="63"/>
  <c r="AU113" i="63"/>
  <c r="AU109" i="63"/>
  <c r="AU97" i="63"/>
  <c r="AU106" i="63"/>
  <c r="AV117" i="71"/>
  <c r="AV106" i="71"/>
  <c r="AR90" i="61"/>
  <c r="AV108" i="71"/>
  <c r="AO73" i="63" l="1"/>
  <c r="F28" i="71"/>
  <c r="BN116" i="71"/>
  <c r="BX116" i="71"/>
  <c r="BS116" i="71"/>
  <c r="BX70" i="71"/>
  <c r="BS70" i="71"/>
  <c r="BN70" i="71"/>
  <c r="BS139" i="71"/>
  <c r="BX139" i="71"/>
  <c r="BN139" i="71"/>
  <c r="BX157" i="71"/>
  <c r="BN157" i="71"/>
  <c r="BS157" i="71"/>
  <c r="BS129" i="71"/>
  <c r="BN129" i="71"/>
  <c r="BX129" i="71"/>
  <c r="BS46" i="71"/>
  <c r="BX46" i="71"/>
  <c r="BN46" i="71"/>
  <c r="BX41" i="71"/>
  <c r="BS41" i="71"/>
  <c r="BN41" i="71"/>
  <c r="BN75" i="71"/>
  <c r="BX75" i="71"/>
  <c r="BS75" i="71"/>
  <c r="BN10" i="71"/>
  <c r="BX10" i="71"/>
  <c r="BS10" i="71"/>
  <c r="BS162" i="71"/>
  <c r="BN162" i="71"/>
  <c r="BX162" i="71"/>
  <c r="BX60" i="71"/>
  <c r="BS60" i="71"/>
  <c r="BN60" i="71"/>
  <c r="BX44" i="71"/>
  <c r="BS44" i="71"/>
  <c r="BN44" i="71"/>
  <c r="BS160" i="71"/>
  <c r="BN160" i="71"/>
  <c r="BX160" i="71"/>
  <c r="BS36" i="71"/>
  <c r="BX36" i="71"/>
  <c r="BN36" i="71"/>
  <c r="BS12" i="71"/>
  <c r="BN12" i="71"/>
  <c r="BX12" i="71"/>
  <c r="BS140" i="71"/>
  <c r="BN140" i="71"/>
  <c r="BX140" i="71"/>
  <c r="BN141" i="71"/>
  <c r="BS141" i="71"/>
  <c r="BX141" i="71"/>
  <c r="BN20" i="71"/>
  <c r="BX20" i="71"/>
  <c r="BS20" i="71"/>
  <c r="BS83" i="71"/>
  <c r="BX83" i="71"/>
  <c r="BN83" i="71"/>
  <c r="BX101" i="71"/>
  <c r="BN101" i="71"/>
  <c r="BS101" i="71"/>
  <c r="BN134" i="71"/>
  <c r="BS134" i="71"/>
  <c r="BX134" i="71"/>
  <c r="BS21" i="71"/>
  <c r="BX21" i="71"/>
  <c r="BN21" i="71"/>
  <c r="BX38" i="71"/>
  <c r="BN38" i="71"/>
  <c r="BS38" i="71"/>
  <c r="BX79" i="71"/>
  <c r="BN79" i="71"/>
  <c r="BS79" i="71"/>
  <c r="BX48" i="71"/>
  <c r="BS48" i="71"/>
  <c r="BN48" i="71"/>
  <c r="BS11" i="71"/>
  <c r="BN11" i="71"/>
  <c r="BX11" i="71"/>
  <c r="BN66" i="71"/>
  <c r="BX66" i="71"/>
  <c r="BS66" i="71"/>
  <c r="BN104" i="71"/>
  <c r="BX104" i="71"/>
  <c r="BS104" i="71"/>
  <c r="BX22" i="71"/>
  <c r="BN22" i="71"/>
  <c r="BS22" i="71"/>
  <c r="BX81" i="71"/>
  <c r="BN81" i="71"/>
  <c r="BS81" i="71"/>
  <c r="BX146" i="71"/>
  <c r="BN146" i="71"/>
  <c r="BS146" i="71"/>
  <c r="BS34" i="71"/>
  <c r="BX34" i="71"/>
  <c r="BN34" i="71"/>
  <c r="BN5" i="71"/>
  <c r="BX5" i="71"/>
  <c r="BS5" i="71"/>
  <c r="BS55" i="71"/>
  <c r="BX55" i="71"/>
  <c r="BN55" i="71"/>
  <c r="BX90" i="71"/>
  <c r="BN90" i="71"/>
  <c r="BS90" i="71"/>
  <c r="BS59" i="71"/>
  <c r="BN59" i="71"/>
  <c r="BX59" i="71"/>
  <c r="BN84" i="71"/>
  <c r="BS84" i="71"/>
  <c r="BX84" i="71"/>
  <c r="BS6" i="71"/>
  <c r="BN6" i="71"/>
  <c r="BX6" i="71"/>
  <c r="BN76" i="71"/>
  <c r="BS76" i="71"/>
  <c r="BX76" i="71"/>
  <c r="BX63" i="71"/>
  <c r="BN63" i="71"/>
  <c r="BS63" i="71"/>
  <c r="BS85" i="71"/>
  <c r="BX85" i="71"/>
  <c r="BN85" i="71"/>
  <c r="BS27" i="71"/>
  <c r="BX27" i="71"/>
  <c r="BN27" i="71"/>
  <c r="BN108" i="71"/>
  <c r="BS108" i="71"/>
  <c r="BX108" i="71"/>
  <c r="BX128" i="71"/>
  <c r="BS128" i="71"/>
  <c r="BN128" i="71"/>
  <c r="BN52" i="71"/>
  <c r="BX52" i="71"/>
  <c r="BS52" i="71"/>
  <c r="BS47" i="71"/>
  <c r="BX47" i="71"/>
  <c r="BN47" i="71"/>
  <c r="BX30" i="71"/>
  <c r="BS30" i="71"/>
  <c r="BN30" i="71"/>
  <c r="BX62" i="71"/>
  <c r="BS62" i="71"/>
  <c r="BN62" i="71"/>
  <c r="BX113" i="71"/>
  <c r="BS113" i="71"/>
  <c r="BN113" i="71"/>
  <c r="BN51" i="71"/>
  <c r="BS51" i="71"/>
  <c r="BX51" i="71"/>
  <c r="BN42" i="71"/>
  <c r="BX42" i="71"/>
  <c r="BS42" i="71"/>
  <c r="BN73" i="71"/>
  <c r="BX73" i="71"/>
  <c r="BS73" i="71"/>
  <c r="BS153" i="71"/>
  <c r="BX153" i="71"/>
  <c r="BN153" i="71"/>
  <c r="BS118" i="71"/>
  <c r="BN118" i="71"/>
  <c r="BX118" i="71"/>
  <c r="BS97" i="71"/>
  <c r="BN97" i="71"/>
  <c r="BX97" i="71"/>
  <c r="BN127" i="71"/>
  <c r="BS127" i="71"/>
  <c r="BX127" i="71"/>
  <c r="BN99" i="71"/>
  <c r="BS99" i="71"/>
  <c r="BX99" i="71"/>
  <c r="BX64" i="71"/>
  <c r="BN64" i="71"/>
  <c r="BS64" i="71"/>
  <c r="BN37" i="71"/>
  <c r="BS37" i="71"/>
  <c r="BX37" i="71"/>
  <c r="BN91" i="71"/>
  <c r="BS91" i="71"/>
  <c r="BX91" i="71"/>
  <c r="BN8" i="71"/>
  <c r="BX8" i="71"/>
  <c r="BS8" i="71"/>
  <c r="BN115" i="71"/>
  <c r="BS115" i="71"/>
  <c r="BX115" i="71"/>
  <c r="BS106" i="71"/>
  <c r="BN106" i="71"/>
  <c r="BX106" i="71"/>
  <c r="BS92" i="71"/>
  <c r="BN92" i="71"/>
  <c r="BX92" i="71"/>
  <c r="BX15" i="71"/>
  <c r="BS15" i="71"/>
  <c r="BN15" i="71"/>
  <c r="BX138" i="71"/>
  <c r="BN138" i="71"/>
  <c r="BS138" i="71"/>
  <c r="BN154" i="71"/>
  <c r="BS154" i="71"/>
  <c r="BX154" i="71"/>
  <c r="BS152" i="71"/>
  <c r="BX152" i="71"/>
  <c r="BN152" i="71"/>
  <c r="BS155" i="71"/>
  <c r="BX155" i="71"/>
  <c r="BN155" i="71"/>
  <c r="BX40" i="71"/>
  <c r="BN40" i="71"/>
  <c r="BS40" i="71"/>
  <c r="BN93" i="71"/>
  <c r="BS93" i="71"/>
  <c r="BX93" i="71"/>
  <c r="BX68" i="71"/>
  <c r="BN68" i="71"/>
  <c r="BS68" i="71"/>
  <c r="BN144" i="71"/>
  <c r="BS144" i="71"/>
  <c r="BX144" i="71"/>
  <c r="BS151" i="71"/>
  <c r="BN151" i="71"/>
  <c r="BX151" i="71"/>
  <c r="BS39" i="71"/>
  <c r="BX39" i="71"/>
  <c r="BN39" i="71"/>
  <c r="BX125" i="71"/>
  <c r="BN125" i="71"/>
  <c r="BS125" i="71"/>
  <c r="BN150" i="71"/>
  <c r="BS150" i="71"/>
  <c r="BX150" i="71"/>
  <c r="BX25" i="71"/>
  <c r="BS25" i="71"/>
  <c r="BN25" i="71"/>
  <c r="BS71" i="71"/>
  <c r="BX71" i="71"/>
  <c r="BN71" i="71"/>
  <c r="BX98" i="71"/>
  <c r="BN98" i="71"/>
  <c r="BS98" i="71"/>
  <c r="BS28" i="71"/>
  <c r="BX28" i="71"/>
  <c r="BN28" i="71"/>
  <c r="BS164" i="71"/>
  <c r="BX164" i="71"/>
  <c r="BN164" i="71"/>
  <c r="BN136" i="71"/>
  <c r="BS136" i="71"/>
  <c r="BX136" i="71"/>
  <c r="BS69" i="71"/>
  <c r="BX69" i="71"/>
  <c r="BN69" i="71"/>
  <c r="BS158" i="71"/>
  <c r="BX158" i="71"/>
  <c r="BN158" i="71"/>
  <c r="BX77" i="71"/>
  <c r="BS77" i="71"/>
  <c r="BN77" i="71"/>
  <c r="BS80" i="71"/>
  <c r="BX80" i="71"/>
  <c r="BN80" i="71"/>
  <c r="BN49" i="71"/>
  <c r="BS49" i="71"/>
  <c r="BX49" i="71"/>
  <c r="BX43" i="71"/>
  <c r="BS43" i="71"/>
  <c r="BN43" i="71"/>
  <c r="BX145" i="71"/>
  <c r="BS145" i="71"/>
  <c r="BN145" i="71"/>
  <c r="BX78" i="71"/>
  <c r="BN78" i="71"/>
  <c r="BS78" i="71"/>
  <c r="BS147" i="71"/>
  <c r="BN147" i="71"/>
  <c r="BX147" i="71"/>
  <c r="BX31" i="71"/>
  <c r="BN31" i="71"/>
  <c r="BS31" i="71"/>
  <c r="BS112" i="71"/>
  <c r="BN112" i="71"/>
  <c r="BX112" i="71"/>
  <c r="BN17" i="71"/>
  <c r="BX17" i="71"/>
  <c r="BS17" i="71"/>
  <c r="BS161" i="71"/>
  <c r="BX161" i="71"/>
  <c r="BN161" i="71"/>
  <c r="BS132" i="71"/>
  <c r="BX132" i="71"/>
  <c r="BN132" i="71"/>
  <c r="BN143" i="71"/>
  <c r="BS143" i="71"/>
  <c r="BX143" i="71"/>
  <c r="BX120" i="71"/>
  <c r="BS120" i="71"/>
  <c r="BN120" i="71"/>
  <c r="BX95" i="71"/>
  <c r="BN95" i="71"/>
  <c r="BS95" i="71"/>
  <c r="BN7" i="71"/>
  <c r="BS7" i="71"/>
  <c r="BX7" i="71"/>
  <c r="BS24" i="71"/>
  <c r="BN24" i="71"/>
  <c r="BX24" i="71"/>
  <c r="BN126" i="71"/>
  <c r="BS126" i="71"/>
  <c r="BX126" i="71"/>
  <c r="BS72" i="71"/>
  <c r="BX72" i="71"/>
  <c r="BN72" i="71"/>
  <c r="BX148" i="71"/>
  <c r="BN148" i="71"/>
  <c r="BS148" i="71"/>
  <c r="BX65" i="71"/>
  <c r="BN65" i="71"/>
  <c r="BS65" i="71"/>
  <c r="BN29" i="71"/>
  <c r="BX29" i="71"/>
  <c r="BS29" i="71"/>
  <c r="BX82" i="71"/>
  <c r="BS82" i="71"/>
  <c r="BN82" i="71"/>
  <c r="BN53" i="71"/>
  <c r="BS53" i="71"/>
  <c r="BX53" i="71"/>
  <c r="BN102" i="71"/>
  <c r="BS102" i="71"/>
  <c r="BX102" i="71"/>
  <c r="BN109" i="71"/>
  <c r="BX109" i="71"/>
  <c r="BS109" i="71"/>
  <c r="BX130" i="71"/>
  <c r="BS130" i="71"/>
  <c r="BN130" i="71"/>
  <c r="BS133" i="71"/>
  <c r="BX133" i="71"/>
  <c r="BN133" i="71"/>
  <c r="BN57" i="71"/>
  <c r="BS57" i="71"/>
  <c r="BX57" i="71"/>
  <c r="BX107" i="71"/>
  <c r="BS107" i="71"/>
  <c r="BN107" i="71"/>
  <c r="BX124" i="71"/>
  <c r="BS124" i="71"/>
  <c r="BN124" i="71"/>
  <c r="BS117" i="71"/>
  <c r="BX117" i="71"/>
  <c r="BN117" i="71"/>
  <c r="BX87" i="71"/>
  <c r="BS87" i="71"/>
  <c r="BN87" i="71"/>
  <c r="BS86" i="71"/>
  <c r="BX86" i="71"/>
  <c r="BN86" i="71"/>
  <c r="BN45" i="71"/>
  <c r="BS45" i="71"/>
  <c r="BX45" i="71"/>
  <c r="BX142" i="71"/>
  <c r="BN142" i="71"/>
  <c r="BS142" i="71"/>
  <c r="BX9" i="71"/>
  <c r="BS9" i="71"/>
  <c r="BN9" i="71"/>
  <c r="BN35" i="71"/>
  <c r="BS35" i="71"/>
  <c r="BX35" i="71"/>
  <c r="BX159" i="71"/>
  <c r="BN159" i="71"/>
  <c r="BS159" i="71"/>
  <c r="BX119" i="71"/>
  <c r="BN119" i="71"/>
  <c r="BS119" i="71"/>
  <c r="BN114" i="71"/>
  <c r="BX114" i="71"/>
  <c r="BS114" i="71"/>
  <c r="BX19" i="71"/>
  <c r="BN19" i="71"/>
  <c r="BS19" i="71"/>
  <c r="BS58" i="71"/>
  <c r="BN58" i="71"/>
  <c r="BX58" i="71"/>
  <c r="BS61" i="71"/>
  <c r="BX61" i="71"/>
  <c r="BN61" i="71"/>
  <c r="BX23" i="71"/>
  <c r="BN23" i="71"/>
  <c r="BS23" i="71"/>
  <c r="BS56" i="71"/>
  <c r="BN56" i="71"/>
  <c r="BX56" i="71"/>
  <c r="BN89" i="71"/>
  <c r="BX89" i="71"/>
  <c r="BS89" i="71"/>
  <c r="BN50" i="71"/>
  <c r="BS50" i="71"/>
  <c r="BX50" i="71"/>
  <c r="BX54" i="71"/>
  <c r="BS54" i="71"/>
  <c r="BN54" i="71"/>
  <c r="BS96" i="71"/>
  <c r="BX96" i="71"/>
  <c r="BN96" i="71"/>
  <c r="BS103" i="71"/>
  <c r="BN103" i="71"/>
  <c r="BX103" i="71"/>
  <c r="BS123" i="71"/>
  <c r="BN123" i="71"/>
  <c r="BX123" i="71"/>
  <c r="BN100" i="71"/>
  <c r="BX100" i="71"/>
  <c r="BS100" i="71"/>
  <c r="BS13" i="71"/>
  <c r="BX13" i="71"/>
  <c r="BN13" i="71"/>
  <c r="BS110" i="71"/>
  <c r="BN110" i="71"/>
  <c r="BX110" i="71"/>
  <c r="BS33" i="71"/>
  <c r="BX33" i="71"/>
  <c r="BN33" i="71"/>
  <c r="BX32" i="71"/>
  <c r="BS32" i="71"/>
  <c r="BN32" i="71"/>
  <c r="BN88" i="71"/>
  <c r="BS88" i="71"/>
  <c r="BX88" i="71"/>
  <c r="BX149" i="71"/>
  <c r="BS149" i="71"/>
  <c r="BN149" i="71"/>
  <c r="BX137" i="71"/>
  <c r="BS137" i="71"/>
  <c r="BN137" i="71"/>
  <c r="BN14" i="71"/>
  <c r="BS14" i="71"/>
  <c r="BX14" i="71"/>
  <c r="BX122" i="71"/>
  <c r="BN122" i="71"/>
  <c r="BS122" i="71"/>
  <c r="BS156" i="71"/>
  <c r="BX156" i="71"/>
  <c r="BN156" i="71"/>
  <c r="BN26" i="71"/>
  <c r="BS26" i="71"/>
  <c r="BX26" i="71"/>
  <c r="BX16" i="71"/>
  <c r="BS16" i="71"/>
  <c r="BN16" i="71"/>
  <c r="BN105" i="71"/>
  <c r="BS105" i="71"/>
  <c r="BX105" i="71"/>
  <c r="BX121" i="71"/>
  <c r="BN121" i="71"/>
  <c r="BS121" i="71"/>
  <c r="BX163" i="71"/>
  <c r="BS163" i="71"/>
  <c r="BN163" i="71"/>
  <c r="BS135" i="71"/>
  <c r="BX135" i="71"/>
  <c r="BN135" i="71"/>
  <c r="BN94" i="71"/>
  <c r="BS94" i="71"/>
  <c r="BX94" i="71"/>
  <c r="BS67" i="71"/>
  <c r="BX67" i="71"/>
  <c r="BN67" i="71"/>
  <c r="BN111" i="71"/>
  <c r="BX111" i="71"/>
  <c r="BS111" i="71"/>
  <c r="BX131" i="71"/>
  <c r="BN131" i="71"/>
  <c r="BS131" i="71"/>
  <c r="BX18" i="71"/>
  <c r="BS18" i="71"/>
  <c r="BN18" i="71"/>
  <c r="BN74" i="71"/>
  <c r="BX74" i="71"/>
  <c r="BS74" i="71"/>
  <c r="G29" i="71"/>
  <c r="AU30" i="71"/>
  <c r="AU38" i="71"/>
  <c r="AU33" i="71"/>
  <c r="AU41" i="71"/>
  <c r="AU117" i="63"/>
  <c r="AU82" i="71"/>
  <c r="AU57" i="71"/>
  <c r="AV120" i="63"/>
  <c r="AU78" i="71"/>
  <c r="AU65" i="71"/>
  <c r="AB97" i="61"/>
  <c r="AV122" i="63"/>
  <c r="AA90" i="61"/>
  <c r="AU66" i="71"/>
  <c r="AU101" i="71"/>
  <c r="AU32" i="71"/>
  <c r="Z91" i="61"/>
  <c r="AU31" i="71"/>
  <c r="AU59" i="71"/>
  <c r="AU75" i="71"/>
  <c r="AU60" i="71"/>
  <c r="AU123" i="63"/>
  <c r="AU44" i="71"/>
  <c r="AB86" i="61"/>
  <c r="AU64" i="71"/>
  <c r="AU118" i="63"/>
  <c r="Z86" i="61"/>
  <c r="AU20" i="71"/>
  <c r="AU29" i="71"/>
  <c r="AU80" i="71"/>
  <c r="AV115" i="63"/>
  <c r="AB88" i="61"/>
  <c r="AV123" i="63"/>
  <c r="AU36" i="71"/>
  <c r="AU102" i="71"/>
  <c r="AU81" i="71"/>
  <c r="Z90" i="61"/>
  <c r="AB89" i="61"/>
  <c r="AA85" i="61"/>
  <c r="AU45" i="71"/>
  <c r="AV119" i="63"/>
  <c r="AU62" i="71"/>
  <c r="AU51" i="71"/>
  <c r="Z83" i="61"/>
  <c r="AU84" i="71"/>
  <c r="AU46" i="71"/>
  <c r="AU77" i="71"/>
  <c r="Z93" i="61"/>
  <c r="AU11" i="71"/>
  <c r="AU86" i="71"/>
  <c r="AU121" i="63"/>
  <c r="AU22" i="71"/>
  <c r="Z96" i="61"/>
  <c r="Z97" i="61"/>
  <c r="AU35" i="71"/>
  <c r="AU85" i="71"/>
  <c r="AU61" i="71"/>
  <c r="AB87" i="61"/>
  <c r="AB85" i="61"/>
  <c r="AU25" i="71"/>
  <c r="AU9" i="71"/>
  <c r="AU83" i="71"/>
  <c r="AU23" i="71"/>
  <c r="Z88" i="61"/>
  <c r="AU42" i="71"/>
  <c r="AU92" i="71"/>
  <c r="AU43" i="71"/>
  <c r="AU114" i="63"/>
  <c r="AU53" i="71"/>
  <c r="AU79" i="71"/>
  <c r="AU56" i="71"/>
  <c r="AU17" i="71"/>
  <c r="AB95" i="61"/>
  <c r="AU47" i="71"/>
  <c r="AU116" i="63"/>
  <c r="AU70" i="71"/>
  <c r="AB90" i="61"/>
  <c r="AU15" i="71"/>
  <c r="Z87" i="61"/>
  <c r="AU69" i="71"/>
  <c r="AU24" i="71"/>
  <c r="AA93" i="61"/>
  <c r="AU74" i="71"/>
  <c r="AB91" i="61"/>
  <c r="AB83" i="61"/>
  <c r="AB93" i="61"/>
  <c r="AA86" i="61"/>
  <c r="AU37" i="71"/>
  <c r="AU72" i="71"/>
  <c r="AU71" i="71"/>
  <c r="Z84" i="61"/>
  <c r="AU73" i="71"/>
  <c r="AU133" i="71"/>
  <c r="AV118" i="63"/>
  <c r="AU88" i="71"/>
  <c r="AA89" i="61"/>
  <c r="AV114" i="63"/>
  <c r="AU108" i="71"/>
  <c r="AA94" i="61"/>
  <c r="AU76" i="71"/>
  <c r="AV116" i="63"/>
  <c r="AU14" i="71"/>
  <c r="AU49" i="71"/>
  <c r="AA87" i="61"/>
  <c r="AA96" i="61"/>
  <c r="AU12" i="71"/>
  <c r="AU119" i="63"/>
  <c r="AU6" i="71"/>
  <c r="AU87" i="71"/>
  <c r="Z98" i="61"/>
  <c r="AU21" i="71"/>
  <c r="AU122" i="71"/>
  <c r="AU5" i="71"/>
  <c r="AB96" i="61"/>
  <c r="AU115" i="63"/>
  <c r="AU16" i="71"/>
  <c r="AU117" i="71"/>
  <c r="AU28" i="71"/>
  <c r="AA88" i="61"/>
  <c r="AA98" i="61"/>
  <c r="AU8" i="71"/>
  <c r="AV121" i="63"/>
  <c r="AU13" i="71"/>
  <c r="AU10" i="71"/>
  <c r="AB94" i="61"/>
  <c r="Z89" i="61"/>
  <c r="AU55" i="71"/>
  <c r="AU50" i="71"/>
  <c r="AU26" i="71"/>
  <c r="AU118" i="71"/>
  <c r="AB98" i="61"/>
  <c r="AM74" i="63"/>
  <c r="AU58" i="71"/>
  <c r="AU122" i="63"/>
  <c r="AA91" i="61"/>
  <c r="AU40" i="71"/>
  <c r="AV117" i="63"/>
  <c r="AU128" i="71"/>
  <c r="AU27" i="71"/>
  <c r="AU39" i="71"/>
  <c r="AU34" i="71"/>
  <c r="Z85" i="61"/>
  <c r="AB84" i="61"/>
  <c r="AU63" i="71"/>
  <c r="AU67" i="71"/>
  <c r="AU18" i="71"/>
  <c r="AA92" i="61"/>
  <c r="Z92" i="61"/>
  <c r="AU120" i="63"/>
  <c r="AB92" i="61"/>
  <c r="AU48" i="71"/>
  <c r="AA97" i="61"/>
  <c r="AU90" i="71"/>
  <c r="Z94" i="61"/>
  <c r="AU89" i="71"/>
  <c r="AA84" i="61"/>
  <c r="AU52" i="71"/>
  <c r="AA83" i="61"/>
  <c r="AU103" i="71"/>
  <c r="AU54" i="71"/>
  <c r="AA95" i="61"/>
  <c r="AU7" i="71"/>
  <c r="Z95" i="61"/>
  <c r="AU19" i="71"/>
  <c r="AU68" i="71"/>
  <c r="AO74" i="63" l="1"/>
  <c r="AF94" i="61"/>
  <c r="AE96" i="61"/>
  <c r="AF83" i="61"/>
  <c r="AD87" i="61"/>
  <c r="AE93" i="61"/>
  <c r="AD96" i="61"/>
  <c r="AF90" i="61"/>
  <c r="AE83" i="61"/>
  <c r="AE87" i="61"/>
  <c r="AF93" i="61"/>
  <c r="AE90" i="61"/>
  <c r="AD83" i="61"/>
  <c r="AF87" i="61"/>
  <c r="AD93" i="61"/>
  <c r="AD90" i="61"/>
  <c r="AF95" i="61"/>
  <c r="AE95" i="61"/>
  <c r="AD86" i="61"/>
  <c r="AE89" i="61"/>
  <c r="AF97" i="61"/>
  <c r="AD95" i="61"/>
  <c r="AE86" i="61"/>
  <c r="AF89" i="61"/>
  <c r="AF84" i="61"/>
  <c r="AE97" i="61"/>
  <c r="AD85" i="61"/>
  <c r="AE92" i="61"/>
  <c r="AF86" i="61"/>
  <c r="AD89" i="61"/>
  <c r="AD84" i="61"/>
  <c r="AD97" i="61"/>
  <c r="AF85" i="61"/>
  <c r="AF92" i="61"/>
  <c r="G28" i="71"/>
  <c r="AF91" i="61"/>
  <c r="AE84" i="61"/>
  <c r="AD98" i="61"/>
  <c r="AE88" i="61"/>
  <c r="AE85" i="61"/>
  <c r="AD92" i="61"/>
  <c r="AE91" i="61"/>
  <c r="AF98" i="61"/>
  <c r="AD88" i="61"/>
  <c r="AD91" i="61"/>
  <c r="AD94" i="61"/>
  <c r="AE98" i="61"/>
  <c r="AF88" i="61"/>
  <c r="AE94" i="61"/>
  <c r="AF96" i="61"/>
  <c r="BC155" i="71"/>
  <c r="BZ155" i="71" s="1"/>
  <c r="BC102" i="71"/>
  <c r="BZ102" i="71" s="1"/>
  <c r="BC156" i="71"/>
  <c r="BZ156" i="71" s="1"/>
  <c r="BC50" i="71"/>
  <c r="BZ50" i="71" s="1"/>
  <c r="BC105" i="71"/>
  <c r="BZ105" i="71" s="1"/>
  <c r="BC10" i="71"/>
  <c r="BZ10" i="71" s="1"/>
  <c r="BC129" i="71"/>
  <c r="BZ129" i="71" s="1"/>
  <c r="BC123" i="71"/>
  <c r="BZ123" i="71" s="1"/>
  <c r="BC131" i="71"/>
  <c r="BZ131" i="71" s="1"/>
  <c r="BC33" i="71"/>
  <c r="BZ33" i="71" s="1"/>
  <c r="BC49" i="71"/>
  <c r="BZ49" i="71" s="1"/>
  <c r="BC157" i="71"/>
  <c r="BZ157" i="71" s="1"/>
  <c r="BC44" i="71"/>
  <c r="BZ44" i="71" s="1"/>
  <c r="BC144" i="71"/>
  <c r="BZ144" i="71" s="1"/>
  <c r="BC16" i="71"/>
  <c r="BZ16" i="71" s="1"/>
  <c r="BC88" i="71"/>
  <c r="BZ88" i="71" s="1"/>
  <c r="BC100" i="71"/>
  <c r="BZ100" i="71" s="1"/>
  <c r="BC125" i="71"/>
  <c r="BZ125" i="71" s="1"/>
  <c r="BC19" i="71"/>
  <c r="BZ19" i="71" s="1"/>
  <c r="BC25" i="71"/>
  <c r="BZ25" i="71" s="1"/>
  <c r="BC47" i="71"/>
  <c r="BZ47" i="71" s="1"/>
  <c r="BC108" i="71"/>
  <c r="BZ108" i="71" s="1"/>
  <c r="BC62" i="71"/>
  <c r="BZ62" i="71" s="1"/>
  <c r="BC30" i="71"/>
  <c r="BZ30" i="71" s="1"/>
  <c r="BC143" i="71"/>
  <c r="BZ143" i="71" s="1"/>
  <c r="BC41" i="71"/>
  <c r="BZ41" i="71" s="1"/>
  <c r="BC81" i="71"/>
  <c r="BZ81" i="71" s="1"/>
  <c r="BC54" i="71"/>
  <c r="BZ54" i="71" s="1"/>
  <c r="BC114" i="71"/>
  <c r="BZ114" i="71" s="1"/>
  <c r="BC57" i="71"/>
  <c r="BZ57" i="71" s="1"/>
  <c r="BC135" i="71"/>
  <c r="BZ135" i="71" s="1"/>
  <c r="BC142" i="71"/>
  <c r="BZ142" i="71" s="1"/>
  <c r="BC66" i="71"/>
  <c r="BZ66" i="71" s="1"/>
  <c r="BC60" i="71"/>
  <c r="BZ60" i="71" s="1"/>
  <c r="BC9" i="71"/>
  <c r="BZ9" i="71" s="1"/>
  <c r="BC18" i="71"/>
  <c r="BZ18" i="71" s="1"/>
  <c r="BC111" i="71"/>
  <c r="BZ111" i="71" s="1"/>
  <c r="BC97" i="71"/>
  <c r="BZ97" i="71" s="1"/>
  <c r="BC36" i="71"/>
  <c r="BZ36" i="71" s="1"/>
  <c r="BC7" i="71"/>
  <c r="BZ7" i="71" s="1"/>
  <c r="BC153" i="71"/>
  <c r="BZ153" i="71" s="1"/>
  <c r="BC93" i="71"/>
  <c r="BZ93" i="71" s="1"/>
  <c r="BC24" i="71"/>
  <c r="BZ24" i="71" s="1"/>
  <c r="BC104" i="71"/>
  <c r="BZ104" i="71" s="1"/>
  <c r="BC121" i="71"/>
  <c r="BZ121" i="71" s="1"/>
  <c r="BC149" i="71"/>
  <c r="BZ149" i="71" s="1"/>
  <c r="BC67" i="71"/>
  <c r="BZ67" i="71" s="1"/>
  <c r="BC138" i="71"/>
  <c r="BZ138" i="71" s="1"/>
  <c r="BC150" i="71"/>
  <c r="BZ150" i="71" s="1"/>
  <c r="BC89" i="71"/>
  <c r="BZ89" i="71" s="1"/>
  <c r="BC163" i="71"/>
  <c r="BZ163" i="71" s="1"/>
  <c r="BC28" i="71"/>
  <c r="BZ28" i="71" s="1"/>
  <c r="BC136" i="71"/>
  <c r="BZ136" i="71" s="1"/>
  <c r="BC106" i="71"/>
  <c r="BZ106" i="71" s="1"/>
  <c r="BC22" i="71"/>
  <c r="BZ22" i="71" s="1"/>
  <c r="BC56" i="71"/>
  <c r="BZ56" i="71" s="1"/>
  <c r="BC73" i="71"/>
  <c r="BZ73" i="71" s="1"/>
  <c r="BC64" i="71"/>
  <c r="BZ64" i="71" s="1"/>
  <c r="BC74" i="71"/>
  <c r="BZ74" i="71" s="1"/>
  <c r="BC140" i="71"/>
  <c r="BZ140" i="71" s="1"/>
  <c r="BC148" i="71"/>
  <c r="BZ148" i="71" s="1"/>
  <c r="BC59" i="71"/>
  <c r="BZ59" i="71" s="1"/>
  <c r="BC29" i="71"/>
  <c r="BZ29" i="71" s="1"/>
  <c r="BC91" i="71"/>
  <c r="BZ91" i="71" s="1"/>
  <c r="BC55" i="71"/>
  <c r="BZ55" i="71" s="1"/>
  <c r="BC51" i="71"/>
  <c r="BZ51" i="71" s="1"/>
  <c r="BC128" i="71"/>
  <c r="BZ128" i="71" s="1"/>
  <c r="BC17" i="71"/>
  <c r="BZ17" i="71" s="1"/>
  <c r="BC15" i="71"/>
  <c r="BZ15" i="71" s="1"/>
  <c r="BC13" i="71"/>
  <c r="BZ13" i="71" s="1"/>
  <c r="BC103" i="71"/>
  <c r="BZ103" i="71" s="1"/>
  <c r="BC69" i="71"/>
  <c r="BZ69" i="71" s="1"/>
  <c r="BC34" i="71"/>
  <c r="BZ34" i="71" s="1"/>
  <c r="BC99" i="71"/>
  <c r="BZ99" i="71" s="1"/>
  <c r="BC94" i="71"/>
  <c r="BZ94" i="71" s="1"/>
  <c r="BC86" i="71"/>
  <c r="BZ86" i="71" s="1"/>
  <c r="BC31" i="71"/>
  <c r="BZ31" i="71" s="1"/>
  <c r="BC11" i="71"/>
  <c r="BZ11" i="71" s="1"/>
  <c r="BC101" i="71"/>
  <c r="BZ101" i="71" s="1"/>
  <c r="BC118" i="71"/>
  <c r="BZ118" i="71" s="1"/>
  <c r="BC68" i="71"/>
  <c r="BZ68" i="71" s="1"/>
  <c r="BC63" i="71"/>
  <c r="BZ63" i="71" s="1"/>
  <c r="BC126" i="71"/>
  <c r="BZ126" i="71" s="1"/>
  <c r="BC78" i="71"/>
  <c r="BZ78" i="71" s="1"/>
  <c r="BC139" i="71"/>
  <c r="BZ139" i="71" s="1"/>
  <c r="BC61" i="71"/>
  <c r="BZ61" i="71" s="1"/>
  <c r="BC110" i="71"/>
  <c r="BZ110" i="71" s="1"/>
  <c r="BC14" i="71"/>
  <c r="BZ14" i="71" s="1"/>
  <c r="BC23" i="71"/>
  <c r="BZ23" i="71" s="1"/>
  <c r="BC122" i="71"/>
  <c r="BZ122" i="71" s="1"/>
  <c r="BC117" i="71"/>
  <c r="BZ117" i="71" s="1"/>
  <c r="BC109" i="71"/>
  <c r="BZ109" i="71" s="1"/>
  <c r="BC133" i="71"/>
  <c r="BZ133" i="71" s="1"/>
  <c r="BC113" i="71"/>
  <c r="BZ113" i="71" s="1"/>
  <c r="BC161" i="71"/>
  <c r="BZ161" i="71" s="1"/>
  <c r="BC52" i="71"/>
  <c r="BZ52" i="71" s="1"/>
  <c r="BC35" i="71"/>
  <c r="BZ35" i="71" s="1"/>
  <c r="BC152" i="71"/>
  <c r="BZ152" i="71" s="1"/>
  <c r="BC43" i="71"/>
  <c r="BZ43" i="71" s="1"/>
  <c r="BC82" i="71"/>
  <c r="BZ82" i="71" s="1"/>
  <c r="BC75" i="71"/>
  <c r="BZ75" i="71" s="1"/>
  <c r="BC124" i="71"/>
  <c r="BZ124" i="71" s="1"/>
  <c r="BC92" i="71"/>
  <c r="BZ92" i="71" s="1"/>
  <c r="BC20" i="71"/>
  <c r="BZ20" i="71" s="1"/>
  <c r="BC107" i="71"/>
  <c r="BZ107" i="71" s="1"/>
  <c r="BC98" i="71"/>
  <c r="BZ98" i="71" s="1"/>
  <c r="BC119" i="71"/>
  <c r="BZ119" i="71" s="1"/>
  <c r="BC76" i="71"/>
  <c r="BZ76" i="71" s="1"/>
  <c r="BC141" i="71"/>
  <c r="BZ141" i="71" s="1"/>
  <c r="BC146" i="71"/>
  <c r="BZ146" i="71" s="1"/>
  <c r="BC159" i="71"/>
  <c r="BZ159" i="71" s="1"/>
  <c r="BC12" i="71"/>
  <c r="BZ12" i="71" s="1"/>
  <c r="BC116" i="71"/>
  <c r="BZ116" i="71" s="1"/>
  <c r="BC85" i="71"/>
  <c r="BZ85" i="71" s="1"/>
  <c r="BC87" i="71"/>
  <c r="BZ87" i="71" s="1"/>
  <c r="BC164" i="71"/>
  <c r="BZ164" i="71" s="1"/>
  <c r="BC79" i="71"/>
  <c r="BZ79" i="71" s="1"/>
  <c r="BC160" i="71"/>
  <c r="BZ160" i="71" s="1"/>
  <c r="BC95" i="71"/>
  <c r="BZ95" i="71" s="1"/>
  <c r="BC37" i="71"/>
  <c r="BZ37" i="71" s="1"/>
  <c r="BC27" i="71"/>
  <c r="BZ27" i="71" s="1"/>
  <c r="BC26" i="71"/>
  <c r="BZ26" i="71" s="1"/>
  <c r="BC5" i="71"/>
  <c r="BZ5" i="71" s="1"/>
  <c r="BC65" i="71"/>
  <c r="BZ65" i="71" s="1"/>
  <c r="BC80" i="71"/>
  <c r="BZ80" i="71" s="1"/>
  <c r="BC6" i="71"/>
  <c r="BZ6" i="71" s="1"/>
  <c r="BC151" i="71"/>
  <c r="BZ151" i="71" s="1"/>
  <c r="BC38" i="71"/>
  <c r="BZ38" i="71" s="1"/>
  <c r="BC130" i="71"/>
  <c r="BZ130" i="71" s="1"/>
  <c r="BC84" i="71"/>
  <c r="BZ84" i="71" s="1"/>
  <c r="BC120" i="71"/>
  <c r="BZ120" i="71" s="1"/>
  <c r="BC45" i="71"/>
  <c r="BZ45" i="71" s="1"/>
  <c r="BC132" i="71"/>
  <c r="BZ132" i="71" s="1"/>
  <c r="BC147" i="71"/>
  <c r="BZ147" i="71" s="1"/>
  <c r="BC72" i="71"/>
  <c r="BZ72" i="71" s="1"/>
  <c r="BC96" i="71"/>
  <c r="BZ96" i="71" s="1"/>
  <c r="BC8" i="71"/>
  <c r="BZ8" i="71" s="1"/>
  <c r="BC46" i="71"/>
  <c r="BZ46" i="71" s="1"/>
  <c r="BC48" i="71"/>
  <c r="BZ48" i="71" s="1"/>
  <c r="BC58" i="71"/>
  <c r="BZ58" i="71" s="1"/>
  <c r="BC40" i="71"/>
  <c r="BZ40" i="71" s="1"/>
  <c r="BC145" i="71"/>
  <c r="BZ145" i="71" s="1"/>
  <c r="BC137" i="71"/>
  <c r="BZ137" i="71" s="1"/>
  <c r="BC154" i="71"/>
  <c r="BZ154" i="71" s="1"/>
  <c r="BC112" i="71"/>
  <c r="BZ112" i="71" s="1"/>
  <c r="BC127" i="71"/>
  <c r="BZ127" i="71" s="1"/>
  <c r="BC53" i="71"/>
  <c r="BZ53" i="71" s="1"/>
  <c r="BC42" i="71"/>
  <c r="BZ42" i="71" s="1"/>
  <c r="BC71" i="71"/>
  <c r="BZ71" i="71" s="1"/>
  <c r="BC39" i="71"/>
  <c r="BZ39" i="71" s="1"/>
  <c r="BC158" i="71"/>
  <c r="BZ158" i="71" s="1"/>
  <c r="BC70" i="71"/>
  <c r="BZ70" i="71" s="1"/>
  <c r="BC32" i="71"/>
  <c r="BZ32" i="71" s="1"/>
  <c r="BC83" i="71"/>
  <c r="BZ83" i="71" s="1"/>
  <c r="BC115" i="71"/>
  <c r="BZ115" i="71" s="1"/>
  <c r="BC77" i="71"/>
  <c r="BZ77" i="71" s="1"/>
  <c r="BC21" i="71"/>
  <c r="BZ21" i="71" s="1"/>
  <c r="BC134" i="71"/>
  <c r="BZ134" i="71" s="1"/>
  <c r="BC90" i="71"/>
  <c r="BZ90" i="71" s="1"/>
  <c r="BC162" i="71"/>
  <c r="BZ162" i="71" s="1"/>
  <c r="AM75" i="63"/>
  <c r="AV119" i="71"/>
  <c r="AU124" i="63"/>
  <c r="AV55" i="71"/>
  <c r="AV5" i="71"/>
  <c r="AV16" i="71"/>
  <c r="AV59" i="71"/>
  <c r="AV50" i="71"/>
  <c r="AR40" i="61"/>
  <c r="AV53" i="71"/>
  <c r="AV126" i="63"/>
  <c r="AV37" i="71"/>
  <c r="AV19" i="71"/>
  <c r="AV70" i="71"/>
  <c r="AV61" i="71"/>
  <c r="AV29" i="71"/>
  <c r="AV71" i="71"/>
  <c r="AV9" i="71"/>
  <c r="AV94" i="71"/>
  <c r="AV74" i="71"/>
  <c r="AV52" i="71"/>
  <c r="AU130" i="63"/>
  <c r="AV36" i="71"/>
  <c r="AV25" i="71"/>
  <c r="AV102" i="71"/>
  <c r="AV43" i="71"/>
  <c r="AV35" i="71"/>
  <c r="AV17" i="71"/>
  <c r="AU131" i="63"/>
  <c r="AV73" i="71"/>
  <c r="AV95" i="71"/>
  <c r="AV80" i="71"/>
  <c r="AV33" i="71"/>
  <c r="AV131" i="71"/>
  <c r="AV10" i="71"/>
  <c r="AU125" i="63"/>
  <c r="AV24" i="71"/>
  <c r="AV45" i="71"/>
  <c r="AV57" i="71"/>
  <c r="AV69" i="71"/>
  <c r="AV54" i="71"/>
  <c r="AU133" i="63"/>
  <c r="AV125" i="63"/>
  <c r="AV8" i="71"/>
  <c r="AV63" i="71"/>
  <c r="AV72" i="71"/>
  <c r="AR41" i="61"/>
  <c r="AV6" i="71"/>
  <c r="AV62" i="71"/>
  <c r="AV89" i="71"/>
  <c r="AV30" i="71"/>
  <c r="AV124" i="63"/>
  <c r="AV51" i="71"/>
  <c r="AV49" i="71"/>
  <c r="AV98" i="71"/>
  <c r="AV76" i="71"/>
  <c r="AR37" i="61"/>
  <c r="AV39" i="71"/>
  <c r="AV22" i="71"/>
  <c r="AV38" i="71"/>
  <c r="AR29" i="61"/>
  <c r="AV128" i="63"/>
  <c r="AV81" i="71"/>
  <c r="AV46" i="71"/>
  <c r="AR33" i="61"/>
  <c r="AV60" i="71"/>
  <c r="AV11" i="71"/>
  <c r="AV14" i="71"/>
  <c r="AV31" i="71"/>
  <c r="AV23" i="71"/>
  <c r="AR34" i="61"/>
  <c r="AV68" i="71"/>
  <c r="AV28" i="71"/>
  <c r="AV27" i="71"/>
  <c r="AV40" i="71"/>
  <c r="AV133" i="63"/>
  <c r="AV100" i="71"/>
  <c r="AV85" i="71"/>
  <c r="AV88" i="71"/>
  <c r="AV7" i="71"/>
  <c r="AV110" i="71"/>
  <c r="AV20" i="71"/>
  <c r="AV12" i="71"/>
  <c r="AV77" i="71"/>
  <c r="AV130" i="63"/>
  <c r="AV129" i="63"/>
  <c r="AR36" i="61"/>
  <c r="AU128" i="63"/>
  <c r="AV86" i="71"/>
  <c r="AV84" i="71"/>
  <c r="AV132" i="63"/>
  <c r="AV83" i="71"/>
  <c r="AV79" i="71"/>
  <c r="AV48" i="71"/>
  <c r="AV34" i="71"/>
  <c r="AV18" i="71"/>
  <c r="AV41" i="71"/>
  <c r="AR27" i="61"/>
  <c r="AR28" i="61"/>
  <c r="AV78" i="71"/>
  <c r="AV82" i="71"/>
  <c r="AV21" i="71"/>
  <c r="AV87" i="71"/>
  <c r="AR38" i="61"/>
  <c r="AV44" i="71"/>
  <c r="AV67" i="71"/>
  <c r="AV66" i="71"/>
  <c r="AV32" i="71"/>
  <c r="AV42" i="71"/>
  <c r="AR26" i="61"/>
  <c r="AV47" i="71"/>
  <c r="AV56" i="71"/>
  <c r="AR39" i="61"/>
  <c r="AR32" i="61"/>
  <c r="AV13" i="71"/>
  <c r="AV131" i="63"/>
  <c r="AU132" i="63"/>
  <c r="AV26" i="71"/>
  <c r="AR30" i="61"/>
  <c r="AV127" i="63"/>
  <c r="AU129" i="63"/>
  <c r="AU127" i="63"/>
  <c r="AV75" i="71"/>
  <c r="AU126" i="63"/>
  <c r="AV15" i="71"/>
  <c r="AV109" i="71"/>
  <c r="AR35" i="61"/>
  <c r="AV64" i="71"/>
  <c r="AV58" i="71"/>
  <c r="AV65" i="71"/>
  <c r="AR31" i="61"/>
  <c r="AO75" i="63" l="1"/>
  <c r="J68" i="67"/>
  <c r="I68" i="67"/>
  <c r="BD97" i="71"/>
  <c r="CA97" i="71" s="1"/>
  <c r="BD8" i="71"/>
  <c r="CA8" i="71" s="1"/>
  <c r="BD121" i="71"/>
  <c r="CA121" i="71" s="1"/>
  <c r="BD13" i="71"/>
  <c r="CA13" i="71" s="1"/>
  <c r="BD125" i="71"/>
  <c r="CA125" i="71" s="1"/>
  <c r="BD133" i="71"/>
  <c r="CA133" i="71" s="1"/>
  <c r="BD138" i="71"/>
  <c r="CA138" i="71" s="1"/>
  <c r="BD142" i="71"/>
  <c r="CA142" i="71" s="1"/>
  <c r="BD69" i="71"/>
  <c r="CA69" i="71" s="1"/>
  <c r="BD101" i="71"/>
  <c r="CA101" i="71" s="1"/>
  <c r="BD116" i="71"/>
  <c r="CA116" i="71" s="1"/>
  <c r="BD33" i="71"/>
  <c r="CA33" i="71" s="1"/>
  <c r="BD64" i="71"/>
  <c r="CA64" i="71" s="1"/>
  <c r="BD23" i="71"/>
  <c r="CA23" i="71" s="1"/>
  <c r="BD160" i="71"/>
  <c r="CA160" i="71" s="1"/>
  <c r="BD9" i="71"/>
  <c r="CA9" i="71" s="1"/>
  <c r="BD90" i="71"/>
  <c r="CA90" i="71" s="1"/>
  <c r="BD87" i="71"/>
  <c r="CA87" i="71" s="1"/>
  <c r="BD62" i="71"/>
  <c r="CA62" i="71" s="1"/>
  <c r="BD105" i="71"/>
  <c r="CA105" i="71" s="1"/>
  <c r="BD30" i="71"/>
  <c r="CA30" i="71" s="1"/>
  <c r="BD157" i="71"/>
  <c r="CA157" i="71" s="1"/>
  <c r="BD128" i="71"/>
  <c r="CA128" i="71" s="1"/>
  <c r="BD50" i="71"/>
  <c r="CA50" i="71" s="1"/>
  <c r="BD49" i="71"/>
  <c r="CA49" i="71" s="1"/>
  <c r="BD104" i="71"/>
  <c r="CA104" i="71" s="1"/>
  <c r="BD137" i="71"/>
  <c r="CA137" i="71" s="1"/>
  <c r="BD60" i="71"/>
  <c r="CA60" i="71" s="1"/>
  <c r="BD15" i="71"/>
  <c r="CA15" i="71" s="1"/>
  <c r="BD32" i="71"/>
  <c r="CA32" i="71" s="1"/>
  <c r="BD126" i="71"/>
  <c r="CA126" i="71" s="1"/>
  <c r="BD48" i="71"/>
  <c r="CA48" i="71" s="1"/>
  <c r="BD11" i="71"/>
  <c r="CA11" i="71" s="1"/>
  <c r="BD46" i="71"/>
  <c r="CA46" i="71" s="1"/>
  <c r="BD135" i="71"/>
  <c r="CA135" i="71" s="1"/>
  <c r="BD29" i="71"/>
  <c r="CA29" i="71" s="1"/>
  <c r="BD72" i="71"/>
  <c r="CA72" i="71" s="1"/>
  <c r="BD35" i="71"/>
  <c r="CA35" i="71" s="1"/>
  <c r="BD24" i="71"/>
  <c r="CA24" i="71" s="1"/>
  <c r="BD162" i="71"/>
  <c r="CA162" i="71" s="1"/>
  <c r="BD67" i="71"/>
  <c r="CA67" i="71" s="1"/>
  <c r="BD5" i="71"/>
  <c r="CA5" i="71" s="1"/>
  <c r="BD61" i="71"/>
  <c r="CA61" i="71" s="1"/>
  <c r="BD43" i="71"/>
  <c r="CA43" i="71" s="1"/>
  <c r="BD150" i="71"/>
  <c r="CA150" i="71" s="1"/>
  <c r="BD63" i="71"/>
  <c r="CA63" i="71" s="1"/>
  <c r="BD58" i="71"/>
  <c r="CA58" i="71" s="1"/>
  <c r="BD16" i="71"/>
  <c r="CA16" i="71" s="1"/>
  <c r="BD163" i="71"/>
  <c r="CA163" i="71" s="1"/>
  <c r="BD6" i="71"/>
  <c r="CA6" i="71" s="1"/>
  <c r="BD28" i="71"/>
  <c r="CA28" i="71" s="1"/>
  <c r="BD164" i="71"/>
  <c r="CA164" i="71" s="1"/>
  <c r="BD117" i="71"/>
  <c r="CA117" i="71" s="1"/>
  <c r="BD108" i="71"/>
  <c r="CA108" i="71" s="1"/>
  <c r="BD41" i="71"/>
  <c r="CA41" i="71" s="1"/>
  <c r="BD10" i="71"/>
  <c r="CA10" i="71" s="1"/>
  <c r="BD52" i="71"/>
  <c r="CA52" i="71" s="1"/>
  <c r="BD140" i="71"/>
  <c r="CA140" i="71" s="1"/>
  <c r="BD91" i="71"/>
  <c r="CA91" i="71" s="1"/>
  <c r="BD17" i="71"/>
  <c r="CA17" i="71" s="1"/>
  <c r="BD156" i="71"/>
  <c r="CA156" i="71" s="1"/>
  <c r="BD132" i="71"/>
  <c r="CA132" i="71" s="1"/>
  <c r="BD42" i="71"/>
  <c r="CA42" i="71" s="1"/>
  <c r="BD45" i="71"/>
  <c r="CA45" i="71" s="1"/>
  <c r="BD14" i="71"/>
  <c r="CA14" i="71" s="1"/>
  <c r="BD99" i="71"/>
  <c r="CA99" i="71" s="1"/>
  <c r="BD155" i="71"/>
  <c r="CA155" i="71" s="1"/>
  <c r="BD82" i="71"/>
  <c r="CA82" i="71" s="1"/>
  <c r="BD27" i="71"/>
  <c r="CA27" i="71" s="1"/>
  <c r="BD31" i="71"/>
  <c r="CA31" i="71" s="1"/>
  <c r="BD102" i="71"/>
  <c r="CA102" i="71" s="1"/>
  <c r="BD141" i="71"/>
  <c r="CA141" i="71" s="1"/>
  <c r="BD86" i="71"/>
  <c r="CA86" i="71" s="1"/>
  <c r="BD80" i="71"/>
  <c r="CA80" i="71" s="1"/>
  <c r="BD118" i="71"/>
  <c r="CA118" i="71" s="1"/>
  <c r="BD77" i="71"/>
  <c r="CA77" i="71" s="1"/>
  <c r="BD110" i="71"/>
  <c r="CA110" i="71" s="1"/>
  <c r="BD124" i="71"/>
  <c r="CA124" i="71" s="1"/>
  <c r="BD44" i="71"/>
  <c r="CA44" i="71" s="1"/>
  <c r="BD25" i="71"/>
  <c r="CA25" i="71" s="1"/>
  <c r="BD66" i="71"/>
  <c r="CA66" i="71" s="1"/>
  <c r="BD120" i="71"/>
  <c r="CA120" i="71" s="1"/>
  <c r="BD95" i="71"/>
  <c r="CA95" i="71" s="1"/>
  <c r="BD56" i="71"/>
  <c r="CA56" i="71" s="1"/>
  <c r="BD127" i="71"/>
  <c r="CA127" i="71" s="1"/>
  <c r="BD151" i="71"/>
  <c r="CA151" i="71" s="1"/>
  <c r="BD93" i="71"/>
  <c r="CA93" i="71" s="1"/>
  <c r="BD113" i="71"/>
  <c r="CA113" i="71" s="1"/>
  <c r="BD57" i="71"/>
  <c r="CA57" i="71" s="1"/>
  <c r="BD70" i="71"/>
  <c r="CA70" i="71" s="1"/>
  <c r="BD73" i="71"/>
  <c r="CA73" i="71" s="1"/>
  <c r="BD144" i="71"/>
  <c r="CA144" i="71" s="1"/>
  <c r="BD84" i="71"/>
  <c r="CA84" i="71" s="1"/>
  <c r="BD146" i="71"/>
  <c r="CA146" i="71" s="1"/>
  <c r="BD122" i="71"/>
  <c r="CA122" i="71" s="1"/>
  <c r="BD98" i="71"/>
  <c r="CA98" i="71" s="1"/>
  <c r="BD21" i="71"/>
  <c r="CA21" i="71" s="1"/>
  <c r="BD38" i="71"/>
  <c r="CA38" i="71" s="1"/>
  <c r="BD26" i="71"/>
  <c r="CA26" i="71" s="1"/>
  <c r="BD37" i="71"/>
  <c r="CA37" i="71" s="1"/>
  <c r="BD136" i="71"/>
  <c r="CA136" i="71" s="1"/>
  <c r="BD149" i="71"/>
  <c r="CA149" i="71" s="1"/>
  <c r="BD53" i="71"/>
  <c r="CA53" i="71" s="1"/>
  <c r="BD18" i="71"/>
  <c r="CA18" i="71" s="1"/>
  <c r="BD129" i="71"/>
  <c r="CA129" i="71" s="1"/>
  <c r="BD94" i="71"/>
  <c r="CA94" i="71" s="1"/>
  <c r="BD134" i="71"/>
  <c r="CA134" i="71" s="1"/>
  <c r="BD20" i="71"/>
  <c r="CA20" i="71" s="1"/>
  <c r="BD68" i="71"/>
  <c r="CA68" i="71" s="1"/>
  <c r="BD88" i="71"/>
  <c r="CA88" i="71" s="1"/>
  <c r="BD130" i="71"/>
  <c r="CA130" i="71" s="1"/>
  <c r="BD112" i="71"/>
  <c r="CA112" i="71" s="1"/>
  <c r="BD96" i="71"/>
  <c r="CA96" i="71" s="1"/>
  <c r="BD123" i="71"/>
  <c r="CA123" i="71" s="1"/>
  <c r="BD83" i="71"/>
  <c r="CA83" i="71" s="1"/>
  <c r="BD81" i="71"/>
  <c r="CA81" i="71" s="1"/>
  <c r="BD65" i="71"/>
  <c r="CA65" i="71" s="1"/>
  <c r="BD75" i="71"/>
  <c r="CA75" i="71" s="1"/>
  <c r="BD85" i="71"/>
  <c r="CA85" i="71" s="1"/>
  <c r="BD34" i="71"/>
  <c r="CA34" i="71" s="1"/>
  <c r="BD114" i="71"/>
  <c r="CA114" i="71" s="1"/>
  <c r="BD143" i="71"/>
  <c r="CA143" i="71" s="1"/>
  <c r="BD100" i="71"/>
  <c r="CA100" i="71" s="1"/>
  <c r="BD40" i="71"/>
  <c r="CA40" i="71" s="1"/>
  <c r="BD139" i="71"/>
  <c r="CA139" i="71" s="1"/>
  <c r="BD158" i="71"/>
  <c r="CA158" i="71" s="1"/>
  <c r="BD159" i="71"/>
  <c r="CA159" i="71" s="1"/>
  <c r="BD119" i="71"/>
  <c r="CA119" i="71" s="1"/>
  <c r="BD109" i="71"/>
  <c r="CA109" i="71" s="1"/>
  <c r="BD92" i="71"/>
  <c r="CA92" i="71" s="1"/>
  <c r="BD36" i="71"/>
  <c r="CA36" i="71" s="1"/>
  <c r="BD148" i="71"/>
  <c r="CA148" i="71" s="1"/>
  <c r="BD12" i="71"/>
  <c r="CA12" i="71" s="1"/>
  <c r="BD154" i="71"/>
  <c r="CA154" i="71" s="1"/>
  <c r="BD71" i="71"/>
  <c r="CA71" i="71" s="1"/>
  <c r="BD55" i="71"/>
  <c r="CA55" i="71" s="1"/>
  <c r="BD7" i="71"/>
  <c r="CA7" i="71" s="1"/>
  <c r="BD89" i="71"/>
  <c r="CA89" i="71" s="1"/>
  <c r="BD115" i="71"/>
  <c r="CA115" i="71" s="1"/>
  <c r="BD161" i="71"/>
  <c r="CA161" i="71" s="1"/>
  <c r="BD103" i="71"/>
  <c r="CA103" i="71" s="1"/>
  <c r="BD152" i="71"/>
  <c r="CA152" i="71" s="1"/>
  <c r="BD79" i="71"/>
  <c r="CA79" i="71" s="1"/>
  <c r="BD47" i="71"/>
  <c r="CA47" i="71" s="1"/>
  <c r="BD106" i="71"/>
  <c r="CA106" i="71" s="1"/>
  <c r="BD19" i="71"/>
  <c r="CA19" i="71" s="1"/>
  <c r="BD54" i="71"/>
  <c r="CA54" i="71" s="1"/>
  <c r="BD22" i="71"/>
  <c r="CA22" i="71" s="1"/>
  <c r="BD147" i="71"/>
  <c r="CA147" i="71" s="1"/>
  <c r="BD111" i="71"/>
  <c r="CA111" i="71" s="1"/>
  <c r="BD59" i="71"/>
  <c r="CA59" i="71" s="1"/>
  <c r="BD76" i="71"/>
  <c r="CA76" i="71" s="1"/>
  <c r="BD153" i="71"/>
  <c r="CA153" i="71" s="1"/>
  <c r="BD78" i="71"/>
  <c r="CA78" i="71" s="1"/>
  <c r="BD51" i="71"/>
  <c r="CA51" i="71" s="1"/>
  <c r="BD131" i="71"/>
  <c r="CA131" i="71" s="1"/>
  <c r="BD39" i="71"/>
  <c r="CA39" i="71" s="1"/>
  <c r="BD107" i="71"/>
  <c r="CA107" i="71" s="1"/>
  <c r="BD145" i="71"/>
  <c r="CA145" i="71" s="1"/>
  <c r="BD74" i="71"/>
  <c r="CA74" i="71" s="1"/>
  <c r="BP107" i="71"/>
  <c r="BU107" i="71"/>
  <c r="BK107" i="71"/>
  <c r="BU15" i="71"/>
  <c r="BP15" i="71"/>
  <c r="BK15" i="71"/>
  <c r="BU115" i="71"/>
  <c r="BP115" i="71"/>
  <c r="BK115" i="71"/>
  <c r="BP137" i="71"/>
  <c r="BU137" i="71"/>
  <c r="BK137" i="71"/>
  <c r="BU120" i="71"/>
  <c r="BK120" i="71"/>
  <c r="BP120" i="71"/>
  <c r="BP95" i="71"/>
  <c r="BK95" i="71"/>
  <c r="BU95" i="71"/>
  <c r="BU119" i="71"/>
  <c r="BK119" i="71"/>
  <c r="BP119" i="71"/>
  <c r="BP161" i="71"/>
  <c r="BU161" i="71"/>
  <c r="BK161" i="71"/>
  <c r="BK126" i="71"/>
  <c r="BU126" i="71"/>
  <c r="BP126" i="71"/>
  <c r="BU103" i="71"/>
  <c r="BP103" i="71"/>
  <c r="BK103" i="71"/>
  <c r="BP74" i="71"/>
  <c r="BU74" i="71"/>
  <c r="BK74" i="71"/>
  <c r="BP67" i="71"/>
  <c r="BK67" i="71"/>
  <c r="BU67" i="71"/>
  <c r="BK9" i="71"/>
  <c r="BU9" i="71"/>
  <c r="BP9" i="71"/>
  <c r="BK62" i="71"/>
  <c r="BU62" i="71"/>
  <c r="BP62" i="71"/>
  <c r="BP49" i="71"/>
  <c r="BK49" i="71"/>
  <c r="BU49" i="71"/>
  <c r="F107" i="60"/>
  <c r="J107" i="60" s="1"/>
  <c r="BU66" i="71"/>
  <c r="BP66" i="71"/>
  <c r="BK66" i="71"/>
  <c r="BK83" i="71"/>
  <c r="BU83" i="71"/>
  <c r="BP83" i="71"/>
  <c r="BU145" i="71"/>
  <c r="BP145" i="71"/>
  <c r="BK145" i="71"/>
  <c r="BP84" i="71"/>
  <c r="BU84" i="71"/>
  <c r="BK84" i="71"/>
  <c r="BU160" i="71"/>
  <c r="BP160" i="71"/>
  <c r="BK160" i="71"/>
  <c r="BU98" i="71"/>
  <c r="BK98" i="71"/>
  <c r="BP98" i="71"/>
  <c r="BP113" i="71"/>
  <c r="BU113" i="71"/>
  <c r="BK113" i="71"/>
  <c r="BP63" i="71"/>
  <c r="BU63" i="71"/>
  <c r="BK63" i="71"/>
  <c r="BU13" i="71"/>
  <c r="BP13" i="71"/>
  <c r="BK13" i="71"/>
  <c r="BK64" i="71"/>
  <c r="BP64" i="71"/>
  <c r="BU64" i="71"/>
  <c r="BU149" i="71"/>
  <c r="BK149" i="71"/>
  <c r="BP149" i="71"/>
  <c r="BU60" i="71"/>
  <c r="BK60" i="71"/>
  <c r="BP60" i="71"/>
  <c r="BK108" i="71"/>
  <c r="BU108" i="71"/>
  <c r="BP108" i="71"/>
  <c r="BP33" i="71"/>
  <c r="BK33" i="71"/>
  <c r="BU33" i="71"/>
  <c r="G104" i="60"/>
  <c r="K104" i="60" s="1"/>
  <c r="G102" i="60"/>
  <c r="M102" i="60" s="1"/>
  <c r="F103" i="60"/>
  <c r="J103" i="60" s="1"/>
  <c r="BU32" i="71"/>
  <c r="BK32" i="71"/>
  <c r="BP32" i="71"/>
  <c r="G106" i="60"/>
  <c r="BP70" i="71"/>
  <c r="BK70" i="71"/>
  <c r="BU70" i="71"/>
  <c r="BP58" i="71"/>
  <c r="BU58" i="71"/>
  <c r="BK58" i="71"/>
  <c r="BU38" i="71"/>
  <c r="BP38" i="71"/>
  <c r="BK38" i="71"/>
  <c r="BP164" i="71"/>
  <c r="BU164" i="71"/>
  <c r="BK164" i="71"/>
  <c r="BP20" i="71"/>
  <c r="BK20" i="71"/>
  <c r="BU20" i="71"/>
  <c r="BP109" i="71"/>
  <c r="BK109" i="71"/>
  <c r="BU109" i="71"/>
  <c r="BK118" i="71"/>
  <c r="BP118" i="71"/>
  <c r="BU118" i="71"/>
  <c r="BU17" i="71"/>
  <c r="BK17" i="71"/>
  <c r="BP17" i="71"/>
  <c r="BP56" i="71"/>
  <c r="BU56" i="71"/>
  <c r="BK56" i="71"/>
  <c r="BK104" i="71"/>
  <c r="BP104" i="71"/>
  <c r="BU104" i="71"/>
  <c r="BU142" i="71"/>
  <c r="BP142" i="71"/>
  <c r="BK142" i="71"/>
  <c r="BK25" i="71"/>
  <c r="BU25" i="71"/>
  <c r="BP25" i="71"/>
  <c r="BP123" i="71"/>
  <c r="BK123" i="71"/>
  <c r="BU123" i="71"/>
  <c r="E107" i="60"/>
  <c r="G105" i="60"/>
  <c r="K105" i="60" s="1"/>
  <c r="E108" i="60"/>
  <c r="BU131" i="71"/>
  <c r="BK131" i="71"/>
  <c r="BP131" i="71"/>
  <c r="BU158" i="71"/>
  <c r="BP158" i="71"/>
  <c r="BK158" i="71"/>
  <c r="BP48" i="71"/>
  <c r="BU48" i="71"/>
  <c r="BK48" i="71"/>
  <c r="BU151" i="71"/>
  <c r="BK151" i="71"/>
  <c r="BP151" i="71"/>
  <c r="BP87" i="71"/>
  <c r="BK87" i="71"/>
  <c r="BU87" i="71"/>
  <c r="BK92" i="71"/>
  <c r="BP92" i="71"/>
  <c r="BU92" i="71"/>
  <c r="BU117" i="71"/>
  <c r="BK117" i="71"/>
  <c r="BP117" i="71"/>
  <c r="BU101" i="71"/>
  <c r="BK101" i="71"/>
  <c r="BP101" i="71"/>
  <c r="BP128" i="71"/>
  <c r="BK128" i="71"/>
  <c r="BU128" i="71"/>
  <c r="BU22" i="71"/>
  <c r="BK22" i="71"/>
  <c r="BP22" i="71"/>
  <c r="BU24" i="71"/>
  <c r="BK24" i="71"/>
  <c r="BP24" i="71"/>
  <c r="BK135" i="71"/>
  <c r="BP135" i="71"/>
  <c r="BU135" i="71"/>
  <c r="BK19" i="71"/>
  <c r="BP19" i="71"/>
  <c r="BU19" i="71"/>
  <c r="BP129" i="71"/>
  <c r="BU129" i="71"/>
  <c r="BK129" i="71"/>
  <c r="E104" i="60"/>
  <c r="G110" i="60"/>
  <c r="BK130" i="71"/>
  <c r="BU130" i="71"/>
  <c r="BP130" i="71"/>
  <c r="BP39" i="71"/>
  <c r="BK39" i="71"/>
  <c r="BU39" i="71"/>
  <c r="BP46" i="71"/>
  <c r="BU46" i="71"/>
  <c r="BK46" i="71"/>
  <c r="BP6" i="71"/>
  <c r="BU6" i="71"/>
  <c r="BK6" i="71"/>
  <c r="BK85" i="71"/>
  <c r="BU85" i="71"/>
  <c r="BP85" i="71"/>
  <c r="BK124" i="71"/>
  <c r="BU124" i="71"/>
  <c r="BP124" i="71"/>
  <c r="BK122" i="71"/>
  <c r="BU122" i="71"/>
  <c r="BP122" i="71"/>
  <c r="BK11" i="71"/>
  <c r="BU11" i="71"/>
  <c r="BP11" i="71"/>
  <c r="BK51" i="71"/>
  <c r="BU51" i="71"/>
  <c r="BP51" i="71"/>
  <c r="BK106" i="71"/>
  <c r="BP106" i="71"/>
  <c r="BU106" i="71"/>
  <c r="BU93" i="71"/>
  <c r="BK93" i="71"/>
  <c r="BP93" i="71"/>
  <c r="BK57" i="71"/>
  <c r="BP57" i="71"/>
  <c r="BU57" i="71"/>
  <c r="BK125" i="71"/>
  <c r="BU125" i="71"/>
  <c r="BP125" i="71"/>
  <c r="BK10" i="71"/>
  <c r="BU10" i="71"/>
  <c r="BP10" i="71"/>
  <c r="E110" i="60"/>
  <c r="F102" i="60"/>
  <c r="J102" i="60" s="1"/>
  <c r="G103" i="60"/>
  <c r="BP79" i="71"/>
  <c r="BK79" i="71"/>
  <c r="BU79" i="71"/>
  <c r="F111" i="60"/>
  <c r="J111" i="60" s="1"/>
  <c r="BP71" i="71"/>
  <c r="BU71" i="71"/>
  <c r="BK71" i="71"/>
  <c r="BP8" i="71"/>
  <c r="BK8" i="71"/>
  <c r="BU8" i="71"/>
  <c r="BU80" i="71"/>
  <c r="BK80" i="71"/>
  <c r="BP80" i="71"/>
  <c r="BP116" i="71"/>
  <c r="BK116" i="71"/>
  <c r="BU116" i="71"/>
  <c r="BK75" i="71"/>
  <c r="BP75" i="71"/>
  <c r="BU75" i="71"/>
  <c r="BP23" i="71"/>
  <c r="BU23" i="71"/>
  <c r="BK23" i="71"/>
  <c r="BU31" i="71"/>
  <c r="BK31" i="71"/>
  <c r="BP31" i="71"/>
  <c r="BP55" i="71"/>
  <c r="BK55" i="71"/>
  <c r="BU55" i="71"/>
  <c r="BP136" i="71"/>
  <c r="BU136" i="71"/>
  <c r="BK136" i="71"/>
  <c r="BU153" i="71"/>
  <c r="BP153" i="71"/>
  <c r="BK153" i="71"/>
  <c r="BU114" i="71"/>
  <c r="BK114" i="71"/>
  <c r="BP114" i="71"/>
  <c r="BK100" i="71"/>
  <c r="BP100" i="71"/>
  <c r="BU100" i="71"/>
  <c r="BK105" i="71"/>
  <c r="BU105" i="71"/>
  <c r="BP105" i="71"/>
  <c r="G111" i="60"/>
  <c r="E109" i="60"/>
  <c r="BK162" i="71"/>
  <c r="BU162" i="71"/>
  <c r="BP162" i="71"/>
  <c r="BU42" i="71"/>
  <c r="BP42" i="71"/>
  <c r="BK42" i="71"/>
  <c r="BU96" i="71"/>
  <c r="BK96" i="71"/>
  <c r="BP96" i="71"/>
  <c r="BP65" i="71"/>
  <c r="BU65" i="71"/>
  <c r="BK65" i="71"/>
  <c r="BU12" i="71"/>
  <c r="BK12" i="71"/>
  <c r="BP12" i="71"/>
  <c r="BU82" i="71"/>
  <c r="BP82" i="71"/>
  <c r="BK82" i="71"/>
  <c r="BP14" i="71"/>
  <c r="BU14" i="71"/>
  <c r="BK14" i="71"/>
  <c r="BP86" i="71"/>
  <c r="BK86" i="71"/>
  <c r="BU86" i="71"/>
  <c r="BU91" i="71"/>
  <c r="BK91" i="71"/>
  <c r="BP91" i="71"/>
  <c r="BK28" i="71"/>
  <c r="BP28" i="71"/>
  <c r="BU28" i="71"/>
  <c r="BU7" i="71"/>
  <c r="BP7" i="71"/>
  <c r="BK7" i="71"/>
  <c r="BK54" i="71"/>
  <c r="BU54" i="71"/>
  <c r="BP54" i="71"/>
  <c r="BU88" i="71"/>
  <c r="BK88" i="71"/>
  <c r="BP88" i="71"/>
  <c r="BK50" i="71"/>
  <c r="BU50" i="71"/>
  <c r="BP50" i="71"/>
  <c r="F104" i="60"/>
  <c r="J104" i="60" s="1"/>
  <c r="E102" i="60"/>
  <c r="F108" i="60"/>
  <c r="F106" i="60"/>
  <c r="J106" i="60" s="1"/>
  <c r="BU40" i="71"/>
  <c r="BK40" i="71"/>
  <c r="BP40" i="71"/>
  <c r="BU121" i="71"/>
  <c r="BP121" i="71"/>
  <c r="BK121" i="71"/>
  <c r="BP90" i="71"/>
  <c r="BU90" i="71"/>
  <c r="BK90" i="71"/>
  <c r="BP53" i="71"/>
  <c r="BU53" i="71"/>
  <c r="BK53" i="71"/>
  <c r="BK72" i="71"/>
  <c r="BU72" i="71"/>
  <c r="BP72" i="71"/>
  <c r="BP5" i="71"/>
  <c r="BK5" i="71"/>
  <c r="BU5" i="71"/>
  <c r="BU159" i="71"/>
  <c r="BP159" i="71"/>
  <c r="BK159" i="71"/>
  <c r="BK43" i="71"/>
  <c r="BP43" i="71"/>
  <c r="BU43" i="71"/>
  <c r="BP110" i="71"/>
  <c r="BK110" i="71"/>
  <c r="BU110" i="71"/>
  <c r="BP94" i="71"/>
  <c r="BU94" i="71"/>
  <c r="BK94" i="71"/>
  <c r="BP29" i="71"/>
  <c r="BU29" i="71"/>
  <c r="BK29" i="71"/>
  <c r="BU163" i="71"/>
  <c r="BK163" i="71"/>
  <c r="BP163" i="71"/>
  <c r="BK36" i="71"/>
  <c r="BU36" i="71"/>
  <c r="BP36" i="71"/>
  <c r="BK81" i="71"/>
  <c r="BU81" i="71"/>
  <c r="BP81" i="71"/>
  <c r="BU16" i="71"/>
  <c r="BK16" i="71"/>
  <c r="BP16" i="71"/>
  <c r="BK156" i="71"/>
  <c r="BU156" i="71"/>
  <c r="BP156" i="71"/>
  <c r="E105" i="60"/>
  <c r="G108" i="60"/>
  <c r="K108" i="60" s="1"/>
  <c r="BP68" i="71"/>
  <c r="BU68" i="71"/>
  <c r="BK68" i="71"/>
  <c r="BP134" i="71"/>
  <c r="BU134" i="71"/>
  <c r="BK134" i="71"/>
  <c r="BP127" i="71"/>
  <c r="BU127" i="71"/>
  <c r="BK127" i="71"/>
  <c r="BK147" i="71"/>
  <c r="BP147" i="71"/>
  <c r="BU147" i="71"/>
  <c r="BP26" i="71"/>
  <c r="BU26" i="71"/>
  <c r="BK26" i="71"/>
  <c r="BP146" i="71"/>
  <c r="BU146" i="71"/>
  <c r="BK146" i="71"/>
  <c r="BK152" i="71"/>
  <c r="BP152" i="71"/>
  <c r="BU152" i="71"/>
  <c r="BU61" i="71"/>
  <c r="BK61" i="71"/>
  <c r="BP61" i="71"/>
  <c r="BP99" i="71"/>
  <c r="BK99" i="71"/>
  <c r="BU99" i="71"/>
  <c r="BU59" i="71"/>
  <c r="BK59" i="71"/>
  <c r="BP59" i="71"/>
  <c r="BU89" i="71"/>
  <c r="BK89" i="71"/>
  <c r="BP89" i="71"/>
  <c r="BK97" i="71"/>
  <c r="BP97" i="71"/>
  <c r="BU97" i="71"/>
  <c r="BU41" i="71"/>
  <c r="BP41" i="71"/>
  <c r="BK41" i="71"/>
  <c r="BU144" i="71"/>
  <c r="BP144" i="71"/>
  <c r="BK144" i="71"/>
  <c r="BP102" i="71"/>
  <c r="BU102" i="71"/>
  <c r="BK102" i="71"/>
  <c r="F105" i="60"/>
  <c r="E103" i="60"/>
  <c r="BK133" i="71"/>
  <c r="BU133" i="71"/>
  <c r="BP133" i="71"/>
  <c r="BK47" i="71"/>
  <c r="BP47" i="71"/>
  <c r="BU47" i="71"/>
  <c r="BU21" i="71"/>
  <c r="BP21" i="71"/>
  <c r="BK21" i="71"/>
  <c r="BK112" i="71"/>
  <c r="BU112" i="71"/>
  <c r="BP112" i="71"/>
  <c r="BU132" i="71"/>
  <c r="BP132" i="71"/>
  <c r="BK132" i="71"/>
  <c r="BK27" i="71"/>
  <c r="BU27" i="71"/>
  <c r="BP27" i="71"/>
  <c r="BU141" i="71"/>
  <c r="BK141" i="71"/>
  <c r="BP141" i="71"/>
  <c r="BP35" i="71"/>
  <c r="BK35" i="71"/>
  <c r="BU35" i="71"/>
  <c r="BP139" i="71"/>
  <c r="BU139" i="71"/>
  <c r="BK139" i="71"/>
  <c r="BP34" i="71"/>
  <c r="BK34" i="71"/>
  <c r="BU34" i="71"/>
  <c r="BK148" i="71"/>
  <c r="BP148" i="71"/>
  <c r="BU148" i="71"/>
  <c r="BP150" i="71"/>
  <c r="BU150" i="71"/>
  <c r="BK150" i="71"/>
  <c r="BU111" i="71"/>
  <c r="BK111" i="71"/>
  <c r="BP111" i="71"/>
  <c r="BU143" i="71"/>
  <c r="BP143" i="71"/>
  <c r="BK143" i="71"/>
  <c r="BU44" i="71"/>
  <c r="BK44" i="71"/>
  <c r="BP44" i="71"/>
  <c r="BP155" i="71"/>
  <c r="BK155" i="71"/>
  <c r="BU155" i="71"/>
  <c r="E106" i="60"/>
  <c r="F109" i="60"/>
  <c r="J109" i="60" s="1"/>
  <c r="BK73" i="71"/>
  <c r="BP73" i="71"/>
  <c r="BU73" i="71"/>
  <c r="BU77" i="71"/>
  <c r="BP77" i="71"/>
  <c r="BK77" i="71"/>
  <c r="BP154" i="71"/>
  <c r="BU154" i="71"/>
  <c r="BK154" i="71"/>
  <c r="BP45" i="71"/>
  <c r="BK45" i="71"/>
  <c r="BU45" i="71"/>
  <c r="BP37" i="71"/>
  <c r="BU37" i="71"/>
  <c r="BK37" i="71"/>
  <c r="BU76" i="71"/>
  <c r="BP76" i="71"/>
  <c r="BK76" i="71"/>
  <c r="BP52" i="71"/>
  <c r="BK52" i="71"/>
  <c r="BU52" i="71"/>
  <c r="BU78" i="71"/>
  <c r="BK78" i="71"/>
  <c r="BP78" i="71"/>
  <c r="BK69" i="71"/>
  <c r="BU69" i="71"/>
  <c r="BP69" i="71"/>
  <c r="BP140" i="71"/>
  <c r="BU140" i="71"/>
  <c r="BK140" i="71"/>
  <c r="BK138" i="71"/>
  <c r="BU138" i="71"/>
  <c r="BP138" i="71"/>
  <c r="BP18" i="71"/>
  <c r="BU18" i="71"/>
  <c r="BK18" i="71"/>
  <c r="BU30" i="71"/>
  <c r="BP30" i="71"/>
  <c r="BK30" i="71"/>
  <c r="BP157" i="71"/>
  <c r="BU157" i="71"/>
  <c r="BK157" i="71"/>
  <c r="G109" i="60"/>
  <c r="K109" i="60" s="1"/>
  <c r="E111" i="60"/>
  <c r="F110" i="60"/>
  <c r="J110" i="60" s="1"/>
  <c r="G107" i="60"/>
  <c r="AM76" i="63"/>
  <c r="Z30" i="61"/>
  <c r="AR58" i="61"/>
  <c r="AV139" i="63"/>
  <c r="AU135" i="63"/>
  <c r="AV134" i="63"/>
  <c r="AV143" i="63"/>
  <c r="AV136" i="63"/>
  <c r="AU139" i="63"/>
  <c r="AU141" i="63"/>
  <c r="AV137" i="63"/>
  <c r="AV138" i="63"/>
  <c r="AV140" i="63"/>
  <c r="AU143" i="63"/>
  <c r="AV141" i="63"/>
  <c r="AU138" i="63"/>
  <c r="AU137" i="63"/>
  <c r="AV142" i="63"/>
  <c r="AU142" i="63"/>
  <c r="AU134" i="63"/>
  <c r="AU140" i="63"/>
  <c r="AU136" i="63"/>
  <c r="AV135" i="63"/>
  <c r="AB32" i="61"/>
  <c r="M94" i="72"/>
  <c r="N89" i="72"/>
  <c r="M87" i="72"/>
  <c r="AR51" i="61"/>
  <c r="Z41" i="61"/>
  <c r="N94" i="72"/>
  <c r="M92" i="72"/>
  <c r="AA32" i="61"/>
  <c r="AR60" i="61"/>
  <c r="Z35" i="61"/>
  <c r="M89" i="72"/>
  <c r="AB30" i="61"/>
  <c r="AR47" i="61"/>
  <c r="AB37" i="61"/>
  <c r="Z28" i="61"/>
  <c r="AA27" i="61"/>
  <c r="AB35" i="61"/>
  <c r="AB41" i="61"/>
  <c r="AA35" i="61"/>
  <c r="M88" i="72"/>
  <c r="N90" i="72"/>
  <c r="AB40" i="61"/>
  <c r="Z26" i="61"/>
  <c r="AR50" i="61"/>
  <c r="AA34" i="61"/>
  <c r="AA38" i="61"/>
  <c r="AB26" i="61"/>
  <c r="AA31" i="61"/>
  <c r="Z29" i="61"/>
  <c r="AB27" i="61"/>
  <c r="Z40" i="61"/>
  <c r="Z37" i="61"/>
  <c r="AA40" i="61"/>
  <c r="AR45" i="61"/>
  <c r="AA28" i="61"/>
  <c r="AB31" i="61"/>
  <c r="M95" i="72"/>
  <c r="M96" i="72"/>
  <c r="AB34" i="61"/>
  <c r="AA39" i="61"/>
  <c r="Z39" i="61"/>
  <c r="N93" i="72"/>
  <c r="AA41" i="61"/>
  <c r="AR59" i="61"/>
  <c r="Z32" i="61"/>
  <c r="AB28" i="61"/>
  <c r="Z38" i="61"/>
  <c r="M91" i="72"/>
  <c r="AA29" i="61"/>
  <c r="AR52" i="61"/>
  <c r="AB38" i="61"/>
  <c r="AR48" i="61"/>
  <c r="AR53" i="61"/>
  <c r="AR55" i="61"/>
  <c r="AB39" i="61"/>
  <c r="AB36" i="61"/>
  <c r="AA33" i="61"/>
  <c r="Z36" i="61"/>
  <c r="AB33" i="61"/>
  <c r="AR56" i="61"/>
  <c r="AA26" i="61"/>
  <c r="Z34" i="61"/>
  <c r="AA37" i="61"/>
  <c r="AR57" i="61"/>
  <c r="AR49" i="61"/>
  <c r="Z27" i="61"/>
  <c r="Z31" i="61"/>
  <c r="P94" i="63"/>
  <c r="AA36" i="61"/>
  <c r="AB29" i="61"/>
  <c r="AR54" i="61"/>
  <c r="Z33" i="61"/>
  <c r="AA30" i="61"/>
  <c r="AR46" i="61"/>
  <c r="AM77" i="63"/>
  <c r="AO77" i="63" l="1"/>
  <c r="AO76" i="63"/>
  <c r="K102" i="60"/>
  <c r="I111" i="60"/>
  <c r="I102" i="60"/>
  <c r="I107" i="60"/>
  <c r="I104" i="60"/>
  <c r="I108" i="60"/>
  <c r="I110" i="60"/>
  <c r="I106" i="60"/>
  <c r="I109" i="60"/>
  <c r="AN94" i="63" s="1"/>
  <c r="I103" i="60"/>
  <c r="J69" i="67"/>
  <c r="I69" i="67"/>
  <c r="K68" i="67"/>
  <c r="AD28" i="61"/>
  <c r="AE39" i="61"/>
  <c r="AF38" i="61"/>
  <c r="AE41" i="61"/>
  <c r="AD31" i="61"/>
  <c r="AD27" i="61"/>
  <c r="AD40" i="61"/>
  <c r="AF39" i="61"/>
  <c r="AE38" i="61"/>
  <c r="AE27" i="61"/>
  <c r="AE40" i="61"/>
  <c r="AF27" i="61"/>
  <c r="AE30" i="61"/>
  <c r="AF35" i="61"/>
  <c r="AD33" i="61"/>
  <c r="AF30" i="61"/>
  <c r="AE35" i="61"/>
  <c r="AF33" i="61"/>
  <c r="AE29" i="61"/>
  <c r="AD34" i="61"/>
  <c r="AD30" i="61"/>
  <c r="AE36" i="61"/>
  <c r="AE37" i="61"/>
  <c r="AD35" i="61"/>
  <c r="AE33" i="61"/>
  <c r="AF40" i="61"/>
  <c r="AD29" i="61"/>
  <c r="AF34" i="61"/>
  <c r="AD26" i="61"/>
  <c r="AD36" i="61"/>
  <c r="AF37" i="61"/>
  <c r="AF26" i="61"/>
  <c r="AF36" i="61"/>
  <c r="AD37" i="61"/>
  <c r="AF29" i="61"/>
  <c r="AE34" i="61"/>
  <c r="AF28" i="61"/>
  <c r="AE26" i="61"/>
  <c r="AD32" i="61"/>
  <c r="AD41" i="61"/>
  <c r="AF31" i="61"/>
  <c r="AF32" i="61"/>
  <c r="AE28" i="61"/>
  <c r="AD39" i="61"/>
  <c r="AD38" i="61"/>
  <c r="AF41" i="61"/>
  <c r="AE31" i="61"/>
  <c r="AE32" i="61"/>
  <c r="BQ75" i="71"/>
  <c r="BV75" i="71"/>
  <c r="BL75" i="71"/>
  <c r="BQ131" i="71"/>
  <c r="BV131" i="71"/>
  <c r="BL131" i="71"/>
  <c r="BL47" i="71"/>
  <c r="BQ47" i="71"/>
  <c r="BV47" i="71"/>
  <c r="BQ148" i="71"/>
  <c r="BV148" i="71"/>
  <c r="BL148" i="71"/>
  <c r="BV34" i="71"/>
  <c r="BQ34" i="71"/>
  <c r="BL34" i="71"/>
  <c r="BL20" i="71"/>
  <c r="BV20" i="71"/>
  <c r="BQ20" i="71"/>
  <c r="BV98" i="71"/>
  <c r="BQ98" i="71"/>
  <c r="BL98" i="71"/>
  <c r="BV56" i="71"/>
  <c r="BQ56" i="71"/>
  <c r="BL56" i="71"/>
  <c r="BQ141" i="71"/>
  <c r="BL141" i="71"/>
  <c r="BV141" i="71"/>
  <c r="BL17" i="71"/>
  <c r="BV17" i="71"/>
  <c r="BQ17" i="71"/>
  <c r="BQ16" i="71"/>
  <c r="BV16" i="71"/>
  <c r="BL16" i="71"/>
  <c r="BL29" i="71"/>
  <c r="BV29" i="71"/>
  <c r="BQ29" i="71"/>
  <c r="BQ50" i="71"/>
  <c r="BV50" i="71"/>
  <c r="BL50" i="71"/>
  <c r="BV33" i="71"/>
  <c r="BQ33" i="71"/>
  <c r="BL33" i="71"/>
  <c r="BQ94" i="71"/>
  <c r="BV94" i="71"/>
  <c r="BL94" i="71"/>
  <c r="BQ51" i="71"/>
  <c r="BV51" i="71"/>
  <c r="BL51" i="71"/>
  <c r="BV79" i="71"/>
  <c r="BQ79" i="71"/>
  <c r="BL79" i="71"/>
  <c r="BV36" i="71"/>
  <c r="BQ36" i="71"/>
  <c r="BL36" i="71"/>
  <c r="BL85" i="71"/>
  <c r="BQ85" i="71"/>
  <c r="BV85" i="71"/>
  <c r="BQ134" i="71"/>
  <c r="BV134" i="71"/>
  <c r="BL134" i="71"/>
  <c r="BV122" i="71"/>
  <c r="BL122" i="71"/>
  <c r="BQ122" i="71"/>
  <c r="BL95" i="71"/>
  <c r="BQ95" i="71"/>
  <c r="BV95" i="71"/>
  <c r="BV102" i="71"/>
  <c r="BQ102" i="71"/>
  <c r="BL102" i="71"/>
  <c r="BL91" i="71"/>
  <c r="BV91" i="71"/>
  <c r="BQ91" i="71"/>
  <c r="BQ58" i="71"/>
  <c r="BL58" i="71"/>
  <c r="BV58" i="71"/>
  <c r="BQ135" i="71"/>
  <c r="BL135" i="71"/>
  <c r="BV135" i="71"/>
  <c r="BQ128" i="71"/>
  <c r="BV128" i="71"/>
  <c r="BL128" i="71"/>
  <c r="BV116" i="71"/>
  <c r="BQ116" i="71"/>
  <c r="BL116" i="71"/>
  <c r="BQ157" i="71"/>
  <c r="BL157" i="71"/>
  <c r="BV157" i="71"/>
  <c r="BV153" i="71"/>
  <c r="BQ153" i="71"/>
  <c r="BL153" i="71"/>
  <c r="BV103" i="71"/>
  <c r="BL103" i="71"/>
  <c r="BQ103" i="71"/>
  <c r="BL109" i="71"/>
  <c r="BV109" i="71"/>
  <c r="BQ109" i="71"/>
  <c r="BL65" i="71"/>
  <c r="BQ65" i="71"/>
  <c r="BV65" i="71"/>
  <c r="BV129" i="71"/>
  <c r="BL129" i="71"/>
  <c r="BQ129" i="71"/>
  <c r="BL84" i="71"/>
  <c r="BQ84" i="71"/>
  <c r="BV84" i="71"/>
  <c r="BV66" i="71"/>
  <c r="BQ66" i="71"/>
  <c r="BL66" i="71"/>
  <c r="BV27" i="71"/>
  <c r="BL27" i="71"/>
  <c r="BQ27" i="71"/>
  <c r="BQ52" i="71"/>
  <c r="BV52" i="71"/>
  <c r="BL52" i="71"/>
  <c r="BL150" i="71"/>
  <c r="BQ150" i="71"/>
  <c r="BV150" i="71"/>
  <c r="BV11" i="71"/>
  <c r="BQ11" i="71"/>
  <c r="BL11" i="71"/>
  <c r="BL30" i="71"/>
  <c r="BQ30" i="71"/>
  <c r="BV30" i="71"/>
  <c r="BV69" i="71"/>
  <c r="BQ69" i="71"/>
  <c r="BL69" i="71"/>
  <c r="BQ101" i="71"/>
  <c r="BL101" i="71"/>
  <c r="BV101" i="71"/>
  <c r="J108" i="60"/>
  <c r="BQ76" i="71"/>
  <c r="BV76" i="71"/>
  <c r="BL76" i="71"/>
  <c r="BQ161" i="71"/>
  <c r="BL161" i="71"/>
  <c r="BV161" i="71"/>
  <c r="BQ119" i="71"/>
  <c r="BV119" i="71"/>
  <c r="BL119" i="71"/>
  <c r="BQ81" i="71"/>
  <c r="BL81" i="71"/>
  <c r="BV81" i="71"/>
  <c r="BQ18" i="71"/>
  <c r="BV18" i="71"/>
  <c r="BL18" i="71"/>
  <c r="BL144" i="71"/>
  <c r="BQ144" i="71"/>
  <c r="BV144" i="71"/>
  <c r="BL25" i="71"/>
  <c r="BQ25" i="71"/>
  <c r="BV25" i="71"/>
  <c r="BQ82" i="71"/>
  <c r="BL82" i="71"/>
  <c r="BV82" i="71"/>
  <c r="BL10" i="71"/>
  <c r="BV10" i="71"/>
  <c r="BQ10" i="71"/>
  <c r="BV43" i="71"/>
  <c r="BQ43" i="71"/>
  <c r="BL43" i="71"/>
  <c r="BQ48" i="71"/>
  <c r="BL48" i="71"/>
  <c r="BV48" i="71"/>
  <c r="BV105" i="71"/>
  <c r="BL105" i="71"/>
  <c r="BQ105" i="71"/>
  <c r="BQ142" i="71"/>
  <c r="BL142" i="71"/>
  <c r="BV142" i="71"/>
  <c r="BL140" i="71"/>
  <c r="BV140" i="71"/>
  <c r="BQ140" i="71"/>
  <c r="BL59" i="71"/>
  <c r="BQ59" i="71"/>
  <c r="BV59" i="71"/>
  <c r="BV115" i="71"/>
  <c r="BL115" i="71"/>
  <c r="BQ115" i="71"/>
  <c r="BL159" i="71"/>
  <c r="BV159" i="71"/>
  <c r="BQ159" i="71"/>
  <c r="BV83" i="71"/>
  <c r="BL83" i="71"/>
  <c r="BQ83" i="71"/>
  <c r="BL53" i="71"/>
  <c r="BV53" i="71"/>
  <c r="BQ53" i="71"/>
  <c r="BV73" i="71"/>
  <c r="BQ73" i="71"/>
  <c r="BL73" i="71"/>
  <c r="BQ44" i="71"/>
  <c r="BL44" i="71"/>
  <c r="BV44" i="71"/>
  <c r="BQ155" i="71"/>
  <c r="BV155" i="71"/>
  <c r="BL155" i="71"/>
  <c r="BL41" i="71"/>
  <c r="BV41" i="71"/>
  <c r="BQ41" i="71"/>
  <c r="BV61" i="71"/>
  <c r="BQ61" i="71"/>
  <c r="BL61" i="71"/>
  <c r="BV126" i="71"/>
  <c r="BQ126" i="71"/>
  <c r="BL126" i="71"/>
  <c r="BV62" i="71"/>
  <c r="BL62" i="71"/>
  <c r="BQ62" i="71"/>
  <c r="BL138" i="71"/>
  <c r="BQ138" i="71"/>
  <c r="BV138" i="71"/>
  <c r="BV78" i="71"/>
  <c r="BQ78" i="71"/>
  <c r="BL78" i="71"/>
  <c r="BL63" i="71"/>
  <c r="BV63" i="71"/>
  <c r="BQ63" i="71"/>
  <c r="BV111" i="71"/>
  <c r="BL111" i="71"/>
  <c r="BQ111" i="71"/>
  <c r="BQ89" i="71"/>
  <c r="BV89" i="71"/>
  <c r="BL89" i="71"/>
  <c r="BV158" i="71"/>
  <c r="BL158" i="71"/>
  <c r="BQ158" i="71"/>
  <c r="BL123" i="71"/>
  <c r="BQ123" i="71"/>
  <c r="BV123" i="71"/>
  <c r="BQ149" i="71"/>
  <c r="BL149" i="71"/>
  <c r="BV149" i="71"/>
  <c r="BV70" i="71"/>
  <c r="BQ70" i="71"/>
  <c r="BL70" i="71"/>
  <c r="BQ124" i="71"/>
  <c r="BV124" i="71"/>
  <c r="BL124" i="71"/>
  <c r="BQ99" i="71"/>
  <c r="BL99" i="71"/>
  <c r="BV99" i="71"/>
  <c r="BV108" i="71"/>
  <c r="BL108" i="71"/>
  <c r="BQ108" i="71"/>
  <c r="BQ5" i="71"/>
  <c r="BV5" i="71"/>
  <c r="BL5" i="71"/>
  <c r="BQ32" i="71"/>
  <c r="BV32" i="71"/>
  <c r="BL32" i="71"/>
  <c r="BV87" i="71"/>
  <c r="BL87" i="71"/>
  <c r="BQ87" i="71"/>
  <c r="BV133" i="71"/>
  <c r="BL133" i="71"/>
  <c r="BQ133" i="71"/>
  <c r="BL152" i="71"/>
  <c r="BQ152" i="71"/>
  <c r="BV152" i="71"/>
  <c r="BQ46" i="71"/>
  <c r="BL46" i="71"/>
  <c r="BV46" i="71"/>
  <c r="K107" i="60"/>
  <c r="J105" i="60"/>
  <c r="BL147" i="71"/>
  <c r="BV147" i="71"/>
  <c r="BQ147" i="71"/>
  <c r="BQ7" i="71"/>
  <c r="BV7" i="71"/>
  <c r="BL7" i="71"/>
  <c r="BV139" i="71"/>
  <c r="BL139" i="71"/>
  <c r="BQ139" i="71"/>
  <c r="BL96" i="71"/>
  <c r="BQ96" i="71"/>
  <c r="BV96" i="71"/>
  <c r="BL136" i="71"/>
  <c r="BV136" i="71"/>
  <c r="BQ136" i="71"/>
  <c r="BL57" i="71"/>
  <c r="BV57" i="71"/>
  <c r="BQ57" i="71"/>
  <c r="BL110" i="71"/>
  <c r="BV110" i="71"/>
  <c r="BQ110" i="71"/>
  <c r="BV14" i="71"/>
  <c r="BL14" i="71"/>
  <c r="BQ14" i="71"/>
  <c r="BV117" i="71"/>
  <c r="BQ117" i="71"/>
  <c r="BL117" i="71"/>
  <c r="BQ67" i="71"/>
  <c r="BV67" i="71"/>
  <c r="BL67" i="71"/>
  <c r="BL15" i="71"/>
  <c r="BQ15" i="71"/>
  <c r="BV15" i="71"/>
  <c r="BQ90" i="71"/>
  <c r="BL90" i="71"/>
  <c r="BV90" i="71"/>
  <c r="BL125" i="71"/>
  <c r="BV125" i="71"/>
  <c r="BQ125" i="71"/>
  <c r="BL120" i="71"/>
  <c r="BV120" i="71"/>
  <c r="BQ120" i="71"/>
  <c r="BQ74" i="71"/>
  <c r="BV74" i="71"/>
  <c r="BL74" i="71"/>
  <c r="BL22" i="71"/>
  <c r="BQ22" i="71"/>
  <c r="BV22" i="71"/>
  <c r="BV55" i="71"/>
  <c r="BL55" i="71"/>
  <c r="BQ55" i="71"/>
  <c r="BV40" i="71"/>
  <c r="BQ40" i="71"/>
  <c r="BL40" i="71"/>
  <c r="BQ112" i="71"/>
  <c r="BL112" i="71"/>
  <c r="BV112" i="71"/>
  <c r="BV37" i="71"/>
  <c r="BQ37" i="71"/>
  <c r="BL37" i="71"/>
  <c r="BL113" i="71"/>
  <c r="BV113" i="71"/>
  <c r="BQ113" i="71"/>
  <c r="BV77" i="71"/>
  <c r="BQ77" i="71"/>
  <c r="BL77" i="71"/>
  <c r="BL45" i="71"/>
  <c r="BQ45" i="71"/>
  <c r="BV45" i="71"/>
  <c r="BQ164" i="71"/>
  <c r="BV164" i="71"/>
  <c r="BL164" i="71"/>
  <c r="BV162" i="71"/>
  <c r="BQ162" i="71"/>
  <c r="BL162" i="71"/>
  <c r="BQ60" i="71"/>
  <c r="BV60" i="71"/>
  <c r="BL60" i="71"/>
  <c r="BV9" i="71"/>
  <c r="BQ9" i="71"/>
  <c r="BL9" i="71"/>
  <c r="BQ13" i="71"/>
  <c r="BV13" i="71"/>
  <c r="BL13" i="71"/>
  <c r="BQ31" i="71"/>
  <c r="BL31" i="71"/>
  <c r="BV31" i="71"/>
  <c r="BQ145" i="71"/>
  <c r="BV145" i="71"/>
  <c r="BL145" i="71"/>
  <c r="BL54" i="71"/>
  <c r="BV54" i="71"/>
  <c r="BQ54" i="71"/>
  <c r="BQ71" i="71"/>
  <c r="BL71" i="71"/>
  <c r="BV71" i="71"/>
  <c r="BV100" i="71"/>
  <c r="BL100" i="71"/>
  <c r="BQ100" i="71"/>
  <c r="BV130" i="71"/>
  <c r="BL130" i="71"/>
  <c r="BQ130" i="71"/>
  <c r="BQ26" i="71"/>
  <c r="BL26" i="71"/>
  <c r="BV26" i="71"/>
  <c r="BQ93" i="71"/>
  <c r="BL93" i="71"/>
  <c r="BV93" i="71"/>
  <c r="BL118" i="71"/>
  <c r="BQ118" i="71"/>
  <c r="BV118" i="71"/>
  <c r="BV42" i="71"/>
  <c r="BQ42" i="71"/>
  <c r="BL42" i="71"/>
  <c r="BV28" i="71"/>
  <c r="BL28" i="71"/>
  <c r="BQ28" i="71"/>
  <c r="BV24" i="71"/>
  <c r="BQ24" i="71"/>
  <c r="BL24" i="71"/>
  <c r="BL137" i="71"/>
  <c r="BQ137" i="71"/>
  <c r="BV137" i="71"/>
  <c r="BL160" i="71"/>
  <c r="BQ160" i="71"/>
  <c r="BV160" i="71"/>
  <c r="BL121" i="71"/>
  <c r="BQ121" i="71"/>
  <c r="BV121" i="71"/>
  <c r="BV146" i="71"/>
  <c r="BL146" i="71"/>
  <c r="BQ146" i="71"/>
  <c r="BQ107" i="71"/>
  <c r="BV107" i="71"/>
  <c r="BL107" i="71"/>
  <c r="BV19" i="71"/>
  <c r="BL19" i="71"/>
  <c r="BQ19" i="71"/>
  <c r="BQ154" i="71"/>
  <c r="BV154" i="71"/>
  <c r="BL154" i="71"/>
  <c r="BQ143" i="71"/>
  <c r="BV143" i="71"/>
  <c r="BL143" i="71"/>
  <c r="BL88" i="71"/>
  <c r="BV88" i="71"/>
  <c r="BQ88" i="71"/>
  <c r="BV38" i="71"/>
  <c r="BL38" i="71"/>
  <c r="BQ38" i="71"/>
  <c r="BQ151" i="71"/>
  <c r="BV151" i="71"/>
  <c r="BL151" i="71"/>
  <c r="BQ80" i="71"/>
  <c r="BL80" i="71"/>
  <c r="BV80" i="71"/>
  <c r="BV132" i="71"/>
  <c r="BL132" i="71"/>
  <c r="BQ132" i="71"/>
  <c r="BL6" i="71"/>
  <c r="BV6" i="71"/>
  <c r="BQ6" i="71"/>
  <c r="BV35" i="71"/>
  <c r="BQ35" i="71"/>
  <c r="BL35" i="71"/>
  <c r="BL104" i="71"/>
  <c r="BQ104" i="71"/>
  <c r="BV104" i="71"/>
  <c r="BQ23" i="71"/>
  <c r="BL23" i="71"/>
  <c r="BV23" i="71"/>
  <c r="BQ8" i="71"/>
  <c r="BL8" i="71"/>
  <c r="BV8" i="71"/>
  <c r="BQ92" i="71"/>
  <c r="BL92" i="71"/>
  <c r="BV92" i="71"/>
  <c r="I105" i="60"/>
  <c r="K111" i="60"/>
  <c r="K103" i="60"/>
  <c r="K110" i="60"/>
  <c r="K106" i="60"/>
  <c r="BL39" i="71"/>
  <c r="BV39" i="71"/>
  <c r="BQ39" i="71"/>
  <c r="BQ106" i="71"/>
  <c r="BL106" i="71"/>
  <c r="BV106" i="71"/>
  <c r="BV12" i="71"/>
  <c r="BQ12" i="71"/>
  <c r="BL12" i="71"/>
  <c r="BQ114" i="71"/>
  <c r="BV114" i="71"/>
  <c r="BL114" i="71"/>
  <c r="BV68" i="71"/>
  <c r="BQ68" i="71"/>
  <c r="BL68" i="71"/>
  <c r="BV21" i="71"/>
  <c r="BL21" i="71"/>
  <c r="BQ21" i="71"/>
  <c r="BL127" i="71"/>
  <c r="BV127" i="71"/>
  <c r="BQ127" i="71"/>
  <c r="BV86" i="71"/>
  <c r="BL86" i="71"/>
  <c r="BQ86" i="71"/>
  <c r="BQ156" i="71"/>
  <c r="BL156" i="71"/>
  <c r="BV156" i="71"/>
  <c r="BQ163" i="71"/>
  <c r="BL163" i="71"/>
  <c r="BV163" i="71"/>
  <c r="BQ72" i="71"/>
  <c r="BV72" i="71"/>
  <c r="BL72" i="71"/>
  <c r="BV49" i="71"/>
  <c r="BL49" i="71"/>
  <c r="BQ49" i="71"/>
  <c r="BQ64" i="71"/>
  <c r="BV64" i="71"/>
  <c r="BL64" i="71"/>
  <c r="BV97" i="71"/>
  <c r="BQ97" i="71"/>
  <c r="BL97" i="71"/>
  <c r="AV164" i="63"/>
  <c r="AU164" i="63"/>
  <c r="O92" i="63"/>
  <c r="Z58" i="61"/>
  <c r="AA59" i="61"/>
  <c r="L92" i="72"/>
  <c r="AA53" i="61"/>
  <c r="Q93" i="63"/>
  <c r="Z46" i="61"/>
  <c r="P92" i="63"/>
  <c r="O89" i="63"/>
  <c r="AA49" i="61"/>
  <c r="AA52" i="61"/>
  <c r="P91" i="63"/>
  <c r="Z45" i="61"/>
  <c r="AB57" i="61"/>
  <c r="AA58" i="61"/>
  <c r="AM87" i="63"/>
  <c r="Z47" i="61"/>
  <c r="L90" i="72"/>
  <c r="M90" i="72"/>
  <c r="N95" i="72"/>
  <c r="Z60" i="61"/>
  <c r="AU161" i="63"/>
  <c r="AV160" i="63"/>
  <c r="AV163" i="63"/>
  <c r="AU159" i="63"/>
  <c r="AU155" i="63"/>
  <c r="AU154" i="63"/>
  <c r="AV158" i="63"/>
  <c r="AV156" i="63"/>
  <c r="AU156" i="63"/>
  <c r="AU163" i="63"/>
  <c r="AV155" i="63"/>
  <c r="AU158" i="63"/>
  <c r="AU157" i="63"/>
  <c r="AV154" i="63"/>
  <c r="AV157" i="63"/>
  <c r="AU162" i="63"/>
  <c r="AV161" i="63"/>
  <c r="AU160" i="63"/>
  <c r="AV153" i="63"/>
  <c r="AU148" i="63"/>
  <c r="AU146" i="63"/>
  <c r="AU144" i="63"/>
  <c r="AV152" i="63"/>
  <c r="AV150" i="63"/>
  <c r="AV151" i="63"/>
  <c r="AU152" i="63"/>
  <c r="AV148" i="63"/>
  <c r="AU149" i="63"/>
  <c r="AV149" i="63"/>
  <c r="AV146" i="63"/>
  <c r="AU151" i="63"/>
  <c r="AU145" i="63"/>
  <c r="AV147" i="63"/>
  <c r="AU153" i="63"/>
  <c r="AU150" i="63"/>
  <c r="AV144" i="63"/>
  <c r="AU147" i="63"/>
  <c r="AV145" i="63"/>
  <c r="AV162" i="63"/>
  <c r="AV159" i="63"/>
  <c r="AB54" i="61"/>
  <c r="L93" i="72"/>
  <c r="O90" i="63"/>
  <c r="AB53" i="61"/>
  <c r="O96" i="63"/>
  <c r="Q91" i="63"/>
  <c r="AA54" i="61"/>
  <c r="L91" i="72"/>
  <c r="AA46" i="61"/>
  <c r="AA48" i="61"/>
  <c r="AB47" i="61"/>
  <c r="AB50" i="61"/>
  <c r="P90" i="63"/>
  <c r="L96" i="72"/>
  <c r="AB46" i="61"/>
  <c r="N91" i="72"/>
  <c r="Q95" i="63"/>
  <c r="Z59" i="61"/>
  <c r="N102" i="60"/>
  <c r="Z55" i="61"/>
  <c r="Z51" i="61"/>
  <c r="N96" i="72"/>
  <c r="P87" i="63"/>
  <c r="AB56" i="61"/>
  <c r="AB48" i="61"/>
  <c r="Q89" i="63"/>
  <c r="AA50" i="61"/>
  <c r="Q96" i="63"/>
  <c r="AA56" i="61"/>
  <c r="O95" i="63"/>
  <c r="AB59" i="61"/>
  <c r="L88" i="72"/>
  <c r="Z57" i="61"/>
  <c r="Q94" i="63"/>
  <c r="AA45" i="61"/>
  <c r="L94" i="72"/>
  <c r="AA57" i="61"/>
  <c r="P96" i="63"/>
  <c r="Z54" i="61"/>
  <c r="O87" i="63"/>
  <c r="O93" i="63"/>
  <c r="Z52" i="61"/>
  <c r="AA51" i="61"/>
  <c r="O88" i="63"/>
  <c r="AB52" i="61"/>
  <c r="AA47" i="61"/>
  <c r="Z53" i="61"/>
  <c r="O94" i="63"/>
  <c r="AB45" i="61"/>
  <c r="P95" i="63"/>
  <c r="Q90" i="63"/>
  <c r="AA55" i="61"/>
  <c r="Q87" i="63"/>
  <c r="AB58" i="61"/>
  <c r="L87" i="72"/>
  <c r="M93" i="72"/>
  <c r="L89" i="72"/>
  <c r="L95" i="72"/>
  <c r="AB51" i="61"/>
  <c r="Z50" i="61"/>
  <c r="P88" i="63"/>
  <c r="AB55" i="61"/>
  <c r="P89" i="63"/>
  <c r="N88" i="72"/>
  <c r="AA60" i="61"/>
  <c r="Z56" i="61"/>
  <c r="Z49" i="61"/>
  <c r="AB60" i="61"/>
  <c r="O91" i="63"/>
  <c r="N87" i="72"/>
  <c r="Z48" i="61"/>
  <c r="Q88" i="63"/>
  <c r="N92" i="72"/>
  <c r="AB49" i="61"/>
  <c r="Q92" i="63"/>
  <c r="P93" i="63"/>
  <c r="AN87" i="63" l="1"/>
  <c r="AO87" i="63" s="1"/>
  <c r="O87" i="64"/>
  <c r="P93" i="72"/>
  <c r="P88" i="72"/>
  <c r="P89" i="72"/>
  <c r="P90" i="72"/>
  <c r="P94" i="72"/>
  <c r="P92" i="72"/>
  <c r="P91" i="72"/>
  <c r="P87" i="72"/>
  <c r="S87" i="63"/>
  <c r="F88" i="67" s="1"/>
  <c r="P95" i="72"/>
  <c r="P96" i="72"/>
  <c r="AN90" i="63"/>
  <c r="AN88" i="63"/>
  <c r="AN92" i="63"/>
  <c r="AN89" i="63"/>
  <c r="J70" i="67"/>
  <c r="S89" i="63"/>
  <c r="F90" i="67" s="1"/>
  <c r="H90" i="67" s="1"/>
  <c r="S94" i="63"/>
  <c r="F95" i="67" s="1"/>
  <c r="H95" i="67" s="1"/>
  <c r="I70" i="67"/>
  <c r="K69" i="67"/>
  <c r="AD50" i="61"/>
  <c r="AD52" i="61"/>
  <c r="AE53" i="61"/>
  <c r="AF50" i="61"/>
  <c r="AE50" i="61"/>
  <c r="AD55" i="61"/>
  <c r="S91" i="63"/>
  <c r="AF58" i="61"/>
  <c r="AF55" i="61"/>
  <c r="S95" i="63"/>
  <c r="AE58" i="61"/>
  <c r="AD47" i="61"/>
  <c r="AE55" i="61"/>
  <c r="S88" i="63"/>
  <c r="AF54" i="61"/>
  <c r="AD46" i="61"/>
  <c r="AD60" i="61"/>
  <c r="AE45" i="61"/>
  <c r="AD58" i="61"/>
  <c r="AE47" i="61"/>
  <c r="S96" i="63"/>
  <c r="AE54" i="61"/>
  <c r="AE46" i="61"/>
  <c r="AF60" i="61"/>
  <c r="AD45" i="61"/>
  <c r="S92" i="63"/>
  <c r="AF48" i="61"/>
  <c r="AF47" i="61"/>
  <c r="S90" i="63"/>
  <c r="AD54" i="61"/>
  <c r="AF46" i="61"/>
  <c r="AE60" i="61"/>
  <c r="AF45" i="61"/>
  <c r="AD56" i="61"/>
  <c r="AD48" i="61"/>
  <c r="AD57" i="61"/>
  <c r="AD59" i="61"/>
  <c r="AE49" i="61"/>
  <c r="AD51" i="61"/>
  <c r="AF56" i="61"/>
  <c r="AE48" i="61"/>
  <c r="AF57" i="61"/>
  <c r="AF59" i="61"/>
  <c r="AF49" i="61"/>
  <c r="AF51" i="61"/>
  <c r="AE56" i="61"/>
  <c r="S93" i="63"/>
  <c r="AE57" i="61"/>
  <c r="AE59" i="61"/>
  <c r="AD49" i="61"/>
  <c r="AE51" i="61"/>
  <c r="AF52" i="61"/>
  <c r="AD53" i="61"/>
  <c r="AE52" i="61"/>
  <c r="AF53" i="61"/>
  <c r="E49" i="60"/>
  <c r="F53" i="60"/>
  <c r="E54" i="60"/>
  <c r="G46" i="60"/>
  <c r="M46" i="60" s="1"/>
  <c r="E45" i="60"/>
  <c r="F48" i="60"/>
  <c r="F51" i="60"/>
  <c r="J51" i="60" s="1"/>
  <c r="F45" i="60"/>
  <c r="J45" i="60" s="1"/>
  <c r="G47" i="60"/>
  <c r="K47" i="60" s="1"/>
  <c r="G52" i="60"/>
  <c r="K52" i="60" s="1"/>
  <c r="E53" i="60"/>
  <c r="G54" i="60"/>
  <c r="G53" i="60"/>
  <c r="K53" i="60" s="1"/>
  <c r="F47" i="60"/>
  <c r="J47" i="60" s="1"/>
  <c r="F46" i="60"/>
  <c r="E46" i="60"/>
  <c r="AN91" i="63"/>
  <c r="E51" i="60"/>
  <c r="E48" i="60"/>
  <c r="G48" i="60"/>
  <c r="F54" i="60"/>
  <c r="J54" i="60" s="1"/>
  <c r="AN96" i="63"/>
  <c r="E52" i="60"/>
  <c r="E50" i="60"/>
  <c r="F50" i="60"/>
  <c r="J50" i="60" s="1"/>
  <c r="G51" i="60"/>
  <c r="K51" i="60" s="1"/>
  <c r="G49" i="60"/>
  <c r="K49" i="60" s="1"/>
  <c r="F49" i="60"/>
  <c r="J49" i="60" s="1"/>
  <c r="F52" i="60"/>
  <c r="AN95" i="63"/>
  <c r="AN93" i="63"/>
  <c r="G45" i="60"/>
  <c r="G50" i="60"/>
  <c r="K50" i="60" s="1"/>
  <c r="E47" i="60"/>
  <c r="W101" i="72"/>
  <c r="W149" i="72"/>
  <c r="W120" i="72"/>
  <c r="AE117" i="63"/>
  <c r="W151" i="72"/>
  <c r="W78" i="72"/>
  <c r="AE103" i="63"/>
  <c r="AE122" i="63"/>
  <c r="W147" i="72"/>
  <c r="AE105" i="63"/>
  <c r="R87" i="64"/>
  <c r="AW66" i="63"/>
  <c r="W156" i="72"/>
  <c r="W108" i="72"/>
  <c r="W99" i="72"/>
  <c r="W106" i="72"/>
  <c r="AE70" i="63"/>
  <c r="W100" i="72"/>
  <c r="AW70" i="63"/>
  <c r="W117" i="72"/>
  <c r="AE139" i="63"/>
  <c r="AE107" i="63"/>
  <c r="AW73" i="63"/>
  <c r="AE127" i="63"/>
  <c r="AE129" i="63"/>
  <c r="AE120" i="63"/>
  <c r="AW69" i="63"/>
  <c r="AE136" i="63"/>
  <c r="W131" i="72"/>
  <c r="W119" i="72"/>
  <c r="AE145" i="63"/>
  <c r="AE123" i="63"/>
  <c r="W129" i="72"/>
  <c r="W80" i="72"/>
  <c r="AE135" i="63"/>
  <c r="W150" i="72"/>
  <c r="W127" i="72"/>
  <c r="W94" i="72"/>
  <c r="W72" i="72"/>
  <c r="W110" i="72"/>
  <c r="W163" i="72"/>
  <c r="W161" i="72"/>
  <c r="AE158" i="63"/>
  <c r="AE132" i="63"/>
  <c r="AE77" i="63"/>
  <c r="AE111" i="63"/>
  <c r="W79" i="72"/>
  <c r="AE89" i="63"/>
  <c r="AE82" i="63"/>
  <c r="W121" i="72"/>
  <c r="AE142" i="63"/>
  <c r="AE152" i="63"/>
  <c r="W65" i="72"/>
  <c r="M36" i="72"/>
  <c r="W103" i="72"/>
  <c r="AW65" i="63"/>
  <c r="AE93" i="63"/>
  <c r="AE151" i="63"/>
  <c r="W112" i="72"/>
  <c r="W75" i="72"/>
  <c r="W123" i="72"/>
  <c r="AE119" i="63"/>
  <c r="AE94" i="63"/>
  <c r="N35" i="72"/>
  <c r="AE110" i="63"/>
  <c r="AE128" i="63"/>
  <c r="AE91" i="63"/>
  <c r="AE88" i="63"/>
  <c r="AE124" i="63"/>
  <c r="W153" i="72"/>
  <c r="M32" i="72"/>
  <c r="AE74" i="63"/>
  <c r="N36" i="72"/>
  <c r="AW67" i="63"/>
  <c r="AE149" i="63"/>
  <c r="N38" i="72"/>
  <c r="AE156" i="63"/>
  <c r="W139" i="72"/>
  <c r="AE108" i="63"/>
  <c r="W64" i="72"/>
  <c r="AE125" i="63"/>
  <c r="W98" i="72"/>
  <c r="AW71" i="63"/>
  <c r="W164" i="72"/>
  <c r="W83" i="72"/>
  <c r="AE150" i="63"/>
  <c r="W133" i="72"/>
  <c r="AE137" i="63"/>
  <c r="W109" i="72"/>
  <c r="AE79" i="63"/>
  <c r="AE121" i="63"/>
  <c r="AE97" i="63"/>
  <c r="AW72" i="63"/>
  <c r="W74" i="72"/>
  <c r="W88" i="72"/>
  <c r="AE92" i="63"/>
  <c r="AE78" i="63"/>
  <c r="AE159" i="63"/>
  <c r="N32" i="72"/>
  <c r="W93" i="72"/>
  <c r="AE162" i="63"/>
  <c r="W81" i="72"/>
  <c r="AE114" i="63"/>
  <c r="AE84" i="63"/>
  <c r="AE87" i="63"/>
  <c r="W69" i="72"/>
  <c r="W157" i="72"/>
  <c r="W152" i="72"/>
  <c r="AE148" i="63"/>
  <c r="W111" i="72"/>
  <c r="W126" i="72"/>
  <c r="AE160" i="63"/>
  <c r="W84" i="72"/>
  <c r="AE99" i="63"/>
  <c r="M39" i="72"/>
  <c r="W134" i="72"/>
  <c r="AE118" i="63"/>
  <c r="W125" i="72"/>
  <c r="W148" i="72"/>
  <c r="W77" i="72"/>
  <c r="AE81" i="63"/>
  <c r="W159" i="72"/>
  <c r="W66" i="72"/>
  <c r="W102" i="72"/>
  <c r="AE115" i="63"/>
  <c r="AE143" i="63"/>
  <c r="AM88" i="63"/>
  <c r="W146" i="72"/>
  <c r="W141" i="72"/>
  <c r="AE86" i="63"/>
  <c r="AE65" i="63"/>
  <c r="AE153" i="63"/>
  <c r="W86" i="72"/>
  <c r="AE71" i="63"/>
  <c r="W144" i="72"/>
  <c r="AE101" i="63"/>
  <c r="W85" i="72"/>
  <c r="AE98" i="63"/>
  <c r="AE100" i="63"/>
  <c r="AE76" i="63"/>
  <c r="W140" i="72"/>
  <c r="AE134" i="63"/>
  <c r="W91" i="72"/>
  <c r="AE161" i="63"/>
  <c r="W73" i="72"/>
  <c r="AE96" i="63"/>
  <c r="AE95" i="63"/>
  <c r="W92" i="72"/>
  <c r="N34" i="72"/>
  <c r="W70" i="72"/>
  <c r="W145" i="72"/>
  <c r="AE102" i="63"/>
  <c r="AE72" i="63"/>
  <c r="W160" i="72"/>
  <c r="W95" i="72"/>
  <c r="W89" i="72"/>
  <c r="M35" i="72"/>
  <c r="W114" i="72"/>
  <c r="AE131" i="63"/>
  <c r="AE130" i="63"/>
  <c r="W90" i="72"/>
  <c r="AE66" i="63"/>
  <c r="W154" i="72"/>
  <c r="AE157" i="63"/>
  <c r="W68" i="72"/>
  <c r="AE85" i="63"/>
  <c r="W162" i="72"/>
  <c r="AE68" i="63"/>
  <c r="AE116" i="63"/>
  <c r="W130" i="72"/>
  <c r="M30" i="72"/>
  <c r="W113" i="72"/>
  <c r="AE147" i="63"/>
  <c r="AE112" i="63"/>
  <c r="AE67" i="63"/>
  <c r="W116" i="72"/>
  <c r="AE164" i="63"/>
  <c r="W136" i="72"/>
  <c r="W82" i="72"/>
  <c r="W143" i="72"/>
  <c r="W142" i="72"/>
  <c r="AW64" i="63"/>
  <c r="W132" i="72"/>
  <c r="AE83" i="63"/>
  <c r="AE104" i="63"/>
  <c r="AE80" i="63"/>
  <c r="AE75" i="63"/>
  <c r="Q87" i="64"/>
  <c r="AW68" i="63"/>
  <c r="W155" i="72"/>
  <c r="W67" i="72"/>
  <c r="W128" i="72"/>
  <c r="AE138" i="63"/>
  <c r="W76" i="72"/>
  <c r="AE155" i="63"/>
  <c r="W87" i="72"/>
  <c r="AE140" i="63"/>
  <c r="W124" i="72"/>
  <c r="W97" i="72"/>
  <c r="AE133" i="63"/>
  <c r="AE109" i="63"/>
  <c r="W107" i="72"/>
  <c r="AE69" i="63"/>
  <c r="W122" i="72"/>
  <c r="N37" i="72"/>
  <c r="AE146" i="63"/>
  <c r="AE64" i="63"/>
  <c r="W137" i="72"/>
  <c r="AE163" i="63"/>
  <c r="AE154" i="63"/>
  <c r="W118" i="72"/>
  <c r="W71" i="72"/>
  <c r="W138" i="72"/>
  <c r="W104" i="72"/>
  <c r="W158" i="72"/>
  <c r="AE90" i="63"/>
  <c r="AE73" i="63"/>
  <c r="M34" i="72"/>
  <c r="W96" i="72"/>
  <c r="AE106" i="63"/>
  <c r="AE141" i="63"/>
  <c r="W115" i="72"/>
  <c r="AE144" i="63"/>
  <c r="AE113" i="63"/>
  <c r="W135" i="72"/>
  <c r="AE126" i="63"/>
  <c r="W105" i="72"/>
  <c r="K45" i="60" l="1"/>
  <c r="M45" i="60"/>
  <c r="P102" i="60"/>
  <c r="T87" i="64"/>
  <c r="K46" i="60"/>
  <c r="AO88" i="63"/>
  <c r="I46" i="60"/>
  <c r="I45" i="60"/>
  <c r="I54" i="60"/>
  <c r="I52" i="60"/>
  <c r="J71" i="67"/>
  <c r="I71" i="67"/>
  <c r="K70" i="67"/>
  <c r="F96" i="67"/>
  <c r="H96" i="67" s="1"/>
  <c r="I48" i="60"/>
  <c r="F73" i="60"/>
  <c r="J73" i="60" s="1"/>
  <c r="G68" i="60"/>
  <c r="K68" i="60" s="1"/>
  <c r="F67" i="60"/>
  <c r="F65" i="60"/>
  <c r="G70" i="60"/>
  <c r="K70" i="60" s="1"/>
  <c r="E67" i="60"/>
  <c r="F92" i="67"/>
  <c r="H92" i="67" s="1"/>
  <c r="F71" i="60"/>
  <c r="J71" i="60" s="1"/>
  <c r="E66" i="60"/>
  <c r="F91" i="67"/>
  <c r="H91" i="67" s="1"/>
  <c r="E73" i="60"/>
  <c r="E68" i="60"/>
  <c r="J52" i="60"/>
  <c r="G65" i="60"/>
  <c r="M65" i="60" s="1"/>
  <c r="G69" i="60"/>
  <c r="K69" i="60" s="1"/>
  <c r="J46" i="60"/>
  <c r="G64" i="60"/>
  <c r="M64" i="60" s="1"/>
  <c r="G66" i="60"/>
  <c r="K66" i="60" s="1"/>
  <c r="I50" i="60"/>
  <c r="I51" i="60"/>
  <c r="K54" i="60"/>
  <c r="F64" i="60"/>
  <c r="E64" i="60"/>
  <c r="G67" i="60"/>
  <c r="K67" i="60" s="1"/>
  <c r="F69" i="60"/>
  <c r="G71" i="60"/>
  <c r="K71" i="60" s="1"/>
  <c r="J53" i="60"/>
  <c r="F93" i="67"/>
  <c r="H93" i="67" s="1"/>
  <c r="F66" i="60"/>
  <c r="J66" i="60" s="1"/>
  <c r="J48" i="60"/>
  <c r="F72" i="60"/>
  <c r="J72" i="60" s="1"/>
  <c r="E72" i="60"/>
  <c r="F89" i="67"/>
  <c r="H89" i="67" s="1"/>
  <c r="E65" i="60"/>
  <c r="E69" i="60"/>
  <c r="K48" i="60"/>
  <c r="F97" i="67"/>
  <c r="H97" i="67" s="1"/>
  <c r="G72" i="60"/>
  <c r="K72" i="60" s="1"/>
  <c r="I47" i="60"/>
  <c r="I53" i="60"/>
  <c r="I49" i="60"/>
  <c r="F70" i="60"/>
  <c r="J70" i="60" s="1"/>
  <c r="E70" i="60"/>
  <c r="G73" i="60"/>
  <c r="K73" i="60" s="1"/>
  <c r="F68" i="60"/>
  <c r="J68" i="60" s="1"/>
  <c r="E71" i="60"/>
  <c r="F94" i="67"/>
  <c r="H94" i="67" s="1"/>
  <c r="L33" i="72"/>
  <c r="Q39" i="63"/>
  <c r="R148" i="67"/>
  <c r="R150" i="67"/>
  <c r="O38" i="63"/>
  <c r="M57" i="72"/>
  <c r="R109" i="67"/>
  <c r="R131" i="67"/>
  <c r="R114" i="67"/>
  <c r="R100" i="67"/>
  <c r="L38" i="72"/>
  <c r="M53" i="72"/>
  <c r="R84" i="67"/>
  <c r="AW83" i="63"/>
  <c r="R89" i="67"/>
  <c r="P37" i="63"/>
  <c r="L37" i="72"/>
  <c r="L31" i="72"/>
  <c r="R121" i="67"/>
  <c r="P38" i="63"/>
  <c r="R151" i="67"/>
  <c r="AP65" i="64"/>
  <c r="R93" i="67"/>
  <c r="R138" i="67"/>
  <c r="AP77" i="64"/>
  <c r="O35" i="63"/>
  <c r="R119" i="67"/>
  <c r="O37" i="63"/>
  <c r="AP82" i="64"/>
  <c r="R118" i="67"/>
  <c r="AW81" i="63"/>
  <c r="R122" i="67"/>
  <c r="R97" i="67"/>
  <c r="Q38" i="63"/>
  <c r="R120" i="67"/>
  <c r="R126" i="67"/>
  <c r="O32" i="63"/>
  <c r="N39" i="72"/>
  <c r="R147" i="67"/>
  <c r="R128" i="67"/>
  <c r="N31" i="72"/>
  <c r="N56" i="72"/>
  <c r="L34" i="72"/>
  <c r="R124" i="67"/>
  <c r="R92" i="67"/>
  <c r="R127" i="67"/>
  <c r="AW78" i="63"/>
  <c r="R107" i="67"/>
  <c r="R111" i="67"/>
  <c r="R104" i="67"/>
  <c r="P30" i="63"/>
  <c r="AP67" i="64"/>
  <c r="R88" i="67"/>
  <c r="R160" i="67"/>
  <c r="P34" i="63"/>
  <c r="R94" i="67"/>
  <c r="AW77" i="63"/>
  <c r="AM30" i="63"/>
  <c r="R149" i="67"/>
  <c r="L36" i="72"/>
  <c r="N65" i="60"/>
  <c r="L39" i="72"/>
  <c r="R144" i="67"/>
  <c r="P36" i="63"/>
  <c r="R96" i="67"/>
  <c r="R130" i="67"/>
  <c r="M37" i="72"/>
  <c r="N46" i="60"/>
  <c r="R139" i="67"/>
  <c r="R85" i="67"/>
  <c r="M55" i="72"/>
  <c r="AP66" i="64"/>
  <c r="R123" i="67"/>
  <c r="N51" i="72"/>
  <c r="R105" i="67"/>
  <c r="N53" i="72"/>
  <c r="R143" i="67"/>
  <c r="AP71" i="64"/>
  <c r="R106" i="67"/>
  <c r="AP72" i="64"/>
  <c r="R146" i="67"/>
  <c r="R162" i="67"/>
  <c r="R159" i="67"/>
  <c r="R142" i="67"/>
  <c r="R132" i="67"/>
  <c r="N45" i="60"/>
  <c r="AP81" i="64"/>
  <c r="R140" i="67"/>
  <c r="R163" i="67"/>
  <c r="R91" i="67"/>
  <c r="R98" i="67"/>
  <c r="S87" i="64"/>
  <c r="R90" i="67"/>
  <c r="M31" i="72"/>
  <c r="L35" i="72"/>
  <c r="AW82" i="63"/>
  <c r="O39" i="63"/>
  <c r="AP80" i="64"/>
  <c r="R102" i="67"/>
  <c r="R99" i="67"/>
  <c r="Q37" i="63"/>
  <c r="AP76" i="64"/>
  <c r="BA80" i="64"/>
  <c r="BA78" i="64"/>
  <c r="R112" i="67"/>
  <c r="R152" i="67"/>
  <c r="R113" i="67"/>
  <c r="R86" i="67"/>
  <c r="R141" i="67"/>
  <c r="AP78" i="64"/>
  <c r="R101" i="67"/>
  <c r="M56" i="72"/>
  <c r="P31" i="63"/>
  <c r="R156" i="67"/>
  <c r="AP73" i="64"/>
  <c r="BA65" i="64"/>
  <c r="AP70" i="64"/>
  <c r="BA66" i="64"/>
  <c r="R117" i="67"/>
  <c r="BA79" i="64"/>
  <c r="AW76" i="63"/>
  <c r="O36" i="63"/>
  <c r="R153" i="67"/>
  <c r="Q32" i="63"/>
  <c r="AW75" i="63"/>
  <c r="R155" i="67"/>
  <c r="N33" i="72"/>
  <c r="R134" i="67"/>
  <c r="R116" i="67"/>
  <c r="M58" i="72"/>
  <c r="AP69" i="64"/>
  <c r="AW80" i="63"/>
  <c r="BA64" i="64"/>
  <c r="R110" i="67"/>
  <c r="BA70" i="64"/>
  <c r="R164" i="67"/>
  <c r="R125" i="67"/>
  <c r="AM89" i="63"/>
  <c r="AP75" i="64"/>
  <c r="R157" i="67"/>
  <c r="Q34" i="63"/>
  <c r="N58" i="72"/>
  <c r="AP83" i="64"/>
  <c r="N30" i="72"/>
  <c r="R136" i="67"/>
  <c r="L30" i="72"/>
  <c r="R154" i="67"/>
  <c r="R129" i="67"/>
  <c r="AP68" i="64"/>
  <c r="R108" i="67"/>
  <c r="R135" i="67"/>
  <c r="R158" i="67"/>
  <c r="R137" i="67"/>
  <c r="O34" i="63"/>
  <c r="R115" i="67"/>
  <c r="O31" i="63"/>
  <c r="AW74" i="63"/>
  <c r="M38" i="72"/>
  <c r="BA81" i="64"/>
  <c r="AP64" i="64"/>
  <c r="Q30" i="63"/>
  <c r="BA75" i="64"/>
  <c r="P35" i="63"/>
  <c r="R133" i="67"/>
  <c r="R103" i="67"/>
  <c r="Q36" i="63"/>
  <c r="AP74" i="64"/>
  <c r="AP79" i="64"/>
  <c r="L32" i="72"/>
  <c r="R161" i="67"/>
  <c r="N57" i="72"/>
  <c r="O30" i="63"/>
  <c r="R145" i="67"/>
  <c r="Q31" i="63"/>
  <c r="O33" i="63"/>
  <c r="P32" i="63"/>
  <c r="BA69" i="64"/>
  <c r="Q33" i="63"/>
  <c r="R87" i="67"/>
  <c r="P33" i="63"/>
  <c r="AW79" i="63"/>
  <c r="AM90" i="63"/>
  <c r="P39" i="63"/>
  <c r="N55" i="72"/>
  <c r="M33" i="72"/>
  <c r="R95" i="67"/>
  <c r="BA83" i="64"/>
  <c r="BA72" i="64"/>
  <c r="Q35" i="63"/>
  <c r="N54" i="72"/>
  <c r="BA68" i="64"/>
  <c r="M51" i="72"/>
  <c r="N52" i="72"/>
  <c r="BA82" i="64"/>
  <c r="BA76" i="64"/>
  <c r="BA67" i="64"/>
  <c r="BA73" i="64"/>
  <c r="BA71" i="64"/>
  <c r="BA77" i="64"/>
  <c r="BA74" i="64"/>
  <c r="AO89" i="63" l="1"/>
  <c r="AN30" i="63"/>
  <c r="AO30" i="63" s="1"/>
  <c r="G88" i="67"/>
  <c r="H88" i="67" s="1"/>
  <c r="O50" i="64"/>
  <c r="K64" i="60"/>
  <c r="O31" i="64"/>
  <c r="AO90" i="63"/>
  <c r="P37" i="72"/>
  <c r="P31" i="72"/>
  <c r="P33" i="72"/>
  <c r="P36" i="72"/>
  <c r="P34" i="72"/>
  <c r="P35" i="72"/>
  <c r="P38" i="72"/>
  <c r="P30" i="72"/>
  <c r="S30" i="63"/>
  <c r="F31" i="67" s="1"/>
  <c r="P39" i="72"/>
  <c r="P32" i="72"/>
  <c r="I69" i="60"/>
  <c r="I73" i="60"/>
  <c r="AN58" i="63" s="1"/>
  <c r="I71" i="60"/>
  <c r="AN39" i="63"/>
  <c r="AN34" i="63"/>
  <c r="I67" i="60"/>
  <c r="I72" i="60"/>
  <c r="AN57" i="63" s="1"/>
  <c r="I70" i="60"/>
  <c r="AN55" i="63" s="1"/>
  <c r="AN32" i="63"/>
  <c r="AN37" i="63"/>
  <c r="J72" i="67"/>
  <c r="I72" i="67"/>
  <c r="K71" i="67"/>
  <c r="AN33" i="63"/>
  <c r="O30" i="64"/>
  <c r="S33" i="63"/>
  <c r="S31" i="63"/>
  <c r="S34" i="63"/>
  <c r="S38" i="63"/>
  <c r="S39" i="63"/>
  <c r="S35" i="63"/>
  <c r="S32" i="63"/>
  <c r="S36" i="63"/>
  <c r="S37" i="63"/>
  <c r="J69" i="60"/>
  <c r="I68" i="60"/>
  <c r="I64" i="60"/>
  <c r="I65" i="60"/>
  <c r="J64" i="60"/>
  <c r="J65" i="60"/>
  <c r="AN31" i="63"/>
  <c r="AN38" i="63"/>
  <c r="K65" i="60"/>
  <c r="I66" i="60"/>
  <c r="AN35" i="63"/>
  <c r="AN36" i="63"/>
  <c r="J67" i="60"/>
  <c r="AW88" i="63"/>
  <c r="AW89" i="63"/>
  <c r="AB161" i="63"/>
  <c r="AB91" i="63"/>
  <c r="O54" i="63"/>
  <c r="AW101" i="63"/>
  <c r="R81" i="67"/>
  <c r="R78" i="67"/>
  <c r="P54" i="63"/>
  <c r="T160" i="72"/>
  <c r="AB158" i="63"/>
  <c r="T125" i="72"/>
  <c r="T107" i="72"/>
  <c r="T87" i="72"/>
  <c r="AB151" i="63"/>
  <c r="T148" i="72"/>
  <c r="T138" i="72"/>
  <c r="T85" i="72"/>
  <c r="AB83" i="63"/>
  <c r="AW95" i="63"/>
  <c r="AB129" i="63"/>
  <c r="T80" i="72"/>
  <c r="L58" i="72"/>
  <c r="T156" i="72"/>
  <c r="Q51" i="63"/>
  <c r="AB102" i="63"/>
  <c r="AB79" i="63"/>
  <c r="AB95" i="63"/>
  <c r="T147" i="72"/>
  <c r="AT66" i="63"/>
  <c r="AB73" i="63"/>
  <c r="AB65" i="63"/>
  <c r="AB142" i="63"/>
  <c r="AB116" i="63"/>
  <c r="L50" i="72"/>
  <c r="O57" i="63"/>
  <c r="T86" i="72"/>
  <c r="AB135" i="63"/>
  <c r="Q50" i="64"/>
  <c r="AB164" i="63"/>
  <c r="AB69" i="63"/>
  <c r="T111" i="72"/>
  <c r="Q31" i="64"/>
  <c r="AW93" i="63"/>
  <c r="O58" i="63"/>
  <c r="AB80" i="63"/>
  <c r="AT68" i="63"/>
  <c r="R80" i="67"/>
  <c r="AB154" i="63"/>
  <c r="AB148" i="63"/>
  <c r="AB66" i="63"/>
  <c r="T91" i="72"/>
  <c r="Q58" i="63"/>
  <c r="T129" i="72"/>
  <c r="R71" i="67"/>
  <c r="AT72" i="63"/>
  <c r="T157" i="72"/>
  <c r="T77" i="72"/>
  <c r="T93" i="72"/>
  <c r="AB149" i="63"/>
  <c r="P58" i="63"/>
  <c r="Q55" i="63"/>
  <c r="AB67" i="63"/>
  <c r="T161" i="72"/>
  <c r="T79" i="72"/>
  <c r="T139" i="72"/>
  <c r="AB155" i="63"/>
  <c r="T100" i="72"/>
  <c r="T102" i="72"/>
  <c r="T112" i="72"/>
  <c r="AB138" i="63"/>
  <c r="T130" i="72"/>
  <c r="AW99" i="63"/>
  <c r="AB68" i="63"/>
  <c r="AB113" i="63"/>
  <c r="L55" i="72"/>
  <c r="P49" i="63"/>
  <c r="T81" i="72"/>
  <c r="L51" i="72"/>
  <c r="AB74" i="63"/>
  <c r="AB117" i="63"/>
  <c r="Q53" i="63"/>
  <c r="N64" i="60"/>
  <c r="AB146" i="63"/>
  <c r="T78" i="72"/>
  <c r="T74" i="72"/>
  <c r="AW96" i="63"/>
  <c r="Q52" i="63"/>
  <c r="O51" i="63"/>
  <c r="L53" i="72"/>
  <c r="AM49" i="63"/>
  <c r="T154" i="72"/>
  <c r="T109" i="72"/>
  <c r="T126" i="72"/>
  <c r="AB132" i="63"/>
  <c r="T105" i="72"/>
  <c r="T94" i="72"/>
  <c r="T146" i="72"/>
  <c r="T164" i="72"/>
  <c r="AT65" i="63"/>
  <c r="AB159" i="63"/>
  <c r="AB78" i="63"/>
  <c r="T133" i="72"/>
  <c r="T116" i="72"/>
  <c r="AB75" i="63"/>
  <c r="T67" i="72"/>
  <c r="AB139" i="63"/>
  <c r="T142" i="72"/>
  <c r="AB97" i="63"/>
  <c r="M54" i="72"/>
  <c r="T98" i="72"/>
  <c r="AW85" i="63"/>
  <c r="AT69" i="63"/>
  <c r="AB133" i="63"/>
  <c r="Q54" i="63"/>
  <c r="T90" i="72"/>
  <c r="AB76" i="63"/>
  <c r="AW100" i="63"/>
  <c r="L49" i="72"/>
  <c r="AB150" i="63"/>
  <c r="T84" i="72"/>
  <c r="T118" i="72"/>
  <c r="AB128" i="63"/>
  <c r="R67" i="67"/>
  <c r="AB70" i="63"/>
  <c r="R74" i="67"/>
  <c r="O50" i="63"/>
  <c r="T162" i="72"/>
  <c r="P57" i="63"/>
  <c r="T114" i="72"/>
  <c r="AB93" i="63"/>
  <c r="T131" i="72"/>
  <c r="L56" i="72"/>
  <c r="AB72" i="63"/>
  <c r="AW86" i="63"/>
  <c r="T155" i="72"/>
  <c r="AB119" i="63"/>
  <c r="AB81" i="63"/>
  <c r="AB127" i="63"/>
  <c r="AB101" i="63"/>
  <c r="R50" i="64"/>
  <c r="T132" i="72"/>
  <c r="AB85" i="63"/>
  <c r="R77" i="67"/>
  <c r="T136" i="72"/>
  <c r="AW97" i="63"/>
  <c r="T75" i="72"/>
  <c r="T113" i="72"/>
  <c r="AW92" i="63"/>
  <c r="R69" i="67"/>
  <c r="O56" i="63"/>
  <c r="T104" i="72"/>
  <c r="O52" i="63"/>
  <c r="AB115" i="63"/>
  <c r="T127" i="72"/>
  <c r="AB143" i="63"/>
  <c r="L54" i="72"/>
  <c r="AB96" i="63"/>
  <c r="Q56" i="63"/>
  <c r="O53" i="63"/>
  <c r="T82" i="72"/>
  <c r="AB156" i="63"/>
  <c r="M50" i="72"/>
  <c r="AB84" i="63"/>
  <c r="T71" i="72"/>
  <c r="T124" i="72"/>
  <c r="P55" i="63"/>
  <c r="R75" i="67"/>
  <c r="T152" i="72"/>
  <c r="AW103" i="63"/>
  <c r="AW90" i="63"/>
  <c r="AB152" i="63"/>
  <c r="T120" i="72"/>
  <c r="T163" i="72"/>
  <c r="AB77" i="63"/>
  <c r="AB122" i="63"/>
  <c r="T95" i="72"/>
  <c r="R66" i="67"/>
  <c r="T68" i="72"/>
  <c r="T128" i="72"/>
  <c r="R83" i="67"/>
  <c r="AB124" i="63"/>
  <c r="T110" i="72"/>
  <c r="T96" i="72"/>
  <c r="AB110" i="63"/>
  <c r="AW98" i="63"/>
  <c r="T121" i="72"/>
  <c r="T66" i="72"/>
  <c r="AB147" i="63"/>
  <c r="T122" i="72"/>
  <c r="R82" i="67"/>
  <c r="Q50" i="63"/>
  <c r="T76" i="72"/>
  <c r="T89" i="72"/>
  <c r="AB163" i="63"/>
  <c r="R76" i="67"/>
  <c r="AT71" i="63"/>
  <c r="R79" i="67"/>
  <c r="P53" i="63"/>
  <c r="AB162" i="63"/>
  <c r="T135" i="72"/>
  <c r="T149" i="72"/>
  <c r="T72" i="72"/>
  <c r="AB100" i="63"/>
  <c r="AM91" i="63"/>
  <c r="AB94" i="63"/>
  <c r="AB121" i="63"/>
  <c r="N49" i="72"/>
  <c r="L52" i="72"/>
  <c r="AB114" i="63"/>
  <c r="T73" i="72"/>
  <c r="AB108" i="63"/>
  <c r="AW84" i="63"/>
  <c r="AB109" i="63"/>
  <c r="AB98" i="63"/>
  <c r="T143" i="72"/>
  <c r="R64" i="67"/>
  <c r="T106" i="72"/>
  <c r="T103" i="72"/>
  <c r="O55" i="63"/>
  <c r="AB131" i="63"/>
  <c r="T69" i="72"/>
  <c r="AT67" i="63"/>
  <c r="AB99" i="63"/>
  <c r="R68" i="67"/>
  <c r="AB153" i="63"/>
  <c r="T123" i="72"/>
  <c r="AT73" i="63"/>
  <c r="P52" i="63"/>
  <c r="T115" i="72"/>
  <c r="T158" i="72"/>
  <c r="T83" i="72"/>
  <c r="AM31" i="63"/>
  <c r="R70" i="67"/>
  <c r="AB82" i="63"/>
  <c r="AB118" i="63"/>
  <c r="AB92" i="63"/>
  <c r="T159" i="72"/>
  <c r="AT70" i="63"/>
  <c r="AW87" i="63"/>
  <c r="T153" i="72"/>
  <c r="AB134" i="63"/>
  <c r="L57" i="72"/>
  <c r="T119" i="72"/>
  <c r="AB145" i="63"/>
  <c r="N50" i="72"/>
  <c r="T92" i="72"/>
  <c r="AB123" i="63"/>
  <c r="R65" i="67"/>
  <c r="O49" i="63"/>
  <c r="Q49" i="63"/>
  <c r="AW102" i="63"/>
  <c r="AB106" i="63"/>
  <c r="T117" i="72"/>
  <c r="T65" i="72"/>
  <c r="T151" i="72"/>
  <c r="AB89" i="63"/>
  <c r="AB71" i="63"/>
  <c r="T99" i="72"/>
  <c r="AB160" i="63"/>
  <c r="P56" i="63"/>
  <c r="T144" i="72"/>
  <c r="AB144" i="63"/>
  <c r="Q57" i="63"/>
  <c r="AB111" i="63"/>
  <c r="AB157" i="63"/>
  <c r="M49" i="72"/>
  <c r="R73" i="67"/>
  <c r="T97" i="72"/>
  <c r="Q30" i="64"/>
  <c r="AB90" i="63"/>
  <c r="P51" i="63"/>
  <c r="AB140" i="63"/>
  <c r="AW91" i="63"/>
  <c r="T101" i="72"/>
  <c r="T145" i="72"/>
  <c r="AT64" i="63"/>
  <c r="AB64" i="63"/>
  <c r="T64" i="72"/>
  <c r="AB125" i="63"/>
  <c r="AB86" i="63"/>
  <c r="M52" i="72"/>
  <c r="T134" i="72"/>
  <c r="AB141" i="63"/>
  <c r="AB87" i="63"/>
  <c r="AB130" i="63"/>
  <c r="R72" i="67"/>
  <c r="P50" i="63"/>
  <c r="T137" i="72"/>
  <c r="T141" i="72"/>
  <c r="T70" i="72"/>
  <c r="AB103" i="63"/>
  <c r="AB105" i="63"/>
  <c r="AB104" i="63"/>
  <c r="AB126" i="63"/>
  <c r="T88" i="72"/>
  <c r="AB88" i="63"/>
  <c r="T140" i="72"/>
  <c r="AB120" i="63"/>
  <c r="T150" i="72"/>
  <c r="AB107" i="63"/>
  <c r="AB112" i="63"/>
  <c r="AB137" i="63"/>
  <c r="AB136" i="63"/>
  <c r="T108" i="72"/>
  <c r="AW94" i="63"/>
  <c r="O49" i="64" l="1"/>
  <c r="P65" i="60"/>
  <c r="T50" i="64"/>
  <c r="P46" i="60"/>
  <c r="AO91" i="63"/>
  <c r="AO31" i="63"/>
  <c r="P53" i="72"/>
  <c r="P51" i="72"/>
  <c r="P54" i="72"/>
  <c r="P57" i="72"/>
  <c r="S57" i="63"/>
  <c r="F58" i="67" s="1"/>
  <c r="H58" i="67" s="1"/>
  <c r="P49" i="72"/>
  <c r="P55" i="72"/>
  <c r="S55" i="63"/>
  <c r="P58" i="72"/>
  <c r="S58" i="63"/>
  <c r="F59" i="67" s="1"/>
  <c r="H59" i="67" s="1"/>
  <c r="P52" i="72"/>
  <c r="P56" i="72"/>
  <c r="S56" i="63"/>
  <c r="P50" i="72"/>
  <c r="AN51" i="63"/>
  <c r="AN52" i="63"/>
  <c r="AN56" i="63"/>
  <c r="J73" i="67"/>
  <c r="I73" i="67"/>
  <c r="K72" i="67"/>
  <c r="AN49" i="63"/>
  <c r="AO49" i="63" s="1"/>
  <c r="S53" i="63"/>
  <c r="S54" i="63"/>
  <c r="S50" i="63"/>
  <c r="S52" i="63"/>
  <c r="S49" i="63"/>
  <c r="S51" i="63"/>
  <c r="P45" i="60"/>
  <c r="F40" i="67"/>
  <c r="H40" i="67" s="1"/>
  <c r="F33" i="67"/>
  <c r="H33" i="67" s="1"/>
  <c r="AN54" i="63"/>
  <c r="F35" i="67"/>
  <c r="H35" i="67" s="1"/>
  <c r="F32" i="67"/>
  <c r="AN53" i="63"/>
  <c r="AN50" i="63"/>
  <c r="F36" i="67"/>
  <c r="H36" i="67" s="1"/>
  <c r="F34" i="67"/>
  <c r="H34" i="67" s="1"/>
  <c r="F38" i="67"/>
  <c r="H38" i="67" s="1"/>
  <c r="F39" i="67"/>
  <c r="H39" i="67" s="1"/>
  <c r="F37" i="67"/>
  <c r="H37" i="67" s="1"/>
  <c r="AM32" i="63"/>
  <c r="AW113" i="63"/>
  <c r="AC75" i="63"/>
  <c r="AC146" i="63"/>
  <c r="O130" i="67"/>
  <c r="AC106" i="63"/>
  <c r="AC159" i="63"/>
  <c r="O109" i="67"/>
  <c r="U164" i="72"/>
  <c r="AT79" i="63"/>
  <c r="AC70" i="63"/>
  <c r="AN84" i="64"/>
  <c r="O128" i="67"/>
  <c r="O134" i="67"/>
  <c r="O102" i="67"/>
  <c r="AC131" i="63"/>
  <c r="AN90" i="64"/>
  <c r="U155" i="72"/>
  <c r="AC105" i="63"/>
  <c r="O131" i="67"/>
  <c r="U79" i="72"/>
  <c r="U120" i="72"/>
  <c r="U84" i="72"/>
  <c r="O104" i="67"/>
  <c r="AC65" i="63"/>
  <c r="O122" i="67"/>
  <c r="U142" i="72"/>
  <c r="O118" i="67"/>
  <c r="AC140" i="63"/>
  <c r="AC66" i="63"/>
  <c r="AC120" i="63"/>
  <c r="AC134" i="63"/>
  <c r="AC137" i="63"/>
  <c r="AC161" i="63"/>
  <c r="O153" i="67"/>
  <c r="U140" i="72"/>
  <c r="O157" i="67"/>
  <c r="S50" i="64"/>
  <c r="AC77" i="63"/>
  <c r="AC130" i="63"/>
  <c r="U131" i="72"/>
  <c r="AC86" i="63"/>
  <c r="AC123" i="63"/>
  <c r="U156" i="72"/>
  <c r="U162" i="72"/>
  <c r="AC103" i="63"/>
  <c r="O95" i="67"/>
  <c r="U151" i="72"/>
  <c r="AM50" i="63"/>
  <c r="U81" i="72"/>
  <c r="AC89" i="63"/>
  <c r="U69" i="72"/>
  <c r="O117" i="67"/>
  <c r="AC162" i="63"/>
  <c r="U97" i="72"/>
  <c r="O154" i="67"/>
  <c r="U101" i="72"/>
  <c r="U113" i="72"/>
  <c r="AC69" i="63"/>
  <c r="U159" i="72"/>
  <c r="U127" i="72"/>
  <c r="AC100" i="63"/>
  <c r="U73" i="72"/>
  <c r="O139" i="67"/>
  <c r="O110" i="67"/>
  <c r="U119" i="72"/>
  <c r="U87" i="72"/>
  <c r="O140" i="67"/>
  <c r="U123" i="72"/>
  <c r="O150" i="67"/>
  <c r="AC99" i="63"/>
  <c r="O116" i="67"/>
  <c r="U66" i="72"/>
  <c r="O121" i="67"/>
  <c r="AC138" i="63"/>
  <c r="AN87" i="64"/>
  <c r="P163" i="67"/>
  <c r="AC94" i="63"/>
  <c r="U137" i="72"/>
  <c r="AC158" i="63"/>
  <c r="AN85" i="64"/>
  <c r="AC143" i="63"/>
  <c r="O145" i="67"/>
  <c r="AN93" i="64"/>
  <c r="U121" i="72"/>
  <c r="AC92" i="63"/>
  <c r="AC109" i="63"/>
  <c r="O119" i="67"/>
  <c r="P159" i="67"/>
  <c r="Q49" i="64"/>
  <c r="U134" i="72"/>
  <c r="O123" i="67"/>
  <c r="U91" i="72"/>
  <c r="AC121" i="63"/>
  <c r="U150" i="72"/>
  <c r="O101" i="67"/>
  <c r="U77" i="72"/>
  <c r="AC139" i="63"/>
  <c r="O94" i="67"/>
  <c r="AC114" i="63"/>
  <c r="U132" i="72"/>
  <c r="P160" i="67"/>
  <c r="O124" i="67"/>
  <c r="AC117" i="63"/>
  <c r="U135" i="72"/>
  <c r="U139" i="72"/>
  <c r="U152" i="72"/>
  <c r="U109" i="72"/>
  <c r="U88" i="72"/>
  <c r="AC150" i="63"/>
  <c r="AC96" i="63"/>
  <c r="U158" i="72"/>
  <c r="AT76" i="63"/>
  <c r="U144" i="72"/>
  <c r="AC95" i="63"/>
  <c r="U160" i="72"/>
  <c r="U68" i="72"/>
  <c r="AC149" i="63"/>
  <c r="U96" i="72"/>
  <c r="O126" i="67"/>
  <c r="U122" i="72"/>
  <c r="AC147" i="63"/>
  <c r="P157" i="67"/>
  <c r="AC76" i="63"/>
  <c r="AC160" i="63"/>
  <c r="U118" i="72"/>
  <c r="U130" i="72"/>
  <c r="O164" i="67"/>
  <c r="AC104" i="63"/>
  <c r="U107" i="72"/>
  <c r="AC145" i="63"/>
  <c r="AC84" i="63"/>
  <c r="U112" i="72"/>
  <c r="O107" i="67"/>
  <c r="P154" i="67"/>
  <c r="AC142" i="63"/>
  <c r="O136" i="67"/>
  <c r="O120" i="67"/>
  <c r="AC118" i="63"/>
  <c r="AY88" i="64"/>
  <c r="O135" i="67"/>
  <c r="AC115" i="63"/>
  <c r="O142" i="67"/>
  <c r="U65" i="72"/>
  <c r="U108" i="72"/>
  <c r="U115" i="72"/>
  <c r="O151" i="67"/>
  <c r="AY87" i="64"/>
  <c r="U148" i="72"/>
  <c r="AC122" i="63"/>
  <c r="U154" i="72"/>
  <c r="O141" i="67"/>
  <c r="AC125" i="63"/>
  <c r="U78" i="72"/>
  <c r="P162" i="67"/>
  <c r="AT81" i="63"/>
  <c r="O96" i="67"/>
  <c r="AW109" i="63"/>
  <c r="AN89" i="64"/>
  <c r="AY91" i="64"/>
  <c r="O132" i="67"/>
  <c r="U94" i="72"/>
  <c r="AC127" i="63"/>
  <c r="U64" i="72"/>
  <c r="AC135" i="63"/>
  <c r="AC101" i="63"/>
  <c r="AC116" i="63"/>
  <c r="U143" i="72"/>
  <c r="U157" i="72"/>
  <c r="AC155" i="63"/>
  <c r="O148" i="67"/>
  <c r="AY86" i="64"/>
  <c r="AC144" i="63"/>
  <c r="U103" i="72"/>
  <c r="U124" i="72"/>
  <c r="AC81" i="63"/>
  <c r="U146" i="72"/>
  <c r="AW107" i="63"/>
  <c r="AW110" i="63"/>
  <c r="AC87" i="63"/>
  <c r="O143" i="67"/>
  <c r="AC73" i="63"/>
  <c r="O125" i="67"/>
  <c r="O133" i="67"/>
  <c r="U133" i="72"/>
  <c r="R31" i="64"/>
  <c r="AC83" i="63"/>
  <c r="AT80" i="63"/>
  <c r="U111" i="72"/>
  <c r="AC113" i="63"/>
  <c r="O144" i="67"/>
  <c r="O146" i="67"/>
  <c r="U70" i="72"/>
  <c r="U90" i="72"/>
  <c r="U71" i="72"/>
  <c r="AC64" i="63"/>
  <c r="AW111" i="63"/>
  <c r="O108" i="67"/>
  <c r="AC102" i="63"/>
  <c r="O152" i="67"/>
  <c r="R49" i="64"/>
  <c r="AM92" i="63"/>
  <c r="AC153" i="63"/>
  <c r="AC133" i="63"/>
  <c r="AC68" i="63"/>
  <c r="O129" i="67"/>
  <c r="U153" i="72"/>
  <c r="S31" i="64"/>
  <c r="AC98" i="63"/>
  <c r="O147" i="67"/>
  <c r="O163" i="67"/>
  <c r="S30" i="64"/>
  <c r="U105" i="72"/>
  <c r="P161" i="67"/>
  <c r="AC91" i="63"/>
  <c r="U145" i="72"/>
  <c r="U93" i="72"/>
  <c r="AC141" i="63"/>
  <c r="P158" i="67"/>
  <c r="AC151" i="63"/>
  <c r="U136" i="72"/>
  <c r="AT78" i="63"/>
  <c r="O97" i="67"/>
  <c r="AN91" i="64"/>
  <c r="U128" i="72"/>
  <c r="AC79" i="63"/>
  <c r="AC111" i="63"/>
  <c r="U114" i="72"/>
  <c r="AY93" i="64"/>
  <c r="AX71" i="64"/>
  <c r="AX64" i="64"/>
  <c r="O161" i="67"/>
  <c r="O99" i="67"/>
  <c r="AC132" i="63"/>
  <c r="O112" i="67"/>
  <c r="U129" i="72"/>
  <c r="U161" i="72"/>
  <c r="AC108" i="63"/>
  <c r="AC67" i="63"/>
  <c r="AC112" i="63"/>
  <c r="AC136" i="63"/>
  <c r="AX85" i="64"/>
  <c r="O159" i="67"/>
  <c r="O115" i="67"/>
  <c r="AC97" i="63"/>
  <c r="P156" i="67"/>
  <c r="AN92" i="64"/>
  <c r="AY84" i="64"/>
  <c r="U149" i="72"/>
  <c r="AT83" i="63"/>
  <c r="U99" i="72"/>
  <c r="AX93" i="64"/>
  <c r="AC110" i="63"/>
  <c r="AC126" i="63"/>
  <c r="AC124" i="63"/>
  <c r="U163" i="72"/>
  <c r="AC154" i="63"/>
  <c r="U74" i="72"/>
  <c r="AC119" i="63"/>
  <c r="AY92" i="64"/>
  <c r="AC93" i="63"/>
  <c r="AC88" i="63"/>
  <c r="AX65" i="64"/>
  <c r="AC156" i="63"/>
  <c r="R30" i="64"/>
  <c r="U147" i="72"/>
  <c r="O149" i="67"/>
  <c r="AC129" i="63"/>
  <c r="U92" i="72"/>
  <c r="O156" i="67"/>
  <c r="U102" i="72"/>
  <c r="AT74" i="63"/>
  <c r="AC71" i="63"/>
  <c r="AC74" i="63"/>
  <c r="O160" i="67"/>
  <c r="U82" i="72"/>
  <c r="U138" i="72"/>
  <c r="O103" i="67"/>
  <c r="AY89" i="64"/>
  <c r="U106" i="72"/>
  <c r="AT82" i="63"/>
  <c r="AC78" i="63"/>
  <c r="U67" i="72"/>
  <c r="U117" i="72"/>
  <c r="AW108" i="63"/>
  <c r="AC163" i="63"/>
  <c r="U72" i="72"/>
  <c r="AW112" i="63"/>
  <c r="U86" i="72"/>
  <c r="U85" i="72"/>
  <c r="U100" i="72"/>
  <c r="AT77" i="63"/>
  <c r="O106" i="67"/>
  <c r="O105" i="67"/>
  <c r="AN86" i="64"/>
  <c r="AX90" i="64"/>
  <c r="O138" i="67"/>
  <c r="AC128" i="63"/>
  <c r="AC157" i="63"/>
  <c r="U76" i="72"/>
  <c r="U75" i="72"/>
  <c r="AC90" i="63"/>
  <c r="AW106" i="63"/>
  <c r="AC164" i="63"/>
  <c r="AT75" i="63"/>
  <c r="O127" i="67"/>
  <c r="AC107" i="63"/>
  <c r="AX92" i="64"/>
  <c r="AX82" i="64"/>
  <c r="AX66" i="64"/>
  <c r="AW104" i="63"/>
  <c r="U89" i="72"/>
  <c r="AC72" i="63"/>
  <c r="U116" i="72"/>
  <c r="O158" i="67"/>
  <c r="O114" i="67"/>
  <c r="U80" i="72"/>
  <c r="AC148" i="63"/>
  <c r="O113" i="67"/>
  <c r="AW105" i="63"/>
  <c r="O162" i="67"/>
  <c r="AC152" i="63"/>
  <c r="AN88" i="64"/>
  <c r="O111" i="67"/>
  <c r="O137" i="67"/>
  <c r="U98" i="72"/>
  <c r="AC80" i="63"/>
  <c r="P164" i="67"/>
  <c r="O98" i="67"/>
  <c r="U104" i="72"/>
  <c r="O155" i="67"/>
  <c r="O100" i="67"/>
  <c r="U125" i="72"/>
  <c r="U141" i="72"/>
  <c r="P155" i="67"/>
  <c r="U95" i="72"/>
  <c r="AC85" i="63"/>
  <c r="U83" i="72"/>
  <c r="AX87" i="64"/>
  <c r="U110" i="72"/>
  <c r="AC82" i="63"/>
  <c r="U126" i="72"/>
  <c r="AY85" i="64"/>
  <c r="AY90" i="64"/>
  <c r="AX86" i="64"/>
  <c r="AX88" i="64"/>
  <c r="AX84" i="64"/>
  <c r="AX91" i="64"/>
  <c r="AX89" i="64"/>
  <c r="AX80" i="64"/>
  <c r="AX68" i="64"/>
  <c r="AX81" i="64"/>
  <c r="AX75" i="64"/>
  <c r="AX73" i="64"/>
  <c r="AX70" i="64"/>
  <c r="AX76" i="64"/>
  <c r="AX69" i="64"/>
  <c r="AX72" i="64"/>
  <c r="AX74" i="64"/>
  <c r="AX78" i="64"/>
  <c r="AX83" i="64"/>
  <c r="AX77" i="64"/>
  <c r="AX79" i="64"/>
  <c r="AX67" i="64"/>
  <c r="T31" i="64" l="1"/>
  <c r="T30" i="64"/>
  <c r="AO92" i="63"/>
  <c r="G51" i="67"/>
  <c r="G32" i="67"/>
  <c r="H32" i="67" s="1"/>
  <c r="AO32" i="63"/>
  <c r="P64" i="60"/>
  <c r="T49" i="64"/>
  <c r="F56" i="67"/>
  <c r="H56" i="67" s="1"/>
  <c r="F57" i="67"/>
  <c r="H57" i="67" s="1"/>
  <c r="G31" i="67"/>
  <c r="H31" i="67" s="1"/>
  <c r="J74" i="67"/>
  <c r="I74" i="67"/>
  <c r="K73" i="67"/>
  <c r="AO50" i="63"/>
  <c r="F52" i="67"/>
  <c r="H52" i="67" s="1"/>
  <c r="F51" i="67"/>
  <c r="F55" i="67"/>
  <c r="H55" i="67" s="1"/>
  <c r="F50" i="67"/>
  <c r="F53" i="67"/>
  <c r="H53" i="67" s="1"/>
  <c r="F54" i="67"/>
  <c r="H54" i="67" s="1"/>
  <c r="AM73" i="64"/>
  <c r="O69" i="67"/>
  <c r="P139" i="67"/>
  <c r="AN83" i="64"/>
  <c r="AM87" i="64"/>
  <c r="AM86" i="64"/>
  <c r="O72" i="67"/>
  <c r="O68" i="67"/>
  <c r="P145" i="67"/>
  <c r="O82" i="67"/>
  <c r="AN67" i="64"/>
  <c r="AM79" i="64"/>
  <c r="P129" i="67"/>
  <c r="AN70" i="64"/>
  <c r="P132" i="67"/>
  <c r="P95" i="67"/>
  <c r="P118" i="67"/>
  <c r="AM82" i="64"/>
  <c r="AM67" i="64"/>
  <c r="AW120" i="63"/>
  <c r="O90" i="67"/>
  <c r="P125" i="67"/>
  <c r="AW115" i="63"/>
  <c r="AN75" i="64"/>
  <c r="P141" i="67"/>
  <c r="AM93" i="64"/>
  <c r="AM92" i="64"/>
  <c r="AW123" i="63"/>
  <c r="P121" i="67"/>
  <c r="P115" i="67"/>
  <c r="P107" i="67"/>
  <c r="AM76" i="64"/>
  <c r="P117" i="67"/>
  <c r="P126" i="67"/>
  <c r="O73" i="67"/>
  <c r="P98" i="67"/>
  <c r="P146" i="67"/>
  <c r="AM69" i="64"/>
  <c r="AM65" i="64"/>
  <c r="O78" i="67"/>
  <c r="P140" i="67"/>
  <c r="AT85" i="63"/>
  <c r="P142" i="67"/>
  <c r="AN65" i="64"/>
  <c r="AN78" i="64"/>
  <c r="AM91" i="64"/>
  <c r="P131" i="67"/>
  <c r="P135" i="67"/>
  <c r="S49" i="64"/>
  <c r="AM75" i="64"/>
  <c r="P106" i="67"/>
  <c r="O70" i="67"/>
  <c r="P100" i="67"/>
  <c r="P153" i="67"/>
  <c r="AY64" i="64"/>
  <c r="AY72" i="64"/>
  <c r="O71" i="67"/>
  <c r="AY76" i="64"/>
  <c r="AM74" i="64"/>
  <c r="O83" i="67"/>
  <c r="AM72" i="64"/>
  <c r="O89" i="67"/>
  <c r="O84" i="67"/>
  <c r="P112" i="67"/>
  <c r="P104" i="67"/>
  <c r="AT89" i="63"/>
  <c r="AM85" i="64"/>
  <c r="P111" i="67"/>
  <c r="AT84" i="63"/>
  <c r="AN69" i="64"/>
  <c r="P134" i="67"/>
  <c r="AY81" i="64"/>
  <c r="AT90" i="63"/>
  <c r="AM77" i="64"/>
  <c r="P120" i="67"/>
  <c r="AY65" i="64"/>
  <c r="P109" i="67"/>
  <c r="P124" i="67"/>
  <c r="AN77" i="64"/>
  <c r="AY68" i="64"/>
  <c r="P116" i="67"/>
  <c r="AN66" i="64"/>
  <c r="P96" i="67"/>
  <c r="AM89" i="64"/>
  <c r="O66" i="67"/>
  <c r="AM51" i="63"/>
  <c r="AN72" i="64"/>
  <c r="AW121" i="63"/>
  <c r="AM71" i="64"/>
  <c r="P147" i="67"/>
  <c r="O87" i="67"/>
  <c r="O74" i="67"/>
  <c r="AY82" i="64"/>
  <c r="AT92" i="63"/>
  <c r="AM80" i="64"/>
  <c r="AN71" i="64"/>
  <c r="P130" i="67"/>
  <c r="O88" i="67"/>
  <c r="AW116" i="63"/>
  <c r="AM78" i="64"/>
  <c r="P123" i="67"/>
  <c r="P144" i="67"/>
  <c r="AW114" i="63"/>
  <c r="O65" i="67"/>
  <c r="AW119" i="63"/>
  <c r="O93" i="67"/>
  <c r="AM66" i="64"/>
  <c r="O86" i="67"/>
  <c r="AY78" i="64"/>
  <c r="O64" i="67"/>
  <c r="AY80" i="64"/>
  <c r="AM64" i="64"/>
  <c r="AW122" i="63"/>
  <c r="P152" i="67"/>
  <c r="AN79" i="64"/>
  <c r="AY83" i="64"/>
  <c r="O91" i="67"/>
  <c r="P149" i="67"/>
  <c r="P127" i="67"/>
  <c r="P138" i="67"/>
  <c r="O85" i="67"/>
  <c r="P113" i="67"/>
  <c r="P128" i="67"/>
  <c r="AM93" i="63"/>
  <c r="AM94" i="63" s="1"/>
  <c r="O76" i="67"/>
  <c r="AT93" i="63"/>
  <c r="O77" i="67"/>
  <c r="AM83" i="64"/>
  <c r="AN80" i="64"/>
  <c r="AN76" i="64"/>
  <c r="AM88" i="64"/>
  <c r="P150" i="67"/>
  <c r="AM81" i="64"/>
  <c r="AN81" i="64"/>
  <c r="P114" i="67"/>
  <c r="P105" i="67"/>
  <c r="P137" i="67"/>
  <c r="P119" i="67"/>
  <c r="AY70" i="64"/>
  <c r="AY71" i="64"/>
  <c r="O80" i="67"/>
  <c r="P122" i="67"/>
  <c r="AN74" i="64"/>
  <c r="P103" i="67"/>
  <c r="P97" i="67"/>
  <c r="P133" i="67"/>
  <c r="P108" i="67"/>
  <c r="AY77" i="64"/>
  <c r="P99" i="67"/>
  <c r="P94" i="67"/>
  <c r="AY66" i="64"/>
  <c r="P101" i="67"/>
  <c r="AM84" i="64"/>
  <c r="AM68" i="64"/>
  <c r="O92" i="67"/>
  <c r="O81" i="67"/>
  <c r="P102" i="67"/>
  <c r="AW117" i="63"/>
  <c r="P136" i="67"/>
  <c r="AT88" i="63"/>
  <c r="AY74" i="64"/>
  <c r="AT91" i="63"/>
  <c r="P148" i="67"/>
  <c r="AM33" i="63"/>
  <c r="AM34" i="63" s="1"/>
  <c r="O79" i="67"/>
  <c r="AM70" i="64"/>
  <c r="O75" i="67"/>
  <c r="P151" i="67"/>
  <c r="AN82" i="64"/>
  <c r="AY67" i="64"/>
  <c r="P143" i="67"/>
  <c r="AN73" i="64"/>
  <c r="AT86" i="63"/>
  <c r="O67" i="67"/>
  <c r="AM90" i="64"/>
  <c r="AW118" i="63"/>
  <c r="AN64" i="64"/>
  <c r="AT87" i="63"/>
  <c r="P110" i="67"/>
  <c r="AN68" i="64"/>
  <c r="AY75" i="64"/>
  <c r="AY79" i="64"/>
  <c r="AY69" i="64"/>
  <c r="AY73" i="64"/>
  <c r="AO93" i="63" l="1"/>
  <c r="AO34" i="63"/>
  <c r="AO33" i="63"/>
  <c r="H51" i="67"/>
  <c r="G50" i="67"/>
  <c r="H50" i="67" s="1"/>
  <c r="J75" i="67"/>
  <c r="AO94" i="63"/>
  <c r="AO51" i="63"/>
  <c r="I75" i="67"/>
  <c r="K74" i="67"/>
  <c r="J87" i="67"/>
  <c r="I87" i="67"/>
  <c r="P70" i="67"/>
  <c r="AT104" i="63"/>
  <c r="P85" i="67"/>
  <c r="AW143" i="63"/>
  <c r="P86" i="67"/>
  <c r="AT107" i="63"/>
  <c r="AW128" i="63"/>
  <c r="AT108" i="63"/>
  <c r="AT99" i="63"/>
  <c r="AW138" i="63"/>
  <c r="AW137" i="63"/>
  <c r="AW140" i="63"/>
  <c r="AW132" i="63"/>
  <c r="P89" i="67"/>
  <c r="AT94" i="63"/>
  <c r="P92" i="67"/>
  <c r="P82" i="67"/>
  <c r="P72" i="67"/>
  <c r="P73" i="67"/>
  <c r="P68" i="67"/>
  <c r="AT111" i="63"/>
  <c r="P84" i="67"/>
  <c r="P87" i="67"/>
  <c r="AT96" i="63"/>
  <c r="AW125" i="63"/>
  <c r="P75" i="67"/>
  <c r="AT98" i="63"/>
  <c r="P93" i="67"/>
  <c r="P91" i="67"/>
  <c r="AT102" i="63"/>
  <c r="P90" i="67"/>
  <c r="P80" i="67"/>
  <c r="AM35" i="63"/>
  <c r="AM36" i="63" s="1"/>
  <c r="P74" i="67"/>
  <c r="AT100" i="63"/>
  <c r="AT97" i="63"/>
  <c r="AT112" i="63"/>
  <c r="P79" i="67"/>
  <c r="P78" i="67"/>
  <c r="AT106" i="63"/>
  <c r="AW133" i="63"/>
  <c r="AT113" i="63"/>
  <c r="AT110" i="63"/>
  <c r="AW131" i="63"/>
  <c r="AT103" i="63"/>
  <c r="AW141" i="63"/>
  <c r="AW130" i="63"/>
  <c r="P65" i="67"/>
  <c r="P81" i="67"/>
  <c r="AW126" i="63"/>
  <c r="AT105" i="63"/>
  <c r="AM95" i="63"/>
  <c r="AW139" i="63"/>
  <c r="AW134" i="63"/>
  <c r="P67" i="67"/>
  <c r="P71" i="67"/>
  <c r="AW127" i="63"/>
  <c r="AW136" i="63"/>
  <c r="AT101" i="63"/>
  <c r="AW135" i="63"/>
  <c r="AT95" i="63"/>
  <c r="P88" i="67"/>
  <c r="P66" i="67"/>
  <c r="P64" i="67"/>
  <c r="AT109" i="63"/>
  <c r="P76" i="67"/>
  <c r="AW129" i="63"/>
  <c r="AW124" i="63"/>
  <c r="AW142" i="63"/>
  <c r="P83" i="67"/>
  <c r="AM52" i="63"/>
  <c r="P77" i="67"/>
  <c r="P69" i="67"/>
  <c r="AO35" i="63" l="1"/>
  <c r="AO95" i="63"/>
  <c r="J76" i="67"/>
  <c r="J88" i="67"/>
  <c r="AO52" i="63"/>
  <c r="AO36" i="63"/>
  <c r="I76" i="67"/>
  <c r="K75" i="67"/>
  <c r="I88" i="67"/>
  <c r="K87" i="67"/>
  <c r="AT116" i="63"/>
  <c r="AW146" i="63"/>
  <c r="AW149" i="63"/>
  <c r="AW147" i="63"/>
  <c r="AT130" i="63"/>
  <c r="AT117" i="63"/>
  <c r="AM96" i="63"/>
  <c r="AT123" i="63"/>
  <c r="AT131" i="63"/>
  <c r="AW148" i="63"/>
  <c r="AT129" i="63"/>
  <c r="AT115" i="63"/>
  <c r="AT132" i="63"/>
  <c r="AT125" i="63"/>
  <c r="AW144" i="63"/>
  <c r="AT133" i="63"/>
  <c r="AT118" i="63"/>
  <c r="AT124" i="63"/>
  <c r="AT126" i="63"/>
  <c r="AT114" i="63"/>
  <c r="AT121" i="63"/>
  <c r="AM53" i="63"/>
  <c r="AT122" i="63"/>
  <c r="AW151" i="63"/>
  <c r="AW145" i="63"/>
  <c r="AT127" i="63"/>
  <c r="AT120" i="63"/>
  <c r="AT128" i="63"/>
  <c r="AM37" i="63"/>
  <c r="AT119" i="63"/>
  <c r="AW153" i="63"/>
  <c r="AW152" i="63"/>
  <c r="AW150" i="63"/>
  <c r="AO96" i="63" l="1"/>
  <c r="AO53" i="63"/>
  <c r="J89" i="67"/>
  <c r="J90" i="67" s="1"/>
  <c r="J77" i="67"/>
  <c r="AO37" i="63"/>
  <c r="I77" i="67"/>
  <c r="K76" i="67"/>
  <c r="I89" i="67"/>
  <c r="K88" i="67"/>
  <c r="AW161" i="63"/>
  <c r="AT143" i="63"/>
  <c r="AT141" i="63"/>
  <c r="AT139" i="63"/>
  <c r="AW154" i="63"/>
  <c r="AW164" i="63"/>
  <c r="AT138" i="63"/>
  <c r="AW158" i="63"/>
  <c r="AW159" i="63"/>
  <c r="AT142" i="63"/>
  <c r="AT134" i="63"/>
  <c r="AW162" i="63"/>
  <c r="AT135" i="63"/>
  <c r="AT137" i="63"/>
  <c r="AW157" i="63"/>
  <c r="AM38" i="63"/>
  <c r="AW163" i="63"/>
  <c r="AW155" i="63"/>
  <c r="AT140" i="63"/>
  <c r="AW156" i="63"/>
  <c r="AW160" i="63"/>
  <c r="AM54" i="63"/>
  <c r="AT136" i="63"/>
  <c r="AM55" i="63"/>
  <c r="AO54" i="63" l="1"/>
  <c r="J91" i="67"/>
  <c r="J78" i="67"/>
  <c r="AO55" i="63"/>
  <c r="AO38" i="63"/>
  <c r="J30" i="67"/>
  <c r="I30" i="67"/>
  <c r="I78" i="67"/>
  <c r="K77" i="67"/>
  <c r="I90" i="67"/>
  <c r="K89" i="67"/>
  <c r="AT146" i="63"/>
  <c r="AT144" i="63"/>
  <c r="AM39" i="63"/>
  <c r="AT150" i="63"/>
  <c r="AT147" i="63"/>
  <c r="AT149" i="63"/>
  <c r="AT148" i="63"/>
  <c r="AT152" i="63"/>
  <c r="AT153" i="63"/>
  <c r="AT151" i="63"/>
  <c r="AM56" i="63"/>
  <c r="AT145" i="63"/>
  <c r="J92" i="67" l="1"/>
  <c r="J31" i="67"/>
  <c r="K78" i="67"/>
  <c r="AO39" i="63"/>
  <c r="AO56" i="63"/>
  <c r="J49" i="67"/>
  <c r="I49" i="67"/>
  <c r="I91" i="67"/>
  <c r="K90" i="67"/>
  <c r="I31" i="67"/>
  <c r="K30" i="67"/>
  <c r="AT154" i="63"/>
  <c r="AT164" i="63"/>
  <c r="AT160" i="63"/>
  <c r="AT159" i="63"/>
  <c r="AT161" i="63"/>
  <c r="AT163" i="63"/>
  <c r="AT162" i="63"/>
  <c r="AT156" i="63"/>
  <c r="AT155" i="63"/>
  <c r="AM57" i="63"/>
  <c r="AT158" i="63"/>
  <c r="AT157" i="63"/>
  <c r="J50" i="67" l="1"/>
  <c r="J32" i="67"/>
  <c r="J93" i="67"/>
  <c r="AO57" i="63"/>
  <c r="I50" i="67"/>
  <c r="K49" i="67"/>
  <c r="I92" i="67"/>
  <c r="K91" i="67"/>
  <c r="I32" i="67"/>
  <c r="K31" i="67"/>
  <c r="AM58" i="63"/>
  <c r="AO58" i="63" l="1"/>
  <c r="J51" i="67"/>
  <c r="J33" i="67"/>
  <c r="J94" i="67"/>
  <c r="I51" i="67"/>
  <c r="K50" i="67"/>
  <c r="I93" i="67"/>
  <c r="K92" i="67"/>
  <c r="I33" i="67"/>
  <c r="K32" i="67"/>
  <c r="J95" i="67" l="1"/>
  <c r="J34" i="67"/>
  <c r="J52" i="67"/>
  <c r="I94" i="67"/>
  <c r="K93" i="67"/>
  <c r="I34" i="67"/>
  <c r="K33" i="67"/>
  <c r="I52" i="67"/>
  <c r="K51" i="67"/>
  <c r="J53" i="67" l="1"/>
  <c r="J35" i="67"/>
  <c r="J96" i="67"/>
  <c r="I95" i="67"/>
  <c r="K94" i="67"/>
  <c r="I35" i="67"/>
  <c r="K34" i="67"/>
  <c r="I53" i="67"/>
  <c r="K52" i="67"/>
  <c r="J36" i="67" l="1"/>
  <c r="J54" i="67"/>
  <c r="J97" i="67"/>
  <c r="I54" i="67"/>
  <c r="K53" i="67"/>
  <c r="I36" i="67"/>
  <c r="K35" i="67"/>
  <c r="I96" i="67"/>
  <c r="K95" i="67"/>
  <c r="J55" i="67" l="1"/>
  <c r="J37" i="67"/>
  <c r="I37" i="67"/>
  <c r="K36" i="67"/>
  <c r="I55" i="67"/>
  <c r="K54" i="67"/>
  <c r="I97" i="67"/>
  <c r="K96" i="67"/>
  <c r="J38" i="67" l="1"/>
  <c r="K97" i="67"/>
  <c r="J56" i="67"/>
  <c r="I38" i="67"/>
  <c r="K37" i="67"/>
  <c r="I56" i="67"/>
  <c r="K55" i="67"/>
  <c r="J39" i="67" l="1"/>
  <c r="J57" i="67"/>
  <c r="I39" i="67"/>
  <c r="K38" i="67"/>
  <c r="I57" i="67"/>
  <c r="K56" i="67"/>
  <c r="J58" i="67" l="1"/>
  <c r="J40" i="67"/>
  <c r="I58" i="67"/>
  <c r="K57" i="67"/>
  <c r="I40" i="67"/>
  <c r="K39" i="67"/>
  <c r="J59" i="67" l="1"/>
  <c r="K40" i="67"/>
  <c r="I59" i="67"/>
  <c r="K58" i="67"/>
  <c r="K59" i="6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</authors>
  <commentList>
    <comment ref="AL2" authorId="0" shapeId="0" xr:uid="{222BEC15-DEDA-44E6-9D47-35E6CB312F73}">
      <text>
        <r>
          <rPr>
            <b/>
            <sz val="9"/>
            <color indexed="81"/>
            <rFont val="宋体"/>
            <family val="3"/>
            <charset val="134"/>
          </rPr>
          <t>时间类都可以参照城建时间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admin</author>
  </authors>
  <commentList>
    <comment ref="C18" authorId="0" shapeId="0" xr:uid="{22C07434-9E1F-4ABC-87FC-5F4A934619F0}">
      <text>
        <r>
          <rPr>
            <b/>
            <sz val="9"/>
            <color indexed="81"/>
            <rFont val="宋体"/>
            <family val="3"/>
            <charset val="134"/>
          </rPr>
          <t>多类,大地图单刷指定部件战斗</t>
        </r>
        <r>
          <rPr>
            <sz val="9"/>
            <color indexed="81"/>
            <rFont val="宋体"/>
            <family val="3"/>
            <charset val="134"/>
          </rPr>
          <t xml:space="preserve">
国战中，装备产出为指定套装的随机部件</t>
        </r>
      </text>
    </comment>
    <comment ref="I18" authorId="1" shapeId="0" xr:uid="{711FF89A-D76F-4DA8-9D12-25F61965B5F6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I19" authorId="1" shapeId="0" xr:uid="{FF052332-12BE-43FA-838D-8952FBA0A635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D41" authorId="1" shapeId="0" xr:uid="{536C60AF-CA8D-41C2-B767-46B58EED785F}">
      <text>
        <r>
          <rPr>
            <b/>
            <sz val="9"/>
            <color indexed="81"/>
            <rFont val="宋体"/>
            <family val="3"/>
            <charset val="134"/>
          </rPr>
          <t>普通野怪产出，故不对应盗宝贼数据</t>
        </r>
      </text>
    </comment>
    <comment ref="H57" authorId="1" shapeId="0" xr:uid="{4C6516A1-D0EB-4250-8BA7-B85FE8BEA07A}">
      <text>
        <r>
          <rPr>
            <b/>
            <sz val="9"/>
            <color indexed="81"/>
            <rFont val="宋体"/>
            <family val="3"/>
            <charset val="134"/>
          </rPr>
          <t>活动投放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26" authorId="0" shapeId="0" xr:uid="{CCE06612-8784-4434-AECB-AB9569E41AA8}">
      <text>
        <r>
          <rPr>
            <b/>
            <sz val="9"/>
            <color indexed="81"/>
            <rFont val="宋体"/>
            <family val="3"/>
            <charset val="134"/>
          </rPr>
          <t>投橙色阵法时所有阵法溢价投放，使用指定价值</t>
        </r>
      </text>
    </comment>
    <comment ref="C37" authorId="0" shapeId="0" xr:uid="{D749803C-8FF2-4C72-975E-27A6557F8F7B}">
      <text>
        <r>
          <rPr>
            <b/>
            <sz val="9"/>
            <color indexed="81"/>
            <rFont val="宋体"/>
            <family val="3"/>
            <charset val="134"/>
          </rPr>
          <t>阵旗经验和阵旗洗练道具只有一半以抽奖的形式出现，另外一半以其他付费形式出现</t>
        </r>
      </text>
    </comment>
  </commentList>
</comments>
</file>

<file path=xl/sharedStrings.xml><?xml version="1.0" encoding="utf-8"?>
<sst xmlns="http://schemas.openxmlformats.org/spreadsheetml/2006/main" count="1035" uniqueCount="347">
  <si>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</si>
  <si>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</si>
  <si>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</si>
  <si>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</si>
  <si>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属性设定</t>
    <phoneticPr fontId="1" type="noConversion"/>
  </si>
  <si>
    <t>生命</t>
    <phoneticPr fontId="1" type="noConversion"/>
  </si>
  <si>
    <t>攻击</t>
    <phoneticPr fontId="1" type="noConversion"/>
  </si>
  <si>
    <t>防御</t>
    <phoneticPr fontId="1" type="noConversion"/>
  </si>
  <si>
    <t>装备培养</t>
    <phoneticPr fontId="1" type="noConversion"/>
  </si>
  <si>
    <t>升级</t>
    <phoneticPr fontId="1" type="noConversion"/>
  </si>
  <si>
    <t>升星</t>
    <phoneticPr fontId="1" type="noConversion"/>
  </si>
  <si>
    <t>装备品质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</si>
  <si>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</si>
  <si>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</si>
  <si>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</si>
  <si>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</si>
  <si>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</si>
  <si>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品质</t>
    <phoneticPr fontId="1" type="noConversion"/>
  </si>
  <si>
    <t>属性设定</t>
    <phoneticPr fontId="1" type="noConversion"/>
  </si>
  <si>
    <t>初始属性</t>
    <phoneticPr fontId="1" type="noConversion"/>
  </si>
  <si>
    <t>成长属性</t>
    <phoneticPr fontId="1" type="noConversion"/>
  </si>
  <si>
    <t>定阶段时间</t>
    <phoneticPr fontId="1" type="noConversion"/>
  </si>
  <si>
    <t>阶段获得的属性</t>
    <phoneticPr fontId="1" type="noConversion"/>
  </si>
  <si>
    <t>绿</t>
    <phoneticPr fontId="1" type="noConversion"/>
  </si>
  <si>
    <t>蓝</t>
    <phoneticPr fontId="1" type="noConversion"/>
  </si>
  <si>
    <t>橙</t>
    <phoneticPr fontId="1" type="noConversion"/>
  </si>
  <si>
    <t>1星蓝</t>
    <phoneticPr fontId="1" type="noConversion"/>
  </si>
  <si>
    <t>1星紫</t>
    <phoneticPr fontId="1" type="noConversion"/>
  </si>
  <si>
    <t>2星紫</t>
    <phoneticPr fontId="1" type="noConversion"/>
  </si>
  <si>
    <t>1星橙</t>
    <phoneticPr fontId="1" type="noConversion"/>
  </si>
  <si>
    <t>2星橙</t>
    <phoneticPr fontId="1" type="noConversion"/>
  </si>
  <si>
    <t>3星橙</t>
    <phoneticPr fontId="1" type="noConversion"/>
  </si>
  <si>
    <t>红</t>
    <phoneticPr fontId="1" type="noConversion"/>
  </si>
  <si>
    <t>1星红</t>
    <phoneticPr fontId="1" type="noConversion"/>
  </si>
  <si>
    <t>2星红</t>
    <phoneticPr fontId="1" type="noConversion"/>
  </si>
  <si>
    <t>3星红</t>
    <phoneticPr fontId="1" type="noConversion"/>
  </si>
  <si>
    <t>4星红</t>
    <phoneticPr fontId="1" type="noConversion"/>
  </si>
  <si>
    <t>5星红</t>
    <phoneticPr fontId="1" type="noConversion"/>
  </si>
  <si>
    <t>3绿</t>
    <phoneticPr fontId="1" type="noConversion"/>
  </si>
  <si>
    <t>3蓝</t>
    <phoneticPr fontId="1" type="noConversion"/>
  </si>
  <si>
    <t>1蓝</t>
    <phoneticPr fontId="1" type="noConversion"/>
  </si>
  <si>
    <t>首套</t>
    <phoneticPr fontId="1" type="noConversion"/>
  </si>
  <si>
    <t>绿</t>
    <phoneticPr fontId="1" type="noConversion"/>
  </si>
  <si>
    <t>蓝</t>
    <phoneticPr fontId="1" type="noConversion"/>
  </si>
  <si>
    <t>5星红</t>
    <phoneticPr fontId="1" type="noConversion"/>
  </si>
  <si>
    <t>绿</t>
    <phoneticPr fontId="1" type="noConversion"/>
  </si>
  <si>
    <t>品质</t>
    <phoneticPr fontId="1" type="noConversion"/>
  </si>
  <si>
    <t>基础值</t>
    <phoneticPr fontId="1" type="noConversion"/>
  </si>
  <si>
    <t>成长值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</si>
  <si>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</si>
  <si>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</si>
  <si>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</si>
  <si>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</si>
  <si>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升星附加值</t>
    <phoneticPr fontId="1" type="noConversion"/>
  </si>
  <si>
    <t>升星次数</t>
    <phoneticPr fontId="1" type="noConversion"/>
  </si>
  <si>
    <t>等级上限</t>
    <phoneticPr fontId="1" type="noConversion"/>
  </si>
  <si>
    <t>初始等级</t>
    <phoneticPr fontId="1" type="noConversion"/>
  </si>
  <si>
    <t>装备属性=基础值+成长值*等级+固定值</t>
    <phoneticPr fontId="1" type="noConversion"/>
  </si>
  <si>
    <t>状态</t>
    <phoneticPr fontId="1" type="noConversion"/>
  </si>
  <si>
    <t>阶段属性值</t>
    <phoneticPr fontId="1" type="noConversion"/>
  </si>
  <si>
    <t>装备等级</t>
    <phoneticPr fontId="1" type="noConversion"/>
  </si>
  <si>
    <t>玩家等级</t>
    <phoneticPr fontId="1" type="noConversion"/>
  </si>
  <si>
    <t>1件紫</t>
    <phoneticPr fontId="1" type="noConversion"/>
  </si>
  <si>
    <t>1个人紫</t>
    <phoneticPr fontId="1" type="noConversion"/>
  </si>
  <si>
    <t>3个人紫</t>
    <phoneticPr fontId="1" type="noConversion"/>
  </si>
  <si>
    <t>1件橙</t>
    <phoneticPr fontId="1" type="noConversion"/>
  </si>
  <si>
    <t>1个人橙</t>
    <phoneticPr fontId="1" type="noConversion"/>
  </si>
  <si>
    <t>3个人橙</t>
    <phoneticPr fontId="1" type="noConversion"/>
  </si>
  <si>
    <t>3个人红</t>
    <phoneticPr fontId="1" type="noConversion"/>
  </si>
  <si>
    <t>1件红</t>
    <phoneticPr fontId="1" type="noConversion"/>
  </si>
  <si>
    <t>1个人红</t>
    <phoneticPr fontId="1" type="noConversion"/>
  </si>
  <si>
    <t>6个人红</t>
    <phoneticPr fontId="1" type="noConversion"/>
  </si>
  <si>
    <t>6个人红1</t>
    <phoneticPr fontId="1" type="noConversion"/>
  </si>
  <si>
    <t>6个人红3</t>
    <phoneticPr fontId="1" type="noConversion"/>
  </si>
  <si>
    <t>6个人红5</t>
    <phoneticPr fontId="1" type="noConversion"/>
  </si>
  <si>
    <t>1紫17蓝</t>
    <phoneticPr fontId="1" type="noConversion"/>
  </si>
  <si>
    <t>3紫15蓝</t>
    <phoneticPr fontId="1" type="noConversion"/>
  </si>
  <si>
    <t>9紫9蓝1</t>
    <phoneticPr fontId="1" type="noConversion"/>
  </si>
  <si>
    <t>1橙17紫</t>
    <phoneticPr fontId="1" type="noConversion"/>
  </si>
  <si>
    <t>3橙15紫1</t>
    <phoneticPr fontId="1" type="noConversion"/>
  </si>
  <si>
    <t>9橙9紫2</t>
    <phoneticPr fontId="1" type="noConversion"/>
  </si>
  <si>
    <t>3红15橙3</t>
    <phoneticPr fontId="1" type="noConversion"/>
  </si>
  <si>
    <t>1红17橙2</t>
    <phoneticPr fontId="1" type="noConversion"/>
  </si>
  <si>
    <t>9红9橙3</t>
    <phoneticPr fontId="1" type="noConversion"/>
  </si>
  <si>
    <t>18红</t>
    <phoneticPr fontId="1" type="noConversion"/>
  </si>
  <si>
    <t>18红1</t>
    <phoneticPr fontId="1" type="noConversion"/>
  </si>
  <si>
    <t>18红3</t>
    <phoneticPr fontId="1" type="noConversion"/>
  </si>
  <si>
    <t>18红5</t>
    <phoneticPr fontId="1" type="noConversion"/>
  </si>
  <si>
    <t>1星蓝</t>
    <phoneticPr fontId="1" type="noConversion"/>
  </si>
  <si>
    <t>1星紫</t>
    <phoneticPr fontId="1" type="noConversion"/>
  </si>
  <si>
    <t>2星紫</t>
    <phoneticPr fontId="1" type="noConversion"/>
  </si>
  <si>
    <t>2星橙</t>
    <phoneticPr fontId="1" type="noConversion"/>
  </si>
  <si>
    <t>3星橙</t>
    <phoneticPr fontId="1" type="noConversion"/>
  </si>
  <si>
    <t>1星红</t>
    <phoneticPr fontId="1" type="noConversion"/>
  </si>
  <si>
    <t>3星红</t>
    <phoneticPr fontId="1" type="noConversion"/>
  </si>
  <si>
    <t>5星红</t>
    <phoneticPr fontId="1" type="noConversion"/>
  </si>
  <si>
    <t>3蓝15绿</t>
    <phoneticPr fontId="1" type="noConversion"/>
  </si>
  <si>
    <t>1蓝17绿</t>
    <phoneticPr fontId="1" type="noConversion"/>
  </si>
  <si>
    <t>等级</t>
    <phoneticPr fontId="1" type="noConversion"/>
  </si>
  <si>
    <t>1绿</t>
    <phoneticPr fontId="1" type="noConversion"/>
  </si>
  <si>
    <t>3绿</t>
    <phoneticPr fontId="1" type="noConversion"/>
  </si>
  <si>
    <t>非r具体状态</t>
    <phoneticPr fontId="1" type="noConversion"/>
  </si>
  <si>
    <t>非r属性</t>
    <phoneticPr fontId="1" type="noConversion"/>
  </si>
  <si>
    <t>非r状态</t>
    <phoneticPr fontId="1" type="noConversion"/>
  </si>
  <si>
    <t>超r状态</t>
    <phoneticPr fontId="1" type="noConversion"/>
  </si>
  <si>
    <t>1星蓝</t>
    <phoneticPr fontId="1" type="noConversion"/>
  </si>
  <si>
    <t>紫</t>
    <phoneticPr fontId="1" type="noConversion"/>
  </si>
  <si>
    <t>1星紫</t>
    <phoneticPr fontId="1" type="noConversion"/>
  </si>
  <si>
    <t>2星紫</t>
    <phoneticPr fontId="1" type="noConversion"/>
  </si>
  <si>
    <t>橙</t>
    <phoneticPr fontId="1" type="noConversion"/>
  </si>
  <si>
    <t>1星橙</t>
    <phoneticPr fontId="1" type="noConversion"/>
  </si>
  <si>
    <t>2星橙</t>
    <phoneticPr fontId="1" type="noConversion"/>
  </si>
  <si>
    <t>3星橙</t>
    <phoneticPr fontId="1" type="noConversion"/>
  </si>
  <si>
    <t>3星橙</t>
    <phoneticPr fontId="1" type="noConversion"/>
  </si>
  <si>
    <t>1星红</t>
    <phoneticPr fontId="1" type="noConversion"/>
  </si>
  <si>
    <t>红</t>
    <phoneticPr fontId="1" type="noConversion"/>
  </si>
  <si>
    <t>4星红</t>
    <phoneticPr fontId="1" type="noConversion"/>
  </si>
  <si>
    <t>超r属性</t>
    <phoneticPr fontId="1" type="noConversion"/>
  </si>
  <si>
    <t>非r属性值</t>
    <phoneticPr fontId="1" type="noConversion"/>
  </si>
  <si>
    <t>超r属性值</t>
    <phoneticPr fontId="1" type="noConversion"/>
  </si>
  <si>
    <t>大殿等级</t>
  </si>
  <si>
    <t>大殿等级累积停留时间(天）</t>
  </si>
  <si>
    <t>大殿等级阶段停留时间（天）</t>
  </si>
  <si>
    <t>非r累积时长大殿等级标准</t>
  </si>
  <si>
    <t>累积停留天数(标准）</t>
    <phoneticPr fontId="1" type="noConversion"/>
  </si>
  <si>
    <t>调整系数</t>
    <phoneticPr fontId="1" type="noConversion"/>
  </si>
  <si>
    <t>天数对应大殿等级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</si>
  <si>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</si>
  <si>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</si>
  <si>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</si>
  <si>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</si>
  <si>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</si>
  <si>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天数</t>
    <phoneticPr fontId="1" type="noConversion"/>
  </si>
  <si>
    <t>累积天数</t>
    <phoneticPr fontId="1" type="noConversion"/>
  </si>
  <si>
    <t>调整值</t>
    <phoneticPr fontId="1" type="noConversion"/>
  </si>
  <si>
    <t>,</t>
    <phoneticPr fontId="1" type="noConversion"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</si>
  <si>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</si>
  <si>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</si>
  <si>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</si>
  <si>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</si>
  <si>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</si>
  <si>
    <t>定义等级</t>
    <phoneticPr fontId="1" type="noConversion"/>
  </si>
  <si>
    <t>数量</t>
    <phoneticPr fontId="1" type="noConversion"/>
  </si>
  <si>
    <t>钻石价值(指定卡)</t>
  </si>
  <si>
    <t>钻石价值(奖池内)</t>
  </si>
  <si>
    <t>阵法星级</t>
    <phoneticPr fontId="1" type="noConversion"/>
  </si>
  <si>
    <t>阵旗等级</t>
    <phoneticPr fontId="1" type="noConversion"/>
  </si>
  <si>
    <t>投放记录</t>
    <phoneticPr fontId="1" type="noConversion"/>
  </si>
  <si>
    <t>阵法种类数量</t>
    <phoneticPr fontId="1" type="noConversion"/>
  </si>
  <si>
    <t>功能开启等级</t>
    <phoneticPr fontId="1" type="noConversion"/>
  </si>
  <si>
    <t>星级</t>
    <phoneticPr fontId="1" type="noConversion"/>
  </si>
  <si>
    <t>品质对应回收阵法心得数量</t>
    <phoneticPr fontId="1" type="noConversion"/>
  </si>
  <si>
    <t>星级对应阵法心得阶段消耗</t>
    <phoneticPr fontId="1" type="noConversion"/>
  </si>
  <si>
    <t>星级对应阵法心得累计消耗</t>
    <phoneticPr fontId="1" type="noConversion"/>
  </si>
  <si>
    <t>最大星级</t>
    <phoneticPr fontId="1" type="noConversion"/>
  </si>
  <si>
    <t>星级对应同名阵法阶段消耗</t>
    <phoneticPr fontId="1" type="noConversion"/>
  </si>
  <si>
    <t>星级对应同名阵法累计消耗</t>
    <phoneticPr fontId="1" type="noConversion"/>
  </si>
  <si>
    <t>星级对应阵法技能效用</t>
    <phoneticPr fontId="1" type="noConversion"/>
  </si>
  <si>
    <t>阵法效用</t>
    <phoneticPr fontId="1" type="noConversion"/>
  </si>
  <si>
    <t>主力队伍效用</t>
    <phoneticPr fontId="1" type="noConversion"/>
  </si>
  <si>
    <t>定义等级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</si>
  <si>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</si>
  <si>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</si>
  <si>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</si>
  <si>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</si>
  <si>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</si>
  <si>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定义等级对应技能效用</t>
    <phoneticPr fontId="1" type="noConversion"/>
  </si>
  <si>
    <t>等级对应升级经验需求与转化经验值</t>
    <phoneticPr fontId="1" type="noConversion"/>
  </si>
  <si>
    <t>转化经验值</t>
    <phoneticPr fontId="1" type="noConversion"/>
  </si>
  <si>
    <t>需求阵旗数量</t>
    <phoneticPr fontId="1" type="noConversion"/>
  </si>
  <si>
    <t>品质对应阵旗槽位数量</t>
    <phoneticPr fontId="1" type="noConversion"/>
  </si>
  <si>
    <t>平均阵旗等级</t>
    <phoneticPr fontId="1" type="noConversion"/>
  </si>
  <si>
    <t>技能效用下限</t>
    <phoneticPr fontId="1" type="noConversion"/>
  </si>
  <si>
    <t>技能效用上限</t>
    <phoneticPr fontId="1" type="noConversion"/>
  </si>
  <si>
    <t>等级对应阵旗洗练道具消耗</t>
    <phoneticPr fontId="1" type="noConversion"/>
  </si>
  <si>
    <t>洗练道具消耗</t>
    <phoneticPr fontId="1" type="noConversion"/>
  </si>
  <si>
    <t>等级对应阵旗单条属性技能效用与属性条数</t>
    <phoneticPr fontId="1" type="noConversion"/>
  </si>
  <si>
    <t>属性条数</t>
    <phoneticPr fontId="1" type="noConversion"/>
  </si>
  <si>
    <t>阵旗洗练</t>
    <phoneticPr fontId="1" type="noConversion"/>
  </si>
  <si>
    <t>洗练道具数量</t>
    <phoneticPr fontId="1" type="noConversion"/>
  </si>
  <si>
    <t>洗练进度</t>
    <phoneticPr fontId="1" type="noConversion"/>
  </si>
  <si>
    <t>洗练次数</t>
    <phoneticPr fontId="1" type="noConversion"/>
  </si>
  <si>
    <t>阵旗洗练数据</t>
    <phoneticPr fontId="1" type="noConversion"/>
  </si>
  <si>
    <t>阵旗等级</t>
    <phoneticPr fontId="1" type="noConversion"/>
  </si>
  <si>
    <t>洗练进度</t>
    <phoneticPr fontId="1" type="noConversion"/>
  </si>
  <si>
    <t>阵旗等级效用</t>
    <phoneticPr fontId="1" type="noConversion"/>
  </si>
  <si>
    <t>阵法升星效用</t>
    <phoneticPr fontId="1" type="noConversion"/>
  </si>
  <si>
    <t>阵旗洗练效用</t>
    <phoneticPr fontId="1" type="noConversion"/>
  </si>
  <si>
    <t>阵法总效用</t>
    <phoneticPr fontId="1" type="noConversion"/>
  </si>
  <si>
    <t>阵法心得需求</t>
    <phoneticPr fontId="1" type="noConversion"/>
  </si>
  <si>
    <t>阵法心得产出</t>
    <phoneticPr fontId="1" type="noConversion"/>
  </si>
  <si>
    <t>定义等级对应阵法心得产销比</t>
    <phoneticPr fontId="1" type="noConversion"/>
  </si>
  <si>
    <t>产销比</t>
    <phoneticPr fontId="1" type="noConversion"/>
  </si>
  <si>
    <t>权重</t>
    <phoneticPr fontId="1" type="noConversion"/>
  </si>
  <si>
    <t>合成需要碎片数</t>
    <phoneticPr fontId="1" type="noConversion"/>
  </si>
  <si>
    <t>阵法价值</t>
    <phoneticPr fontId="1" type="noConversion"/>
  </si>
  <si>
    <t>各种资源产出</t>
    <phoneticPr fontId="1" type="noConversion"/>
  </si>
  <si>
    <t>红色阵法</t>
    <phoneticPr fontId="1" type="noConversion"/>
  </si>
  <si>
    <t>橙色阵法</t>
    <phoneticPr fontId="1" type="noConversion"/>
  </si>
  <si>
    <t>紫色阵法</t>
    <phoneticPr fontId="1" type="noConversion"/>
  </si>
  <si>
    <t>蓝色阵法</t>
    <phoneticPr fontId="1" type="noConversion"/>
  </si>
  <si>
    <t>阵旗经验</t>
    <phoneticPr fontId="1" type="noConversion"/>
  </si>
  <si>
    <t>阵旗洗练道具</t>
    <phoneticPr fontId="1" type="noConversion"/>
  </si>
  <si>
    <t>升下一级阶段经验需求</t>
    <phoneticPr fontId="1" type="noConversion"/>
  </si>
  <si>
    <t>升到本级累计经验需求</t>
    <phoneticPr fontId="1" type="noConversion"/>
  </si>
  <si>
    <t>阵旗洗练道具价值</t>
    <phoneticPr fontId="1" type="noConversion"/>
  </si>
  <si>
    <t>上一等级</t>
    <phoneticPr fontId="1" type="noConversion"/>
  </si>
  <si>
    <t>下一等级</t>
    <phoneticPr fontId="1" type="noConversion"/>
  </si>
  <si>
    <t>上一等级洗练进度90%到下一等级洗练进度90%额外需要洗练次数</t>
    <phoneticPr fontId="1" type="noConversion"/>
  </si>
  <si>
    <t>洗练次数</t>
    <phoneticPr fontId="1" type="noConversion"/>
  </si>
  <si>
    <t>升级后属性占比</t>
    <phoneticPr fontId="1" type="noConversion"/>
  </si>
  <si>
    <t>阵旗等级对应洗练进度修正</t>
    <phoneticPr fontId="1" type="noConversion"/>
  </si>
  <si>
    <t>洗练道具数量</t>
    <phoneticPr fontId="1" type="noConversion"/>
  </si>
  <si>
    <t>90%洗练消耗</t>
    <phoneticPr fontId="1" type="noConversion"/>
  </si>
  <si>
    <t>90%洗练达成产销比</t>
    <phoneticPr fontId="1" type="noConversion"/>
  </si>
  <si>
    <t>定义等级对应90%洗练达成产销比</t>
    <phoneticPr fontId="1" type="noConversion"/>
  </si>
  <si>
    <t>付费投放</t>
    <phoneticPr fontId="1" type="noConversion"/>
  </si>
  <si>
    <t>各r对应30天各资源投放量</t>
    <phoneticPr fontId="1" type="noConversion"/>
  </si>
  <si>
    <t>资源价值</t>
    <phoneticPr fontId="1" type="noConversion"/>
  </si>
  <si>
    <t>定义等级对应累积消耗钻石价值</t>
  </si>
  <si>
    <t>天数对应累积消耗钻石价值</t>
    <phoneticPr fontId="1" type="noConversion"/>
  </si>
  <si>
    <t>累积获取行军令</t>
  </si>
  <si>
    <t>阶段获取行军令</t>
  </si>
  <si>
    <t>玩家阶段队伍实力</t>
    <phoneticPr fontId="1" type="noConversion"/>
  </si>
  <si>
    <t>玩家花费黄金比例</t>
    <phoneticPr fontId="1" type="noConversion"/>
  </si>
  <si>
    <t>阵法累计消耗黄金</t>
    <phoneticPr fontId="1" type="noConversion"/>
  </si>
  <si>
    <t>阵旗累计消耗黄金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</si>
  <si>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</si>
  <si>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</si>
  <si>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</si>
  <si>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</si>
  <si>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等级对应阵法消耗黄金</t>
    <phoneticPr fontId="1" type="noConversion"/>
  </si>
  <si>
    <t>等级对应阵法获取数量</t>
    <phoneticPr fontId="1" type="noConversion"/>
  </si>
  <si>
    <t>阵旗经验贬值系数</t>
    <phoneticPr fontId="1" type="noConversion"/>
  </si>
  <si>
    <t>阵旗洗练累计消耗黄金</t>
    <phoneticPr fontId="1" type="noConversion"/>
  </si>
  <si>
    <t>累计获取洗练道具</t>
    <phoneticPr fontId="1" type="noConversion"/>
  </si>
  <si>
    <t>阵法</t>
    <phoneticPr fontId="1" type="noConversion"/>
  </si>
  <si>
    <t>阵旗洗练</t>
    <phoneticPr fontId="1" type="noConversion"/>
  </si>
  <si>
    <t>等级对应阵法累计获取数量</t>
    <phoneticPr fontId="1" type="noConversion"/>
  </si>
  <si>
    <t>等级对应阵法累计付费获取数量</t>
    <phoneticPr fontId="1" type="noConversion"/>
  </si>
  <si>
    <t>等级对应阵法累计活跃获取数量</t>
    <phoneticPr fontId="1" type="noConversion"/>
  </si>
  <si>
    <t>设计思路</t>
    <phoneticPr fontId="1" type="noConversion"/>
  </si>
  <si>
    <t>预估分配比例</t>
    <phoneticPr fontId="1" type="noConversion"/>
  </si>
  <si>
    <t>=</t>
    <phoneticPr fontId="1" type="noConversion"/>
  </si>
  <si>
    <t>功能名</t>
    <phoneticPr fontId="1" type="noConversion"/>
  </si>
  <si>
    <t>合并掉落</t>
    <phoneticPr fontId="1" type="noConversion"/>
  </si>
  <si>
    <t>主要</t>
    <phoneticPr fontId="1" type="noConversion"/>
  </si>
  <si>
    <t>次要</t>
    <phoneticPr fontId="1" type="noConversion"/>
  </si>
  <si>
    <t>补充1</t>
    <phoneticPr fontId="1" type="noConversion"/>
  </si>
  <si>
    <t>补充2</t>
  </si>
  <si>
    <t>补充3</t>
  </si>
  <si>
    <t>每日行为占比</t>
    <phoneticPr fontId="1" type="noConversion"/>
  </si>
  <si>
    <t>每次消耗行军令</t>
  </si>
  <si>
    <t>预估每日完成次数</t>
    <phoneticPr fontId="1" type="noConversion"/>
  </si>
  <si>
    <t>这里与经济表中一致</t>
    <phoneticPr fontId="1" type="noConversion"/>
  </si>
  <si>
    <t>装备经验</t>
    <phoneticPr fontId="1" type="noConversion"/>
  </si>
  <si>
    <t>武将经验</t>
    <phoneticPr fontId="1" type="noConversion"/>
  </si>
  <si>
    <t>银币</t>
    <phoneticPr fontId="1" type="noConversion"/>
  </si>
  <si>
    <t>城建资源</t>
    <phoneticPr fontId="1" type="noConversion"/>
  </si>
  <si>
    <t>加速令</t>
    <phoneticPr fontId="1" type="noConversion"/>
  </si>
  <si>
    <t>野怪等级对应定义等级</t>
    <phoneticPr fontId="1" type="noConversion"/>
  </si>
  <si>
    <t>怪物等级</t>
    <phoneticPr fontId="1" type="noConversion"/>
  </si>
  <si>
    <t>行军令产出分配</t>
  </si>
  <si>
    <t>平均值</t>
    <phoneticPr fontId="1" type="noConversion"/>
  </si>
  <si>
    <t>上限</t>
    <phoneticPr fontId="1" type="noConversion"/>
  </si>
  <si>
    <t>倍率</t>
    <phoneticPr fontId="1" type="noConversion"/>
  </si>
  <si>
    <t>装备</t>
  </si>
  <si>
    <t>城建资源</t>
  </si>
  <si>
    <t>银币</t>
  </si>
  <si>
    <t>武将经验</t>
  </si>
  <si>
    <t>总计</t>
    <phoneticPr fontId="1" type="noConversion"/>
  </si>
  <si>
    <t>1、由于第四赛季中玩家对贡品和蓝紫色宝物的需求已经基本没有，所以可以占用1~6级精英野怪的行军令消耗</t>
    <phoneticPr fontId="1" type="noConversion"/>
  </si>
  <si>
    <t>精英野怪</t>
    <phoneticPr fontId="1" type="noConversion"/>
  </si>
  <si>
    <t>阵法残片</t>
    <phoneticPr fontId="1" type="noConversion"/>
  </si>
  <si>
    <t>随机阵法价值</t>
    <phoneticPr fontId="1" type="noConversion"/>
  </si>
  <si>
    <t>4、凑齐</t>
    <phoneticPr fontId="1" type="noConversion"/>
  </si>
  <si>
    <t>个阵法残片可以开启一次宝箱，随机获得蓝色或紫色阵法</t>
    <phoneticPr fontId="1" type="noConversion"/>
  </si>
  <si>
    <r>
      <t>阵法残片/</t>
    </r>
    <r>
      <rPr>
        <sz val="9"/>
        <color rgb="FFFF0000"/>
        <rFont val="宋体"/>
        <family val="3"/>
        <charset val="134"/>
        <scheme val="minor"/>
      </rPr>
      <t>单次</t>
    </r>
    <r>
      <rPr>
        <sz val="9"/>
        <color theme="1"/>
        <rFont val="宋体"/>
        <family val="2"/>
        <scheme val="minor"/>
      </rPr>
      <t>挑战掉落</t>
    </r>
    <phoneticPr fontId="1" type="noConversion"/>
  </si>
  <si>
    <t>阶段产出阵法残片</t>
    <phoneticPr fontId="1" type="noConversion"/>
  </si>
  <si>
    <t>累积产出阵法残片</t>
    <phoneticPr fontId="1" type="noConversion"/>
  </si>
  <si>
    <t>累积产出蓝色阵法</t>
    <phoneticPr fontId="1" type="noConversion"/>
  </si>
  <si>
    <t>累积产出紫色阵法</t>
    <phoneticPr fontId="1" type="noConversion"/>
  </si>
  <si>
    <t>累积产出橙色阵法</t>
    <phoneticPr fontId="1" type="noConversion"/>
  </si>
  <si>
    <t>2、7~10级精英野怪主要产出1级阵旗（阵旗经验）和蓝紫色阵法碎片</t>
    <phoneticPr fontId="1" type="noConversion"/>
  </si>
  <si>
    <t>3、攻打7~10级经验野怪消耗行军令量</t>
    <phoneticPr fontId="1" type="noConversion"/>
  </si>
  <si>
    <t>阵旗经验价值</t>
    <phoneticPr fontId="1" type="noConversion"/>
  </si>
  <si>
    <t>产出阵旗经验/每个行军令</t>
    <phoneticPr fontId="1" type="noConversion"/>
  </si>
  <si>
    <t>阶段产出阵旗经验</t>
    <phoneticPr fontId="1" type="noConversion"/>
  </si>
  <si>
    <t>阵旗经验</t>
  </si>
  <si>
    <t>累积产出阵旗经验</t>
  </si>
  <si>
    <t>阵旗经验/单次挑战掉落</t>
  </si>
  <si>
    <t>付费累计获得阵旗经验</t>
    <phoneticPr fontId="1" type="noConversion"/>
  </si>
  <si>
    <t>活跃累计获得阵旗经验</t>
    <phoneticPr fontId="1" type="noConversion"/>
  </si>
  <si>
    <t>等级对应付费累计获得阵旗经验</t>
    <phoneticPr fontId="1" type="noConversion"/>
  </si>
  <si>
    <t>等级对应活跃累计获得阵旗经验</t>
    <phoneticPr fontId="1" type="noConversion"/>
  </si>
  <si>
    <t>等级对应累计获得阵旗经验</t>
    <phoneticPr fontId="1" type="noConversion"/>
  </si>
  <si>
    <t>阵旗经验投放验证</t>
    <phoneticPr fontId="1" type="noConversion"/>
  </si>
  <si>
    <t>蓝</t>
  </si>
  <si>
    <t>紫</t>
  </si>
  <si>
    <t>橙</t>
  </si>
  <si>
    <t>红</t>
  </si>
  <si>
    <t>星级对应阵法实力</t>
    <phoneticPr fontId="1" type="noConversion"/>
  </si>
  <si>
    <t>付费占比</t>
    <phoneticPr fontId="1" type="noConversion"/>
  </si>
  <si>
    <t>活跃占比</t>
    <phoneticPr fontId="1" type="noConversion"/>
  </si>
  <si>
    <t>宝箱价值</t>
    <phoneticPr fontId="1" type="noConversion"/>
  </si>
  <si>
    <t>100%效用价值</t>
    <phoneticPr fontId="1" type="noConversion"/>
  </si>
  <si>
    <t>效用汇总</t>
    <phoneticPr fontId="1" type="noConversion"/>
  </si>
  <si>
    <t>阵法升星评分</t>
    <phoneticPr fontId="1" type="noConversion"/>
  </si>
  <si>
    <t>阵旗洗练评分</t>
    <phoneticPr fontId="1" type="noConversion"/>
  </si>
  <si>
    <t>总评分</t>
    <phoneticPr fontId="1" type="noConversion"/>
  </si>
  <si>
    <t>阶段单个阵法实力</t>
    <phoneticPr fontId="1" type="noConversion"/>
  </si>
  <si>
    <t>累计阵法实力</t>
    <phoneticPr fontId="1" type="noConversion"/>
  </si>
  <si>
    <t>累计加成玩家实力</t>
    <phoneticPr fontId="1" type="noConversion"/>
  </si>
  <si>
    <t>升级经验调整系数</t>
    <phoneticPr fontId="1" type="noConversion"/>
  </si>
  <si>
    <t>等级对应阵旗出售获得刀币</t>
    <phoneticPr fontId="1" type="noConversion"/>
  </si>
  <si>
    <t>刀币</t>
    <phoneticPr fontId="1" type="noConversion"/>
  </si>
  <si>
    <t>价值系数</t>
    <phoneticPr fontId="1" type="noConversion"/>
  </si>
  <si>
    <t>出售价值系数</t>
    <phoneticPr fontId="1" type="noConversion"/>
  </si>
  <si>
    <t>刀币/单次挑战掉落</t>
    <phoneticPr fontId="1" type="noConversion"/>
  </si>
  <si>
    <t>定义等级对应阶段产出银币</t>
  </si>
  <si>
    <t>城建/训练/招募/治疗时间的卖价（钻）</t>
    <phoneticPr fontId="1" type="noConversion"/>
  </si>
  <si>
    <t>钻石价值(指定品质)</t>
    <phoneticPr fontId="1" type="noConversion"/>
  </si>
  <si>
    <t>橙色阵法奖池</t>
    <phoneticPr fontId="1" type="noConversion"/>
  </si>
  <si>
    <t>橙色阵法</t>
    <phoneticPr fontId="1" type="noConversion"/>
  </si>
  <si>
    <t>紫色阵法</t>
    <phoneticPr fontId="1" type="noConversion"/>
  </si>
  <si>
    <t>蓝色阵法</t>
    <phoneticPr fontId="1" type="noConversion"/>
  </si>
  <si>
    <t>阵旗洗练道具</t>
    <phoneticPr fontId="1" type="noConversion"/>
  </si>
  <si>
    <t>阵旗经验</t>
    <phoneticPr fontId="1" type="noConversion"/>
  </si>
  <si>
    <t>橙</t>
    <phoneticPr fontId="1" type="noConversion"/>
  </si>
  <si>
    <t>奖池概率</t>
    <phoneticPr fontId="1" type="noConversion"/>
  </si>
  <si>
    <t>奖池数量</t>
    <phoneticPr fontId="1" type="noConversion"/>
  </si>
  <si>
    <t>其他奖励</t>
    <phoneticPr fontId="1" type="noConversion"/>
  </si>
  <si>
    <t>红色阵法奖池</t>
    <phoneticPr fontId="1" type="noConversion"/>
  </si>
  <si>
    <t>红色阵法</t>
    <phoneticPr fontId="1" type="noConversion"/>
  </si>
  <si>
    <t>道具价值</t>
    <phoneticPr fontId="1" type="noConversion"/>
  </si>
  <si>
    <t>奖池价值</t>
    <phoneticPr fontId="1" type="noConversion"/>
  </si>
  <si>
    <t>奖池使用率</t>
    <phoneticPr fontId="1" type="noConversion"/>
  </si>
  <si>
    <t>道具奖池价值</t>
    <phoneticPr fontId="1" type="noConversion"/>
  </si>
  <si>
    <t>价值占比</t>
    <phoneticPr fontId="1" type="noConversion"/>
  </si>
  <si>
    <t>红</t>
    <phoneticPr fontId="1" type="noConversion"/>
  </si>
  <si>
    <t>首通奖励</t>
    <phoneticPr fontId="1" type="noConversion"/>
  </si>
  <si>
    <t>指定蓝色阵法</t>
    <phoneticPr fontId="1" type="noConversion"/>
  </si>
  <si>
    <t>指定紫色阵法</t>
    <phoneticPr fontId="1" type="noConversion"/>
  </si>
  <si>
    <t>阵意</t>
    <phoneticPr fontId="1" type="noConversion"/>
  </si>
  <si>
    <t>活跃累计获取洗练道具</t>
    <phoneticPr fontId="1" type="noConversion"/>
  </si>
  <si>
    <t>累积产出阵旗洗练道具</t>
    <phoneticPr fontId="1" type="noConversion"/>
  </si>
  <si>
    <t>数量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</si>
</sst>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_);[Red]\(0\)"/>
  </numFmts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trike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2"/>
      <scheme val="minor"/>
    </font>
    <font>
      <sz val="9"/>
      <color rgb="FFFF0000"/>
      <name val="宋体"/>
      <family val="3"/>
      <charset val="134"/>
      <scheme val="minor"/>
    </font>
    <font>
      <sz val="9"/>
      <color theme="0" tint="-0.14999847407452621"/>
      <name val="宋体"/>
      <family val="2"/>
      <scheme val="minor"/>
    </font>
    <font>
      <sz val="9"/>
      <color theme="0" tint="-0.3499862666707357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>
      <alignment vertical="center"/>
    </xf>
  </cellStyleXfs>
  <cellXfs count="66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 shrinkToFit="1"/>
    </xf>
    <xf numFmtId="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5" fillId="5" borderId="0" xfId="0" applyFont="1" applyFill="1" applyAlignment="1">
      <alignment horizontal="center" vertical="center"/>
    </xf>
    <xf numFmtId="177" fontId="5" fillId="5" borderId="0" xfId="0" applyNumberFormat="1" applyFont="1" applyFill="1" applyAlignment="1">
      <alignment horizontal="center" vertical="center"/>
    </xf>
    <xf numFmtId="177" fontId="4" fillId="5" borderId="0" xfId="0" applyNumberFormat="1" applyFont="1" applyFill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8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176" fontId="11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176" fontId="5" fillId="0" borderId="0" xfId="1" applyNumberFormat="1" applyFont="1" applyAlignment="1">
      <alignment horizontal="center" vertical="center"/>
    </xf>
    <xf numFmtId="176" fontId="5" fillId="5" borderId="0" xfId="1" applyNumberFormat="1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1" xfId="0" applyFont="1" applyBorder="1" applyAlignment="1">
      <alignment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2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5968;&#20540;&#24037;&#20855;/&#38453;&#26071;&#27927;&#32451;&#31639;&#27861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资源-星宫碎片"/>
      <sheetName val="资源-群星碎片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</sheetNames>
    <sheetDataSet>
      <sheetData sheetId="0" refreshError="1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  <cell r="N3" t="str">
            <v>对应玩家等级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F53">
            <v>51</v>
          </cell>
          <cell r="G53">
            <v>33.296750801161366</v>
          </cell>
          <cell r="I53">
            <v>51</v>
          </cell>
          <cell r="J53">
            <v>681.65492699983838</v>
          </cell>
          <cell r="K53">
            <v>1.1599999999999999</v>
          </cell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F54">
            <v>52</v>
          </cell>
          <cell r="G54">
            <v>35.758347359905123</v>
          </cell>
          <cell r="I54">
            <v>52</v>
          </cell>
          <cell r="J54">
            <v>789.85301886939453</v>
          </cell>
          <cell r="K54">
            <v>1.17</v>
          </cell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</row>
        <row r="55">
          <cell r="F55">
            <v>53</v>
          </cell>
          <cell r="G55">
            <v>38.396621227037308</v>
          </cell>
          <cell r="I55">
            <v>53</v>
          </cell>
          <cell r="J55">
            <v>915.14532082292135</v>
          </cell>
          <cell r="K55">
            <v>1.18</v>
          </cell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</row>
        <row r="56">
          <cell r="F56">
            <v>54</v>
          </cell>
          <cell r="G56">
            <v>41.224253144732614</v>
          </cell>
          <cell r="I56">
            <v>54</v>
          </cell>
          <cell r="J56">
            <v>1060.2230944101252</v>
          </cell>
          <cell r="K56">
            <v>1.19</v>
          </cell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</row>
        <row r="57">
          <cell r="F57">
            <v>55</v>
          </cell>
          <cell r="G57">
            <v>44.254833995939045</v>
          </cell>
          <cell r="I57">
            <v>55</v>
          </cell>
          <cell r="J57">
            <v>1228.2</v>
          </cell>
          <cell r="K57">
            <v>1.2</v>
          </cell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</row>
        <row r="58">
          <cell r="F58">
            <v>56</v>
          </cell>
          <cell r="G58">
            <v>47.502930128332721</v>
          </cell>
          <cell r="I58">
            <v>56</v>
          </cell>
          <cell r="J58">
            <v>1422.6782097755249</v>
          </cell>
          <cell r="K58">
            <v>1.21</v>
          </cell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</row>
        <row r="59">
          <cell r="F59">
            <v>57</v>
          </cell>
          <cell r="G59">
            <v>50.984153366799077</v>
          </cell>
          <cell r="I59">
            <v>57</v>
          </cell>
          <cell r="J59">
            <v>1647.8248427703616</v>
          </cell>
          <cell r="K59">
            <v>1.22</v>
          </cell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</row>
        <row r="60">
          <cell r="F60">
            <v>58</v>
          </cell>
          <cell r="G60">
            <v>54.715236050951923</v>
          </cell>
          <cell r="I60">
            <v>58</v>
          </cell>
          <cell r="J60">
            <v>1908.4603298511749</v>
          </cell>
          <cell r="K60">
            <v>1.23</v>
          </cell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</row>
        <row r="61">
          <cell r="F61">
            <v>59</v>
          </cell>
          <cell r="G61">
            <v>58.714111458355703</v>
          </cell>
          <cell r="I61">
            <v>59</v>
          </cell>
          <cell r="J61">
            <v>2210.1605665017755</v>
          </cell>
          <cell r="K61">
            <v>1.24</v>
          </cell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</row>
        <row r="62">
          <cell r="F62">
            <v>60</v>
          </cell>
          <cell r="G62">
            <v>63</v>
          </cell>
          <cell r="I62">
            <v>60</v>
          </cell>
          <cell r="J62">
            <v>2559.375</v>
          </cell>
          <cell r="K62">
            <v>1.25</v>
          </cell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</row>
        <row r="63">
          <cell r="F63">
            <v>61</v>
          </cell>
          <cell r="G63">
            <v>67.593501602322732</v>
          </cell>
          <cell r="I63">
            <v>61</v>
          </cell>
          <cell r="J63">
            <v>2963.5631311027469</v>
          </cell>
          <cell r="K63">
            <v>1.26</v>
          </cell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</row>
        <row r="64">
          <cell r="F64">
            <v>62</v>
          </cell>
          <cell r="G64">
            <v>72.516694719810218</v>
          </cell>
          <cell r="I64">
            <v>62</v>
          </cell>
          <cell r="J64">
            <v>3431.3522956038646</v>
          </cell>
          <cell r="K64">
            <v>1.27</v>
          </cell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</row>
        <row r="65">
          <cell r="F65">
            <v>63</v>
          </cell>
          <cell r="G65">
            <v>77.793242454074615</v>
          </cell>
          <cell r="I65">
            <v>63</v>
          </cell>
          <cell r="J65">
            <v>3972.7200361130153</v>
          </cell>
          <cell r="K65">
            <v>1.28</v>
          </cell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</row>
        <row r="66">
          <cell r="F66">
            <v>64</v>
          </cell>
          <cell r="G66">
            <v>83.4485062894652</v>
          </cell>
          <cell r="I66">
            <v>64</v>
          </cell>
          <cell r="J66">
            <v>4599.2048883665893</v>
          </cell>
          <cell r="K66">
            <v>1.29</v>
          </cell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</row>
        <row r="67">
          <cell r="F67">
            <v>65</v>
          </cell>
          <cell r="G67">
            <v>89.509667991878061</v>
          </cell>
          <cell r="I67">
            <v>65</v>
          </cell>
          <cell r="J67">
            <v>5324.1500000000005</v>
          </cell>
          <cell r="K67">
            <v>1.3</v>
          </cell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</row>
        <row r="68">
          <cell r="F68">
            <v>66</v>
          </cell>
          <cell r="G68">
            <v>96.005860256665443</v>
          </cell>
          <cell r="I68">
            <v>66</v>
          </cell>
          <cell r="J68">
            <v>6162.9846853088866</v>
          </cell>
          <cell r="K68">
            <v>1.31</v>
          </cell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</row>
        <row r="69">
          <cell r="F69">
            <v>67</v>
          </cell>
          <cell r="G69">
            <v>102.96830673359811</v>
          </cell>
          <cell r="I69">
            <v>67</v>
          </cell>
          <cell r="J69">
            <v>7133.5498113340191</v>
          </cell>
          <cell r="K69">
            <v>1.32</v>
          </cell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</row>
        <row r="70">
          <cell r="F70">
            <v>68</v>
          </cell>
          <cell r="G70">
            <v>110.43047210190386</v>
          </cell>
          <cell r="I70">
            <v>68</v>
          </cell>
          <cell r="J70">
            <v>8256.4738250473602</v>
          </cell>
          <cell r="K70">
            <v>1.33</v>
          </cell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</row>
        <row r="71">
          <cell r="F71">
            <v>69</v>
          </cell>
          <cell r="G71">
            <v>118.42822291671132</v>
          </cell>
          <cell r="I71">
            <v>69</v>
          </cell>
          <cell r="J71">
            <v>9555.6072874592737</v>
          </cell>
          <cell r="K71">
            <v>1.34</v>
          </cell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</row>
        <row r="72">
          <cell r="F72">
            <v>70</v>
          </cell>
          <cell r="G72">
            <v>127</v>
          </cell>
          <cell r="I72">
            <v>70</v>
          </cell>
          <cell r="J72">
            <v>11058.525000000001</v>
          </cell>
          <cell r="K72">
            <v>1.35</v>
          </cell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</row>
        <row r="73">
          <cell r="F73">
            <v>71</v>
          </cell>
          <cell r="G73">
            <v>136.18700320464549</v>
          </cell>
          <cell r="I73">
            <v>71</v>
          </cell>
          <cell r="J73">
            <v>12797.106216824561</v>
          </cell>
          <cell r="K73">
            <v>1.36</v>
          </cell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</row>
        <row r="74">
          <cell r="F74">
            <v>72</v>
          </cell>
          <cell r="G74">
            <v>146.03338943962044</v>
          </cell>
          <cell r="I74">
            <v>72</v>
          </cell>
          <cell r="J74">
            <v>14808.205062920617</v>
          </cell>
          <cell r="K74">
            <v>1.37</v>
          </cell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</row>
        <row r="75">
          <cell r="F75">
            <v>73</v>
          </cell>
          <cell r="G75">
            <v>156.58648490814926</v>
          </cell>
          <cell r="I75">
            <v>73</v>
          </cell>
          <cell r="J75">
            <v>17134.425155737379</v>
          </cell>
          <cell r="K75">
            <v>1.38</v>
          </cell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</row>
        <row r="76">
          <cell r="F76">
            <v>74</v>
          </cell>
          <cell r="G76">
            <v>167.89701257893043</v>
          </cell>
          <cell r="I76">
            <v>74</v>
          </cell>
          <cell r="J76">
            <v>19825.014596370729</v>
          </cell>
          <cell r="K76">
            <v>1.39</v>
          </cell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</row>
        <row r="77">
          <cell r="F77">
            <v>75</v>
          </cell>
          <cell r="G77">
            <v>180.01933598375612</v>
          </cell>
          <cell r="I77">
            <v>75</v>
          </cell>
          <cell r="J77">
            <v>22936.899999999998</v>
          </cell>
          <cell r="K77">
            <v>1.4</v>
          </cell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</row>
        <row r="78">
          <cell r="F78">
            <v>76</v>
          </cell>
          <cell r="G78">
            <v>193.01172051333091</v>
          </cell>
          <cell r="I78">
            <v>76</v>
          </cell>
          <cell r="J78">
            <v>26535.88112606269</v>
          </cell>
          <cell r="K78">
            <v>1.41</v>
          </cell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</row>
        <row r="79">
          <cell r="F79">
            <v>77</v>
          </cell>
          <cell r="G79">
            <v>206.93661346719625</v>
          </cell>
          <cell r="I79">
            <v>77</v>
          </cell>
          <cell r="J79">
            <v>30698.011006346387</v>
          </cell>
          <cell r="K79">
            <v>1.42</v>
          </cell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</row>
        <row r="80">
          <cell r="F80">
            <v>78</v>
          </cell>
          <cell r="G80">
            <v>221.86094420380775</v>
          </cell>
          <cell r="I80">
            <v>78</v>
          </cell>
          <cell r="J80">
            <v>35511.190322760085</v>
          </cell>
          <cell r="K80">
            <v>1.43</v>
          </cell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</row>
        <row r="81">
          <cell r="F81">
            <v>79</v>
          </cell>
          <cell r="G81">
            <v>237.85644583342264</v>
          </cell>
          <cell r="I81">
            <v>79</v>
          </cell>
          <cell r="J81">
            <v>41077.009235645834</v>
          </cell>
          <cell r="K81">
            <v>1.44</v>
          </cell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</row>
        <row r="82">
          <cell r="F82">
            <v>80</v>
          </cell>
          <cell r="G82">
            <v>255</v>
          </cell>
          <cell r="I82">
            <v>80</v>
          </cell>
          <cell r="J82">
            <v>47512.875</v>
          </cell>
          <cell r="K82">
            <v>1.45</v>
          </cell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</row>
        <row r="92">
          <cell r="F92">
            <v>90</v>
          </cell>
          <cell r="G92">
            <v>511</v>
          </cell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</row>
        <row r="153">
          <cell r="F153">
            <v>151</v>
          </cell>
          <cell r="G153">
            <v>35118.87282038921</v>
          </cell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</row>
        <row r="154">
          <cell r="F154">
            <v>152</v>
          </cell>
          <cell r="G154">
            <v>37639.547696542824</v>
          </cell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</row>
        <row r="155">
          <cell r="F155">
            <v>153</v>
          </cell>
          <cell r="G155">
            <v>40341.140136486232</v>
          </cell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</row>
        <row r="156">
          <cell r="F156">
            <v>154</v>
          </cell>
          <cell r="G156">
            <v>43236.635220206183</v>
          </cell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</row>
        <row r="157">
          <cell r="F157">
            <v>155</v>
          </cell>
          <cell r="G157">
            <v>46339.950011841604</v>
          </cell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</row>
        <row r="158">
          <cell r="F158">
            <v>156</v>
          </cell>
          <cell r="G158">
            <v>49666.000451412707</v>
          </cell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</row>
        <row r="159">
          <cell r="F159">
            <v>157</v>
          </cell>
          <cell r="G159">
            <v>53230.773047602182</v>
          </cell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</row>
        <row r="160">
          <cell r="F160">
            <v>158</v>
          </cell>
          <cell r="G160">
            <v>57051.401716174769</v>
          </cell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</row>
        <row r="161">
          <cell r="F161">
            <v>159</v>
          </cell>
          <cell r="G161">
            <v>61146.25013335624</v>
          </cell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</row>
        <row r="162">
          <cell r="F162">
            <v>160</v>
          </cell>
          <cell r="G162">
            <v>65535</v>
          </cell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4">
          <cell r="N4">
            <v>3.301579276669484</v>
          </cell>
          <cell r="O4">
            <v>4.0057487176130557</v>
          </cell>
          <cell r="P4">
            <v>4.2565036636761029</v>
          </cell>
          <cell r="Q4">
            <v>3.3562706551221395</v>
          </cell>
          <cell r="R4">
            <v>1.7550190606299467</v>
          </cell>
          <cell r="S4">
            <v>3.301579276669484</v>
          </cell>
          <cell r="T4">
            <v>4.0057487176130557</v>
          </cell>
          <cell r="U4">
            <v>4.2565036636761029</v>
          </cell>
          <cell r="V4">
            <v>3.3562706551221395</v>
          </cell>
          <cell r="W4">
            <v>1.7550190606299467</v>
          </cell>
        </row>
        <row r="5">
          <cell r="N5">
            <v>6.840124329863615</v>
          </cell>
          <cell r="O5">
            <v>8.3787062090179365</v>
          </cell>
          <cell r="P5">
            <v>8.9944214875541597</v>
          </cell>
          <cell r="Q5">
            <v>7.192360993180591</v>
          </cell>
          <cell r="R5">
            <v>3.819793082834837</v>
          </cell>
          <cell r="S5">
            <v>3.5385450531941309</v>
          </cell>
          <cell r="T5">
            <v>4.3729574914048808</v>
          </cell>
          <cell r="U5">
            <v>4.7379178238780568</v>
          </cell>
          <cell r="V5">
            <v>3.8360903380584515</v>
          </cell>
          <cell r="W5">
            <v>2.0647740222048903</v>
          </cell>
        </row>
        <row r="6">
          <cell r="N6">
            <v>10.632643013866151</v>
          </cell>
          <cell r="O6">
            <v>13.120311648049476</v>
          </cell>
          <cell r="P6">
            <v>14.210666074680118</v>
          </cell>
          <cell r="Q6">
            <v>11.453968457804642</v>
          </cell>
          <cell r="R6">
            <v>6.1162429781958272</v>
          </cell>
          <cell r="S6">
            <v>3.7925186840025358</v>
          </cell>
          <cell r="T6">
            <v>4.7416054390315399</v>
          </cell>
          <cell r="U6">
            <v>5.2162445871259582</v>
          </cell>
          <cell r="V6">
            <v>4.2616074646240509</v>
          </cell>
          <cell r="W6">
            <v>2.2964498953609902</v>
          </cell>
        </row>
        <row r="7">
          <cell r="N7">
            <v>14.697363895553133</v>
          </cell>
          <cell r="O7">
            <v>18.221663954542464</v>
          </cell>
          <cell r="P7">
            <v>19.852560134291625</v>
          </cell>
          <cell r="Q7">
            <v>16.076200284493559</v>
          </cell>
          <cell r="R7">
            <v>8.6584407264078909</v>
          </cell>
          <cell r="S7">
            <v>4.0647208816869824</v>
          </cell>
          <cell r="T7">
            <v>5.1013523064929878</v>
          </cell>
          <cell r="U7">
            <v>5.6418940596115075</v>
          </cell>
          <cell r="V7">
            <v>4.6222318266889175</v>
          </cell>
          <cell r="W7">
            <v>2.5421977482120637</v>
          </cell>
          <cell r="AC7" t="str">
            <v>剿匪1(1~14级)</v>
          </cell>
          <cell r="AD7" t="str">
            <v>装备</v>
          </cell>
          <cell r="AE7" t="str">
            <v>装备经验</v>
          </cell>
          <cell r="AF7" t="str">
            <v>武将经验</v>
          </cell>
          <cell r="AG7" t="str">
            <v>银币</v>
          </cell>
          <cell r="AH7" t="str">
            <v>城建资源</v>
          </cell>
          <cell r="AI7" t="str">
            <v>加速令</v>
          </cell>
          <cell r="AJ7">
            <v>0.6</v>
          </cell>
          <cell r="AK7">
            <v>1</v>
          </cell>
          <cell r="AL7">
            <v>24</v>
          </cell>
        </row>
        <row r="8">
          <cell r="N8">
            <v>19.053823869162375</v>
          </cell>
          <cell r="O8">
            <v>23.611664224090969</v>
          </cell>
          <cell r="P8">
            <v>25.76723160268055</v>
          </cell>
          <cell r="Q8">
            <v>20.905358492970112</v>
          </cell>
          <cell r="R8">
            <v>11.280360786818976</v>
          </cell>
          <cell r="S8">
            <v>4.3564599736092422</v>
          </cell>
          <cell r="T8">
            <v>5.390000269548505</v>
          </cell>
          <cell r="U8">
            <v>5.9146714683889243</v>
          </cell>
          <cell r="V8">
            <v>4.829158208476553</v>
          </cell>
          <cell r="W8">
            <v>2.6219200604110853</v>
          </cell>
        </row>
        <row r="9">
          <cell r="N9">
            <v>23.722962059478306</v>
          </cell>
          <cell r="O9">
            <v>29.439164482679558</v>
          </cell>
          <cell r="P9">
            <v>32.156578214936147</v>
          </cell>
          <cell r="Q9">
            <v>26.203507172736675</v>
          </cell>
          <cell r="R9">
            <v>14.251775743858198</v>
          </cell>
          <cell r="S9">
            <v>4.6691381903159304</v>
          </cell>
          <cell r="T9">
            <v>5.8275002585885893</v>
          </cell>
          <cell r="U9">
            <v>6.3893466122555971</v>
          </cell>
          <cell r="V9">
            <v>5.2981486797665625</v>
          </cell>
          <cell r="W9">
            <v>2.9714149570392223</v>
          </cell>
        </row>
        <row r="10">
          <cell r="N10">
            <v>28.727220464773662</v>
          </cell>
          <cell r="O10">
            <v>35.787309596867416</v>
          </cell>
          <cell r="P10">
            <v>39.195606953575002</v>
          </cell>
          <cell r="Q10">
            <v>31.878971252634962</v>
          </cell>
          <cell r="R10">
            <v>17.200235901845417</v>
          </cell>
          <cell r="S10">
            <v>5.0042584052953565</v>
          </cell>
          <cell r="T10">
            <v>6.348145114187858</v>
          </cell>
          <cell r="U10">
            <v>7.039028738638855</v>
          </cell>
          <cell r="V10">
            <v>5.6754640798982869</v>
          </cell>
          <cell r="W10">
            <v>2.9484601579872187</v>
          </cell>
        </row>
        <row r="11">
          <cell r="N11">
            <v>34.090651823243419</v>
          </cell>
          <cell r="O11">
            <v>42.270259067554726</v>
          </cell>
          <cell r="P11">
            <v>46.0009621388201</v>
          </cell>
          <cell r="Q11">
            <v>37.281240393448371</v>
          </cell>
          <cell r="R11">
            <v>20.167288517504215</v>
          </cell>
          <cell r="S11">
            <v>5.3634313584697573</v>
          </cell>
          <cell r="T11">
            <v>6.4829494706873092</v>
          </cell>
          <cell r="U11">
            <v>6.805355185245098</v>
          </cell>
          <cell r="V11">
            <v>5.4022691408134094</v>
          </cell>
          <cell r="W11">
            <v>2.9670526156587975</v>
          </cell>
        </row>
        <row r="12">
          <cell r="N12">
            <v>39.839035221386283</v>
          </cell>
          <cell r="O12">
            <v>49.380484156908295</v>
          </cell>
          <cell r="P12">
            <v>53.946817052663931</v>
          </cell>
          <cell r="Q12">
            <v>44.049328391500353</v>
          </cell>
          <cell r="R12">
            <v>23.889044437512744</v>
          </cell>
          <cell r="S12">
            <v>5.7483833981428631</v>
          </cell>
          <cell r="T12">
            <v>7.1102250893535697</v>
          </cell>
          <cell r="U12">
            <v>7.9458549138438315</v>
          </cell>
          <cell r="V12">
            <v>6.7680879980519819</v>
          </cell>
          <cell r="W12">
            <v>3.7217559200085297</v>
          </cell>
        </row>
        <row r="13">
          <cell r="N13">
            <v>46</v>
          </cell>
          <cell r="O13">
            <v>57.271599999999999</v>
          </cell>
          <cell r="P13">
            <v>62.744500000000002</v>
          </cell>
          <cell r="Q13">
            <v>51.479400000000005</v>
          </cell>
          <cell r="R13">
            <v>28.139600000000002</v>
          </cell>
          <cell r="S13">
            <v>6.1609647786137174</v>
          </cell>
          <cell r="T13">
            <v>7.8911158430917041</v>
          </cell>
          <cell r="U13">
            <v>8.7976829473360709</v>
          </cell>
          <cell r="V13">
            <v>7.4300716084996523</v>
          </cell>
          <cell r="W13">
            <v>4.2505555624872571</v>
          </cell>
        </row>
        <row r="14">
          <cell r="N14">
            <v>52.603158553338972</v>
          </cell>
          <cell r="O14">
            <v>65.684306183936783</v>
          </cell>
          <cell r="P14">
            <v>72.302812722179397</v>
          </cell>
          <cell r="Q14">
            <v>59.304915307726851</v>
          </cell>
          <cell r="R14">
            <v>32.720765585871938</v>
          </cell>
          <cell r="S14">
            <v>6.6031585533389716</v>
          </cell>
          <cell r="T14">
            <v>8.412706183936784</v>
          </cell>
          <cell r="U14">
            <v>9.5583127221793944</v>
          </cell>
          <cell r="V14">
            <v>7.825515307726846</v>
          </cell>
          <cell r="W14">
            <v>4.5811655858719362</v>
          </cell>
        </row>
        <row r="15">
          <cell r="N15">
            <v>59.680248659727226</v>
          </cell>
          <cell r="O15">
            <v>74.54737703889127</v>
          </cell>
          <cell r="P15">
            <v>82.431656845525254</v>
          </cell>
          <cell r="Q15">
            <v>68.205701920440248</v>
          </cell>
          <cell r="R15">
            <v>37.657458466261879</v>
          </cell>
          <cell r="S15">
            <v>7.0770901063882548</v>
          </cell>
          <cell r="T15">
            <v>8.8630708549544863</v>
          </cell>
          <cell r="U15">
            <v>10.128844123345857</v>
          </cell>
          <cell r="V15">
            <v>8.9007866127133966</v>
          </cell>
          <cell r="W15">
            <v>4.9366928803899413</v>
          </cell>
          <cell r="AD15">
            <v>0.3</v>
          </cell>
          <cell r="AE15">
            <v>0.5</v>
          </cell>
          <cell r="AF15">
            <v>1.6666666666666667</v>
          </cell>
        </row>
        <row r="16">
          <cell r="N16">
            <v>67.265286027732301</v>
          </cell>
          <cell r="O16">
            <v>84.609786258865753</v>
          </cell>
          <cell r="P16">
            <v>93.680071393057432</v>
          </cell>
          <cell r="Q16">
            <v>77.82315758531557</v>
          </cell>
          <cell r="R16">
            <v>43.121288981373802</v>
          </cell>
          <cell r="S16">
            <v>7.5850373680050751</v>
          </cell>
          <cell r="T16">
            <v>10.062409219974484</v>
          </cell>
          <cell r="U16">
            <v>11.248414547532178</v>
          </cell>
          <cell r="V16">
            <v>9.6174556648753224</v>
          </cell>
          <cell r="W16">
            <v>5.4638305151119226</v>
          </cell>
          <cell r="AD16">
            <v>0.2</v>
          </cell>
          <cell r="AE16">
            <v>0.2</v>
          </cell>
          <cell r="AF16">
            <v>1</v>
          </cell>
        </row>
        <row r="17">
          <cell r="N17">
            <v>75.394727791106263</v>
          </cell>
          <cell r="O17">
            <v>94.714626787577259</v>
          </cell>
          <cell r="P17">
            <v>105.06156976741366</v>
          </cell>
          <cell r="Q17">
            <v>87.144176609439413</v>
          </cell>
          <cell r="R17">
            <v>48.214600619248152</v>
          </cell>
          <cell r="S17">
            <v>8.1294417633739613</v>
          </cell>
          <cell r="T17">
            <v>10.104840528711506</v>
          </cell>
          <cell r="U17">
            <v>11.381498374356227</v>
          </cell>
          <cell r="V17">
            <v>9.3210190241238422</v>
          </cell>
          <cell r="W17">
            <v>5.0933116378743506</v>
          </cell>
        </row>
        <row r="18">
          <cell r="N18">
            <v>84.107647738324729</v>
          </cell>
          <cell r="O18">
            <v>105.81948847383583</v>
          </cell>
          <cell r="P18">
            <v>117.65215461163081</v>
          </cell>
          <cell r="Q18">
            <v>97.742228807557069</v>
          </cell>
          <cell r="R18">
            <v>54.294960626625631</v>
          </cell>
          <cell r="S18">
            <v>8.7129199472184666</v>
          </cell>
          <cell r="T18">
            <v>11.104861686258573</v>
          </cell>
          <cell r="U18">
            <v>12.590584844217148</v>
          </cell>
          <cell r="V18">
            <v>10.598052198117657</v>
          </cell>
          <cell r="W18">
            <v>6.0803600073774788</v>
          </cell>
        </row>
        <row r="19">
          <cell r="N19">
            <v>93.445924118956611</v>
          </cell>
          <cell r="O19">
            <v>117.82698143815891</v>
          </cell>
          <cell r="P19">
            <v>131.02906222634775</v>
          </cell>
          <cell r="Q19">
            <v>109.36850015888693</v>
          </cell>
          <cell r="R19">
            <v>61.243849237624261</v>
          </cell>
          <cell r="S19">
            <v>9.338276380631882</v>
          </cell>
          <cell r="T19">
            <v>12.007492964323077</v>
          </cell>
          <cell r="U19">
            <v>13.376907614716941</v>
          </cell>
          <cell r="V19">
            <v>11.626271351329862</v>
          </cell>
          <cell r="W19">
            <v>6.9488886109986296</v>
          </cell>
        </row>
        <row r="20">
          <cell r="N20">
            <v>103.45444092954733</v>
          </cell>
          <cell r="O20">
            <v>130.20573524530138</v>
          </cell>
          <cell r="P20">
            <v>144.73546167193922</v>
          </cell>
          <cell r="Q20">
            <v>120.9434141686873</v>
          </cell>
          <cell r="R20">
            <v>67.270575511562512</v>
          </cell>
          <cell r="S20">
            <v>10.00851681059072</v>
          </cell>
          <cell r="T20">
            <v>12.378753807142473</v>
          </cell>
          <cell r="U20">
            <v>13.706399445591472</v>
          </cell>
          <cell r="V20">
            <v>11.574914009800366</v>
          </cell>
          <cell r="W20">
            <v>6.0267262739382517</v>
          </cell>
          <cell r="AD20">
            <v>0</v>
          </cell>
          <cell r="AE20">
            <v>0</v>
          </cell>
          <cell r="AF20" t="e">
            <v>#DIV/0!</v>
          </cell>
        </row>
        <row r="21">
          <cell r="N21">
            <v>114.18130364648684</v>
          </cell>
          <cell r="O21">
            <v>144.15538517504154</v>
          </cell>
          <cell r="P21">
            <v>160.98496467185777</v>
          </cell>
          <cell r="Q21">
            <v>134.58302040586085</v>
          </cell>
          <cell r="R21">
            <v>74.731415016400319</v>
          </cell>
          <cell r="S21">
            <v>10.726862716939507</v>
          </cell>
          <cell r="T21">
            <v>13.949649929740161</v>
          </cell>
          <cell r="U21">
            <v>16.249502999918548</v>
          </cell>
          <cell r="V21">
            <v>13.639606237173552</v>
          </cell>
          <cell r="W21">
            <v>7.4608395048378071</v>
          </cell>
          <cell r="AD21">
            <v>0.1</v>
          </cell>
          <cell r="AE21">
            <v>0.1</v>
          </cell>
          <cell r="AF21">
            <v>1</v>
          </cell>
        </row>
        <row r="22">
          <cell r="N22">
            <v>125.67807044277257</v>
          </cell>
          <cell r="O22">
            <v>159.01800361247061</v>
          </cell>
          <cell r="P22">
            <v>177.54240476934203</v>
          </cell>
          <cell r="Q22">
            <v>148.27471429518647</v>
          </cell>
          <cell r="R22">
            <v>82.678138280367776</v>
          </cell>
          <cell r="S22">
            <v>11.496766796285726</v>
          </cell>
          <cell r="T22">
            <v>14.862618437429063</v>
          </cell>
          <cell r="U22">
            <v>16.55744009748426</v>
          </cell>
          <cell r="V22">
            <v>13.69169388932562</v>
          </cell>
          <cell r="W22">
            <v>7.9467232639674563</v>
          </cell>
          <cell r="AD22">
            <v>0</v>
          </cell>
          <cell r="AE22">
            <v>0</v>
          </cell>
          <cell r="AF22" t="e">
            <v>#DIV/0!</v>
          </cell>
        </row>
        <row r="23">
          <cell r="N23">
            <v>138</v>
          </cell>
          <cell r="O23">
            <v>174.4479</v>
          </cell>
          <cell r="P23">
            <v>194.48519999999999</v>
          </cell>
          <cell r="Q23">
            <v>162.75029999999998</v>
          </cell>
          <cell r="R23">
            <v>90.6297</v>
          </cell>
          <cell r="S23">
            <v>12.321929557227435</v>
          </cell>
          <cell r="T23">
            <v>15.429896387529396</v>
          </cell>
          <cell r="U23">
            <v>16.942795230657964</v>
          </cell>
          <cell r="V23">
            <v>14.475585704813511</v>
          </cell>
          <cell r="W23">
            <v>7.9515617196322239</v>
          </cell>
          <cell r="AD23">
            <v>0.2</v>
          </cell>
          <cell r="AE23">
            <v>0.2</v>
          </cell>
          <cell r="AF23">
            <v>1</v>
          </cell>
        </row>
        <row r="24">
          <cell r="N24">
            <v>151.20631710667794</v>
          </cell>
          <cell r="O24">
            <v>191.07613583385876</v>
          </cell>
          <cell r="P24">
            <v>213.54572326529612</v>
          </cell>
          <cell r="Q24">
            <v>178.86688314626454</v>
          </cell>
          <cell r="R24">
            <v>100.08148903660003</v>
          </cell>
          <cell r="S24">
            <v>13.206317106677943</v>
          </cell>
          <cell r="T24">
            <v>16.628235833858753</v>
          </cell>
          <cell r="U24">
            <v>19.060523265296126</v>
          </cell>
          <cell r="V24">
            <v>16.11658314626456</v>
          </cell>
          <cell r="W24">
            <v>9.451789036600033</v>
          </cell>
          <cell r="AD24">
            <v>1</v>
          </cell>
        </row>
        <row r="25">
          <cell r="N25">
            <v>165.36049731945442</v>
          </cell>
          <cell r="O25">
            <v>209.32374240788337</v>
          </cell>
          <cell r="P25">
            <v>234.3204979331129</v>
          </cell>
          <cell r="Q25">
            <v>196.49895740273368</v>
          </cell>
          <cell r="R25">
            <v>110.07940462753481</v>
          </cell>
          <cell r="S25">
            <v>14.154180212776481</v>
          </cell>
          <cell r="T25">
            <v>18.247606574024616</v>
          </cell>
          <cell r="U25">
            <v>20.774774667816786</v>
          </cell>
          <cell r="V25">
            <v>17.632074256469139</v>
          </cell>
          <cell r="W25">
            <v>9.997915590934781</v>
          </cell>
        </row>
        <row r="26">
          <cell r="N26">
            <v>180.53057205546457</v>
          </cell>
          <cell r="O26">
            <v>228.34291669105832</v>
          </cell>
          <cell r="P26">
            <v>255.38835867379359</v>
          </cell>
          <cell r="Q26">
            <v>214.20227094816607</v>
          </cell>
          <cell r="R26">
            <v>119.57167719657959</v>
          </cell>
          <cell r="S26">
            <v>15.17007473601015</v>
          </cell>
          <cell r="T26">
            <v>19.019174283174948</v>
          </cell>
          <cell r="U26">
            <v>21.067860740680686</v>
          </cell>
          <cell r="V26">
            <v>17.703313545432394</v>
          </cell>
          <cell r="W26">
            <v>9.492272569044772</v>
          </cell>
        </row>
        <row r="27">
          <cell r="N27">
            <v>196.78945558221253</v>
          </cell>
          <cell r="O27">
            <v>249.3378016637993</v>
          </cell>
          <cell r="P27">
            <v>279.36231114450891</v>
          </cell>
          <cell r="Q27">
            <v>234.24276701115065</v>
          </cell>
          <cell r="R27">
            <v>130.73707481604291</v>
          </cell>
          <cell r="S27">
            <v>16.258883526747951</v>
          </cell>
          <cell r="T27">
            <v>20.994884972740977</v>
          </cell>
          <cell r="U27">
            <v>23.973952470715318</v>
          </cell>
          <cell r="V27">
            <v>20.040496062984573</v>
          </cell>
          <cell r="W27">
            <v>11.16539761946332</v>
          </cell>
        </row>
        <row r="28">
          <cell r="N28">
            <v>214.21529547664952</v>
          </cell>
          <cell r="O28">
            <v>271.6352397437405</v>
          </cell>
          <cell r="P28">
            <v>304.3542977006739</v>
          </cell>
          <cell r="Q28">
            <v>255.27291665272404</v>
          </cell>
          <cell r="R28">
            <v>142.17003475360278</v>
          </cell>
          <cell r="S28">
            <v>17.42583989443699</v>
          </cell>
          <cell r="T28">
            <v>22.297438079941202</v>
          </cell>
          <cell r="U28">
            <v>24.991986556164989</v>
          </cell>
          <cell r="V28">
            <v>21.030149641573388</v>
          </cell>
          <cell r="W28">
            <v>11.432959937559872</v>
          </cell>
        </row>
        <row r="29">
          <cell r="N29">
            <v>232.89184823791322</v>
          </cell>
          <cell r="O29">
            <v>295.38584427942419</v>
          </cell>
          <cell r="P29">
            <v>330.98184442270946</v>
          </cell>
          <cell r="Q29">
            <v>277.21622982385412</v>
          </cell>
          <cell r="R29">
            <v>154.46096176415654</v>
          </cell>
          <cell r="S29">
            <v>18.676552761263707</v>
          </cell>
          <cell r="T29">
            <v>23.750604535683692</v>
          </cell>
          <cell r="U29">
            <v>26.627546722035561</v>
          </cell>
          <cell r="V29">
            <v>21.943313171130086</v>
          </cell>
          <cell r="W29">
            <v>12.290927010553759</v>
          </cell>
        </row>
        <row r="30">
          <cell r="N30">
            <v>252.90888185909469</v>
          </cell>
          <cell r="O30">
            <v>320.81106802484203</v>
          </cell>
          <cell r="P30">
            <v>359.37967250835402</v>
          </cell>
          <cell r="Q30">
            <v>300.81642170621222</v>
          </cell>
          <cell r="R30">
            <v>167.79349727325055</v>
          </cell>
          <cell r="S30">
            <v>20.017033621181469</v>
          </cell>
          <cell r="T30">
            <v>25.425223745417838</v>
          </cell>
          <cell r="U30">
            <v>28.397828085644562</v>
          </cell>
          <cell r="V30">
            <v>23.600191882358104</v>
          </cell>
          <cell r="W30">
            <v>13.332535509094015</v>
          </cell>
        </row>
        <row r="31">
          <cell r="N31">
            <v>274.36260729297362</v>
          </cell>
          <cell r="O31">
            <v>347.82498471701922</v>
          </cell>
          <cell r="P31">
            <v>389.05094866504174</v>
          </cell>
          <cell r="Q31">
            <v>326.02687556759241</v>
          </cell>
          <cell r="R31">
            <v>182.70283171999623</v>
          </cell>
          <cell r="S31">
            <v>21.45372543387893</v>
          </cell>
          <cell r="T31">
            <v>27.01391669217719</v>
          </cell>
          <cell r="U31">
            <v>29.671276156687725</v>
          </cell>
          <cell r="V31">
            <v>25.210453861380188</v>
          </cell>
          <cell r="W31">
            <v>14.909334446745675</v>
          </cell>
        </row>
        <row r="32">
          <cell r="N32">
            <v>297.35614088554507</v>
          </cell>
          <cell r="O32">
            <v>377.36498200194677</v>
          </cell>
          <cell r="P32">
            <v>423.24444883501349</v>
          </cell>
          <cell r="Q32">
            <v>355.68060864106502</v>
          </cell>
          <cell r="R32">
            <v>199.4794278338882</v>
          </cell>
          <cell r="S32">
            <v>22.993533592571453</v>
          </cell>
          <cell r="T32">
            <v>29.539997284927551</v>
          </cell>
          <cell r="U32">
            <v>34.193500169971742</v>
          </cell>
          <cell r="V32">
            <v>29.653733073472608</v>
          </cell>
          <cell r="W32">
            <v>16.776596113891969</v>
          </cell>
        </row>
        <row r="33">
          <cell r="N33">
            <v>322</v>
          </cell>
          <cell r="O33">
            <v>408.87419999999997</v>
          </cell>
          <cell r="P33">
            <v>458.83110000000005</v>
          </cell>
          <cell r="Q33">
            <v>385.51869999999997</v>
          </cell>
          <cell r="R33">
            <v>216.37209999999999</v>
          </cell>
          <cell r="S33">
            <v>24.643859114454926</v>
          </cell>
          <cell r="T33">
            <v>31.509217998053202</v>
          </cell>
          <cell r="U33">
            <v>35.586651164986563</v>
          </cell>
          <cell r="V33">
            <v>29.838091358934946</v>
          </cell>
          <cell r="W33">
            <v>16.892672166111794</v>
          </cell>
        </row>
        <row r="34">
          <cell r="N34">
            <v>348.41263421335577</v>
          </cell>
          <cell r="O34">
            <v>442.97106572009051</v>
          </cell>
          <cell r="P34">
            <v>497.15680452796772</v>
          </cell>
          <cell r="Q34">
            <v>417.37561322449938</v>
          </cell>
          <cell r="R34">
            <v>234.66651300547557</v>
          </cell>
          <cell r="S34">
            <v>26.412634213355773</v>
          </cell>
          <cell r="T34">
            <v>34.096865720090534</v>
          </cell>
          <cell r="U34">
            <v>38.325704527967673</v>
          </cell>
          <cell r="V34">
            <v>31.856913224499408</v>
          </cell>
          <cell r="W34">
            <v>18.294413005475576</v>
          </cell>
        </row>
        <row r="35">
          <cell r="N35">
            <v>376.72099463890885</v>
          </cell>
          <cell r="O35">
            <v>479.18173455253606</v>
          </cell>
          <cell r="P35">
            <v>537.4760326381712</v>
          </cell>
          <cell r="Q35">
            <v>451.70894653915161</v>
          </cell>
          <cell r="R35">
            <v>253.90176079978457</v>
          </cell>
          <cell r="S35">
            <v>28.308360425553076</v>
          </cell>
          <cell r="T35">
            <v>36.210668832445549</v>
          </cell>
          <cell r="U35">
            <v>40.319228110203483</v>
          </cell>
          <cell r="V35">
            <v>34.333333314652236</v>
          </cell>
          <cell r="W35">
            <v>19.235247794309004</v>
          </cell>
        </row>
        <row r="36">
          <cell r="N36">
            <v>407.06114411092915</v>
          </cell>
          <cell r="O36">
            <v>516.70660293933065</v>
          </cell>
          <cell r="P36">
            <v>579.63560107228818</v>
          </cell>
          <cell r="Q36">
            <v>487.81499577829209</v>
          </cell>
          <cell r="R36">
            <v>274.25921567579985</v>
          </cell>
          <cell r="S36">
            <v>30.3401494720203</v>
          </cell>
          <cell r="T36">
            <v>37.524868386794594</v>
          </cell>
          <cell r="U36">
            <v>42.159568434116977</v>
          </cell>
          <cell r="V36">
            <v>36.106049239140475</v>
          </cell>
          <cell r="W36">
            <v>20.357454876015282</v>
          </cell>
        </row>
        <row r="37">
          <cell r="N37">
            <v>439.57891116442499</v>
          </cell>
          <cell r="O37">
            <v>558.17539018392961</v>
          </cell>
          <cell r="P37">
            <v>627.15678862157131</v>
          </cell>
          <cell r="Q37">
            <v>528.26013406653317</v>
          </cell>
          <cell r="R37">
            <v>296.75876732077467</v>
          </cell>
          <cell r="S37">
            <v>32.517767053495845</v>
          </cell>
          <cell r="T37">
            <v>41.468787244598957</v>
          </cell>
          <cell r="U37">
            <v>47.521187549283127</v>
          </cell>
          <cell r="V37">
            <v>40.445138288241083</v>
          </cell>
          <cell r="W37">
            <v>22.499551644974815</v>
          </cell>
        </row>
        <row r="38">
          <cell r="N38">
            <v>474.43059095329892</v>
          </cell>
          <cell r="O38">
            <v>603.32822566106074</v>
          </cell>
          <cell r="P38">
            <v>678.38211377902269</v>
          </cell>
          <cell r="Q38">
            <v>570.67399318242508</v>
          </cell>
          <cell r="R38">
            <v>320.39329177926174</v>
          </cell>
          <cell r="S38">
            <v>34.851679788873923</v>
          </cell>
          <cell r="T38">
            <v>45.152835477131134</v>
          </cell>
          <cell r="U38">
            <v>51.22532515745138</v>
          </cell>
          <cell r="V38">
            <v>42.41385911589191</v>
          </cell>
          <cell r="W38">
            <v>23.634524458487078</v>
          </cell>
        </row>
        <row r="39">
          <cell r="N39">
            <v>511.78369647582645</v>
          </cell>
          <cell r="O39">
            <v>651.64973042965698</v>
          </cell>
          <cell r="P39">
            <v>731.69158798522301</v>
          </cell>
          <cell r="Q39">
            <v>614.91701190173114</v>
          </cell>
          <cell r="R39">
            <v>343.89973028645079</v>
          </cell>
          <cell r="S39">
            <v>37.353105522527528</v>
          </cell>
          <cell r="T39">
            <v>48.321504768596242</v>
          </cell>
          <cell r="U39">
            <v>53.309474206200321</v>
          </cell>
          <cell r="V39">
            <v>44.243018719306065</v>
          </cell>
          <cell r="W39">
            <v>23.506438507189046</v>
          </cell>
        </row>
        <row r="40">
          <cell r="N40">
            <v>551.81776371818933</v>
          </cell>
          <cell r="O40">
            <v>702.3836397563656</v>
          </cell>
          <cell r="P40">
            <v>788.70953087090561</v>
          </cell>
          <cell r="Q40">
            <v>660.91813362444623</v>
          </cell>
          <cell r="R40">
            <v>370.80114395344231</v>
          </cell>
          <cell r="S40">
            <v>40.03406724236288</v>
          </cell>
          <cell r="T40">
            <v>50.733909326708613</v>
          </cell>
          <cell r="U40">
            <v>57.017942885682601</v>
          </cell>
          <cell r="V40">
            <v>46.001121722715084</v>
          </cell>
          <cell r="W40">
            <v>26.901413666991516</v>
          </cell>
        </row>
        <row r="41">
          <cell r="N41">
            <v>594.72521458594724</v>
          </cell>
          <cell r="O41">
            <v>756.5654600455988</v>
          </cell>
          <cell r="P41">
            <v>848.03678381072007</v>
          </cell>
          <cell r="Q41">
            <v>710.3113529216273</v>
          </cell>
          <cell r="R41">
            <v>398.70119809661651</v>
          </cell>
          <cell r="S41">
            <v>42.907450867757916</v>
          </cell>
          <cell r="T41">
            <v>54.181820289233201</v>
          </cell>
          <cell r="U41">
            <v>59.327252939814457</v>
          </cell>
          <cell r="V41">
            <v>49.393219297181076</v>
          </cell>
          <cell r="W41">
            <v>27.900054143174202</v>
          </cell>
        </row>
        <row r="42">
          <cell r="N42">
            <v>640.71228177109015</v>
          </cell>
          <cell r="O42">
            <v>813.85363309743559</v>
          </cell>
          <cell r="P42">
            <v>911.45639925575597</v>
          </cell>
          <cell r="Q42">
            <v>764.23185972705107</v>
          </cell>
          <cell r="R42">
            <v>429.53072799376594</v>
          </cell>
          <cell r="S42">
            <v>45.987067185142905</v>
          </cell>
          <cell r="T42">
            <v>57.288173051836793</v>
          </cell>
          <cell r="U42">
            <v>63.419615445035902</v>
          </cell>
          <cell r="V42">
            <v>53.92050680542377</v>
          </cell>
          <cell r="W42">
            <v>30.829529897149428</v>
          </cell>
        </row>
        <row r="43">
          <cell r="N43">
            <v>690</v>
          </cell>
          <cell r="O43">
            <v>874.95300000000009</v>
          </cell>
          <cell r="P43">
            <v>981.16200000000003</v>
          </cell>
          <cell r="Q43">
            <v>824.10299999999995</v>
          </cell>
          <cell r="R43">
            <v>463.5</v>
          </cell>
          <cell r="S43">
            <v>49.287718228909853</v>
          </cell>
          <cell r="T43">
            <v>61.099366902564498</v>
          </cell>
          <cell r="U43">
            <v>69.705600744244066</v>
          </cell>
          <cell r="V43">
            <v>59.871140272948878</v>
          </cell>
          <cell r="W43">
            <v>33.969272006234064</v>
          </cell>
        </row>
        <row r="44">
          <cell r="N44">
            <v>742.82526842671143</v>
          </cell>
          <cell r="O44">
            <v>942.37074325168692</v>
          </cell>
          <cell r="P44">
            <v>1057.6007055976104</v>
          </cell>
          <cell r="Q44">
            <v>888.85825684924259</v>
          </cell>
          <cell r="R44">
            <v>500.64808254420291</v>
          </cell>
          <cell r="S44">
            <v>52.825268426711432</v>
          </cell>
          <cell r="T44">
            <v>67.417743251686829</v>
          </cell>
          <cell r="U44">
            <v>76.438705597610351</v>
          </cell>
          <cell r="V44">
            <v>64.755256849242642</v>
          </cell>
          <cell r="W44">
            <v>37.148082544202907</v>
          </cell>
        </row>
        <row r="45">
          <cell r="N45">
            <v>799.4419892778177</v>
          </cell>
          <cell r="O45">
            <v>1017.2238904960392</v>
          </cell>
          <cell r="P45">
            <v>1141.846469120243</v>
          </cell>
          <cell r="Q45">
            <v>960.18544247843488</v>
          </cell>
          <cell r="R45">
            <v>540.59657648860423</v>
          </cell>
          <cell r="S45">
            <v>56.616720851106265</v>
          </cell>
          <cell r="T45">
            <v>74.853147244352272</v>
          </cell>
          <cell r="U45">
            <v>84.245763522632615</v>
          </cell>
          <cell r="V45">
            <v>71.327185629192286</v>
          </cell>
          <cell r="W45">
            <v>39.948493944401321</v>
          </cell>
        </row>
        <row r="46">
          <cell r="N46">
            <v>860.12228822185841</v>
          </cell>
          <cell r="O46">
            <v>1094.6851155442046</v>
          </cell>
          <cell r="P46">
            <v>1229.3671770623182</v>
          </cell>
          <cell r="Q46">
            <v>1032.1037397518191</v>
          </cell>
          <cell r="R46">
            <v>580.8592795468345</v>
          </cell>
          <cell r="S46">
            <v>60.680298944040715</v>
          </cell>
          <cell r="T46">
            <v>77.461225048165375</v>
          </cell>
          <cell r="U46">
            <v>87.520707942075205</v>
          </cell>
          <cell r="V46">
            <v>71.918297273384269</v>
          </cell>
          <cell r="W46">
            <v>40.262703058230272</v>
          </cell>
        </row>
        <row r="47">
          <cell r="N47">
            <v>925.1578223288501</v>
          </cell>
          <cell r="O47">
            <v>1177.4564053285565</v>
          </cell>
          <cell r="P47">
            <v>1321.4069400576111</v>
          </cell>
          <cell r="Q47">
            <v>1109.1073543850268</v>
          </cell>
          <cell r="R47">
            <v>623.53626012307257</v>
          </cell>
          <cell r="S47">
            <v>65.03553410699169</v>
          </cell>
          <cell r="T47">
            <v>82.771289784351893</v>
          </cell>
          <cell r="U47">
            <v>92.039762995292904</v>
          </cell>
          <cell r="V47">
            <v>77.00361463320769</v>
          </cell>
          <cell r="W47">
            <v>42.676980576238066</v>
          </cell>
        </row>
        <row r="48">
          <cell r="N48">
            <v>994.86118190659784</v>
          </cell>
          <cell r="O48">
            <v>1266.3133808732127</v>
          </cell>
          <cell r="P48">
            <v>1419.9805041271859</v>
          </cell>
          <cell r="Q48">
            <v>1192.0015760681895</v>
          </cell>
          <cell r="R48">
            <v>669.40099721265346</v>
          </cell>
          <cell r="S48">
            <v>69.703359577747733</v>
          </cell>
          <cell r="T48">
            <v>88.856975544656279</v>
          </cell>
          <cell r="U48">
            <v>98.573564069574786</v>
          </cell>
          <cell r="V48">
            <v>82.894221683162641</v>
          </cell>
          <cell r="W48">
            <v>45.864737089580899</v>
          </cell>
        </row>
        <row r="49">
          <cell r="N49">
            <v>1069.5673929516524</v>
          </cell>
          <cell r="O49">
            <v>1360.7803671478041</v>
          </cell>
          <cell r="P49">
            <v>1524.9171093287671</v>
          </cell>
          <cell r="Q49">
            <v>1279.8350418199216</v>
          </cell>
          <cell r="R49">
            <v>716.31485967129208</v>
          </cell>
          <cell r="S49">
            <v>74.706211045054602</v>
          </cell>
          <cell r="T49">
            <v>94.466986274591363</v>
          </cell>
          <cell r="U49">
            <v>104.93660520158119</v>
          </cell>
          <cell r="V49">
            <v>87.833465751732092</v>
          </cell>
          <cell r="W49">
            <v>46.913862458638619</v>
          </cell>
        </row>
        <row r="50">
          <cell r="N50">
            <v>1149.6355274363787</v>
          </cell>
          <cell r="O50">
            <v>1462.1464511162799</v>
          </cell>
          <cell r="P50">
            <v>1637.7082921941562</v>
          </cell>
          <cell r="Q50">
            <v>1373.584528180985</v>
          </cell>
          <cell r="R50">
            <v>766.59196494058733</v>
          </cell>
          <cell r="S50">
            <v>80.068134484726215</v>
          </cell>
          <cell r="T50">
            <v>101.36608396847578</v>
          </cell>
          <cell r="U50">
            <v>112.79118286538915</v>
          </cell>
          <cell r="V50">
            <v>93.749486361063418</v>
          </cell>
          <cell r="W50">
            <v>50.277105269295248</v>
          </cell>
        </row>
        <row r="51">
          <cell r="N51">
            <v>1235.4504291718947</v>
          </cell>
          <cell r="O51">
            <v>1569.4893676019494</v>
          </cell>
          <cell r="P51">
            <v>1758.9779200570902</v>
          </cell>
          <cell r="Q51">
            <v>1469.7536030643444</v>
          </cell>
          <cell r="R51">
            <v>819.941592223361</v>
          </cell>
          <cell r="S51">
            <v>85.814901735516059</v>
          </cell>
          <cell r="T51">
            <v>107.34291648566955</v>
          </cell>
          <cell r="U51">
            <v>121.26962786293393</v>
          </cell>
          <cell r="V51">
            <v>96.169074883359372</v>
          </cell>
          <cell r="W51">
            <v>53.349627282773668</v>
          </cell>
        </row>
        <row r="52">
          <cell r="N52">
            <v>1327.4245635421805</v>
          </cell>
          <cell r="O52">
            <v>1686.1379661948713</v>
          </cell>
          <cell r="P52">
            <v>1885.4623072330214</v>
          </cell>
          <cell r="Q52">
            <v>1572.6316231897233</v>
          </cell>
          <cell r="R52">
            <v>880.3883704191951</v>
          </cell>
          <cell r="S52">
            <v>91.97413437028581</v>
          </cell>
          <cell r="T52">
            <v>116.64859859292187</v>
          </cell>
          <cell r="U52">
            <v>126.48438717593126</v>
          </cell>
          <cell r="V52">
            <v>102.87802012537895</v>
          </cell>
          <cell r="W52">
            <v>60.446778195834099</v>
          </cell>
        </row>
        <row r="53">
          <cell r="N53">
            <v>1426</v>
          </cell>
          <cell r="O53">
            <v>1811.3516999999999</v>
          </cell>
          <cell r="P53">
            <v>2020.6823000000002</v>
          </cell>
          <cell r="Q53">
            <v>1687.8197999999998</v>
          </cell>
          <cell r="R53">
            <v>946.40519999999992</v>
          </cell>
          <cell r="S53">
            <v>98.575436457819478</v>
          </cell>
          <cell r="T53">
            <v>125.21373380512864</v>
          </cell>
          <cell r="U53">
            <v>135.21999276697875</v>
          </cell>
          <cell r="V53">
            <v>115.18817681027645</v>
          </cell>
          <cell r="W53">
            <v>66.016829580804824</v>
          </cell>
        </row>
        <row r="54">
          <cell r="N54">
            <v>1531.6505368534229</v>
          </cell>
          <cell r="O54">
            <v>1938.1905454352827</v>
          </cell>
          <cell r="P54">
            <v>2164.3320878515306</v>
          </cell>
          <cell r="Q54">
            <v>1811.4964086368636</v>
          </cell>
          <cell r="R54">
            <v>1014.1224688260519</v>
          </cell>
          <cell r="S54">
            <v>105.65053685342286</v>
          </cell>
          <cell r="T54">
            <v>126.83884543528279</v>
          </cell>
          <cell r="U54">
            <v>143.64978785153039</v>
          </cell>
          <cell r="V54">
            <v>123.67660863686388</v>
          </cell>
          <cell r="W54">
            <v>67.717268826051964</v>
          </cell>
        </row>
        <row r="55">
          <cell r="N55">
            <v>1644.8839785556356</v>
          </cell>
          <cell r="O55">
            <v>2082.4374201903788</v>
          </cell>
          <cell r="P55">
            <v>2330.1962815429533</v>
          </cell>
          <cell r="Q55">
            <v>1949.8383165103787</v>
          </cell>
          <cell r="R55">
            <v>1088.7272503975591</v>
          </cell>
          <cell r="S55">
            <v>113.23344170221276</v>
          </cell>
          <cell r="T55">
            <v>144.24687475509609</v>
          </cell>
          <cell r="U55">
            <v>165.86419369142277</v>
          </cell>
          <cell r="V55">
            <v>138.34190787351508</v>
          </cell>
          <cell r="W55">
            <v>74.60478157150726</v>
          </cell>
        </row>
        <row r="56">
          <cell r="N56">
            <v>1766.2445764437161</v>
          </cell>
          <cell r="O56">
            <v>2239.6825954973315</v>
          </cell>
          <cell r="P56">
            <v>2509.806665491662</v>
          </cell>
          <cell r="Q56">
            <v>2092.9076711948587</v>
          </cell>
          <cell r="R56">
            <v>1167.8677915794442</v>
          </cell>
          <cell r="S56">
            <v>121.36059788808052</v>
          </cell>
          <cell r="T56">
            <v>157.24517530695266</v>
          </cell>
          <cell r="U56">
            <v>179.61038394870866</v>
          </cell>
          <cell r="V56">
            <v>143.06935468448</v>
          </cell>
          <cell r="W56">
            <v>79.140541181885055</v>
          </cell>
        </row>
        <row r="57">
          <cell r="N57">
            <v>1896.3156446577002</v>
          </cell>
          <cell r="O57">
            <v>2408.4857657278585</v>
          </cell>
          <cell r="P57">
            <v>2689.3837042307518</v>
          </cell>
          <cell r="Q57">
            <v>2241.5151732157478</v>
          </cell>
          <cell r="R57">
            <v>1247.5036141140115</v>
          </cell>
          <cell r="S57">
            <v>130.07106821398406</v>
          </cell>
          <cell r="T57">
            <v>168.80317023052703</v>
          </cell>
          <cell r="U57">
            <v>179.57703873908986</v>
          </cell>
          <cell r="V57">
            <v>148.60750202088911</v>
          </cell>
          <cell r="W57">
            <v>79.635822534567296</v>
          </cell>
        </row>
        <row r="58">
          <cell r="N58">
            <v>2035.7223638131961</v>
          </cell>
          <cell r="O58">
            <v>2581.6898253376967</v>
          </cell>
          <cell r="P58">
            <v>2879.4407739457738</v>
          </cell>
          <cell r="Q58">
            <v>2398.0942210221438</v>
          </cell>
          <cell r="R58">
            <v>1333.2875112126535</v>
          </cell>
          <cell r="S58">
            <v>139.40671915549592</v>
          </cell>
          <cell r="T58">
            <v>173.20405960983817</v>
          </cell>
          <cell r="U58">
            <v>190.05706971502195</v>
          </cell>
          <cell r="V58">
            <v>156.57904780639592</v>
          </cell>
          <cell r="W58">
            <v>85.783897098642001</v>
          </cell>
        </row>
        <row r="59">
          <cell r="N59">
            <v>2185.1347859033053</v>
          </cell>
          <cell r="O59">
            <v>2765.4448312300565</v>
          </cell>
          <cell r="P59">
            <v>3083.8617221732834</v>
          </cell>
          <cell r="Q59">
            <v>2565.7852656076611</v>
          </cell>
          <cell r="R59">
            <v>1425.2731652774821</v>
          </cell>
          <cell r="S59">
            <v>149.4124220901092</v>
          </cell>
          <cell r="T59">
            <v>183.7550058923598</v>
          </cell>
          <cell r="U59">
            <v>204.4209482275096</v>
          </cell>
          <cell r="V59">
            <v>167.69104458551737</v>
          </cell>
          <cell r="W59">
            <v>91.985654064828623</v>
          </cell>
        </row>
        <row r="60">
          <cell r="N60">
            <v>2345.2710548727578</v>
          </cell>
          <cell r="O60">
            <v>2968.7919553027004</v>
          </cell>
          <cell r="P60">
            <v>3304.7571323285597</v>
          </cell>
          <cell r="Q60">
            <v>2746.4653577160998</v>
          </cell>
          <cell r="R60">
            <v>1526.0474817443567</v>
          </cell>
          <cell r="S60">
            <v>160.13626896945243</v>
          </cell>
          <cell r="T60">
            <v>203.34712407264396</v>
          </cell>
          <cell r="U60">
            <v>220.89541015527629</v>
          </cell>
          <cell r="V60">
            <v>180.68009210843866</v>
          </cell>
          <cell r="W60">
            <v>100.77431646687455</v>
          </cell>
        </row>
        <row r="61">
          <cell r="N61">
            <v>2516.9008583437885</v>
          </cell>
          <cell r="O61">
            <v>3179.8197152899115</v>
          </cell>
          <cell r="P61">
            <v>3541.126305028768</v>
          </cell>
          <cell r="Q61">
            <v>2942.9465153781307</v>
          </cell>
          <cell r="R61">
            <v>1633.2169669792843</v>
          </cell>
          <cell r="S61">
            <v>171.62980347103075</v>
          </cell>
          <cell r="T61">
            <v>211.02775998721108</v>
          </cell>
          <cell r="U61">
            <v>236.36917270020831</v>
          </cell>
          <cell r="V61">
            <v>196.48115766203091</v>
          </cell>
          <cell r="W61">
            <v>107.16948523492761</v>
          </cell>
        </row>
        <row r="62">
          <cell r="N62">
            <v>2700.8491270843624</v>
          </cell>
          <cell r="O62">
            <v>3413.0043277850505</v>
          </cell>
          <cell r="P62">
            <v>3797.2588302242589</v>
          </cell>
          <cell r="Q62">
            <v>3152.5896292338052</v>
          </cell>
          <cell r="R62">
            <v>1751.3714878690009</v>
          </cell>
          <cell r="S62">
            <v>183.94826874057389</v>
          </cell>
          <cell r="T62">
            <v>233.18461249513894</v>
          </cell>
          <cell r="U62">
            <v>256.13252519549087</v>
          </cell>
          <cell r="V62">
            <v>209.64311385567453</v>
          </cell>
          <cell r="W62">
            <v>118.15452088971665</v>
          </cell>
        </row>
        <row r="63">
          <cell r="N63">
            <v>2898</v>
          </cell>
          <cell r="O63">
            <v>3657.4965000000002</v>
          </cell>
          <cell r="P63">
            <v>4069.2833999999998</v>
          </cell>
          <cell r="Q63">
            <v>3379.4712</v>
          </cell>
          <cell r="R63">
            <v>1882.4589000000003</v>
          </cell>
          <cell r="S63">
            <v>197.15087291563759</v>
          </cell>
          <cell r="T63">
            <v>244.49217221494973</v>
          </cell>
          <cell r="U63">
            <v>272.02456977574093</v>
          </cell>
          <cell r="V63">
            <v>226.88157076619473</v>
          </cell>
          <cell r="W63">
            <v>131.08741213099938</v>
          </cell>
        </row>
        <row r="64">
          <cell r="N64">
            <v>3109.3010737068457</v>
          </cell>
          <cell r="O64">
            <v>3925.9860381165895</v>
          </cell>
          <cell r="P64">
            <v>4365.9859367969093</v>
          </cell>
          <cell r="Q64">
            <v>3628.6625026184524</v>
          </cell>
          <cell r="R64">
            <v>2019.01789286138</v>
          </cell>
          <cell r="S64">
            <v>211.30107370684573</v>
          </cell>
          <cell r="T64">
            <v>268.4895381165893</v>
          </cell>
          <cell r="U64">
            <v>296.7025367969095</v>
          </cell>
          <cell r="V64">
            <v>249.19130261845248</v>
          </cell>
          <cell r="W64">
            <v>136.55899286137969</v>
          </cell>
        </row>
        <row r="65">
          <cell r="N65">
            <v>3335.7679571112699</v>
          </cell>
          <cell r="O65">
            <v>4210.4788321605647</v>
          </cell>
          <cell r="P65">
            <v>4687.2833516127894</v>
          </cell>
          <cell r="Q65">
            <v>3898.1856863497019</v>
          </cell>
          <cell r="R65">
            <v>2175.7836567037139</v>
          </cell>
          <cell r="S65">
            <v>226.46688340442415</v>
          </cell>
          <cell r="T65">
            <v>284.49279404397521</v>
          </cell>
          <cell r="U65">
            <v>321.29741481588007</v>
          </cell>
          <cell r="V65">
            <v>269.52318373124945</v>
          </cell>
          <cell r="W65">
            <v>156.76576384233385</v>
          </cell>
        </row>
        <row r="66">
          <cell r="N66">
            <v>3578.4891528874323</v>
          </cell>
          <cell r="O66">
            <v>4520.4953050880667</v>
          </cell>
          <cell r="P66">
            <v>5030.4689059957536</v>
          </cell>
          <cell r="Q66">
            <v>4189.8429073612688</v>
          </cell>
          <cell r="R66">
            <v>2338.1070192541943</v>
          </cell>
          <cell r="S66">
            <v>242.7211957761624</v>
          </cell>
          <cell r="T66">
            <v>310.01647292750204</v>
          </cell>
          <cell r="U66">
            <v>343.18555438296426</v>
          </cell>
          <cell r="V66">
            <v>291.65722101156689</v>
          </cell>
          <cell r="W66">
            <v>162.3233625504804</v>
          </cell>
        </row>
        <row r="67">
          <cell r="N67">
            <v>3838.631289315399</v>
          </cell>
          <cell r="O67">
            <v>4850.7949118015804</v>
          </cell>
          <cell r="P67">
            <v>5402.2393310636253</v>
          </cell>
          <cell r="Q67">
            <v>4503.0232618402342</v>
          </cell>
          <cell r="R67">
            <v>2507.2187163176109</v>
          </cell>
          <cell r="S67">
            <v>260.14213642796676</v>
          </cell>
          <cell r="T67">
            <v>330.29960671351364</v>
          </cell>
          <cell r="U67">
            <v>371.77042506787166</v>
          </cell>
          <cell r="V67">
            <v>313.18035447896546</v>
          </cell>
          <cell r="W67">
            <v>169.11169706341661</v>
          </cell>
        </row>
        <row r="68">
          <cell r="N68">
            <v>4117.4447276263909</v>
          </cell>
          <cell r="O68">
            <v>5202.5256778579324</v>
          </cell>
          <cell r="P68">
            <v>5806.0267123595722</v>
          </cell>
          <cell r="Q68">
            <v>4833.7816495985917</v>
          </cell>
          <cell r="R68">
            <v>2677.3415812386629</v>
          </cell>
          <cell r="S68">
            <v>278.81343831099184</v>
          </cell>
          <cell r="T68">
            <v>351.73076605635197</v>
          </cell>
          <cell r="U68">
            <v>403.78738129594694</v>
          </cell>
          <cell r="V68">
            <v>330.75838775835746</v>
          </cell>
          <cell r="W68">
            <v>170.12286492105204</v>
          </cell>
        </row>
        <row r="69">
          <cell r="N69">
            <v>4416.2695718066107</v>
          </cell>
          <cell r="O69">
            <v>5584.6032876140744</v>
          </cell>
          <cell r="P69">
            <v>6232.6428443465666</v>
          </cell>
          <cell r="Q69">
            <v>5166.7953843630921</v>
          </cell>
          <cell r="R69">
            <v>2868.6839062272406</v>
          </cell>
          <cell r="S69">
            <v>298.82484418021977</v>
          </cell>
          <cell r="T69">
            <v>382.07760975614201</v>
          </cell>
          <cell r="U69">
            <v>426.61613198699433</v>
          </cell>
          <cell r="V69">
            <v>333.01373476450044</v>
          </cell>
          <cell r="W69">
            <v>191.34232498857773</v>
          </cell>
        </row>
        <row r="70">
          <cell r="N70">
            <v>4736.5421097455128</v>
          </cell>
          <cell r="O70">
            <v>5994.4338352951672</v>
          </cell>
          <cell r="P70">
            <v>6669.648506700737</v>
          </cell>
          <cell r="Q70">
            <v>5523.467097126364</v>
          </cell>
          <cell r="R70">
            <v>3069.2998807764393</v>
          </cell>
          <cell r="S70">
            <v>320.27253793890213</v>
          </cell>
          <cell r="T70">
            <v>409.83054768109287</v>
          </cell>
          <cell r="U70">
            <v>437.00566235417045</v>
          </cell>
          <cell r="V70">
            <v>356.6717127632719</v>
          </cell>
          <cell r="W70">
            <v>200.61597454919865</v>
          </cell>
        </row>
        <row r="71">
          <cell r="N71">
            <v>5079.8017166875779</v>
          </cell>
          <cell r="O71">
            <v>6420.7147672321553</v>
          </cell>
          <cell r="P71">
            <v>7120.8439603582265</v>
          </cell>
          <cell r="Q71">
            <v>5913.5186519153212</v>
          </cell>
          <cell r="R71">
            <v>3281.4966937441241</v>
          </cell>
          <cell r="S71">
            <v>343.25960694206515</v>
          </cell>
          <cell r="T71">
            <v>426.28093193698805</v>
          </cell>
          <cell r="U71">
            <v>451.19545365748945</v>
          </cell>
          <cell r="V71">
            <v>390.05155478895722</v>
          </cell>
          <cell r="W71">
            <v>212.19681296768476</v>
          </cell>
        </row>
        <row r="72">
          <cell r="N72">
            <v>5447.6982541687212</v>
          </cell>
          <cell r="O72">
            <v>6868.2684736992569</v>
          </cell>
          <cell r="P72">
            <v>7634.4043333920454</v>
          </cell>
          <cell r="Q72">
            <v>6338.1363766348895</v>
          </cell>
          <cell r="R72">
            <v>3508.175561817156</v>
          </cell>
          <cell r="S72">
            <v>367.89653748114324</v>
          </cell>
          <cell r="T72">
            <v>447.55370646710162</v>
          </cell>
          <cell r="U72">
            <v>513.56037303381891</v>
          </cell>
          <cell r="V72">
            <v>424.61772471956829</v>
          </cell>
          <cell r="W72">
            <v>226.67886807303194</v>
          </cell>
        </row>
        <row r="73">
          <cell r="N73">
            <v>5842</v>
          </cell>
          <cell r="O73">
            <v>7367.9431000000004</v>
          </cell>
          <cell r="P73">
            <v>8199.691499999999</v>
          </cell>
          <cell r="Q73">
            <v>6790.3471000000009</v>
          </cell>
          <cell r="R73">
            <v>3759.4794000000002</v>
          </cell>
          <cell r="S73">
            <v>394.30174583127882</v>
          </cell>
          <cell r="T73">
            <v>499.67462630074351</v>
          </cell>
          <cell r="U73">
            <v>565.28716660795362</v>
          </cell>
          <cell r="V73">
            <v>452.21072336511133</v>
          </cell>
          <cell r="W73">
            <v>251.30383818284417</v>
          </cell>
        </row>
        <row r="74">
          <cell r="N74">
            <v>6264.6021474136924</v>
          </cell>
          <cell r="O74">
            <v>7908.2294703902389</v>
          </cell>
          <cell r="P74">
            <v>8789.1278632188478</v>
          </cell>
          <cell r="Q74">
            <v>7273.1349996456938</v>
          </cell>
          <cell r="R74">
            <v>4030.0321801315486</v>
          </cell>
          <cell r="S74">
            <v>422.60214741369236</v>
          </cell>
          <cell r="T74">
            <v>540.28637039023852</v>
          </cell>
          <cell r="U74">
            <v>589.43636321884878</v>
          </cell>
          <cell r="V74">
            <v>482.78789964569296</v>
          </cell>
          <cell r="W74">
            <v>270.55278013154839</v>
          </cell>
        </row>
        <row r="75">
          <cell r="N75">
            <v>6717.5359142225398</v>
          </cell>
          <cell r="O75">
            <v>8480.9767117396204</v>
          </cell>
          <cell r="P75">
            <v>9401.9946955963624</v>
          </cell>
          <cell r="Q75">
            <v>7785.4488845165961</v>
          </cell>
          <cell r="R75">
            <v>4315.3888813133908</v>
          </cell>
          <cell r="S75">
            <v>452.93376680884739</v>
          </cell>
          <cell r="T75">
            <v>572.74724134938151</v>
          </cell>
          <cell r="U75">
            <v>612.86683237751458</v>
          </cell>
          <cell r="V75">
            <v>512.31388487090226</v>
          </cell>
          <cell r="W75">
            <v>285.35670118184225</v>
          </cell>
        </row>
        <row r="76">
          <cell r="N76">
            <v>7202.9783057748664</v>
          </cell>
          <cell r="O76">
            <v>9072.871473954021</v>
          </cell>
          <cell r="P76">
            <v>10062.905183434286</v>
          </cell>
          <cell r="Q76">
            <v>8338.3869078438565</v>
          </cell>
          <cell r="R76">
            <v>4622.4017171915848</v>
          </cell>
          <cell r="S76">
            <v>485.44239155232663</v>
          </cell>
          <cell r="T76">
            <v>591.89476221440054</v>
          </cell>
          <cell r="U76">
            <v>660.91048783792394</v>
          </cell>
          <cell r="V76">
            <v>552.93802332726045</v>
          </cell>
          <cell r="W76">
            <v>307.01283587819398</v>
          </cell>
        </row>
        <row r="77">
          <cell r="N77">
            <v>7723.2625786307999</v>
          </cell>
          <cell r="O77">
            <v>9725.9717240747977</v>
          </cell>
          <cell r="P77">
            <v>10801.990098290646</v>
          </cell>
          <cell r="Q77">
            <v>8947.6011737588742</v>
          </cell>
          <cell r="R77">
            <v>4961.4742496161989</v>
          </cell>
          <cell r="S77">
            <v>520.28427285593352</v>
          </cell>
          <cell r="T77">
            <v>653.10025012077676</v>
          </cell>
          <cell r="U77">
            <v>739.08491485635932</v>
          </cell>
          <cell r="V77">
            <v>609.21426591501768</v>
          </cell>
          <cell r="W77">
            <v>339.07253242461411</v>
          </cell>
        </row>
        <row r="78">
          <cell r="N78">
            <v>8280.8894552527818</v>
          </cell>
          <cell r="O78">
            <v>10435.432876040768</v>
          </cell>
          <cell r="P78">
            <v>11591.73307493163</v>
          </cell>
          <cell r="Q78">
            <v>9601.0432537560609</v>
          </cell>
          <cell r="R78">
            <v>5330.8225868189775</v>
          </cell>
          <cell r="S78">
            <v>557.62687662198186</v>
          </cell>
          <cell r="T78">
            <v>709.4611519659702</v>
          </cell>
          <cell r="U78">
            <v>789.74297664098412</v>
          </cell>
          <cell r="V78">
            <v>653.44207999718674</v>
          </cell>
          <cell r="W78">
            <v>369.34833720277857</v>
          </cell>
        </row>
        <row r="79">
          <cell r="N79">
            <v>8878.5391436132213</v>
          </cell>
          <cell r="O79">
            <v>11187.287440877531</v>
          </cell>
          <cell r="P79">
            <v>12423.064282636185</v>
          </cell>
          <cell r="Q79">
            <v>10303.911398432119</v>
          </cell>
          <cell r="R79">
            <v>5733.4517601925972</v>
          </cell>
          <cell r="S79">
            <v>597.64968836043954</v>
          </cell>
          <cell r="T79">
            <v>751.85456483676353</v>
          </cell>
          <cell r="U79">
            <v>831.33120770455571</v>
          </cell>
          <cell r="V79">
            <v>702.86814467605836</v>
          </cell>
          <cell r="W79">
            <v>402.62917337361978</v>
          </cell>
        </row>
        <row r="80">
          <cell r="N80">
            <v>9519.0842194910274</v>
          </cell>
          <cell r="O80">
            <v>12001.33028535274</v>
          </cell>
          <cell r="P80">
            <v>13334.39525564707</v>
          </cell>
          <cell r="Q80">
            <v>11064.341993234622</v>
          </cell>
          <cell r="R80">
            <v>6132.1733605347736</v>
          </cell>
          <cell r="S80">
            <v>640.54507587780608</v>
          </cell>
          <cell r="T80">
            <v>814.04284447520877</v>
          </cell>
          <cell r="U80">
            <v>911.33097301088492</v>
          </cell>
          <cell r="V80">
            <v>760.43059480250304</v>
          </cell>
          <cell r="W80">
            <v>398.72160034217632</v>
          </cell>
        </row>
        <row r="81">
          <cell r="N81">
            <v>10205.603433375156</v>
          </cell>
          <cell r="O81">
            <v>12866.869831288672</v>
          </cell>
          <cell r="P81">
            <v>14308.189455308708</v>
          </cell>
          <cell r="Q81">
            <v>11862.30566202825</v>
          </cell>
          <cell r="R81">
            <v>6556.1462038834607</v>
          </cell>
          <cell r="S81">
            <v>686.51921388412848</v>
          </cell>
          <cell r="T81">
            <v>865.53954593593153</v>
          </cell>
          <cell r="U81">
            <v>973.79419966163732</v>
          </cell>
          <cell r="V81">
            <v>797.96366879362722</v>
          </cell>
          <cell r="W81">
            <v>423.97284334868709</v>
          </cell>
        </row>
        <row r="82">
          <cell r="N82">
            <v>10941.396508337442</v>
          </cell>
          <cell r="O82">
            <v>13807.281252895182</v>
          </cell>
          <cell r="P82">
            <v>15354.918003354933</v>
          </cell>
          <cell r="Q82">
            <v>12680.793125428094</v>
          </cell>
          <cell r="R82">
            <v>7016.5748669292998</v>
          </cell>
          <cell r="S82">
            <v>735.79307496228648</v>
          </cell>
          <cell r="T82">
            <v>940.41142160650998</v>
          </cell>
          <cell r="U82">
            <v>1046.7285480462251</v>
          </cell>
          <cell r="V82">
            <v>818.48746339984427</v>
          </cell>
          <cell r="W82">
            <v>460.42866304583913</v>
          </cell>
        </row>
        <row r="83">
          <cell r="N83">
            <v>11730</v>
          </cell>
          <cell r="O83">
            <v>14812.695</v>
          </cell>
          <cell r="P83">
            <v>16410.576000000001</v>
          </cell>
          <cell r="Q83">
            <v>13552.740000000002</v>
          </cell>
          <cell r="R83">
            <v>7496.0309999999999</v>
          </cell>
          <cell r="S83">
            <v>788.60349166255764</v>
          </cell>
          <cell r="T83">
            <v>1005.413747104818</v>
          </cell>
          <cell r="U83">
            <v>1055.6579966450681</v>
          </cell>
          <cell r="V83">
            <v>871.94687457190776</v>
          </cell>
          <cell r="W83">
            <v>479.45613307070016</v>
          </cell>
        </row>
        <row r="84">
          <cell r="N84">
            <v>12575.204294827385</v>
          </cell>
          <cell r="O84">
            <v>15836.064118078692</v>
          </cell>
          <cell r="P84">
            <v>17533.333974271412</v>
          </cell>
          <cell r="Q84">
            <v>14498.308417714825</v>
          </cell>
          <cell r="R84">
            <v>8019.2624536127059</v>
          </cell>
          <cell r="S84">
            <v>845.20429482738473</v>
          </cell>
          <cell r="T84">
            <v>1023.3691180786918</v>
          </cell>
          <cell r="U84">
            <v>1122.7579742714115</v>
          </cell>
          <cell r="V84">
            <v>945.56841771482323</v>
          </cell>
          <cell r="W84">
            <v>523.23145361270599</v>
          </cell>
        </row>
        <row r="85">
          <cell r="N85">
            <v>13481.07182844507</v>
          </cell>
          <cell r="O85">
            <v>16961.1226009245</v>
          </cell>
          <cell r="P85">
            <v>18780.363937495276</v>
          </cell>
          <cell r="Q85">
            <v>15533.652934359494</v>
          </cell>
          <cell r="R85">
            <v>8572.7894157755472</v>
          </cell>
          <cell r="S85">
            <v>905.86753361768569</v>
          </cell>
          <cell r="T85">
            <v>1125.0584828458086</v>
          </cell>
          <cell r="U85">
            <v>1247.0299632238639</v>
          </cell>
          <cell r="V85">
            <v>1035.3445166446691</v>
          </cell>
          <cell r="W85">
            <v>553.5269621628413</v>
          </cell>
        </row>
        <row r="86">
          <cell r="N86">
            <v>14451.956611549746</v>
          </cell>
          <cell r="O86">
            <v>18193.159753419211</v>
          </cell>
          <cell r="P86">
            <v>20161.484826615306</v>
          </cell>
          <cell r="Q86">
            <v>16642.653312781815</v>
          </cell>
          <cell r="R86">
            <v>9186.9517314772656</v>
          </cell>
          <cell r="S86">
            <v>970.88478310467508</v>
          </cell>
          <cell r="T86">
            <v>1232.0371524947113</v>
          </cell>
          <cell r="U86">
            <v>1381.1208891200295</v>
          </cell>
          <cell r="V86">
            <v>1109.0003784223209</v>
          </cell>
          <cell r="W86">
            <v>614.1623157017184</v>
          </cell>
        </row>
        <row r="87">
          <cell r="N87">
            <v>15492.5251572616</v>
          </cell>
          <cell r="O87">
            <v>19514.384688086713</v>
          </cell>
          <cell r="P87">
            <v>21591.696555857881</v>
          </cell>
          <cell r="Q87">
            <v>17816.673366070961</v>
          </cell>
          <cell r="R87">
            <v>9851.8988239177452</v>
          </cell>
          <cell r="S87">
            <v>1040.5685457118543</v>
          </cell>
          <cell r="T87">
            <v>1321.2249346675017</v>
          </cell>
          <cell r="U87">
            <v>1430.2117292425755</v>
          </cell>
          <cell r="V87">
            <v>1174.0200532891467</v>
          </cell>
          <cell r="W87">
            <v>664.94709244047954</v>
          </cell>
        </row>
        <row r="88">
          <cell r="N88">
            <v>16607.778910505567</v>
          </cell>
          <cell r="O88">
            <v>20885.292888242257</v>
          </cell>
          <cell r="P88">
            <v>23106.583317522378</v>
          </cell>
          <cell r="Q88">
            <v>19114.109371304035</v>
          </cell>
          <cell r="R88">
            <v>10561.103232393669</v>
          </cell>
          <cell r="S88">
            <v>1115.2537532439674</v>
          </cell>
          <cell r="T88">
            <v>1370.9082001555435</v>
          </cell>
          <cell r="U88">
            <v>1514.8867616644966</v>
          </cell>
          <cell r="V88">
            <v>1297.436005233074</v>
          </cell>
          <cell r="W88">
            <v>709.20440847592363</v>
          </cell>
        </row>
        <row r="89">
          <cell r="N89">
            <v>17803.078287226446</v>
          </cell>
          <cell r="O89">
            <v>22378.082383602617</v>
          </cell>
          <cell r="P89">
            <v>24773.138246052011</v>
          </cell>
          <cell r="Q89">
            <v>20537.631112144427</v>
          </cell>
          <cell r="R89">
            <v>11221.551160847546</v>
          </cell>
          <cell r="S89">
            <v>1195.2993767208791</v>
          </cell>
          <cell r="T89">
            <v>1492.7894953603609</v>
          </cell>
          <cell r="U89">
            <v>1666.5549285296329</v>
          </cell>
          <cell r="V89">
            <v>1423.5217408403914</v>
          </cell>
          <cell r="W89">
            <v>660.44792845387747</v>
          </cell>
        </row>
        <row r="90">
          <cell r="N90">
            <v>19084.16843898204</v>
          </cell>
          <cell r="O90">
            <v>24005.062758296252</v>
          </cell>
          <cell r="P90">
            <v>26608.641181245723</v>
          </cell>
          <cell r="Q90">
            <v>21895.847272561801</v>
          </cell>
          <cell r="R90">
            <v>11922.21192241363</v>
          </cell>
          <cell r="S90">
            <v>1281.090151755594</v>
          </cell>
          <cell r="T90">
            <v>1626.9803746936341</v>
          </cell>
          <cell r="U90">
            <v>1835.5029351937119</v>
          </cell>
          <cell r="V90">
            <v>1358.2161604173743</v>
          </cell>
          <cell r="W90">
            <v>700.66076156608324</v>
          </cell>
        </row>
        <row r="91">
          <cell r="N91">
            <v>20457.206866750312</v>
          </cell>
          <cell r="O91">
            <v>25779.816315968015</v>
          </cell>
          <cell r="P91">
            <v>28474.475182207443</v>
          </cell>
          <cell r="Q91">
            <v>23278.789359941271</v>
          </cell>
          <cell r="R91">
            <v>12688.360198157678</v>
          </cell>
          <cell r="S91">
            <v>1373.0384277682715</v>
          </cell>
          <cell r="T91">
            <v>1774.7535576717637</v>
          </cell>
          <cell r="U91">
            <v>1865.8340009617204</v>
          </cell>
          <cell r="V91">
            <v>1382.9420873794697</v>
          </cell>
          <cell r="W91">
            <v>766.14827574404808</v>
          </cell>
        </row>
        <row r="92">
          <cell r="N92">
            <v>21928.793016674885</v>
          </cell>
          <cell r="O92">
            <v>27589.567920062011</v>
          </cell>
          <cell r="P92">
            <v>30266.835190952177</v>
          </cell>
          <cell r="Q92">
            <v>24752.029774993443</v>
          </cell>
          <cell r="R92">
            <v>13453.791228621709</v>
          </cell>
          <cell r="S92">
            <v>1471.586149924573</v>
          </cell>
          <cell r="T92">
            <v>1809.7516040939954</v>
          </cell>
          <cell r="U92">
            <v>1792.3600087447339</v>
          </cell>
          <cell r="V92">
            <v>1473.2404150521725</v>
          </cell>
          <cell r="W92">
            <v>765.43103046403121</v>
          </cell>
        </row>
        <row r="93">
          <cell r="N93">
            <v>23506</v>
          </cell>
          <cell r="O93">
            <v>29354.803800000002</v>
          </cell>
          <cell r="P93">
            <v>32225.192999999999</v>
          </cell>
          <cell r="Q93">
            <v>26253.340400000001</v>
          </cell>
          <cell r="R93">
            <v>14263.543000000001</v>
          </cell>
          <cell r="S93">
            <v>1577.2069833251153</v>
          </cell>
          <cell r="T93">
            <v>1765.2358799379908</v>
          </cell>
          <cell r="U93">
            <v>1958.3578090478222</v>
          </cell>
          <cell r="V93">
            <v>1501.3106250065575</v>
          </cell>
          <cell r="W93">
            <v>809.75177137829269</v>
          </cell>
        </row>
        <row r="94">
          <cell r="N94">
            <v>25196.408589654777</v>
          </cell>
          <cell r="O94">
            <v>31465.822794773703</v>
          </cell>
          <cell r="P94">
            <v>34437.958287128611</v>
          </cell>
          <cell r="Q94">
            <v>28079.261155920252</v>
          </cell>
          <cell r="R94">
            <v>15232.872236484771</v>
          </cell>
          <cell r="S94">
            <v>1690.4085896547767</v>
          </cell>
          <cell r="T94">
            <v>2111.0189947737017</v>
          </cell>
          <cell r="U94">
            <v>2212.7652871286118</v>
          </cell>
          <cell r="V94">
            <v>1825.9207559202514</v>
          </cell>
          <cell r="W94">
            <v>969.32923648476935</v>
          </cell>
        </row>
        <row r="95">
          <cell r="N95">
            <v>27008.143656890144</v>
          </cell>
          <cell r="O95">
            <v>33653.614830379513</v>
          </cell>
          <cell r="P95">
            <v>36866.116091655043</v>
          </cell>
          <cell r="Q95">
            <v>30031.764052634771</v>
          </cell>
          <cell r="R95">
            <v>16237.472106589683</v>
          </cell>
          <cell r="S95">
            <v>1811.7350672353678</v>
          </cell>
          <cell r="T95">
            <v>2187.7920356058094</v>
          </cell>
          <cell r="U95">
            <v>2428.1578045264323</v>
          </cell>
          <cell r="V95">
            <v>1952.502896714519</v>
          </cell>
          <cell r="W95">
            <v>1004.599870104912</v>
          </cell>
        </row>
        <row r="96">
          <cell r="N96">
            <v>28949.913223099466</v>
          </cell>
          <cell r="O96">
            <v>36068.948623035481</v>
          </cell>
          <cell r="P96">
            <v>39465.088117074862</v>
          </cell>
          <cell r="Q96">
            <v>32087.20273216796</v>
          </cell>
          <cell r="R96">
            <v>17340.054001727131</v>
          </cell>
          <cell r="S96">
            <v>1941.7695662093211</v>
          </cell>
          <cell r="T96">
            <v>2415.3337926559689</v>
          </cell>
          <cell r="U96">
            <v>2598.9720254198182</v>
          </cell>
          <cell r="V96">
            <v>2055.4386795331884</v>
          </cell>
          <cell r="W96">
            <v>1102.5818951374476</v>
          </cell>
        </row>
        <row r="97">
          <cell r="N97">
            <v>31031.050314523203</v>
          </cell>
          <cell r="O97">
            <v>38612.138282776315</v>
          </cell>
          <cell r="P97">
            <v>42228.469902908837</v>
          </cell>
          <cell r="Q97">
            <v>34268.803120818542</v>
          </cell>
          <cell r="R97">
            <v>18503.208173304902</v>
          </cell>
          <cell r="S97">
            <v>2081.1370914237377</v>
          </cell>
          <cell r="T97">
            <v>2543.189659740834</v>
          </cell>
          <cell r="U97">
            <v>2763.3817858339753</v>
          </cell>
          <cell r="V97">
            <v>2181.6003886505823</v>
          </cell>
          <cell r="W97">
            <v>1163.1541715777712</v>
          </cell>
        </row>
        <row r="98">
          <cell r="N98">
            <v>33261.557821011134</v>
          </cell>
          <cell r="O98">
            <v>41416.641029113518</v>
          </cell>
          <cell r="P98">
            <v>45132.246268658033</v>
          </cell>
          <cell r="Q98">
            <v>36605.428998038653</v>
          </cell>
          <cell r="R98">
            <v>19863.00694562952</v>
          </cell>
          <cell r="S98">
            <v>2230.5075064879311</v>
          </cell>
          <cell r="T98">
            <v>2804.5027463372026</v>
          </cell>
          <cell r="U98">
            <v>2903.776365749196</v>
          </cell>
          <cell r="V98">
            <v>2336.6258772201109</v>
          </cell>
          <cell r="W98">
            <v>1359.7987723246188</v>
          </cell>
        </row>
        <row r="99">
          <cell r="N99">
            <v>35652.156574452893</v>
          </cell>
          <cell r="O99">
            <v>44289.511542119748</v>
          </cell>
          <cell r="P99">
            <v>48227.912273273716</v>
          </cell>
          <cell r="Q99">
            <v>39212.411931853043</v>
          </cell>
          <cell r="R99">
            <v>21306.581320463309</v>
          </cell>
          <cell r="S99">
            <v>2390.5987534417582</v>
          </cell>
          <cell r="T99">
            <v>2872.8705130062299</v>
          </cell>
          <cell r="U99">
            <v>3095.6660046156831</v>
          </cell>
          <cell r="V99">
            <v>2606.98293381439</v>
          </cell>
          <cell r="W99">
            <v>1443.5743748337882</v>
          </cell>
        </row>
        <row r="100">
          <cell r="N100">
            <v>38214.336877964088</v>
          </cell>
          <cell r="O100">
            <v>47416.764571404769</v>
          </cell>
          <cell r="P100">
            <v>51807.259580101301</v>
          </cell>
          <cell r="Q100">
            <v>42210.144246427553</v>
          </cell>
          <cell r="R100">
            <v>23000.378620392712</v>
          </cell>
          <cell r="S100">
            <v>2562.1803035111952</v>
          </cell>
          <cell r="T100">
            <v>3127.2530292850206</v>
          </cell>
          <cell r="U100">
            <v>3579.3473068275853</v>
          </cell>
          <cell r="V100">
            <v>2997.7323145745104</v>
          </cell>
          <cell r="W100">
            <v>1693.7972999294034</v>
          </cell>
        </row>
        <row r="101">
          <cell r="N101">
            <v>40960.413733500631</v>
          </cell>
          <cell r="O101">
            <v>50943.446048509235</v>
          </cell>
          <cell r="P101">
            <v>55781.316132324064</v>
          </cell>
          <cell r="Q101">
            <v>45518.506382640116</v>
          </cell>
          <cell r="R101">
            <v>24799.927716836362</v>
          </cell>
          <cell r="S101">
            <v>2746.076855536543</v>
          </cell>
          <cell r="T101">
            <v>3526.6814771044665</v>
          </cell>
          <cell r="U101">
            <v>3974.0565522227625</v>
          </cell>
          <cell r="V101">
            <v>3308.3621362125632</v>
          </cell>
          <cell r="W101">
            <v>1799.5490964436503</v>
          </cell>
        </row>
        <row r="102">
          <cell r="N102">
            <v>43903.586033349777</v>
          </cell>
          <cell r="O102">
            <v>54706.25426201216</v>
          </cell>
          <cell r="P102">
            <v>59937.080210150787</v>
          </cell>
          <cell r="Q102">
            <v>48966.146715886673</v>
          </cell>
          <cell r="R102">
            <v>26532.750448941599</v>
          </cell>
          <cell r="S102">
            <v>2943.1722998491459</v>
          </cell>
          <cell r="T102">
            <v>3762.8082135029254</v>
          </cell>
          <cell r="U102">
            <v>4155.7640778267232</v>
          </cell>
          <cell r="V102">
            <v>3447.6403332465561</v>
          </cell>
          <cell r="W102">
            <v>1732.8227321052364</v>
          </cell>
        </row>
        <row r="103">
          <cell r="N103">
            <v>47058</v>
          </cell>
          <cell r="O103">
            <v>58650.533700000007</v>
          </cell>
          <cell r="P103">
            <v>64308.644399999997</v>
          </cell>
          <cell r="Q103">
            <v>52347.319199999998</v>
          </cell>
          <cell r="R103">
            <v>28302.113400000002</v>
          </cell>
          <cell r="S103">
            <v>3154.4139666502233</v>
          </cell>
          <cell r="T103">
            <v>3944.2794379878469</v>
          </cell>
          <cell r="U103">
            <v>4371.5641898492104</v>
          </cell>
          <cell r="V103">
            <v>3381.1724841133255</v>
          </cell>
          <cell r="W103">
            <v>1769.3629510584033</v>
          </cell>
        </row>
        <row r="104">
          <cell r="N104">
            <v>50438.81717930951</v>
          </cell>
          <cell r="O104">
            <v>62922.972679201433</v>
          </cell>
          <cell r="P104">
            <v>68819.051108257583</v>
          </cell>
          <cell r="Q104">
            <v>55825.792503662335</v>
          </cell>
          <cell r="R104">
            <v>30222.500655432003</v>
          </cell>
          <cell r="S104">
            <v>3380.8171793095098</v>
          </cell>
          <cell r="T104">
            <v>4272.4389792014263</v>
          </cell>
          <cell r="U104">
            <v>4510.4067082575857</v>
          </cell>
          <cell r="V104">
            <v>3478.4733036623365</v>
          </cell>
          <cell r="W104">
            <v>1920.3872554320005</v>
          </cell>
        </row>
        <row r="105">
          <cell r="N105">
            <v>54062.287313780289</v>
          </cell>
          <cell r="O105">
            <v>67285.805264019393</v>
          </cell>
          <cell r="P105">
            <v>73367.224953261932</v>
          </cell>
          <cell r="Q105">
            <v>59533.625843357957</v>
          </cell>
          <cell r="R105">
            <v>32296.810441252339</v>
          </cell>
          <cell r="S105">
            <v>3623.4701344707792</v>
          </cell>
          <cell r="T105">
            <v>4362.8325848179593</v>
          </cell>
          <cell r="U105">
            <v>4548.1738450043485</v>
          </cell>
          <cell r="V105">
            <v>3707.8333396956223</v>
          </cell>
          <cell r="W105">
            <v>2074.3097858203364</v>
          </cell>
        </row>
        <row r="106">
          <cell r="N106">
            <v>57945.826446198938</v>
          </cell>
          <cell r="O106">
            <v>71916.691171565428</v>
          </cell>
          <cell r="P106">
            <v>78396.798136881436</v>
          </cell>
          <cell r="Q106">
            <v>63758.296715504403</v>
          </cell>
          <cell r="R106">
            <v>34590.887066246381</v>
          </cell>
          <cell r="S106">
            <v>3883.5391324186494</v>
          </cell>
          <cell r="T106">
            <v>4630.885907546035</v>
          </cell>
          <cell r="U106">
            <v>5029.5731836195046</v>
          </cell>
          <cell r="V106">
            <v>4224.6708721464456</v>
          </cell>
          <cell r="W106">
            <v>2294.0766249940425</v>
          </cell>
        </row>
        <row r="107">
          <cell r="N107">
            <v>62108.100629046407</v>
          </cell>
          <cell r="O107">
            <v>77100.591068068024</v>
          </cell>
          <cell r="P107">
            <v>84212.373642924023</v>
          </cell>
          <cell r="Q107">
            <v>68504.96495861806</v>
          </cell>
          <cell r="R107">
            <v>37131.192943465336</v>
          </cell>
          <cell r="S107">
            <v>4162.2741828474682</v>
          </cell>
          <cell r="T107">
            <v>5183.8998965025967</v>
          </cell>
          <cell r="U107">
            <v>5815.5755060425872</v>
          </cell>
          <cell r="V107">
            <v>4746.6682431136578</v>
          </cell>
          <cell r="W107">
            <v>2540.3058772189543</v>
          </cell>
        </row>
        <row r="108">
          <cell r="N108">
            <v>66569.115642022269</v>
          </cell>
          <cell r="O108">
            <v>82735.42537568738</v>
          </cell>
          <cell r="P108">
            <v>90379.585867954564</v>
          </cell>
          <cell r="Q108">
            <v>73499.973588638299</v>
          </cell>
          <cell r="R108">
            <v>39798.201071114236</v>
          </cell>
          <cell r="S108">
            <v>4461.0150129758622</v>
          </cell>
          <cell r="T108">
            <v>5634.834307619356</v>
          </cell>
          <cell r="U108">
            <v>6167.2122250305401</v>
          </cell>
          <cell r="V108">
            <v>4995.0086300202383</v>
          </cell>
          <cell r="W108">
            <v>2667.0081276489</v>
          </cell>
        </row>
        <row r="109">
          <cell r="N109">
            <v>71350.313148905741</v>
          </cell>
          <cell r="O109">
            <v>88740.090666434582</v>
          </cell>
          <cell r="P109">
            <v>96885.039131134996</v>
          </cell>
          <cell r="Q109">
            <v>78731.037716030813</v>
          </cell>
          <cell r="R109">
            <v>42496.866948993898</v>
          </cell>
          <cell r="S109">
            <v>4781.1975068834727</v>
          </cell>
          <cell r="T109">
            <v>6004.6652907472017</v>
          </cell>
          <cell r="U109">
            <v>6505.4532631804323</v>
          </cell>
          <cell r="V109">
            <v>5231.0641273925139</v>
          </cell>
          <cell r="W109">
            <v>2698.6658778796627</v>
          </cell>
        </row>
        <row r="110">
          <cell r="N110">
            <v>76474.673755928176</v>
          </cell>
          <cell r="O110">
            <v>95068.825682519018</v>
          </cell>
          <cell r="P110">
            <v>103888.68305664834</v>
          </cell>
          <cell r="Q110">
            <v>84060.13014606238</v>
          </cell>
          <cell r="R110">
            <v>45343.496562797547</v>
          </cell>
          <cell r="S110">
            <v>5124.3606070224341</v>
          </cell>
          <cell r="T110">
            <v>6328.7350160844362</v>
          </cell>
          <cell r="U110">
            <v>7003.6439255133446</v>
          </cell>
          <cell r="V110">
            <v>5329.0924300315673</v>
          </cell>
          <cell r="W110">
            <v>2846.6296138036487</v>
          </cell>
        </row>
        <row r="111">
          <cell r="N111">
            <v>81966.827467001276</v>
          </cell>
          <cell r="O111">
            <v>101896.34881058118</v>
          </cell>
          <cell r="P111">
            <v>110846.94818122237</v>
          </cell>
          <cell r="Q111">
            <v>89785.037297310293</v>
          </cell>
          <cell r="R111">
            <v>48526.500125529114</v>
          </cell>
          <cell r="S111">
            <v>5492.1537110731006</v>
          </cell>
          <cell r="T111">
            <v>6827.5231280621665</v>
          </cell>
          <cell r="U111">
            <v>6958.2651245740271</v>
          </cell>
          <cell r="V111">
            <v>5724.9071512479131</v>
          </cell>
          <cell r="W111">
            <v>3183.0035627315665</v>
          </cell>
        </row>
        <row r="112">
          <cell r="N112">
            <v>87853.172066699568</v>
          </cell>
          <cell r="O112">
            <v>108855.61876018409</v>
          </cell>
          <cell r="P112">
            <v>118442.30968422769</v>
          </cell>
          <cell r="Q112">
            <v>95977.107675832609</v>
          </cell>
          <cell r="R112">
            <v>51972.026743092792</v>
          </cell>
          <cell r="S112">
            <v>5886.3445996982919</v>
          </cell>
          <cell r="T112">
            <v>6959.269949602909</v>
          </cell>
          <cell r="U112">
            <v>7595.3615030053188</v>
          </cell>
          <cell r="V112">
            <v>6192.0703785223159</v>
          </cell>
          <cell r="W112">
            <v>3445.5266175636789</v>
          </cell>
        </row>
        <row r="113">
          <cell r="N113">
            <v>94162</v>
          </cell>
          <cell r="O113">
            <v>116672.65430000001</v>
          </cell>
          <cell r="P113">
            <v>127152.68019999999</v>
          </cell>
          <cell r="Q113">
            <v>103143.41720000001</v>
          </cell>
          <cell r="R113">
            <v>55830.696799999991</v>
          </cell>
          <cell r="S113">
            <v>6308.8279333004321</v>
          </cell>
          <cell r="T113">
            <v>7817.0355398159154</v>
          </cell>
          <cell r="U113">
            <v>8710.3705157723016</v>
          </cell>
          <cell r="V113">
            <v>7166.3095241674018</v>
          </cell>
          <cell r="W113">
            <v>3858.6700569071982</v>
          </cell>
        </row>
        <row r="114">
          <cell r="N114">
            <v>100923.63435861902</v>
          </cell>
          <cell r="O114">
            <v>125227.14250820011</v>
          </cell>
          <cell r="P114">
            <v>136542.87591185258</v>
          </cell>
          <cell r="Q114">
            <v>110888.96565471216</v>
          </cell>
          <cell r="R114">
            <v>60065.79798455775</v>
          </cell>
          <cell r="S114">
            <v>6761.6343586190196</v>
          </cell>
          <cell r="T114">
            <v>8554.4882082000986</v>
          </cell>
          <cell r="U114">
            <v>9390.1957118525897</v>
          </cell>
          <cell r="V114">
            <v>7745.548454712145</v>
          </cell>
          <cell r="W114">
            <v>4235.1011845577596</v>
          </cell>
        </row>
        <row r="115">
          <cell r="N115">
            <v>108170.57462756058</v>
          </cell>
          <cell r="O115">
            <v>134313.75644108024</v>
          </cell>
          <cell r="P115">
            <v>146454.49252248529</v>
          </cell>
          <cell r="Q115">
            <v>118996.80307381767</v>
          </cell>
          <cell r="R115">
            <v>64185.126836071002</v>
          </cell>
          <cell r="S115">
            <v>7246.9402689415583</v>
          </cell>
          <cell r="T115">
            <v>9086.6139328801364</v>
          </cell>
          <cell r="U115">
            <v>9911.6166106327146</v>
          </cell>
          <cell r="V115">
            <v>8107.8374191055191</v>
          </cell>
          <cell r="W115">
            <v>4119.3288515132517</v>
          </cell>
        </row>
        <row r="116">
          <cell r="N116">
            <v>115937.65289239788</v>
          </cell>
          <cell r="O116">
            <v>144025.56561258808</v>
          </cell>
          <cell r="P116">
            <v>157131.05708019441</v>
          </cell>
          <cell r="Q116">
            <v>127281.6481511673</v>
          </cell>
          <cell r="R116">
            <v>68560.235114671188</v>
          </cell>
          <cell r="S116">
            <v>7767.0782648372988</v>
          </cell>
          <cell r="T116">
            <v>9711.8091715078335</v>
          </cell>
          <cell r="U116">
            <v>10676.56455770912</v>
          </cell>
          <cell r="V116">
            <v>8284.8450773496297</v>
          </cell>
          <cell r="W116">
            <v>4375.1082786001862</v>
          </cell>
        </row>
        <row r="117">
          <cell r="N117">
            <v>124262.20125809284</v>
          </cell>
          <cell r="O117">
            <v>154403.07871412375</v>
          </cell>
          <cell r="P117">
            <v>168020.05489024971</v>
          </cell>
          <cell r="Q117">
            <v>135892.06275496984</v>
          </cell>
          <cell r="R117">
            <v>73232.577635356385</v>
          </cell>
          <cell r="S117">
            <v>8324.5483656949655</v>
          </cell>
          <cell r="T117">
            <v>10377.513101535675</v>
          </cell>
          <cell r="U117">
            <v>10888.997810055298</v>
          </cell>
          <cell r="V117">
            <v>8610.4146038025356</v>
          </cell>
          <cell r="W117">
            <v>4672.3425206851971</v>
          </cell>
        </row>
        <row r="118">
          <cell r="N118">
            <v>133184.23128404454</v>
          </cell>
          <cell r="O118">
            <v>165023.65895812085</v>
          </cell>
          <cell r="P118">
            <v>179267.13343207428</v>
          </cell>
          <cell r="Q118">
            <v>144933.39673079786</v>
          </cell>
          <cell r="R118">
            <v>78162.640500292429</v>
          </cell>
          <cell r="S118">
            <v>8922.0300259516953</v>
          </cell>
          <cell r="T118">
            <v>10620.580243997101</v>
          </cell>
          <cell r="U118">
            <v>11247.078541824565</v>
          </cell>
          <cell r="V118">
            <v>9041.3339758280199</v>
          </cell>
          <cell r="W118">
            <v>4930.0628649360442</v>
          </cell>
        </row>
        <row r="119">
          <cell r="N119">
            <v>142746.62629781148</v>
          </cell>
          <cell r="O119">
            <v>176664.15566242993</v>
          </cell>
          <cell r="P119">
            <v>191912.2882198116</v>
          </cell>
          <cell r="Q119">
            <v>155435.24978192279</v>
          </cell>
          <cell r="R119">
            <v>83774.581467904514</v>
          </cell>
          <cell r="S119">
            <v>9562.3950137669453</v>
          </cell>
          <cell r="T119">
            <v>11640.496704309073</v>
          </cell>
          <cell r="U119">
            <v>12645.154787737323</v>
          </cell>
          <cell r="V119">
            <v>10501.853051124926</v>
          </cell>
          <cell r="W119">
            <v>5611.9409676120849</v>
          </cell>
        </row>
        <row r="120">
          <cell r="N120">
            <v>152995.34751185621</v>
          </cell>
          <cell r="O120">
            <v>189392.60808634528</v>
          </cell>
          <cell r="P120">
            <v>205902.80167436381</v>
          </cell>
          <cell r="Q120">
            <v>166663.48622055128</v>
          </cell>
          <cell r="R120">
            <v>89926.341485908968</v>
          </cell>
          <cell r="S120">
            <v>10248.721214044723</v>
          </cell>
          <cell r="T120">
            <v>12728.452423915354</v>
          </cell>
          <cell r="U120">
            <v>13990.513454552216</v>
          </cell>
          <cell r="V120">
            <v>11228.23643862849</v>
          </cell>
          <cell r="W120">
            <v>6151.7600180044537</v>
          </cell>
        </row>
        <row r="121">
          <cell r="N121">
            <v>163979.6549340027</v>
          </cell>
          <cell r="O121">
            <v>203037.82635172849</v>
          </cell>
          <cell r="P121">
            <v>220782.92035816269</v>
          </cell>
          <cell r="Q121">
            <v>178959.55288973456</v>
          </cell>
          <cell r="R121">
            <v>96419.324146172134</v>
          </cell>
          <cell r="S121">
            <v>10984.307422146492</v>
          </cell>
          <cell r="T121">
            <v>13645.218265383213</v>
          </cell>
          <cell r="U121">
            <v>14880.118683798879</v>
          </cell>
          <cell r="V121">
            <v>12296.066669183288</v>
          </cell>
          <cell r="W121">
            <v>6492.9826602631656</v>
          </cell>
        </row>
        <row r="122">
          <cell r="N122">
            <v>175752.34413339914</v>
          </cell>
          <cell r="O122">
            <v>217768.23442036819</v>
          </cell>
          <cell r="P122">
            <v>237016.17266548204</v>
          </cell>
          <cell r="Q122">
            <v>191925.76256711851</v>
          </cell>
          <cell r="R122">
            <v>103026.78827162522</v>
          </cell>
          <cell r="S122">
            <v>11772.689199396438</v>
          </cell>
          <cell r="T122">
            <v>14730.408068639692</v>
          </cell>
          <cell r="U122">
            <v>16233.252307319344</v>
          </cell>
          <cell r="V122">
            <v>12966.209677383944</v>
          </cell>
          <cell r="W122">
            <v>6607.464125453087</v>
          </cell>
        </row>
        <row r="123">
          <cell r="N123">
            <v>188370</v>
          </cell>
          <cell r="O123">
            <v>233566.92449999999</v>
          </cell>
          <cell r="P123">
            <v>254069.361</v>
          </cell>
          <cell r="Q123">
            <v>204818.796</v>
          </cell>
          <cell r="R123">
            <v>110001.52799999999</v>
          </cell>
          <cell r="S123">
            <v>12617.655866600864</v>
          </cell>
          <cell r="T123">
            <v>15798.690079631808</v>
          </cell>
          <cell r="U123">
            <v>17053.188334517967</v>
          </cell>
          <cell r="V123">
            <v>12893.033432881493</v>
          </cell>
          <cell r="W123">
            <v>6974.7397283747705</v>
          </cell>
        </row>
        <row r="124">
          <cell r="N124">
            <v>201893.26871723824</v>
          </cell>
          <cell r="O124">
            <v>250011.4570271202</v>
          </cell>
          <cell r="P124">
            <v>271071.11944637942</v>
          </cell>
          <cell r="Q124">
            <v>218573.6027989744</v>
          </cell>
          <cell r="R124">
            <v>117763.02694753431</v>
          </cell>
          <cell r="S124">
            <v>13523.268717238243</v>
          </cell>
          <cell r="T124">
            <v>16444.532527120202</v>
          </cell>
          <cell r="U124">
            <v>17001.758446379419</v>
          </cell>
          <cell r="V124">
            <v>13754.806798974401</v>
          </cell>
          <cell r="W124">
            <v>7761.4989475343173</v>
          </cell>
        </row>
        <row r="125">
          <cell r="N125">
            <v>216387.14925512118</v>
          </cell>
          <cell r="O125">
            <v>267297.87099954294</v>
          </cell>
          <cell r="P125">
            <v>289717.93169660447</v>
          </cell>
          <cell r="Q125">
            <v>233925.79810909499</v>
          </cell>
          <cell r="R125">
            <v>126071.85722449567</v>
          </cell>
          <cell r="S125">
            <v>14493.880537882942</v>
          </cell>
          <cell r="T125">
            <v>17286.413972422743</v>
          </cell>
          <cell r="U125">
            <v>18646.812250225048</v>
          </cell>
          <cell r="V125">
            <v>15352.195310120587</v>
          </cell>
          <cell r="W125">
            <v>8308.8302769613656</v>
          </cell>
        </row>
        <row r="126">
          <cell r="N126">
            <v>231921.30578479578</v>
          </cell>
          <cell r="O126">
            <v>286486.84309168946</v>
          </cell>
          <cell r="P126">
            <v>311204.61252083164</v>
          </cell>
          <cell r="Q126">
            <v>251601.8452876425</v>
          </cell>
          <cell r="R126">
            <v>135589.76636657064</v>
          </cell>
          <cell r="S126">
            <v>15534.156529674598</v>
          </cell>
          <cell r="T126">
            <v>19188.97209214652</v>
          </cell>
          <cell r="U126">
            <v>21486.680824227165</v>
          </cell>
          <cell r="V126">
            <v>17676.047178547509</v>
          </cell>
          <cell r="W126">
            <v>9517.909142074961</v>
          </cell>
        </row>
        <row r="127">
          <cell r="N127">
            <v>248570.40251618548</v>
          </cell>
          <cell r="O127">
            <v>307632.35126535187</v>
          </cell>
          <cell r="P127">
            <v>334086.18616791681</v>
          </cell>
          <cell r="Q127">
            <v>270276.00236025098</v>
          </cell>
          <cell r="R127">
            <v>145824.36700656047</v>
          </cell>
          <cell r="S127">
            <v>16649.096731389698</v>
          </cell>
          <cell r="T127">
            <v>21145.508173662412</v>
          </cell>
          <cell r="U127">
            <v>22881.57364708517</v>
          </cell>
          <cell r="V127">
            <v>18674.157072608476</v>
          </cell>
          <cell r="W127">
            <v>10234.600639989832</v>
          </cell>
        </row>
        <row r="128">
          <cell r="N128">
            <v>266414.46256808913</v>
          </cell>
          <cell r="O128">
            <v>329561.0609773529</v>
          </cell>
          <cell r="P128">
            <v>358543.47953351011</v>
          </cell>
          <cell r="Q128">
            <v>290095.8124810165</v>
          </cell>
          <cell r="R128">
            <v>155517.12587662143</v>
          </cell>
          <cell r="S128">
            <v>17844.060051903652</v>
          </cell>
          <cell r="T128">
            <v>21928.709712001029</v>
          </cell>
          <cell r="U128">
            <v>24457.293365593301</v>
          </cell>
          <cell r="V128">
            <v>19819.810120765527</v>
          </cell>
          <cell r="W128">
            <v>9692.7588700609631</v>
          </cell>
        </row>
        <row r="129">
          <cell r="N129">
            <v>285539.25259562297</v>
          </cell>
          <cell r="O129">
            <v>353717.95652788441</v>
          </cell>
          <cell r="P129">
            <v>384564.26539578498</v>
          </cell>
          <cell r="Q129">
            <v>309705.805165303</v>
          </cell>
          <cell r="R129">
            <v>165849.88823261682</v>
          </cell>
          <cell r="S129">
            <v>19124.790027533832</v>
          </cell>
          <cell r="T129">
            <v>24156.89555053151</v>
          </cell>
          <cell r="U129">
            <v>26020.785862274875</v>
          </cell>
          <cell r="V129">
            <v>19609.992684286495</v>
          </cell>
          <cell r="W129">
            <v>10332.762355995394</v>
          </cell>
        </row>
        <row r="130">
          <cell r="N130">
            <v>306036.69502371247</v>
          </cell>
          <cell r="O130">
            <v>379109.60893225478</v>
          </cell>
          <cell r="P130">
            <v>410293.41756084486</v>
          </cell>
          <cell r="Q130">
            <v>329950.8015511632</v>
          </cell>
          <cell r="R130">
            <v>177138.69615986643</v>
          </cell>
          <cell r="S130">
            <v>20497.442428089504</v>
          </cell>
          <cell r="T130">
            <v>25391.652404370368</v>
          </cell>
          <cell r="U130">
            <v>25729.152165059873</v>
          </cell>
          <cell r="V130">
            <v>20244.996385860199</v>
          </cell>
          <cell r="W130">
            <v>11288.807927249611</v>
          </cell>
        </row>
        <row r="131">
          <cell r="N131">
            <v>328005.30986800481</v>
          </cell>
          <cell r="O131">
            <v>404412.72069171362</v>
          </cell>
          <cell r="P131">
            <v>437345.16685748287</v>
          </cell>
          <cell r="Q131">
            <v>352167.17926991213</v>
          </cell>
          <cell r="R131">
            <v>189413.79673349392</v>
          </cell>
          <cell r="S131">
            <v>21968.614844292344</v>
          </cell>
          <cell r="T131">
            <v>25303.111759458843</v>
          </cell>
          <cell r="U131">
            <v>27051.749296638009</v>
          </cell>
          <cell r="V131">
            <v>22216.377718748932</v>
          </cell>
          <cell r="W131">
            <v>12275.100573627482</v>
          </cell>
        </row>
        <row r="132">
          <cell r="N132">
            <v>351550.68826679827</v>
          </cell>
          <cell r="O132">
            <v>433442.89261729561</v>
          </cell>
          <cell r="P132">
            <v>469504.35082720249</v>
          </cell>
          <cell r="Q132">
            <v>378706.45045415516</v>
          </cell>
          <cell r="R132">
            <v>203482.88805320952</v>
          </cell>
          <cell r="S132">
            <v>23545.378398793458</v>
          </cell>
          <cell r="T132">
            <v>29030.171925581992</v>
          </cell>
          <cell r="U132">
            <v>32159.183969719626</v>
          </cell>
          <cell r="V132">
            <v>26539.271184243029</v>
          </cell>
          <cell r="W132">
            <v>14069.091319715604</v>
          </cell>
        </row>
        <row r="133">
          <cell r="N133">
            <v>376786</v>
          </cell>
          <cell r="O133">
            <v>465105.45750000002</v>
          </cell>
          <cell r="P133">
            <v>504324.78460000001</v>
          </cell>
          <cell r="Q133">
            <v>406987.85519999999</v>
          </cell>
          <cell r="R133">
            <v>218848.77620000002</v>
          </cell>
          <cell r="S133">
            <v>25235.311733201728</v>
          </cell>
          <cell r="T133">
            <v>31662.564882704406</v>
          </cell>
          <cell r="U133">
            <v>34820.433772797522</v>
          </cell>
          <cell r="V133">
            <v>28281.404745844833</v>
          </cell>
          <cell r="W133">
            <v>15365.888146790501</v>
          </cell>
        </row>
        <row r="134">
          <cell r="N134">
            <v>403832.53743447649</v>
          </cell>
          <cell r="O134">
            <v>498727.03845383495</v>
          </cell>
          <cell r="P134">
            <v>541005.67143276311</v>
          </cell>
          <cell r="Q134">
            <v>437197.00609794882</v>
          </cell>
          <cell r="R134">
            <v>234377.38155240606</v>
          </cell>
          <cell r="S134">
            <v>27046.537434476486</v>
          </cell>
          <cell r="T134">
            <v>33621.580953834928</v>
          </cell>
          <cell r="U134">
            <v>36680.886832763092</v>
          </cell>
          <cell r="V134">
            <v>30209.150897948828</v>
          </cell>
          <cell r="W134">
            <v>15528.605352406041</v>
          </cell>
        </row>
        <row r="135">
          <cell r="N135">
            <v>432820.29851024237</v>
          </cell>
          <cell r="O135">
            <v>534904.72956865281</v>
          </cell>
          <cell r="P135">
            <v>581124.29196739208</v>
          </cell>
          <cell r="Q135">
            <v>468095.15283882717</v>
          </cell>
          <cell r="R135">
            <v>250426.06106325664</v>
          </cell>
          <cell r="S135">
            <v>28987.761075765884</v>
          </cell>
          <cell r="T135">
            <v>36177.691114817862</v>
          </cell>
          <cell r="U135">
            <v>40118.620534628979</v>
          </cell>
          <cell r="V135">
            <v>30898.14674087835</v>
          </cell>
          <cell r="W135">
            <v>16048.679510850576</v>
          </cell>
        </row>
        <row r="136">
          <cell r="N136">
            <v>463888.61156959157</v>
          </cell>
          <cell r="O136">
            <v>573706.17273066507</v>
          </cell>
          <cell r="P136">
            <v>621277.94984712673</v>
          </cell>
          <cell r="Q136">
            <v>499306.50706292992</v>
          </cell>
          <cell r="R136">
            <v>267363.20973163756</v>
          </cell>
          <cell r="S136">
            <v>31068.313059349195</v>
          </cell>
          <cell r="T136">
            <v>38801.443162012263</v>
          </cell>
          <cell r="U136">
            <v>40153.657879734645</v>
          </cell>
          <cell r="V136">
            <v>31211.354224102746</v>
          </cell>
          <cell r="W136">
            <v>16937.14866838092</v>
          </cell>
        </row>
        <row r="137">
          <cell r="N137">
            <v>497186.80503237102</v>
          </cell>
          <cell r="O137">
            <v>613149.14226088859</v>
          </cell>
          <cell r="P137">
            <v>662824.58912890544</v>
          </cell>
          <cell r="Q137">
            <v>533031.81199344399</v>
          </cell>
          <cell r="R137">
            <v>285886.73625713534</v>
          </cell>
          <cell r="S137">
            <v>33298.193462779454</v>
          </cell>
          <cell r="T137">
            <v>39442.96953022352</v>
          </cell>
          <cell r="U137">
            <v>41546.639281778713</v>
          </cell>
          <cell r="V137">
            <v>33725.304930514074</v>
          </cell>
          <cell r="W137">
            <v>18523.526525497786</v>
          </cell>
        </row>
        <row r="138">
          <cell r="N138">
            <v>532874.92513617827</v>
          </cell>
          <cell r="O138">
            <v>656384.90696899174</v>
          </cell>
          <cell r="P138">
            <v>709453.45739380363</v>
          </cell>
          <cell r="Q138">
            <v>571531.52568355715</v>
          </cell>
          <cell r="R138">
            <v>306884.98623342562</v>
          </cell>
          <cell r="S138">
            <v>35688.120103807247</v>
          </cell>
          <cell r="T138">
            <v>43235.764708103146</v>
          </cell>
          <cell r="U138">
            <v>46628.868264898192</v>
          </cell>
          <cell r="V138">
            <v>38499.71369011316</v>
          </cell>
          <cell r="W138">
            <v>20998.249976290273</v>
          </cell>
        </row>
        <row r="139">
          <cell r="N139">
            <v>571124.50519124593</v>
          </cell>
          <cell r="O139">
            <v>703999.10447401193</v>
          </cell>
          <cell r="P139">
            <v>762976.40066008712</v>
          </cell>
          <cell r="Q139">
            <v>614601.97893643519</v>
          </cell>
          <cell r="R139">
            <v>330064.0257251226</v>
          </cell>
          <cell r="S139">
            <v>38249.580055067665</v>
          </cell>
          <cell r="T139">
            <v>47614.197505020187</v>
          </cell>
          <cell r="U139">
            <v>53522.943266283488</v>
          </cell>
          <cell r="V139">
            <v>43070.45325287804</v>
          </cell>
          <cell r="W139">
            <v>23179.039491696982</v>
          </cell>
        </row>
        <row r="140">
          <cell r="N140">
            <v>612119.39004742505</v>
          </cell>
          <cell r="O140">
            <v>755423.19272915821</v>
          </cell>
          <cell r="P140">
            <v>818589.92169907386</v>
          </cell>
          <cell r="Q140">
            <v>659951.19760232652</v>
          </cell>
          <cell r="R140">
            <v>354166.95630413538</v>
          </cell>
          <cell r="S140">
            <v>40994.884856179124</v>
          </cell>
          <cell r="T140">
            <v>51424.088255146286</v>
          </cell>
          <cell r="U140">
            <v>55613.521038986742</v>
          </cell>
          <cell r="V140">
            <v>45349.218665891327</v>
          </cell>
          <cell r="W140">
            <v>24102.930579012784</v>
          </cell>
        </row>
        <row r="141">
          <cell r="N141">
            <v>656056.61973600974</v>
          </cell>
          <cell r="O141">
            <v>809646.60546642425</v>
          </cell>
          <cell r="P141">
            <v>877996.29556257313</v>
          </cell>
          <cell r="Q141">
            <v>707762.43863146473</v>
          </cell>
          <cell r="R141">
            <v>378119.65899489215</v>
          </cell>
          <cell r="S141">
            <v>43937.229688584688</v>
          </cell>
          <cell r="T141">
            <v>54223.412737266044</v>
          </cell>
          <cell r="U141">
            <v>59406.373863499262</v>
          </cell>
          <cell r="V141">
            <v>47811.241029138211</v>
          </cell>
          <cell r="W141">
            <v>23952.702690756763</v>
          </cell>
        </row>
        <row r="142">
          <cell r="N142">
            <v>703147.37653359666</v>
          </cell>
          <cell r="O142">
            <v>868171.48006227182</v>
          </cell>
          <cell r="P142">
            <v>941156.64916520589</v>
          </cell>
          <cell r="Q142">
            <v>755573.12777918961</v>
          </cell>
          <cell r="R142">
            <v>403843.52422455128</v>
          </cell>
          <cell r="S142">
            <v>47090.756797586917</v>
          </cell>
          <cell r="T142">
            <v>58524.874595847563</v>
          </cell>
          <cell r="U142">
            <v>63160.353602632764</v>
          </cell>
          <cell r="V142">
            <v>47810.689147724886</v>
          </cell>
          <cell r="W142">
            <v>25723.865229659132</v>
          </cell>
        </row>
        <row r="143">
          <cell r="N143">
            <v>753618</v>
          </cell>
          <cell r="O143">
            <v>930048.16530000011</v>
          </cell>
          <cell r="P143">
            <v>1004387.6661</v>
          </cell>
          <cell r="Q143">
            <v>806263.13219999999</v>
          </cell>
          <cell r="R143">
            <v>431818.19910000003</v>
          </cell>
          <cell r="S143">
            <v>50470.62346640334</v>
          </cell>
          <cell r="T143">
            <v>61876.685237728292</v>
          </cell>
          <cell r="U143">
            <v>63231.016934794141</v>
          </cell>
          <cell r="V143">
            <v>50690.004420810379</v>
          </cell>
          <cell r="W143">
            <v>27974.674875448749</v>
          </cell>
        </row>
        <row r="144">
          <cell r="N144">
            <v>807711.07486895169</v>
          </cell>
          <cell r="O144">
            <v>994216.82973711565</v>
          </cell>
          <cell r="P144">
            <v>1072805.3614282238</v>
          </cell>
          <cell r="Q144">
            <v>863230.67590434593</v>
          </cell>
          <cell r="R144">
            <v>462451.46412893618</v>
          </cell>
          <cell r="S144">
            <v>54093.074868951691</v>
          </cell>
          <cell r="T144">
            <v>64168.664437115542</v>
          </cell>
          <cell r="U144">
            <v>68417.695328223752</v>
          </cell>
          <cell r="V144">
            <v>56967.543704345939</v>
          </cell>
          <cell r="W144">
            <v>30633.265028936148</v>
          </cell>
        </row>
        <row r="145">
          <cell r="N145">
            <v>865686.59702048497</v>
          </cell>
          <cell r="O145">
            <v>1065579.2780546695</v>
          </cell>
          <cell r="P145">
            <v>1152720.0436817054</v>
          </cell>
          <cell r="Q145">
            <v>927323.48272834357</v>
          </cell>
          <cell r="R145">
            <v>496808.12839313212</v>
          </cell>
          <cell r="S145">
            <v>57975.522151533281</v>
          </cell>
          <cell r="T145">
            <v>71362.448317553848</v>
          </cell>
          <cell r="U145">
            <v>79914.682253481587</v>
          </cell>
          <cell r="V145">
            <v>64092.806823997642</v>
          </cell>
          <cell r="W145">
            <v>34356.664264195948</v>
          </cell>
        </row>
        <row r="146">
          <cell r="N146">
            <v>927823.22313918336</v>
          </cell>
          <cell r="O146">
            <v>1143415.0510776134</v>
          </cell>
          <cell r="P146">
            <v>1237111.0775656232</v>
          </cell>
          <cell r="Q146">
            <v>995961.75384372217</v>
          </cell>
          <cell r="R146">
            <v>534129.6764981664</v>
          </cell>
          <cell r="S146">
            <v>62136.62611869839</v>
          </cell>
          <cell r="T146">
            <v>77835.773022943875</v>
          </cell>
          <cell r="U146">
            <v>84391.033883917844</v>
          </cell>
          <cell r="V146">
            <v>68638.271115378593</v>
          </cell>
          <cell r="W146">
            <v>37321.548105034279</v>
          </cell>
        </row>
        <row r="147">
          <cell r="N147">
            <v>994419.61006474204</v>
          </cell>
          <cell r="O147">
            <v>1225485.977153851</v>
          </cell>
          <cell r="P147">
            <v>1327284.2802798264</v>
          </cell>
          <cell r="Q147">
            <v>1069230.2296862649</v>
          </cell>
          <cell r="R147">
            <v>571354.59587150253</v>
          </cell>
          <cell r="S147">
            <v>66596.386925558676</v>
          </cell>
          <cell r="T147">
            <v>82070.926076237578</v>
          </cell>
          <cell r="U147">
            <v>90173.202714203158</v>
          </cell>
          <cell r="V147">
            <v>73268.475842542714</v>
          </cell>
          <cell r="W147">
            <v>37224.919373336132</v>
          </cell>
        </row>
        <row r="148">
          <cell r="N148">
            <v>1065795.8502723568</v>
          </cell>
          <cell r="O148">
            <v>1315310.2435586185</v>
          </cell>
          <cell r="P148">
            <v>1424239.2133514546</v>
          </cell>
          <cell r="Q148">
            <v>1143828.3251447973</v>
          </cell>
          <cell r="R148">
            <v>610455.42577099777</v>
          </cell>
          <cell r="S148">
            <v>71376.240207614726</v>
          </cell>
          <cell r="T148">
            <v>89824.266404767521</v>
          </cell>
          <cell r="U148">
            <v>96954.933071628213</v>
          </cell>
          <cell r="V148">
            <v>74598.095458532451</v>
          </cell>
          <cell r="W148">
            <v>39100.829899495235</v>
          </cell>
        </row>
        <row r="149">
          <cell r="N149">
            <v>1142295.0103824921</v>
          </cell>
          <cell r="O149">
            <v>1409385.933060122</v>
          </cell>
          <cell r="P149">
            <v>1521494.7385790958</v>
          </cell>
          <cell r="Q149">
            <v>1220301.3433415035</v>
          </cell>
          <cell r="R149">
            <v>651458.29417120293</v>
          </cell>
          <cell r="S149">
            <v>76499.16011013533</v>
          </cell>
          <cell r="T149">
            <v>94075.689501503482</v>
          </cell>
          <cell r="U149">
            <v>97255.525227641221</v>
          </cell>
          <cell r="V149">
            <v>76473.018196706194</v>
          </cell>
          <cell r="W149">
            <v>41002.86840020516</v>
          </cell>
        </row>
        <row r="150">
          <cell r="N150">
            <v>1224284.7800948501</v>
          </cell>
          <cell r="O150">
            <v>1505553.5623670323</v>
          </cell>
          <cell r="P150">
            <v>1623194.0222908854</v>
          </cell>
          <cell r="Q150">
            <v>1301036.7898521877</v>
          </cell>
          <cell r="R150">
            <v>695750.39457329374</v>
          </cell>
          <cell r="S150">
            <v>81989.769712358015</v>
          </cell>
          <cell r="T150">
            <v>96167.629306910327</v>
          </cell>
          <cell r="U150">
            <v>101699.28371178964</v>
          </cell>
          <cell r="V150">
            <v>80735.446510684211</v>
          </cell>
          <cell r="W150">
            <v>44292.100402090815</v>
          </cell>
        </row>
        <row r="151">
          <cell r="N151">
            <v>1312159.2394720195</v>
          </cell>
          <cell r="O151">
            <v>1613616.414660373</v>
          </cell>
          <cell r="P151">
            <v>1740738.9722844393</v>
          </cell>
          <cell r="Q151">
            <v>1397358.3093949549</v>
          </cell>
          <cell r="R151">
            <v>745982.49528044381</v>
          </cell>
          <cell r="S151">
            <v>87874.459377169376</v>
          </cell>
          <cell r="T151">
            <v>108062.85229334072</v>
          </cell>
          <cell r="U151">
            <v>117544.9499935538</v>
          </cell>
          <cell r="V151">
            <v>96321.519542767201</v>
          </cell>
          <cell r="W151">
            <v>50232.100707150064</v>
          </cell>
        </row>
        <row r="152">
          <cell r="N152">
            <v>1406340.7530671936</v>
          </cell>
          <cell r="O152">
            <v>1729844.985210248</v>
          </cell>
          <cell r="P152">
            <v>1867351.4809726463</v>
          </cell>
          <cell r="Q152">
            <v>1498599.763730908</v>
          </cell>
          <cell r="R152">
            <v>800155.91503261973</v>
          </cell>
          <cell r="S152">
            <v>94181.513595174067</v>
          </cell>
          <cell r="T152">
            <v>116228.57054987503</v>
          </cell>
          <cell r="U152">
            <v>126612.50868820702</v>
          </cell>
          <cell r="V152">
            <v>101241.45433595311</v>
          </cell>
          <cell r="W152">
            <v>54173.41975217592</v>
          </cell>
        </row>
        <row r="153">
          <cell r="N153">
            <v>1507282</v>
          </cell>
          <cell r="O153">
            <v>1854006.0105000001</v>
          </cell>
          <cell r="P153">
            <v>2001680.3260999999</v>
          </cell>
          <cell r="Q153">
            <v>1607175.4762000002</v>
          </cell>
          <cell r="R153">
            <v>860625.25500000012</v>
          </cell>
          <cell r="S153">
            <v>100941.24693280645</v>
          </cell>
          <cell r="T153">
            <v>124161.02528975205</v>
          </cell>
          <cell r="U153">
            <v>134328.84512735368</v>
          </cell>
          <cell r="V153">
            <v>108575.7124690921</v>
          </cell>
          <cell r="W153">
            <v>60469.339967380394</v>
          </cell>
        </row>
        <row r="154">
          <cell r="N154">
            <v>1615468.1497379036</v>
          </cell>
          <cell r="O154">
            <v>1988019.6882784385</v>
          </cell>
          <cell r="P154">
            <v>2146950.1472271094</v>
          </cell>
          <cell r="Q154">
            <v>1730851.2063892924</v>
          </cell>
          <cell r="R154">
            <v>936866.17022952298</v>
          </cell>
          <cell r="S154">
            <v>108186.14973790362</v>
          </cell>
          <cell r="T154">
            <v>134013.67777843843</v>
          </cell>
          <cell r="U154">
            <v>145269.82112710946</v>
          </cell>
          <cell r="V154">
            <v>123675.73018929223</v>
          </cell>
          <cell r="W154">
            <v>76240.915229522856</v>
          </cell>
        </row>
        <row r="155">
          <cell r="N155">
            <v>1731419.1940409699</v>
          </cell>
          <cell r="O155">
            <v>2130206.4379310715</v>
          </cell>
          <cell r="P155">
            <v>2313721.8166803354</v>
          </cell>
          <cell r="Q155">
            <v>1880283.6051807969</v>
          </cell>
          <cell r="R155">
            <v>1453827.5297789667</v>
          </cell>
          <cell r="S155">
            <v>115951.04430306633</v>
          </cell>
          <cell r="T155">
            <v>142186.74965263298</v>
          </cell>
          <cell r="U155">
            <v>166771.66945322603</v>
          </cell>
          <cell r="V155">
            <v>149432.39879150456</v>
          </cell>
          <cell r="W155">
            <v>516961.3595494437</v>
          </cell>
        </row>
        <row r="156">
          <cell r="N156">
            <v>1855692.4462783667</v>
          </cell>
          <cell r="O156">
            <v>2300130.7871620352</v>
          </cell>
          <cell r="P156">
            <v>2507322.8829030287</v>
          </cell>
          <cell r="Q156">
            <v>2493082.4604348489</v>
          </cell>
          <cell r="R156">
            <v>2493082.4604348489</v>
          </cell>
          <cell r="S156">
            <v>124273.25223739678</v>
          </cell>
          <cell r="T156">
            <v>169924.34923096374</v>
          </cell>
          <cell r="U156">
            <v>193601.06622269331</v>
          </cell>
          <cell r="V156">
            <v>612798.85525405197</v>
          </cell>
          <cell r="W156">
            <v>1039254.9306558822</v>
          </cell>
        </row>
        <row r="157">
          <cell r="N157">
            <v>1988885.2201294843</v>
          </cell>
          <cell r="O157">
            <v>2476810.6485895114</v>
          </cell>
          <cell r="P157">
            <v>3088609.0369554288</v>
          </cell>
          <cell r="Q157">
            <v>3518165.0078681773</v>
          </cell>
          <cell r="R157">
            <v>3518165.0078681773</v>
          </cell>
          <cell r="S157">
            <v>133192.77385111758</v>
          </cell>
          <cell r="T157">
            <v>176679.86142747616</v>
          </cell>
          <cell r="U157">
            <v>581286.15405240003</v>
          </cell>
          <cell r="V157">
            <v>1025082.5474333283</v>
          </cell>
          <cell r="W157">
            <v>1025082.5474333283</v>
          </cell>
        </row>
        <row r="158">
          <cell r="N158">
            <v>2131637.700544714</v>
          </cell>
          <cell r="O158">
            <v>2953263.5502346703</v>
          </cell>
          <cell r="P158">
            <v>4040667.5492225429</v>
          </cell>
          <cell r="Q158">
            <v>4573502.8304387024</v>
          </cell>
          <cell r="R158">
            <v>4587821.8749923613</v>
          </cell>
          <cell r="S158">
            <v>142752.48041522969</v>
          </cell>
          <cell r="T158">
            <v>476452.90164515888</v>
          </cell>
          <cell r="U158">
            <v>952058.51226711413</v>
          </cell>
          <cell r="V158">
            <v>1055337.8225705251</v>
          </cell>
          <cell r="W158">
            <v>1069656.867124184</v>
          </cell>
        </row>
        <row r="159">
          <cell r="N159">
            <v>2284636.0207649847</v>
          </cell>
          <cell r="O159">
            <v>3327622.0302446513</v>
          </cell>
          <cell r="P159">
            <v>4564802.1014893418</v>
          </cell>
          <cell r="Q159">
            <v>5166754.0269604633</v>
          </cell>
          <cell r="R159">
            <v>5182100.82109995</v>
          </cell>
          <cell r="S159">
            <v>152998.32022027066</v>
          </cell>
          <cell r="T159">
            <v>374358.48000998097</v>
          </cell>
          <cell r="U159">
            <v>524134.55226679891</v>
          </cell>
          <cell r="V159">
            <v>593251.1965217609</v>
          </cell>
          <cell r="W159">
            <v>594278.94610758871</v>
          </cell>
        </row>
        <row r="160">
          <cell r="N160">
            <v>2448615.5601897002</v>
          </cell>
          <cell r="O160">
            <v>3566461.794189346</v>
          </cell>
          <cell r="P160">
            <v>4892440.3508051168</v>
          </cell>
          <cell r="Q160">
            <v>5537597.3201420549</v>
          </cell>
          <cell r="R160">
            <v>5537597.3201420549</v>
          </cell>
          <cell r="S160">
            <v>163979.53942471556</v>
          </cell>
          <cell r="T160">
            <v>238839.76394469477</v>
          </cell>
          <cell r="U160">
            <v>327638.249315775</v>
          </cell>
          <cell r="V160">
            <v>370843.29318159167</v>
          </cell>
          <cell r="W160">
            <v>355496.49904210493</v>
          </cell>
        </row>
        <row r="161">
          <cell r="N161">
            <v>2624364.4789440394</v>
          </cell>
          <cell r="O161">
            <v>3822443.9149837093</v>
          </cell>
          <cell r="P161">
            <v>5243594.3317336226</v>
          </cell>
          <cell r="Q161">
            <v>5935057.3205336612</v>
          </cell>
          <cell r="R161">
            <v>5935057.3205336612</v>
          </cell>
          <cell r="S161">
            <v>175748.91875433922</v>
          </cell>
          <cell r="T161">
            <v>255982.12079436332</v>
          </cell>
          <cell r="U161">
            <v>351153.98092850577</v>
          </cell>
          <cell r="V161">
            <v>397460.00039160624</v>
          </cell>
          <cell r="W161">
            <v>397460.00039160624</v>
          </cell>
        </row>
        <row r="162">
          <cell r="N162">
            <v>2812727.5061343871</v>
          </cell>
          <cell r="O162">
            <v>4096798.758934868</v>
          </cell>
          <cell r="P162">
            <v>5619951.8497567717</v>
          </cell>
          <cell r="Q162">
            <v>6361044.4013730492</v>
          </cell>
          <cell r="R162">
            <v>6361044.4013730492</v>
          </cell>
          <cell r="S162">
            <v>188363.02719034767</v>
          </cell>
          <cell r="T162">
            <v>274354.84395115869</v>
          </cell>
          <cell r="U162">
            <v>376357.51802314911</v>
          </cell>
          <cell r="V162">
            <v>425987.08083938807</v>
          </cell>
          <cell r="W162">
            <v>425987.08083938807</v>
          </cell>
        </row>
        <row r="163">
          <cell r="N163">
            <v>3014610</v>
          </cell>
          <cell r="O163">
            <v>4390845</v>
          </cell>
          <cell r="P163">
            <v>6023321.8500000006</v>
          </cell>
          <cell r="Q163">
            <v>6817606.0500000007</v>
          </cell>
          <cell r="R163">
            <v>6817606.0500000007</v>
          </cell>
          <cell r="S163">
            <v>201882.49386561289</v>
          </cell>
          <cell r="T163">
            <v>294046.24106513197</v>
          </cell>
          <cell r="U163">
            <v>403370.00024322886</v>
          </cell>
          <cell r="V163">
            <v>456561.6486269515</v>
          </cell>
          <cell r="W163">
            <v>456561.6486269515</v>
          </cell>
        </row>
      </sheetData>
      <sheetData sheetId="11">
        <row r="6">
          <cell r="AH6">
            <v>3.2348184451616933E-2</v>
          </cell>
          <cell r="AI6">
            <v>3.2348184451616933E-2</v>
          </cell>
          <cell r="AJ6">
            <v>3.2348184451616933E-2</v>
          </cell>
          <cell r="AK6">
            <v>3.2348184451616933E-2</v>
          </cell>
          <cell r="AL6">
            <v>3.2348184451616933E-2</v>
          </cell>
        </row>
        <row r="7">
          <cell r="AH7">
            <v>3.1392151119474958E-2</v>
          </cell>
          <cell r="AI7">
            <v>3.1392151119474958E-2</v>
          </cell>
          <cell r="AJ7">
            <v>3.1392151119474958E-2</v>
          </cell>
          <cell r="AK7">
            <v>3.1392151119474958E-2</v>
          </cell>
          <cell r="AL7">
            <v>3.1392151119474958E-2</v>
          </cell>
        </row>
        <row r="8">
          <cell r="AH8">
            <v>3.0464372842374271E-2</v>
          </cell>
          <cell r="AI8">
            <v>3.0464372842374271E-2</v>
          </cell>
          <cell r="AJ8">
            <v>3.0464372842374271E-2</v>
          </cell>
          <cell r="AK8">
            <v>3.0464372842374271E-2</v>
          </cell>
          <cell r="AL8">
            <v>3.0464372842374271E-2</v>
          </cell>
        </row>
        <row r="9">
          <cell r="AH9">
            <v>2.9564014557238585E-2</v>
          </cell>
          <cell r="AI9">
            <v>2.9564014557238585E-2</v>
          </cell>
          <cell r="AJ9">
            <v>2.9564014557238585E-2</v>
          </cell>
          <cell r="AK9">
            <v>2.9564014557238585E-2</v>
          </cell>
          <cell r="AL9">
            <v>2.9564014557238585E-2</v>
          </cell>
        </row>
        <row r="10">
          <cell r="AH10">
            <v>2.8690265880835262E-2</v>
          </cell>
          <cell r="AI10">
            <v>2.8690265880835262E-2</v>
          </cell>
          <cell r="AJ10">
            <v>2.8690265880835262E-2</v>
          </cell>
          <cell r="AK10">
            <v>2.8690265880835262E-2</v>
          </cell>
          <cell r="AL10">
            <v>2.8690265880835262E-2</v>
          </cell>
        </row>
        <row r="11">
          <cell r="AH11">
            <v>2.7842340380375731E-2</v>
          </cell>
          <cell r="AI11">
            <v>2.7842340380375731E-2</v>
          </cell>
          <cell r="AJ11">
            <v>2.7842340380375731E-2</v>
          </cell>
          <cell r="AK11">
            <v>2.7842340380375731E-2</v>
          </cell>
          <cell r="AL11">
            <v>2.7842340380375731E-2</v>
          </cell>
        </row>
        <row r="12">
          <cell r="AH12">
            <v>2.7019474865672907E-2</v>
          </cell>
          <cell r="AI12">
            <v>2.7019474865672907E-2</v>
          </cell>
          <cell r="AJ12">
            <v>2.7019474865672907E-2</v>
          </cell>
          <cell r="AK12">
            <v>2.7019474865672907E-2</v>
          </cell>
          <cell r="AL12">
            <v>2.7019474865672907E-2</v>
          </cell>
        </row>
        <row r="13">
          <cell r="AH13">
            <v>2.6220928702218448E-2</v>
          </cell>
          <cell r="AI13">
            <v>2.6220928702218448E-2</v>
          </cell>
          <cell r="AJ13">
            <v>2.6220928702218448E-2</v>
          </cell>
          <cell r="AK13">
            <v>2.6220928702218448E-2</v>
          </cell>
          <cell r="AL13">
            <v>2.6220928702218448E-2</v>
          </cell>
        </row>
        <row r="14">
          <cell r="AH14">
            <v>2.5445983144561774E-2</v>
          </cell>
          <cell r="AI14">
            <v>2.5445983144561774E-2</v>
          </cell>
          <cell r="AJ14">
            <v>2.5445983144561774E-2</v>
          </cell>
          <cell r="AK14">
            <v>2.5445983144561774E-2</v>
          </cell>
          <cell r="AL14">
            <v>2.5445983144561774E-2</v>
          </cell>
        </row>
        <row r="15">
          <cell r="AH15">
            <v>2.4693940689390591E-2</v>
          </cell>
          <cell r="AI15">
            <v>2.4693940689390591E-2</v>
          </cell>
          <cell r="AJ15">
            <v>2.4693940689390591E-2</v>
          </cell>
          <cell r="AK15">
            <v>2.4693940689390591E-2</v>
          </cell>
          <cell r="AL15">
            <v>2.4693940689390591E-2</v>
          </cell>
        </row>
        <row r="16">
          <cell r="AH16">
            <v>2.396412444773087E-2</v>
          </cell>
          <cell r="AI16">
            <v>2.396412444773087E-2</v>
          </cell>
          <cell r="AJ16">
            <v>2.396412444773087E-2</v>
          </cell>
          <cell r="AK16">
            <v>2.396412444773087E-2</v>
          </cell>
          <cell r="AL16">
            <v>2.396412444773087E-2</v>
          </cell>
        </row>
        <row r="17">
          <cell r="AH17">
            <v>2.3255877535701037E-2</v>
          </cell>
          <cell r="AI17">
            <v>2.3255877535701037E-2</v>
          </cell>
          <cell r="AJ17">
            <v>2.3255877535701037E-2</v>
          </cell>
          <cell r="AK17">
            <v>2.3255877535701037E-2</v>
          </cell>
          <cell r="AL17">
            <v>2.3255877535701037E-2</v>
          </cell>
        </row>
        <row r="18">
          <cell r="AH18">
            <v>2.2568562483272155E-2</v>
          </cell>
          <cell r="AI18">
            <v>2.2568562483272155E-2</v>
          </cell>
          <cell r="AJ18">
            <v>2.2568562483272155E-2</v>
          </cell>
          <cell r="AK18">
            <v>2.2568562483272155E-2</v>
          </cell>
          <cell r="AL18">
            <v>2.2568562483272155E-2</v>
          </cell>
        </row>
        <row r="19">
          <cell r="AH19">
            <v>2.1901560660501897E-2</v>
          </cell>
          <cell r="AI19">
            <v>2.1901560660501897E-2</v>
          </cell>
          <cell r="AJ19">
            <v>2.1901560660501897E-2</v>
          </cell>
          <cell r="AK19">
            <v>2.1901560660501897E-2</v>
          </cell>
          <cell r="AL19">
            <v>2.1901560660501897E-2</v>
          </cell>
        </row>
        <row r="20">
          <cell r="AH20">
            <v>2.1254271720725776E-2</v>
          </cell>
          <cell r="AI20">
            <v>2.1254271720725776E-2</v>
          </cell>
          <cell r="AJ20">
            <v>2.1254271720725776E-2</v>
          </cell>
          <cell r="AK20">
            <v>2.1254271720725776E-2</v>
          </cell>
          <cell r="AL20">
            <v>2.1254271720725776E-2</v>
          </cell>
        </row>
        <row r="21">
          <cell r="AH21">
            <v>2.0626113060204693E-2</v>
          </cell>
          <cell r="AI21">
            <v>2.0626113060204693E-2</v>
          </cell>
          <cell r="AJ21">
            <v>2.0626113060204693E-2</v>
          </cell>
          <cell r="AK21">
            <v>2.0626113060204693E-2</v>
          </cell>
          <cell r="AL21">
            <v>2.0626113060204693E-2</v>
          </cell>
        </row>
        <row r="22">
          <cell r="AH22">
            <v>2.0016519293742197E-2</v>
          </cell>
          <cell r="AI22">
            <v>2.0016519293742197E-2</v>
          </cell>
          <cell r="AJ22">
            <v>2.0016519293742197E-2</v>
          </cell>
          <cell r="AK22">
            <v>2.0016519293742197E-2</v>
          </cell>
          <cell r="AL22">
            <v>2.0016519293742197E-2</v>
          </cell>
        </row>
        <row r="23">
          <cell r="AH23">
            <v>1.9424941745799656E-2</v>
          </cell>
          <cell r="AI23">
            <v>1.9424941745799656E-2</v>
          </cell>
          <cell r="AJ23">
            <v>1.9424941745799656E-2</v>
          </cell>
          <cell r="AK23">
            <v>1.9424941745799656E-2</v>
          </cell>
          <cell r="AL23">
            <v>1.9424941745799656E-2</v>
          </cell>
        </row>
        <row r="24">
          <cell r="AH24">
            <v>1.8850847956651238E-2</v>
          </cell>
          <cell r="AI24">
            <v>1.8850847956651238E-2</v>
          </cell>
          <cell r="AJ24">
            <v>1.8850847956651238E-2</v>
          </cell>
          <cell r="AK24">
            <v>1.8850847956651238E-2</v>
          </cell>
          <cell r="AL24">
            <v>1.8850847956651238E-2</v>
          </cell>
        </row>
        <row r="25">
          <cell r="AH25">
            <v>1.8293721203134217E-2</v>
          </cell>
          <cell r="AI25">
            <v>1.8293721203134217E-2</v>
          </cell>
          <cell r="AJ25">
            <v>1.8293721203134217E-2</v>
          </cell>
          <cell r="AK25">
            <v>1.8293721203134217E-2</v>
          </cell>
          <cell r="AL25">
            <v>1.8293721203134217E-2</v>
          </cell>
        </row>
        <row r="26">
          <cell r="AH26">
            <v>1.775306003356324E-2</v>
          </cell>
          <cell r="AI26">
            <v>1.775306003356324E-2</v>
          </cell>
          <cell r="AJ26">
            <v>1.775306003356324E-2</v>
          </cell>
          <cell r="AK26">
            <v>1.775306003356324E-2</v>
          </cell>
          <cell r="AL26">
            <v>1.775306003356324E-2</v>
          </cell>
        </row>
        <row r="27">
          <cell r="AH27">
            <v>1.7228377816389976E-2</v>
          </cell>
          <cell r="AI27">
            <v>1.7228377816389976E-2</v>
          </cell>
          <cell r="AJ27">
            <v>1.7228377816389976E-2</v>
          </cell>
          <cell r="AK27">
            <v>1.7228377816389976E-2</v>
          </cell>
          <cell r="AL27">
            <v>1.7228377816389976E-2</v>
          </cell>
        </row>
        <row r="28">
          <cell r="AH28">
            <v>1.6719202302201853E-2</v>
          </cell>
          <cell r="AI28">
            <v>1.6719202302201853E-2</v>
          </cell>
          <cell r="AJ28">
            <v>1.6719202302201853E-2</v>
          </cell>
          <cell r="AK28">
            <v>1.6719202302201853E-2</v>
          </cell>
          <cell r="AL28">
            <v>1.6719202302201853E-2</v>
          </cell>
        </row>
        <row r="29">
          <cell r="AH29">
            <v>1.6225075198665721E-2</v>
          </cell>
          <cell r="AI29">
            <v>1.6225075198665721E-2</v>
          </cell>
          <cell r="AJ29">
            <v>1.6225075198665721E-2</v>
          </cell>
          <cell r="AK29">
            <v>1.6225075198665721E-2</v>
          </cell>
          <cell r="AL29">
            <v>1.6225075198665721E-2</v>
          </cell>
        </row>
        <row r="30">
          <cell r="AH30">
            <v>1.5745551758033823E-2</v>
          </cell>
          <cell r="AI30">
            <v>1.5745551758033823E-2</v>
          </cell>
          <cell r="AJ30">
            <v>1.5745551758033823E-2</v>
          </cell>
          <cell r="AK30">
            <v>1.5745551758033823E-2</v>
          </cell>
          <cell r="AL30">
            <v>1.5745551758033823E-2</v>
          </cell>
        </row>
        <row r="31">
          <cell r="AH31">
            <v>1.5280200376840785E-2</v>
          </cell>
          <cell r="AI31">
            <v>1.5280200376840785E-2</v>
          </cell>
          <cell r="AJ31">
            <v>1.5280200376840785E-2</v>
          </cell>
          <cell r="AK31">
            <v>1.5280200376840785E-2</v>
          </cell>
          <cell r="AL31">
            <v>1.5280200376840785E-2</v>
          </cell>
        </row>
        <row r="32">
          <cell r="AH32">
            <v>1.4828602207431372E-2</v>
          </cell>
          <cell r="AI32">
            <v>1.4828602207431372E-2</v>
          </cell>
          <cell r="AJ32">
            <v>1.4828602207431372E-2</v>
          </cell>
          <cell r="AK32">
            <v>1.4828602207431372E-2</v>
          </cell>
          <cell r="AL32">
            <v>1.4828602207431372E-2</v>
          </cell>
        </row>
        <row r="33">
          <cell r="AH33">
            <v>1.4390350780969324E-2</v>
          </cell>
          <cell r="AI33">
            <v>1.4390350780969324E-2</v>
          </cell>
          <cell r="AJ33">
            <v>1.4390350780969324E-2</v>
          </cell>
          <cell r="AK33">
            <v>1.4390350780969324E-2</v>
          </cell>
          <cell r="AL33">
            <v>1.4390350780969324E-2</v>
          </cell>
        </row>
        <row r="34">
          <cell r="AH34">
            <v>1.3965051641587968E-2</v>
          </cell>
          <cell r="AI34">
            <v>1.3965051641587968E-2</v>
          </cell>
          <cell r="AJ34">
            <v>1.3965051641587968E-2</v>
          </cell>
          <cell r="AK34">
            <v>1.3965051641587968E-2</v>
          </cell>
          <cell r="AL34">
            <v>1.3965051641587968E-2</v>
          </cell>
        </row>
        <row r="35">
          <cell r="AH35">
            <v>1.3552321991353306E-2</v>
          </cell>
          <cell r="AI35">
            <v>1.3552321991353306E-2</v>
          </cell>
          <cell r="AJ35">
            <v>1.3552321991353306E-2</v>
          </cell>
          <cell r="AK35">
            <v>1.3552321991353306E-2</v>
          </cell>
          <cell r="AL35">
            <v>1.3552321991353306E-2</v>
          </cell>
        </row>
        <row r="36">
          <cell r="AH36">
            <v>1.3151790345720039E-2</v>
          </cell>
          <cell r="AI36">
            <v>1.3151790345720039E-2</v>
          </cell>
          <cell r="AJ36">
            <v>1.3151790345720039E-2</v>
          </cell>
          <cell r="AK36">
            <v>1.3151790345720039E-2</v>
          </cell>
          <cell r="AL36">
            <v>1.3151790345720039E-2</v>
          </cell>
        </row>
        <row r="37">
          <cell r="AH37">
            <v>1.2763096199170399E-2</v>
          </cell>
          <cell r="AI37">
            <v>1.2763096199170399E-2</v>
          </cell>
          <cell r="AJ37">
            <v>1.2763096199170399E-2</v>
          </cell>
          <cell r="AK37">
            <v>1.2763096199170399E-2</v>
          </cell>
          <cell r="AL37">
            <v>1.2763096199170399E-2</v>
          </cell>
        </row>
        <row r="38">
          <cell r="AH38">
            <v>1.2385889700734858E-2</v>
          </cell>
          <cell r="AI38">
            <v>1.2385889700734858E-2</v>
          </cell>
          <cell r="AJ38">
            <v>1.2385889700734858E-2</v>
          </cell>
          <cell r="AK38">
            <v>1.2385889700734858E-2</v>
          </cell>
          <cell r="AL38">
            <v>1.2385889700734858E-2</v>
          </cell>
        </row>
        <row r="39">
          <cell r="AH39">
            <v>1.201983133910261E-2</v>
          </cell>
          <cell r="AI39">
            <v>1.201983133910261E-2</v>
          </cell>
          <cell r="AJ39">
            <v>1.201983133910261E-2</v>
          </cell>
          <cell r="AK39">
            <v>1.201983133910261E-2</v>
          </cell>
          <cell r="AL39">
            <v>1.201983133910261E-2</v>
          </cell>
        </row>
        <row r="40">
          <cell r="AH40">
            <v>1.1664591637038512E-2</v>
          </cell>
          <cell r="AI40">
            <v>1.1664591637038512E-2</v>
          </cell>
          <cell r="AJ40">
            <v>1.1664591637038512E-2</v>
          </cell>
          <cell r="AK40">
            <v>1.1664591637038512E-2</v>
          </cell>
          <cell r="AL40">
            <v>1.1664591637038512E-2</v>
          </cell>
        </row>
        <row r="41">
          <cell r="AH41">
            <v>1.1319850854831304E-2</v>
          </cell>
          <cell r="AI41">
            <v>1.1319850854831304E-2</v>
          </cell>
          <cell r="AJ41">
            <v>1.1319850854831304E-2</v>
          </cell>
          <cell r="AK41">
            <v>1.1319850854831304E-2</v>
          </cell>
          <cell r="AL41">
            <v>1.1319850854831304E-2</v>
          </cell>
        </row>
        <row r="42">
          <cell r="AH42">
            <v>1.0985298702506304E-2</v>
          </cell>
          <cell r="AI42">
            <v>1.0985298702506304E-2</v>
          </cell>
          <cell r="AJ42">
            <v>1.0985298702506304E-2</v>
          </cell>
          <cell r="AK42">
            <v>1.0985298702506304E-2</v>
          </cell>
          <cell r="AL42">
            <v>1.0985298702506304E-2</v>
          </cell>
        </row>
        <row r="43">
          <cell r="AH43">
            <v>1.0660634060543463E-2</v>
          </cell>
          <cell r="AI43">
            <v>1.0660634060543463E-2</v>
          </cell>
          <cell r="AJ43">
            <v>1.0660634060543463E-2</v>
          </cell>
          <cell r="AK43">
            <v>1.0660634060543463E-2</v>
          </cell>
          <cell r="AL43">
            <v>1.0660634060543463E-2</v>
          </cell>
        </row>
        <row r="44">
          <cell r="AH44">
            <v>1.0345564708849501E-2</v>
          </cell>
          <cell r="AI44">
            <v>1.0345564708849501E-2</v>
          </cell>
          <cell r="AJ44">
            <v>1.0345564708849501E-2</v>
          </cell>
          <cell r="AK44">
            <v>1.0345564708849501E-2</v>
          </cell>
          <cell r="AL44">
            <v>1.0345564708849501E-2</v>
          </cell>
        </row>
        <row r="45">
          <cell r="AH45">
            <v>1.003980706374007E-2</v>
          </cell>
          <cell r="AI45">
            <v>1.003980706374007E-2</v>
          </cell>
          <cell r="AJ45">
            <v>1.003980706374007E-2</v>
          </cell>
          <cell r="AK45">
            <v>1.003980706374007E-2</v>
          </cell>
          <cell r="AL45">
            <v>1.003980706374007E-2</v>
          </cell>
        </row>
        <row r="46">
          <cell r="AH46">
            <v>9.7430859226953128E-3</v>
          </cell>
          <cell r="AI46">
            <v>9.7430859226953128E-3</v>
          </cell>
          <cell r="AJ46">
            <v>9.7430859226953128E-3</v>
          </cell>
          <cell r="AK46">
            <v>9.7430859226953128E-3</v>
          </cell>
          <cell r="AL46">
            <v>9.7430859226953128E-3</v>
          </cell>
        </row>
        <row r="47">
          <cell r="AH47">
            <v>9.4551342166590124E-3</v>
          </cell>
          <cell r="AI47">
            <v>9.4551342166590124E-3</v>
          </cell>
          <cell r="AJ47">
            <v>9.4551342166590124E-3</v>
          </cell>
          <cell r="AK47">
            <v>9.4551342166590124E-3</v>
          </cell>
          <cell r="AL47">
            <v>9.4551342166590124E-3</v>
          </cell>
        </row>
        <row r="48">
          <cell r="AH48">
            <v>9.1756927696584108E-3</v>
          </cell>
          <cell r="AI48">
            <v>9.1756927696584108E-3</v>
          </cell>
          <cell r="AJ48">
            <v>9.1756927696584108E-3</v>
          </cell>
          <cell r="AK48">
            <v>9.1756927696584108E-3</v>
          </cell>
          <cell r="AL48">
            <v>9.1756927696584108E-3</v>
          </cell>
        </row>
        <row r="49">
          <cell r="AH49">
            <v>8.9045100655283475E-3</v>
          </cell>
          <cell r="AI49">
            <v>8.9045100655283475E-3</v>
          </cell>
          <cell r="AJ49">
            <v>8.9045100655283475E-3</v>
          </cell>
          <cell r="AK49">
            <v>8.9045100655283475E-3</v>
          </cell>
          <cell r="AL49">
            <v>8.9045100655283475E-3</v>
          </cell>
        </row>
        <row r="50">
          <cell r="AH50">
            <v>8.641342021529717E-3</v>
          </cell>
          <cell r="AI50">
            <v>8.641342021529717E-3</v>
          </cell>
          <cell r="AJ50">
            <v>8.641342021529717E-3</v>
          </cell>
          <cell r="AK50">
            <v>8.641342021529717E-3</v>
          </cell>
          <cell r="AL50">
            <v>8.641342021529717E-3</v>
          </cell>
        </row>
        <row r="51">
          <cell r="AH51">
            <v>8.3859517686585509E-3</v>
          </cell>
          <cell r="AI51">
            <v>8.3859517686585509E-3</v>
          </cell>
          <cell r="AJ51">
            <v>8.3859517686585509E-3</v>
          </cell>
          <cell r="AK51">
            <v>8.3859517686585509E-3</v>
          </cell>
          <cell r="AL51">
            <v>8.3859517686585509E-3</v>
          </cell>
        </row>
        <row r="52">
          <cell r="AH52">
            <v>8.138109438447904E-3</v>
          </cell>
          <cell r="AI52">
            <v>8.138109438447904E-3</v>
          </cell>
          <cell r="AJ52">
            <v>8.138109438447904E-3</v>
          </cell>
          <cell r="AK52">
            <v>8.138109438447904E-3</v>
          </cell>
          <cell r="AL52">
            <v>8.138109438447904E-3</v>
          </cell>
        </row>
        <row r="53">
          <cell r="AH53">
            <v>7.8975919560707267E-3</v>
          </cell>
          <cell r="AI53">
            <v>7.8975919560707267E-3</v>
          </cell>
          <cell r="AJ53">
            <v>7.8975919560707267E-3</v>
          </cell>
          <cell r="AK53">
            <v>7.8975919560707267E-3</v>
          </cell>
          <cell r="AL53">
            <v>7.8975919560707267E-3</v>
          </cell>
        </row>
        <row r="54">
          <cell r="AH54">
            <v>7.6641828395574603E-3</v>
          </cell>
          <cell r="AI54">
            <v>7.6641828395574603E-3</v>
          </cell>
          <cell r="AJ54">
            <v>7.6641828395574603E-3</v>
          </cell>
          <cell r="AK54">
            <v>7.6641828395574603E-3</v>
          </cell>
          <cell r="AL54">
            <v>7.6641828395574603E-3</v>
          </cell>
        </row>
        <row r="55">
          <cell r="AH55">
            <v>7.4376720049476614E-3</v>
          </cell>
          <cell r="AI55">
            <v>7.4376720049476614E-3</v>
          </cell>
          <cell r="AJ55">
            <v>7.4376720049476614E-3</v>
          </cell>
          <cell r="AK55">
            <v>7.4376720049476614E-3</v>
          </cell>
          <cell r="AL55">
            <v>7.4376720049476614E-3</v>
          </cell>
        </row>
        <row r="56">
          <cell r="AH56">
            <v>7.2178555772002351E-3</v>
          </cell>
          <cell r="AI56">
            <v>7.2178555772002351E-3</v>
          </cell>
          <cell r="AJ56">
            <v>7.2178555772002351E-3</v>
          </cell>
          <cell r="AK56">
            <v>7.2178555772002351E-3</v>
          </cell>
          <cell r="AL56">
            <v>7.2178555772002351E-3</v>
          </cell>
        </row>
        <row r="57">
          <cell r="AH57">
            <v>7.0045357066921572E-3</v>
          </cell>
          <cell r="AI57">
            <v>7.0045357066921572E-3</v>
          </cell>
          <cell r="AJ57">
            <v>7.0045357066921572E-3</v>
          </cell>
          <cell r="AK57">
            <v>7.0045357066921572E-3</v>
          </cell>
          <cell r="AL57">
            <v>7.0045357066921572E-3</v>
          </cell>
        </row>
        <row r="58">
          <cell r="AH58">
            <v>6.7975203911404495E-3</v>
          </cell>
          <cell r="AI58">
            <v>6.7975203911404495E-3</v>
          </cell>
          <cell r="AJ58">
            <v>6.7975203911404495E-3</v>
          </cell>
          <cell r="AK58">
            <v>6.7975203911404495E-3</v>
          </cell>
          <cell r="AL58">
            <v>6.7975203911404495E-3</v>
          </cell>
        </row>
        <row r="59">
          <cell r="AH59">
            <v>6.5966233027871567E-3</v>
          </cell>
          <cell r="AI59">
            <v>6.5966233027871567E-3</v>
          </cell>
          <cell r="AJ59">
            <v>6.5966233027871567E-3</v>
          </cell>
          <cell r="AK59">
            <v>6.5966233027871567E-3</v>
          </cell>
          <cell r="AL59">
            <v>6.5966233027871567E-3</v>
          </cell>
        </row>
        <row r="60">
          <cell r="AH60">
            <v>6.4016636206918037E-3</v>
          </cell>
          <cell r="AI60">
            <v>6.4016636206918037E-3</v>
          </cell>
          <cell r="AJ60">
            <v>6.4016636206918037E-3</v>
          </cell>
          <cell r="AK60">
            <v>6.4016636206918037E-3</v>
          </cell>
          <cell r="AL60">
            <v>6.4016636206918037E-3</v>
          </cell>
        </row>
        <row r="61">
          <cell r="AH61">
            <v>6.2124658679803329E-3</v>
          </cell>
          <cell r="AI61">
            <v>6.2124658679803329E-3</v>
          </cell>
          <cell r="AJ61">
            <v>6.2124658679803329E-3</v>
          </cell>
          <cell r="AK61">
            <v>6.2124658679803329E-3</v>
          </cell>
          <cell r="AL61">
            <v>6.2124658679803329E-3</v>
          </cell>
        </row>
        <row r="62">
          <cell r="AH62">
            <v>6.0288597539040695E-3</v>
          </cell>
          <cell r="AI62">
            <v>6.0288597539040695E-3</v>
          </cell>
          <cell r="AJ62">
            <v>6.0288597539040695E-3</v>
          </cell>
          <cell r="AK62">
            <v>6.0288597539040695E-3</v>
          </cell>
          <cell r="AL62">
            <v>6.0288597539040695E-3</v>
          </cell>
        </row>
        <row r="63">
          <cell r="AH63">
            <v>5.8506800205665628E-3</v>
          </cell>
          <cell r="AI63">
            <v>5.8506800205665628E-3</v>
          </cell>
          <cell r="AJ63">
            <v>5.8506800205665628E-3</v>
          </cell>
          <cell r="AK63">
            <v>5.8506800205665628E-3</v>
          </cell>
          <cell r="AL63">
            <v>5.8506800205665628E-3</v>
          </cell>
        </row>
        <row r="64">
          <cell r="AH64">
            <v>5.6777662941803137E-3</v>
          </cell>
          <cell r="AI64">
            <v>5.6777662941803137E-3</v>
          </cell>
          <cell r="AJ64">
            <v>5.6777662941803137E-3</v>
          </cell>
          <cell r="AK64">
            <v>5.6777662941803137E-3</v>
          </cell>
          <cell r="AL64">
            <v>5.6777662941803137E-3</v>
          </cell>
        </row>
        <row r="65">
          <cell r="AH65">
            <v>5.5555555555555558E-3</v>
          </cell>
          <cell r="AI65">
            <v>5.5555555555555558E-3</v>
          </cell>
          <cell r="AJ65">
            <v>5.5555555555555558E-3</v>
          </cell>
          <cell r="AK65">
            <v>5.5555555555555558E-3</v>
          </cell>
          <cell r="AL65">
            <v>5.5555555555555558E-3</v>
          </cell>
        </row>
        <row r="66">
          <cell r="AH66">
            <v>5.5555555555555558E-3</v>
          </cell>
          <cell r="AI66">
            <v>5.5555555555555558E-3</v>
          </cell>
          <cell r="AJ66">
            <v>5.5555555555555558E-3</v>
          </cell>
          <cell r="AK66">
            <v>5.5555555555555558E-3</v>
          </cell>
          <cell r="AL66">
            <v>5.5555555555555558E-3</v>
          </cell>
        </row>
        <row r="67">
          <cell r="AH67">
            <v>5.5555555555555558E-3</v>
          </cell>
          <cell r="AI67">
            <v>5.5555555555555558E-3</v>
          </cell>
          <cell r="AJ67">
            <v>5.5555555555555558E-3</v>
          </cell>
          <cell r="AK67">
            <v>5.5555555555555558E-3</v>
          </cell>
          <cell r="AL67">
            <v>5.5555555555555558E-3</v>
          </cell>
        </row>
        <row r="68">
          <cell r="AH68">
            <v>5.5555555555555558E-3</v>
          </cell>
          <cell r="AI68">
            <v>5.5555555555555558E-3</v>
          </cell>
          <cell r="AJ68">
            <v>5.5555555555555558E-3</v>
          </cell>
          <cell r="AK68">
            <v>5.5555555555555558E-3</v>
          </cell>
          <cell r="AL68">
            <v>5.5555555555555558E-3</v>
          </cell>
        </row>
        <row r="69">
          <cell r="AH69">
            <v>5.5555555555555558E-3</v>
          </cell>
          <cell r="AI69">
            <v>5.5555555555555558E-3</v>
          </cell>
          <cell r="AJ69">
            <v>5.5555555555555558E-3</v>
          </cell>
          <cell r="AK69">
            <v>5.5555555555555558E-3</v>
          </cell>
          <cell r="AL69">
            <v>5.5555555555555558E-3</v>
          </cell>
        </row>
        <row r="70">
          <cell r="AH70">
            <v>5.5555555555555558E-3</v>
          </cell>
          <cell r="AI70">
            <v>5.5555555555555558E-3</v>
          </cell>
          <cell r="AJ70">
            <v>5.5555555555555558E-3</v>
          </cell>
          <cell r="AK70">
            <v>5.5555555555555558E-3</v>
          </cell>
          <cell r="AL70">
            <v>5.5555555555555558E-3</v>
          </cell>
        </row>
        <row r="71">
          <cell r="AH71">
            <v>5.5555555555555558E-3</v>
          </cell>
          <cell r="AI71">
            <v>5.5555555555555558E-3</v>
          </cell>
          <cell r="AJ71">
            <v>5.5555555555555558E-3</v>
          </cell>
          <cell r="AK71">
            <v>5.5555555555555558E-3</v>
          </cell>
          <cell r="AL71">
            <v>5.5555555555555558E-3</v>
          </cell>
        </row>
        <row r="72">
          <cell r="AH72">
            <v>5.5555555555555558E-3</v>
          </cell>
          <cell r="AI72">
            <v>5.5555555555555558E-3</v>
          </cell>
          <cell r="AJ72">
            <v>5.5555555555555558E-3</v>
          </cell>
          <cell r="AK72">
            <v>5.5555555555555558E-3</v>
          </cell>
          <cell r="AL72">
            <v>5.5555555555555558E-3</v>
          </cell>
        </row>
        <row r="73">
          <cell r="AH73">
            <v>5.5555555555555558E-3</v>
          </cell>
          <cell r="AI73">
            <v>5.5555555555555558E-3</v>
          </cell>
          <cell r="AJ73">
            <v>5.5555555555555558E-3</v>
          </cell>
          <cell r="AK73">
            <v>5.5555555555555558E-3</v>
          </cell>
          <cell r="AL73">
            <v>5.5555555555555558E-3</v>
          </cell>
        </row>
        <row r="74">
          <cell r="AH74">
            <v>5.5555555555555558E-3</v>
          </cell>
          <cell r="AI74">
            <v>5.5555555555555558E-3</v>
          </cell>
          <cell r="AJ74">
            <v>5.5555555555555558E-3</v>
          </cell>
          <cell r="AK74">
            <v>5.5555555555555558E-3</v>
          </cell>
          <cell r="AL74">
            <v>5.5555555555555558E-3</v>
          </cell>
        </row>
        <row r="75">
          <cell r="AH75">
            <v>5.5555555555555558E-3</v>
          </cell>
          <cell r="AI75">
            <v>5.5555555555555558E-3</v>
          </cell>
          <cell r="AJ75">
            <v>5.5555555555555558E-3</v>
          </cell>
          <cell r="AK75">
            <v>5.5555555555555558E-3</v>
          </cell>
          <cell r="AL75">
            <v>5.5555555555555558E-3</v>
          </cell>
        </row>
        <row r="76">
          <cell r="AH76">
            <v>5.5555555555555558E-3</v>
          </cell>
          <cell r="AI76">
            <v>5.5555555555555558E-3</v>
          </cell>
          <cell r="AJ76">
            <v>5.5555555555555558E-3</v>
          </cell>
          <cell r="AK76">
            <v>5.5555555555555558E-3</v>
          </cell>
          <cell r="AL76">
            <v>5.5555555555555558E-3</v>
          </cell>
        </row>
        <row r="77">
          <cell r="AH77">
            <v>5.5555555555555558E-3</v>
          </cell>
          <cell r="AI77">
            <v>5.5555555555555558E-3</v>
          </cell>
          <cell r="AJ77">
            <v>5.5555555555555558E-3</v>
          </cell>
          <cell r="AK77">
            <v>5.5555555555555558E-3</v>
          </cell>
          <cell r="AL77">
            <v>5.5555555555555558E-3</v>
          </cell>
        </row>
        <row r="78">
          <cell r="AH78">
            <v>5.5555555555555558E-3</v>
          </cell>
          <cell r="AI78">
            <v>5.5555555555555558E-3</v>
          </cell>
          <cell r="AJ78">
            <v>5.5555555555555558E-3</v>
          </cell>
          <cell r="AK78">
            <v>5.5555555555555558E-3</v>
          </cell>
          <cell r="AL78">
            <v>5.5555555555555558E-3</v>
          </cell>
        </row>
        <row r="79">
          <cell r="AH79">
            <v>5.5555555555555558E-3</v>
          </cell>
          <cell r="AI79">
            <v>5.5555555555555558E-3</v>
          </cell>
          <cell r="AJ79">
            <v>5.5555555555555558E-3</v>
          </cell>
          <cell r="AK79">
            <v>5.5555555555555558E-3</v>
          </cell>
          <cell r="AL79">
            <v>5.5555555555555558E-3</v>
          </cell>
        </row>
        <row r="80">
          <cell r="AH80">
            <v>5.5555555555555558E-3</v>
          </cell>
          <cell r="AI80">
            <v>5.5555555555555558E-3</v>
          </cell>
          <cell r="AJ80">
            <v>5.5555555555555558E-3</v>
          </cell>
          <cell r="AK80">
            <v>5.5555555555555558E-3</v>
          </cell>
          <cell r="AL80">
            <v>5.5555555555555558E-3</v>
          </cell>
        </row>
        <row r="81">
          <cell r="AH81">
            <v>5.5555555555555558E-3</v>
          </cell>
          <cell r="AI81">
            <v>5.5555555555555558E-3</v>
          </cell>
          <cell r="AJ81">
            <v>5.5555555555555558E-3</v>
          </cell>
          <cell r="AK81">
            <v>5.5555555555555558E-3</v>
          </cell>
          <cell r="AL81">
            <v>5.5555555555555558E-3</v>
          </cell>
        </row>
        <row r="82">
          <cell r="AH82">
            <v>5.5555555555555558E-3</v>
          </cell>
          <cell r="AI82">
            <v>5.5555555555555558E-3</v>
          </cell>
          <cell r="AJ82">
            <v>5.5555555555555558E-3</v>
          </cell>
          <cell r="AK82">
            <v>5.5555555555555558E-3</v>
          </cell>
          <cell r="AL82">
            <v>5.5555555555555558E-3</v>
          </cell>
        </row>
        <row r="83">
          <cell r="AH83">
            <v>5.5555555555555558E-3</v>
          </cell>
          <cell r="AI83">
            <v>5.5555555555555558E-3</v>
          </cell>
          <cell r="AJ83">
            <v>5.5555555555555558E-3</v>
          </cell>
          <cell r="AK83">
            <v>5.5555555555555558E-3</v>
          </cell>
          <cell r="AL83">
            <v>5.5555555555555558E-3</v>
          </cell>
        </row>
        <row r="84">
          <cell r="AH84">
            <v>5.5555555555555558E-3</v>
          </cell>
          <cell r="AI84">
            <v>5.5555555555555558E-3</v>
          </cell>
          <cell r="AJ84">
            <v>5.5555555555555558E-3</v>
          </cell>
          <cell r="AK84">
            <v>5.5555555555555558E-3</v>
          </cell>
          <cell r="AL84">
            <v>5.5555555555555558E-3</v>
          </cell>
        </row>
        <row r="85">
          <cell r="AH85">
            <v>5.5555555555555558E-3</v>
          </cell>
          <cell r="AI85">
            <v>5.5555555555555558E-3</v>
          </cell>
          <cell r="AJ85">
            <v>5.5555555555555558E-3</v>
          </cell>
          <cell r="AK85">
            <v>5.5555555555555558E-3</v>
          </cell>
          <cell r="AL85">
            <v>5.5555555555555558E-3</v>
          </cell>
        </row>
        <row r="86">
          <cell r="AH86">
            <v>5.5555555555555558E-3</v>
          </cell>
          <cell r="AI86">
            <v>5.5555555555555558E-3</v>
          </cell>
          <cell r="AJ86">
            <v>5.5555555555555558E-3</v>
          </cell>
          <cell r="AK86">
            <v>5.5555555555555558E-3</v>
          </cell>
          <cell r="AL86">
            <v>5.5555555555555558E-3</v>
          </cell>
        </row>
        <row r="87">
          <cell r="AH87">
            <v>5.5555555555555558E-3</v>
          </cell>
          <cell r="AI87">
            <v>5.5555555555555558E-3</v>
          </cell>
          <cell r="AJ87">
            <v>5.5555555555555558E-3</v>
          </cell>
          <cell r="AK87">
            <v>5.5555555555555558E-3</v>
          </cell>
          <cell r="AL87">
            <v>5.5555555555555558E-3</v>
          </cell>
        </row>
        <row r="88">
          <cell r="AH88">
            <v>5.5555555555555558E-3</v>
          </cell>
          <cell r="AI88">
            <v>5.5555555555555558E-3</v>
          </cell>
          <cell r="AJ88">
            <v>5.5555555555555558E-3</v>
          </cell>
          <cell r="AK88">
            <v>5.5555555555555558E-3</v>
          </cell>
          <cell r="AL88">
            <v>5.5555555555555558E-3</v>
          </cell>
        </row>
        <row r="89">
          <cell r="AH89">
            <v>5.5555555555555558E-3</v>
          </cell>
          <cell r="AI89">
            <v>5.5555555555555558E-3</v>
          </cell>
          <cell r="AJ89">
            <v>5.5555555555555558E-3</v>
          </cell>
          <cell r="AK89">
            <v>5.5555555555555558E-3</v>
          </cell>
          <cell r="AL89">
            <v>5.5555555555555558E-3</v>
          </cell>
        </row>
        <row r="90">
          <cell r="AH90">
            <v>5.5555555555555558E-3</v>
          </cell>
          <cell r="AI90">
            <v>5.5555555555555558E-3</v>
          </cell>
          <cell r="AJ90">
            <v>5.5555555555555558E-3</v>
          </cell>
          <cell r="AK90">
            <v>5.5555555555555558E-3</v>
          </cell>
          <cell r="AL90">
            <v>5.5555555555555558E-3</v>
          </cell>
        </row>
        <row r="91">
          <cell r="AH91">
            <v>5.5555555555555558E-3</v>
          </cell>
          <cell r="AI91">
            <v>5.5555555555555558E-3</v>
          </cell>
          <cell r="AJ91">
            <v>5.5555555555555558E-3</v>
          </cell>
          <cell r="AK91">
            <v>5.5555555555555558E-3</v>
          </cell>
          <cell r="AL91">
            <v>5.5555555555555558E-3</v>
          </cell>
        </row>
        <row r="92">
          <cell r="AH92">
            <v>5.5555555555555558E-3</v>
          </cell>
          <cell r="AI92">
            <v>5.5555555555555558E-3</v>
          </cell>
          <cell r="AJ92">
            <v>5.5555555555555558E-3</v>
          </cell>
          <cell r="AK92">
            <v>5.5555555555555558E-3</v>
          </cell>
          <cell r="AL92">
            <v>5.5555555555555558E-3</v>
          </cell>
        </row>
        <row r="93">
          <cell r="AH93">
            <v>5.5555555555555558E-3</v>
          </cell>
          <cell r="AI93">
            <v>5.5555555555555558E-3</v>
          </cell>
          <cell r="AJ93">
            <v>5.5555555555555558E-3</v>
          </cell>
          <cell r="AK93">
            <v>5.5555555555555558E-3</v>
          </cell>
          <cell r="AL93">
            <v>5.5555555555555558E-3</v>
          </cell>
        </row>
        <row r="94">
          <cell r="AH94">
            <v>5.5555555555555558E-3</v>
          </cell>
          <cell r="AI94">
            <v>5.5555555555555558E-3</v>
          </cell>
          <cell r="AJ94">
            <v>5.5555555555555558E-3</v>
          </cell>
          <cell r="AK94">
            <v>5.5555555555555558E-3</v>
          </cell>
          <cell r="AL94">
            <v>5.5555555555555558E-3</v>
          </cell>
        </row>
        <row r="95">
          <cell r="AH95">
            <v>5.5555555555555558E-3</v>
          </cell>
          <cell r="AI95">
            <v>5.5555555555555558E-3</v>
          </cell>
          <cell r="AJ95">
            <v>5.5555555555555558E-3</v>
          </cell>
          <cell r="AK95">
            <v>5.5555555555555558E-3</v>
          </cell>
          <cell r="AL95">
            <v>5.5555555555555558E-3</v>
          </cell>
        </row>
        <row r="96">
          <cell r="AH96">
            <v>5.5555555555555558E-3</v>
          </cell>
          <cell r="AI96">
            <v>5.5555555555555558E-3</v>
          </cell>
          <cell r="AJ96">
            <v>5.5555555555555558E-3</v>
          </cell>
          <cell r="AK96">
            <v>5.5555555555555558E-3</v>
          </cell>
          <cell r="AL96">
            <v>5.5555555555555558E-3</v>
          </cell>
        </row>
        <row r="97">
          <cell r="AH97">
            <v>5.5555555555555558E-3</v>
          </cell>
          <cell r="AI97">
            <v>5.5555555555555558E-3</v>
          </cell>
          <cell r="AJ97">
            <v>5.5555555555555558E-3</v>
          </cell>
          <cell r="AK97">
            <v>5.5555555555555558E-3</v>
          </cell>
          <cell r="AL97">
            <v>5.5555555555555558E-3</v>
          </cell>
        </row>
        <row r="98">
          <cell r="AH98">
            <v>5.5555555555555558E-3</v>
          </cell>
          <cell r="AI98">
            <v>5.5555555555555558E-3</v>
          </cell>
          <cell r="AJ98">
            <v>5.5555555555555558E-3</v>
          </cell>
          <cell r="AK98">
            <v>5.5555555555555558E-3</v>
          </cell>
          <cell r="AL98">
            <v>5.5555555555555558E-3</v>
          </cell>
        </row>
        <row r="99">
          <cell r="AH99">
            <v>5.5555555555555558E-3</v>
          </cell>
          <cell r="AI99">
            <v>5.5555555555555558E-3</v>
          </cell>
          <cell r="AJ99">
            <v>5.5555555555555558E-3</v>
          </cell>
          <cell r="AK99">
            <v>5.5555555555555558E-3</v>
          </cell>
          <cell r="AL99">
            <v>5.5555555555555558E-3</v>
          </cell>
        </row>
        <row r="100">
          <cell r="AH100">
            <v>5.5555555555555558E-3</v>
          </cell>
          <cell r="AI100">
            <v>5.5555555555555558E-3</v>
          </cell>
          <cell r="AJ100">
            <v>5.5555555555555558E-3</v>
          </cell>
          <cell r="AK100">
            <v>5.5555555555555558E-3</v>
          </cell>
          <cell r="AL100">
            <v>5.5555555555555558E-3</v>
          </cell>
        </row>
        <row r="101">
          <cell r="AH101">
            <v>5.5555555555555558E-3</v>
          </cell>
          <cell r="AI101">
            <v>5.5555555555555558E-3</v>
          </cell>
          <cell r="AJ101">
            <v>5.5555555555555558E-3</v>
          </cell>
          <cell r="AK101">
            <v>5.5555555555555558E-3</v>
          </cell>
          <cell r="AL101">
            <v>5.5555555555555558E-3</v>
          </cell>
        </row>
        <row r="102">
          <cell r="AH102">
            <v>5.5555555555555558E-3</v>
          </cell>
          <cell r="AI102">
            <v>5.5555555555555558E-3</v>
          </cell>
          <cell r="AJ102">
            <v>5.5555555555555558E-3</v>
          </cell>
          <cell r="AK102">
            <v>5.5555555555555558E-3</v>
          </cell>
          <cell r="AL102">
            <v>5.5555555555555558E-3</v>
          </cell>
        </row>
        <row r="103">
          <cell r="AH103">
            <v>5.5555555555555558E-3</v>
          </cell>
          <cell r="AI103">
            <v>5.5555555555555558E-3</v>
          </cell>
          <cell r="AJ103">
            <v>5.5555555555555558E-3</v>
          </cell>
          <cell r="AK103">
            <v>5.5555555555555558E-3</v>
          </cell>
          <cell r="AL103">
            <v>5.5555555555555558E-3</v>
          </cell>
        </row>
        <row r="104">
          <cell r="AH104">
            <v>5.5555555555555558E-3</v>
          </cell>
          <cell r="AI104">
            <v>5.5555555555555558E-3</v>
          </cell>
          <cell r="AJ104">
            <v>5.5555555555555558E-3</v>
          </cell>
          <cell r="AK104">
            <v>5.5555555555555558E-3</v>
          </cell>
          <cell r="AL104">
            <v>5.5555555555555558E-3</v>
          </cell>
        </row>
        <row r="105">
          <cell r="AH105">
            <v>5.5555555555555558E-3</v>
          </cell>
          <cell r="AI105">
            <v>5.5555555555555558E-3</v>
          </cell>
          <cell r="AJ105">
            <v>5.5555555555555558E-3</v>
          </cell>
          <cell r="AK105">
            <v>5.5555555555555558E-3</v>
          </cell>
          <cell r="AL105">
            <v>5.5555555555555558E-3</v>
          </cell>
        </row>
        <row r="106">
          <cell r="AH106">
            <v>5.5555555555555558E-3</v>
          </cell>
          <cell r="AI106">
            <v>5.5555555555555558E-3</v>
          </cell>
          <cell r="AJ106">
            <v>5.5555555555555558E-3</v>
          </cell>
          <cell r="AK106">
            <v>5.5555555555555558E-3</v>
          </cell>
          <cell r="AL106">
            <v>5.5555555555555558E-3</v>
          </cell>
        </row>
        <row r="107">
          <cell r="AH107">
            <v>5.5555555555555558E-3</v>
          </cell>
          <cell r="AI107">
            <v>5.5555555555555558E-3</v>
          </cell>
          <cell r="AJ107">
            <v>5.5555555555555558E-3</v>
          </cell>
          <cell r="AK107">
            <v>5.5555555555555558E-3</v>
          </cell>
          <cell r="AL107">
            <v>5.5555555555555558E-3</v>
          </cell>
        </row>
        <row r="108">
          <cell r="AH108">
            <v>5.5555555555555558E-3</v>
          </cell>
          <cell r="AI108">
            <v>5.5555555555555558E-3</v>
          </cell>
          <cell r="AJ108">
            <v>5.5555555555555558E-3</v>
          </cell>
          <cell r="AK108">
            <v>5.5555555555555558E-3</v>
          </cell>
          <cell r="AL108">
            <v>5.5555555555555558E-3</v>
          </cell>
        </row>
        <row r="109">
          <cell r="AH109">
            <v>5.5555555555555558E-3</v>
          </cell>
          <cell r="AI109">
            <v>5.5555555555555558E-3</v>
          </cell>
          <cell r="AJ109">
            <v>5.5555555555555558E-3</v>
          </cell>
          <cell r="AK109">
            <v>5.5555555555555558E-3</v>
          </cell>
          <cell r="AL109">
            <v>5.5555555555555558E-3</v>
          </cell>
        </row>
        <row r="110">
          <cell r="AH110">
            <v>5.5555555555555558E-3</v>
          </cell>
          <cell r="AI110">
            <v>5.5555555555555558E-3</v>
          </cell>
          <cell r="AJ110">
            <v>5.5555555555555558E-3</v>
          </cell>
          <cell r="AK110">
            <v>5.5555555555555558E-3</v>
          </cell>
          <cell r="AL110">
            <v>5.5555555555555558E-3</v>
          </cell>
        </row>
        <row r="111">
          <cell r="AH111">
            <v>5.5555555555555558E-3</v>
          </cell>
          <cell r="AI111">
            <v>5.5555555555555558E-3</v>
          </cell>
          <cell r="AJ111">
            <v>5.5555555555555558E-3</v>
          </cell>
          <cell r="AK111">
            <v>5.5555555555555558E-3</v>
          </cell>
          <cell r="AL111">
            <v>5.5555555555555558E-3</v>
          </cell>
        </row>
        <row r="112">
          <cell r="AH112">
            <v>5.5555555555555558E-3</v>
          </cell>
          <cell r="AI112">
            <v>5.5555555555555558E-3</v>
          </cell>
          <cell r="AJ112">
            <v>5.5555555555555558E-3</v>
          </cell>
          <cell r="AK112">
            <v>5.5555555555555558E-3</v>
          </cell>
          <cell r="AL112">
            <v>5.5555555555555558E-3</v>
          </cell>
        </row>
        <row r="113">
          <cell r="AH113">
            <v>5.5555555555555558E-3</v>
          </cell>
          <cell r="AI113">
            <v>5.5555555555555558E-3</v>
          </cell>
          <cell r="AJ113">
            <v>5.5555555555555558E-3</v>
          </cell>
          <cell r="AK113">
            <v>5.5555555555555558E-3</v>
          </cell>
          <cell r="AL113">
            <v>5.5555555555555558E-3</v>
          </cell>
        </row>
        <row r="114">
          <cell r="AH114">
            <v>5.5555555555555558E-3</v>
          </cell>
          <cell r="AI114">
            <v>5.5555555555555558E-3</v>
          </cell>
          <cell r="AJ114">
            <v>5.5555555555555558E-3</v>
          </cell>
          <cell r="AK114">
            <v>5.5555555555555558E-3</v>
          </cell>
          <cell r="AL114">
            <v>5.5555555555555558E-3</v>
          </cell>
        </row>
        <row r="115">
          <cell r="AH115">
            <v>5.5555555555555558E-3</v>
          </cell>
          <cell r="AI115">
            <v>5.5555555555555558E-3</v>
          </cell>
          <cell r="AJ115">
            <v>5.5555555555555558E-3</v>
          </cell>
          <cell r="AK115">
            <v>5.5555555555555558E-3</v>
          </cell>
          <cell r="AL115">
            <v>5.5555555555555558E-3</v>
          </cell>
        </row>
        <row r="116">
          <cell r="AH116">
            <v>5.5555555555555558E-3</v>
          </cell>
          <cell r="AI116">
            <v>5.5555555555555558E-3</v>
          </cell>
          <cell r="AJ116">
            <v>5.5555555555555558E-3</v>
          </cell>
          <cell r="AK116">
            <v>5.5555555555555558E-3</v>
          </cell>
          <cell r="AL116">
            <v>5.5555555555555558E-3</v>
          </cell>
        </row>
        <row r="117">
          <cell r="AH117">
            <v>5.5555555555555558E-3</v>
          </cell>
          <cell r="AI117">
            <v>5.5555555555555558E-3</v>
          </cell>
          <cell r="AJ117">
            <v>5.5555555555555558E-3</v>
          </cell>
          <cell r="AK117">
            <v>5.5555555555555558E-3</v>
          </cell>
          <cell r="AL117">
            <v>5.5555555555555558E-3</v>
          </cell>
        </row>
        <row r="118">
          <cell r="AH118">
            <v>5.5555555555555558E-3</v>
          </cell>
          <cell r="AI118">
            <v>5.5555555555555558E-3</v>
          </cell>
          <cell r="AJ118">
            <v>5.5555555555555558E-3</v>
          </cell>
          <cell r="AK118">
            <v>5.5555555555555558E-3</v>
          </cell>
          <cell r="AL118">
            <v>5.5555555555555558E-3</v>
          </cell>
        </row>
        <row r="119">
          <cell r="AH119">
            <v>5.5555555555555558E-3</v>
          </cell>
          <cell r="AI119">
            <v>5.5555555555555558E-3</v>
          </cell>
          <cell r="AJ119">
            <v>5.5555555555555558E-3</v>
          </cell>
          <cell r="AK119">
            <v>5.5555555555555558E-3</v>
          </cell>
          <cell r="AL119">
            <v>5.5555555555555558E-3</v>
          </cell>
        </row>
        <row r="120">
          <cell r="AH120">
            <v>5.5555555555555558E-3</v>
          </cell>
          <cell r="AI120">
            <v>5.5555555555555558E-3</v>
          </cell>
          <cell r="AJ120">
            <v>5.5555555555555558E-3</v>
          </cell>
          <cell r="AK120">
            <v>5.5555555555555558E-3</v>
          </cell>
          <cell r="AL120">
            <v>5.5555555555555558E-3</v>
          </cell>
        </row>
        <row r="121">
          <cell r="AH121">
            <v>5.5555555555555558E-3</v>
          </cell>
          <cell r="AI121">
            <v>5.5555555555555558E-3</v>
          </cell>
          <cell r="AJ121">
            <v>5.5555555555555558E-3</v>
          </cell>
          <cell r="AK121">
            <v>5.5555555555555558E-3</v>
          </cell>
          <cell r="AL121">
            <v>5.5555555555555558E-3</v>
          </cell>
        </row>
        <row r="122">
          <cell r="AH122">
            <v>5.5555555555555558E-3</v>
          </cell>
          <cell r="AI122">
            <v>5.5555555555555558E-3</v>
          </cell>
          <cell r="AJ122">
            <v>5.5555555555555558E-3</v>
          </cell>
          <cell r="AK122">
            <v>5.5555555555555558E-3</v>
          </cell>
          <cell r="AL122">
            <v>5.5555555555555558E-3</v>
          </cell>
        </row>
        <row r="123">
          <cell r="AH123">
            <v>5.5555555555555558E-3</v>
          </cell>
          <cell r="AI123">
            <v>5.5555555555555558E-3</v>
          </cell>
          <cell r="AJ123">
            <v>5.5555555555555558E-3</v>
          </cell>
          <cell r="AK123">
            <v>5.5555555555555558E-3</v>
          </cell>
          <cell r="AL123">
            <v>5.5555555555555558E-3</v>
          </cell>
        </row>
        <row r="124">
          <cell r="AH124">
            <v>5.5555555555555558E-3</v>
          </cell>
          <cell r="AI124">
            <v>5.5555555555555558E-3</v>
          </cell>
          <cell r="AJ124">
            <v>5.5555555555555558E-3</v>
          </cell>
          <cell r="AK124">
            <v>5.5555555555555558E-3</v>
          </cell>
          <cell r="AL124">
            <v>5.5555555555555558E-3</v>
          </cell>
        </row>
        <row r="125">
          <cell r="AH125">
            <v>5.5555555555555558E-3</v>
          </cell>
          <cell r="AI125">
            <v>5.5555555555555558E-3</v>
          </cell>
          <cell r="AJ125">
            <v>5.5555555555555558E-3</v>
          </cell>
          <cell r="AK125">
            <v>5.5555555555555558E-3</v>
          </cell>
          <cell r="AL125">
            <v>5.5555555555555558E-3</v>
          </cell>
        </row>
        <row r="126">
          <cell r="AH126">
            <v>5.5555555555555558E-3</v>
          </cell>
          <cell r="AI126">
            <v>5.5555555555555558E-3</v>
          </cell>
          <cell r="AJ126">
            <v>5.5555555555555558E-3</v>
          </cell>
          <cell r="AK126">
            <v>5.5555555555555558E-3</v>
          </cell>
          <cell r="AL126">
            <v>5.5555555555555558E-3</v>
          </cell>
        </row>
        <row r="127">
          <cell r="AH127">
            <v>5.5555555555555558E-3</v>
          </cell>
          <cell r="AI127">
            <v>5.5555555555555558E-3</v>
          </cell>
          <cell r="AJ127">
            <v>5.5555555555555558E-3</v>
          </cell>
          <cell r="AK127">
            <v>5.5555555555555558E-3</v>
          </cell>
          <cell r="AL127">
            <v>5.5555555555555558E-3</v>
          </cell>
        </row>
        <row r="128">
          <cell r="AH128">
            <v>5.5555555555555558E-3</v>
          </cell>
          <cell r="AI128">
            <v>5.5555555555555558E-3</v>
          </cell>
          <cell r="AJ128">
            <v>5.5555555555555558E-3</v>
          </cell>
          <cell r="AK128">
            <v>5.5555555555555558E-3</v>
          </cell>
          <cell r="AL128">
            <v>5.5555555555555558E-3</v>
          </cell>
        </row>
        <row r="129">
          <cell r="AH129">
            <v>5.5555555555555558E-3</v>
          </cell>
          <cell r="AI129">
            <v>5.5555555555555558E-3</v>
          </cell>
          <cell r="AJ129">
            <v>5.5555555555555558E-3</v>
          </cell>
          <cell r="AK129">
            <v>5.5555555555555558E-3</v>
          </cell>
          <cell r="AL129">
            <v>5.5555555555555558E-3</v>
          </cell>
        </row>
        <row r="130">
          <cell r="AH130">
            <v>5.5555555555555558E-3</v>
          </cell>
          <cell r="AI130">
            <v>5.5555555555555558E-3</v>
          </cell>
          <cell r="AJ130">
            <v>5.5555555555555558E-3</v>
          </cell>
          <cell r="AK130">
            <v>5.5555555555555558E-3</v>
          </cell>
          <cell r="AL130">
            <v>5.5555555555555558E-3</v>
          </cell>
        </row>
        <row r="131">
          <cell r="AH131">
            <v>5.5555555555555558E-3</v>
          </cell>
          <cell r="AI131">
            <v>5.5555555555555558E-3</v>
          </cell>
          <cell r="AJ131">
            <v>5.5555555555555558E-3</v>
          </cell>
          <cell r="AK131">
            <v>5.5555555555555558E-3</v>
          </cell>
          <cell r="AL131">
            <v>5.5555555555555558E-3</v>
          </cell>
        </row>
        <row r="132">
          <cell r="AH132">
            <v>5.5555555555555558E-3</v>
          </cell>
          <cell r="AI132">
            <v>5.5555555555555558E-3</v>
          </cell>
          <cell r="AJ132">
            <v>5.5555555555555558E-3</v>
          </cell>
          <cell r="AK132">
            <v>5.5555555555555558E-3</v>
          </cell>
          <cell r="AL132">
            <v>5.5555555555555558E-3</v>
          </cell>
        </row>
        <row r="133">
          <cell r="AH133">
            <v>5.5555555555555558E-3</v>
          </cell>
          <cell r="AI133">
            <v>5.5555555555555558E-3</v>
          </cell>
          <cell r="AJ133">
            <v>5.5555555555555558E-3</v>
          </cell>
          <cell r="AK133">
            <v>5.5555555555555558E-3</v>
          </cell>
          <cell r="AL133">
            <v>5.5555555555555558E-3</v>
          </cell>
        </row>
        <row r="134">
          <cell r="AH134">
            <v>5.5555555555555558E-3</v>
          </cell>
          <cell r="AI134">
            <v>5.5555555555555558E-3</v>
          </cell>
          <cell r="AJ134">
            <v>5.5555555555555558E-3</v>
          </cell>
          <cell r="AK134">
            <v>5.5555555555555558E-3</v>
          </cell>
          <cell r="AL134">
            <v>5.5555555555555558E-3</v>
          </cell>
        </row>
        <row r="135">
          <cell r="AH135">
            <v>5.5555555555555558E-3</v>
          </cell>
          <cell r="AI135">
            <v>5.5555555555555558E-3</v>
          </cell>
          <cell r="AJ135">
            <v>5.5555555555555558E-3</v>
          </cell>
          <cell r="AK135">
            <v>5.5555555555555558E-3</v>
          </cell>
          <cell r="AL135">
            <v>5.5555555555555558E-3</v>
          </cell>
        </row>
        <row r="136">
          <cell r="AH136">
            <v>5.5555555555555558E-3</v>
          </cell>
          <cell r="AI136">
            <v>5.5555555555555558E-3</v>
          </cell>
          <cell r="AJ136">
            <v>5.5555555555555558E-3</v>
          </cell>
          <cell r="AK136">
            <v>5.5555555555555558E-3</v>
          </cell>
          <cell r="AL136">
            <v>5.5555555555555558E-3</v>
          </cell>
        </row>
        <row r="137">
          <cell r="AH137">
            <v>5.5555555555555558E-3</v>
          </cell>
          <cell r="AI137">
            <v>5.5555555555555558E-3</v>
          </cell>
          <cell r="AJ137">
            <v>5.5555555555555558E-3</v>
          </cell>
          <cell r="AK137">
            <v>5.5555555555555558E-3</v>
          </cell>
          <cell r="AL137">
            <v>5.5555555555555558E-3</v>
          </cell>
        </row>
        <row r="138">
          <cell r="AH138">
            <v>5.5555555555555558E-3</v>
          </cell>
          <cell r="AI138">
            <v>5.5555555555555558E-3</v>
          </cell>
          <cell r="AJ138">
            <v>5.5555555555555558E-3</v>
          </cell>
          <cell r="AK138">
            <v>5.5555555555555558E-3</v>
          </cell>
          <cell r="AL138">
            <v>5.5555555555555558E-3</v>
          </cell>
        </row>
        <row r="139">
          <cell r="AH139">
            <v>5.5555555555555558E-3</v>
          </cell>
          <cell r="AI139">
            <v>5.5555555555555558E-3</v>
          </cell>
          <cell r="AJ139">
            <v>5.5555555555555558E-3</v>
          </cell>
          <cell r="AK139">
            <v>5.5555555555555558E-3</v>
          </cell>
          <cell r="AL139">
            <v>5.5555555555555558E-3</v>
          </cell>
        </row>
        <row r="140">
          <cell r="AH140">
            <v>5.5555555555555558E-3</v>
          </cell>
          <cell r="AI140">
            <v>5.5555555555555558E-3</v>
          </cell>
          <cell r="AJ140">
            <v>5.5555555555555558E-3</v>
          </cell>
          <cell r="AK140">
            <v>5.5555555555555558E-3</v>
          </cell>
          <cell r="AL140">
            <v>5.5555555555555558E-3</v>
          </cell>
        </row>
        <row r="141">
          <cell r="AH141">
            <v>5.5555555555555558E-3</v>
          </cell>
          <cell r="AI141">
            <v>5.5555555555555558E-3</v>
          </cell>
          <cell r="AJ141">
            <v>5.5555555555555558E-3</v>
          </cell>
          <cell r="AK141">
            <v>5.5555555555555558E-3</v>
          </cell>
          <cell r="AL141">
            <v>5.5555555555555558E-3</v>
          </cell>
        </row>
        <row r="142">
          <cell r="AH142">
            <v>5.5555555555555558E-3</v>
          </cell>
          <cell r="AI142">
            <v>5.5555555555555558E-3</v>
          </cell>
          <cell r="AJ142">
            <v>5.5555555555555558E-3</v>
          </cell>
          <cell r="AK142">
            <v>5.5555555555555558E-3</v>
          </cell>
          <cell r="AL142">
            <v>5.5555555555555558E-3</v>
          </cell>
        </row>
        <row r="143">
          <cell r="AH143">
            <v>5.5555555555555558E-3</v>
          </cell>
          <cell r="AI143">
            <v>5.5555555555555558E-3</v>
          </cell>
          <cell r="AJ143">
            <v>5.5555555555555558E-3</v>
          </cell>
          <cell r="AK143">
            <v>5.5555555555555558E-3</v>
          </cell>
          <cell r="AL143">
            <v>5.5555555555555558E-3</v>
          </cell>
        </row>
        <row r="144">
          <cell r="AH144">
            <v>5.5555555555555558E-3</v>
          </cell>
          <cell r="AI144">
            <v>5.5555555555555558E-3</v>
          </cell>
          <cell r="AJ144">
            <v>5.5555555555555558E-3</v>
          </cell>
          <cell r="AK144">
            <v>5.5555555555555558E-3</v>
          </cell>
          <cell r="AL144">
            <v>5.5555555555555558E-3</v>
          </cell>
        </row>
        <row r="145">
          <cell r="AH145">
            <v>5.5555555555555558E-3</v>
          </cell>
          <cell r="AI145">
            <v>5.5555555555555558E-3</v>
          </cell>
          <cell r="AJ145">
            <v>5.5555555555555558E-3</v>
          </cell>
          <cell r="AK145">
            <v>5.5555555555555558E-3</v>
          </cell>
          <cell r="AL145">
            <v>5.5555555555555558E-3</v>
          </cell>
        </row>
        <row r="146">
          <cell r="AH146">
            <v>5.5555555555555558E-3</v>
          </cell>
          <cell r="AI146">
            <v>5.5555555555555558E-3</v>
          </cell>
          <cell r="AJ146">
            <v>5.5555555555555558E-3</v>
          </cell>
          <cell r="AK146">
            <v>5.5555555555555558E-3</v>
          </cell>
          <cell r="AL146">
            <v>5.5555555555555558E-3</v>
          </cell>
        </row>
        <row r="147">
          <cell r="AH147">
            <v>5.5555555555555558E-3</v>
          </cell>
          <cell r="AI147">
            <v>5.5555555555555558E-3</v>
          </cell>
          <cell r="AJ147">
            <v>5.5555555555555558E-3</v>
          </cell>
          <cell r="AK147">
            <v>5.5555555555555558E-3</v>
          </cell>
          <cell r="AL147">
            <v>5.5555555555555558E-3</v>
          </cell>
        </row>
        <row r="148">
          <cell r="AH148">
            <v>5.5555555555555558E-3</v>
          </cell>
          <cell r="AI148">
            <v>5.5555555555555558E-3</v>
          </cell>
          <cell r="AJ148">
            <v>5.5555555555555558E-3</v>
          </cell>
          <cell r="AK148">
            <v>5.5555555555555558E-3</v>
          </cell>
          <cell r="AL148">
            <v>5.5555555555555558E-3</v>
          </cell>
        </row>
        <row r="149">
          <cell r="AH149">
            <v>5.5555555555555558E-3</v>
          </cell>
          <cell r="AI149">
            <v>5.5555555555555558E-3</v>
          </cell>
          <cell r="AJ149">
            <v>5.5555555555555558E-3</v>
          </cell>
          <cell r="AK149">
            <v>5.5555555555555558E-3</v>
          </cell>
          <cell r="AL149">
            <v>5.5555555555555558E-3</v>
          </cell>
        </row>
        <row r="150">
          <cell r="AH150">
            <v>5.5555555555555558E-3</v>
          </cell>
          <cell r="AI150">
            <v>5.5555555555555558E-3</v>
          </cell>
          <cell r="AJ150">
            <v>5.5555555555555558E-3</v>
          </cell>
          <cell r="AK150">
            <v>5.5555555555555558E-3</v>
          </cell>
          <cell r="AL150">
            <v>5.5555555555555558E-3</v>
          </cell>
        </row>
        <row r="151">
          <cell r="AH151">
            <v>5.5555555555555558E-3</v>
          </cell>
          <cell r="AI151">
            <v>5.5555555555555558E-3</v>
          </cell>
          <cell r="AJ151">
            <v>5.5555555555555558E-3</v>
          </cell>
          <cell r="AK151">
            <v>5.5555555555555558E-3</v>
          </cell>
          <cell r="AL151">
            <v>5.5555555555555558E-3</v>
          </cell>
        </row>
        <row r="152">
          <cell r="AH152">
            <v>5.5555555555555558E-3</v>
          </cell>
          <cell r="AI152">
            <v>5.5555555555555558E-3</v>
          </cell>
          <cell r="AJ152">
            <v>5.5555555555555558E-3</v>
          </cell>
          <cell r="AK152">
            <v>5.5555555555555558E-3</v>
          </cell>
          <cell r="AL152">
            <v>5.5555555555555558E-3</v>
          </cell>
        </row>
        <row r="153">
          <cell r="AH153">
            <v>5.5555555555555558E-3</v>
          </cell>
          <cell r="AI153">
            <v>5.5555555555555558E-3</v>
          </cell>
          <cell r="AJ153">
            <v>5.5555555555555558E-3</v>
          </cell>
          <cell r="AK153">
            <v>5.5555555555555558E-3</v>
          </cell>
          <cell r="AL153">
            <v>5.5555555555555558E-3</v>
          </cell>
        </row>
        <row r="154">
          <cell r="AH154">
            <v>5.5555555555555558E-3</v>
          </cell>
          <cell r="AI154">
            <v>5.5555555555555558E-3</v>
          </cell>
          <cell r="AJ154">
            <v>5.5555555555555558E-3</v>
          </cell>
          <cell r="AK154">
            <v>5.5555555555555558E-3</v>
          </cell>
          <cell r="AL154">
            <v>5.5555555555555558E-3</v>
          </cell>
        </row>
        <row r="155">
          <cell r="AH155">
            <v>5.5555555555555558E-3</v>
          </cell>
          <cell r="AI155">
            <v>5.5555555555555558E-3</v>
          </cell>
          <cell r="AJ155">
            <v>5.5555555555555558E-3</v>
          </cell>
          <cell r="AK155">
            <v>5.5555555555555558E-3</v>
          </cell>
          <cell r="AL155">
            <v>5.5555555555555558E-3</v>
          </cell>
        </row>
        <row r="156">
          <cell r="AH156">
            <v>5.5555555555555558E-3</v>
          </cell>
          <cell r="AI156">
            <v>5.5555555555555558E-3</v>
          </cell>
          <cell r="AJ156">
            <v>5.5555555555555558E-3</v>
          </cell>
          <cell r="AK156">
            <v>5.5555555555555558E-3</v>
          </cell>
          <cell r="AL156">
            <v>5.5555555555555558E-3</v>
          </cell>
        </row>
        <row r="157">
          <cell r="AH157">
            <v>5.5555555555555558E-3</v>
          </cell>
          <cell r="AI157">
            <v>5.5555555555555558E-3</v>
          </cell>
          <cell r="AJ157">
            <v>5.5555555555555558E-3</v>
          </cell>
          <cell r="AK157">
            <v>5.5555555555555558E-3</v>
          </cell>
          <cell r="AL157">
            <v>5.5555555555555558E-3</v>
          </cell>
        </row>
        <row r="158">
          <cell r="AH158">
            <v>5.5555555555555558E-3</v>
          </cell>
          <cell r="AI158">
            <v>5.5555555555555558E-3</v>
          </cell>
          <cell r="AJ158">
            <v>5.5555555555555558E-3</v>
          </cell>
          <cell r="AK158">
            <v>5.5555555555555558E-3</v>
          </cell>
          <cell r="AL158">
            <v>5.5555555555555558E-3</v>
          </cell>
        </row>
        <row r="159">
          <cell r="AH159">
            <v>5.5555555555555558E-3</v>
          </cell>
          <cell r="AI159">
            <v>5.5555555555555558E-3</v>
          </cell>
          <cell r="AJ159">
            <v>5.5555555555555558E-3</v>
          </cell>
          <cell r="AK159">
            <v>5.5555555555555558E-3</v>
          </cell>
          <cell r="AL159">
            <v>5.5555555555555558E-3</v>
          </cell>
        </row>
        <row r="160">
          <cell r="AH160">
            <v>5.5555555555555558E-3</v>
          </cell>
          <cell r="AI160">
            <v>5.5555555555555558E-3</v>
          </cell>
          <cell r="AJ160">
            <v>5.5555555555555558E-3</v>
          </cell>
          <cell r="AK160">
            <v>5.5555555555555558E-3</v>
          </cell>
          <cell r="AL160">
            <v>5.5555555555555558E-3</v>
          </cell>
        </row>
        <row r="161">
          <cell r="AH161">
            <v>5.5555555555555558E-3</v>
          </cell>
          <cell r="AI161">
            <v>5.5555555555555558E-3</v>
          </cell>
          <cell r="AJ161">
            <v>5.5555555555555558E-3</v>
          </cell>
          <cell r="AK161">
            <v>5.5555555555555558E-3</v>
          </cell>
          <cell r="AL161">
            <v>5.5555555555555558E-3</v>
          </cell>
        </row>
        <row r="162">
          <cell r="AH162">
            <v>5.5555555555555558E-3</v>
          </cell>
          <cell r="AI162">
            <v>5.5555555555555558E-3</v>
          </cell>
          <cell r="AJ162">
            <v>5.5555555555555558E-3</v>
          </cell>
          <cell r="AK162">
            <v>5.5555555555555558E-3</v>
          </cell>
          <cell r="AL162">
            <v>5.5555555555555558E-3</v>
          </cell>
        </row>
        <row r="163">
          <cell r="AH163">
            <v>5.5555555555555558E-3</v>
          </cell>
          <cell r="AI163">
            <v>5.5555555555555558E-3</v>
          </cell>
          <cell r="AJ163">
            <v>5.5555555555555558E-3</v>
          </cell>
          <cell r="AK163">
            <v>5.5555555555555558E-3</v>
          </cell>
          <cell r="AL163">
            <v>5.5555555555555558E-3</v>
          </cell>
        </row>
        <row r="164">
          <cell r="AH164">
            <v>5.5555555555555558E-3</v>
          </cell>
          <cell r="AI164">
            <v>5.5555555555555558E-3</v>
          </cell>
          <cell r="AJ164">
            <v>5.5555555555555558E-3</v>
          </cell>
          <cell r="AK164">
            <v>5.5555555555555558E-3</v>
          </cell>
          <cell r="AL164">
            <v>5.5555555555555558E-3</v>
          </cell>
        </row>
        <row r="165">
          <cell r="AH165">
            <v>5.5555555555555558E-3</v>
          </cell>
          <cell r="AI165">
            <v>5.5555555555555558E-3</v>
          </cell>
          <cell r="AJ165">
            <v>5.5555555555555558E-3</v>
          </cell>
          <cell r="AK165">
            <v>5.5555555555555558E-3</v>
          </cell>
          <cell r="AL165">
            <v>5.5555555555555558E-3</v>
          </cell>
        </row>
      </sheetData>
      <sheetData sheetId="12" refreshError="1"/>
      <sheetData sheetId="13">
        <row r="4">
          <cell r="GF4">
            <v>1282.2865007752878</v>
          </cell>
          <cell r="GG4">
            <v>1070.6227314952807</v>
          </cell>
          <cell r="GH4">
            <v>839.54843216941822</v>
          </cell>
          <cell r="GI4">
            <v>586.2131053783794</v>
          </cell>
          <cell r="GJ4">
            <v>307.22330181344796</v>
          </cell>
        </row>
        <row r="5">
          <cell r="GF5">
            <v>1504.5854804031799</v>
          </cell>
          <cell r="GG5">
            <v>1343.2851665956687</v>
          </cell>
          <cell r="GH5">
            <v>1134.447707928432</v>
          </cell>
          <cell r="GI5">
            <v>857.29613473057884</v>
          </cell>
          <cell r="GJ5">
            <v>484.8715880888285</v>
          </cell>
        </row>
        <row r="6">
          <cell r="GF6">
            <v>2807.3039695353036</v>
          </cell>
          <cell r="GG6">
            <v>2572.0216257824545</v>
          </cell>
          <cell r="GH6">
            <v>2200.3168562977953</v>
          </cell>
          <cell r="GI6">
            <v>1671.4651381389144</v>
          </cell>
          <cell r="GJ6">
            <v>942.25938142492282</v>
          </cell>
        </row>
        <row r="7">
          <cell r="GF7">
            <v>4164.5533364744651</v>
          </cell>
          <cell r="GG7">
            <v>3645.5376794684225</v>
          </cell>
          <cell r="GH7">
            <v>3014.2694285218768</v>
          </cell>
          <cell r="GI7">
            <v>2213.65042183884</v>
          </cell>
          <cell r="GJ7">
            <v>1233.5034242668369</v>
          </cell>
        </row>
        <row r="8">
          <cell r="GF8">
            <v>4773.1648406501281</v>
          </cell>
          <cell r="GG8">
            <v>4094.6430440142776</v>
          </cell>
          <cell r="GH8">
            <v>3373.7229833502479</v>
          </cell>
          <cell r="GI8">
            <v>2479.3729145736452</v>
          </cell>
          <cell r="GJ8">
            <v>1370.0712896781979</v>
          </cell>
        </row>
        <row r="9">
          <cell r="GF9">
            <v>5436.567599393773</v>
          </cell>
          <cell r="GG9">
            <v>4696.7912531908078</v>
          </cell>
          <cell r="GH9">
            <v>3849.93584161326</v>
          </cell>
          <cell r="GI9">
            <v>2918.2882064448586</v>
          </cell>
          <cell r="GJ9">
            <v>1688.4306369784099</v>
          </cell>
        </row>
        <row r="10">
          <cell r="GF10">
            <v>6163.9948971041376</v>
          </cell>
          <cell r="GG10">
            <v>5534.4496321198894</v>
          </cell>
          <cell r="GH10">
            <v>4594.7066711554689</v>
          </cell>
          <cell r="GI10">
            <v>3324.3593311668646</v>
          </cell>
          <cell r="GJ10">
            <v>1792.1340510136524</v>
          </cell>
        </row>
        <row r="11">
          <cell r="GF11">
            <v>6925.8222324587732</v>
          </cell>
          <cell r="GG11">
            <v>5914.4268287107661</v>
          </cell>
          <cell r="GH11">
            <v>4741.9043247603004</v>
          </cell>
          <cell r="GI11">
            <v>3398.7091293661015</v>
          </cell>
          <cell r="GJ11">
            <v>1914.5467405723066</v>
          </cell>
        </row>
        <row r="12">
          <cell r="GF12">
            <v>8049.6687835906996</v>
          </cell>
          <cell r="GG12">
            <v>6876.7550117927058</v>
          </cell>
          <cell r="GH12">
            <v>5831.1329515895231</v>
          </cell>
          <cell r="GI12">
            <v>4548.5278559936014</v>
          </cell>
          <cell r="GJ12">
            <v>2541.5367063421436</v>
          </cell>
        </row>
        <row r="13">
          <cell r="GF13">
            <v>9031.834335166408</v>
          </cell>
          <cell r="GG13">
            <v>8210.2526072714463</v>
          </cell>
          <cell r="GH13">
            <v>6786.7839879449712</v>
          </cell>
          <cell r="GI13">
            <v>5267.9624983380709</v>
          </cell>
          <cell r="GJ13">
            <v>3119.8252478061804</v>
          </cell>
        </row>
        <row r="14">
          <cell r="GF14">
            <v>10076.99414009555</v>
          </cell>
          <cell r="GG14">
            <v>9118.5699736714305</v>
          </cell>
          <cell r="GH14">
            <v>7921.6300262802106</v>
          </cell>
          <cell r="GI14">
            <v>5987.5835562468274</v>
          </cell>
          <cell r="GJ14">
            <v>4315.8718815997781</v>
          </cell>
        </row>
        <row r="15">
          <cell r="GF15">
            <v>11568.826999828627</v>
          </cell>
          <cell r="GG15">
            <v>10000.718755739697</v>
          </cell>
          <cell r="GH15">
            <v>9957.7311323542963</v>
          </cell>
          <cell r="GI15">
            <v>8945.031299564951</v>
          </cell>
          <cell r="GJ15">
            <v>5580.6308489107505</v>
          </cell>
        </row>
        <row r="16">
          <cell r="GF16">
            <v>13713.127251795435</v>
          </cell>
          <cell r="GG16">
            <v>14947.688433365605</v>
          </cell>
          <cell r="GH16">
            <v>12795.009743342314</v>
          </cell>
          <cell r="GI16">
            <v>11670.850489936398</v>
          </cell>
          <cell r="GJ16">
            <v>7161.331257670965</v>
          </cell>
        </row>
        <row r="17">
          <cell r="GF17">
            <v>18293.364691529699</v>
          </cell>
          <cell r="GG17">
            <v>16553.310218783488</v>
          </cell>
          <cell r="GH17">
            <v>16621.556627340236</v>
          </cell>
          <cell r="GI17">
            <v>12282.317239210322</v>
          </cell>
          <cell r="GJ17">
            <v>7195.2112407856002</v>
          </cell>
        </row>
        <row r="18">
          <cell r="GF18">
            <v>22715.777082889399</v>
          </cell>
          <cell r="GG18">
            <v>22375.46757678967</v>
          </cell>
          <cell r="GH18">
            <v>19033.453008515688</v>
          </cell>
          <cell r="GI18">
            <v>15001.903014422875</v>
          </cell>
          <cell r="GJ18">
            <v>8816.2726892644423</v>
          </cell>
        </row>
        <row r="19">
          <cell r="GF19">
            <v>27405.811117071833</v>
          </cell>
          <cell r="GG19">
            <v>25043.208204712413</v>
          </cell>
          <cell r="GH19">
            <v>21432.451980502548</v>
          </cell>
          <cell r="GI19">
            <v>16957.652534387977</v>
          </cell>
          <cell r="GJ19">
            <v>10565.009286236753</v>
          </cell>
        </row>
        <row r="20">
          <cell r="GF20">
            <v>30982.124597149086</v>
          </cell>
          <cell r="GG20">
            <v>26937.646344498091</v>
          </cell>
          <cell r="GH20">
            <v>22686.516474802658</v>
          </cell>
          <cell r="GI20">
            <v>17598.364407133369</v>
          </cell>
          <cell r="GJ20">
            <v>9724.0412040462397</v>
          </cell>
        </row>
        <row r="21">
          <cell r="GF21">
            <v>33999.490959343064</v>
          </cell>
          <cell r="GG21">
            <v>31658.101945815928</v>
          </cell>
          <cell r="GH21">
            <v>27963.430437222472</v>
          </cell>
          <cell r="GI21">
            <v>21865.144610455973</v>
          </cell>
          <cell r="GJ21">
            <v>12322.119707252117</v>
          </cell>
        </row>
        <row r="22">
          <cell r="GF22">
            <v>38528.040644115972</v>
          </cell>
          <cell r="GG22">
            <v>34738.597720916325</v>
          </cell>
          <cell r="GH22">
            <v>30064.140336461074</v>
          </cell>
          <cell r="GI22">
            <v>22612.829426222917</v>
          </cell>
          <cell r="GJ22">
            <v>14047.198622289317</v>
          </cell>
        </row>
        <row r="23">
          <cell r="GF23">
            <v>41948.134101343807</v>
          </cell>
          <cell r="GG23">
            <v>38190.587550373224</v>
          </cell>
          <cell r="GH23">
            <v>31672.2283766779</v>
          </cell>
          <cell r="GI23">
            <v>25411.440427160909</v>
          </cell>
          <cell r="GJ23">
            <v>14183.863982467432</v>
          </cell>
        </row>
        <row r="24">
          <cell r="GF24">
            <v>48055.220356565434</v>
          </cell>
          <cell r="GG24">
            <v>42218.842599543044</v>
          </cell>
          <cell r="GH24">
            <v>37570.081892219954</v>
          </cell>
          <cell r="GI24">
            <v>28728.200637419155</v>
          </cell>
          <cell r="GJ24">
            <v>18087.971267789369</v>
          </cell>
        </row>
        <row r="25">
          <cell r="GF25">
            <v>52343.389225126826</v>
          </cell>
          <cell r="GG25">
            <v>48853.217473600816</v>
          </cell>
          <cell r="GH25">
            <v>41914.820099023753</v>
          </cell>
          <cell r="GI25">
            <v>33448.817961677734</v>
          </cell>
          <cell r="GJ25">
            <v>19385.756772587643</v>
          </cell>
        </row>
        <row r="26">
          <cell r="GF26">
            <v>59513.878369880433</v>
          </cell>
          <cell r="GG26">
            <v>52118.214901357016</v>
          </cell>
          <cell r="GH26">
            <v>44789.517225767078</v>
          </cell>
          <cell r="GI26">
            <v>33878.985821041453</v>
          </cell>
          <cell r="GJ26">
            <v>19408.471874182811</v>
          </cell>
        </row>
        <row r="27">
          <cell r="GF27">
            <v>64894.152511107095</v>
          </cell>
          <cell r="GG27">
            <v>60299.829449869751</v>
          </cell>
          <cell r="GH27">
            <v>51929.161751732288</v>
          </cell>
          <cell r="GI27">
            <v>40701.303897217673</v>
          </cell>
          <cell r="GJ27">
            <v>23120.906098138978</v>
          </cell>
        </row>
        <row r="28">
          <cell r="GF28">
            <v>73079.262245089281</v>
          </cell>
          <cell r="GG28">
            <v>65598.397236020362</v>
          </cell>
          <cell r="GH28">
            <v>56758.417818082264</v>
          </cell>
          <cell r="GI28">
            <v>42999.509849663649</v>
          </cell>
          <cell r="GJ28">
            <v>25174.711784840561</v>
          </cell>
        </row>
        <row r="29">
          <cell r="GF29">
            <v>80029.840606048238</v>
          </cell>
          <cell r="GG29">
            <v>72689.107893709908</v>
          </cell>
          <cell r="GH29">
            <v>61623.750985282357</v>
          </cell>
          <cell r="GI29">
            <v>47925.481862575922</v>
          </cell>
          <cell r="GJ29">
            <v>27247.347971580544</v>
          </cell>
        </row>
        <row r="30">
          <cell r="GF30">
            <v>89119.141948995413</v>
          </cell>
          <cell r="GG30">
            <v>79918.68836992525</v>
          </cell>
          <cell r="GH30">
            <v>68884.963475286611</v>
          </cell>
          <cell r="GI30">
            <v>51966.247756493452</v>
          </cell>
          <cell r="GJ30">
            <v>31454.428434076166</v>
          </cell>
        </row>
        <row r="31">
          <cell r="GF31">
            <v>98220.751660324051</v>
          </cell>
          <cell r="GG31">
            <v>87929.0945592348</v>
          </cell>
          <cell r="GH31">
            <v>73949.949805898592</v>
          </cell>
          <cell r="GI31">
            <v>58569.129601512221</v>
          </cell>
          <cell r="GJ31">
            <v>35572.581014589348</v>
          </cell>
        </row>
        <row r="32">
          <cell r="GF32">
            <v>108636.12990158994</v>
          </cell>
          <cell r="GG32">
            <v>99995.095286889002</v>
          </cell>
          <cell r="GH32">
            <v>88236.285464117769</v>
          </cell>
          <cell r="GI32">
            <v>69959.778027707245</v>
          </cell>
          <cell r="GJ32">
            <v>49254.783153795404</v>
          </cell>
        </row>
        <row r="33">
          <cell r="GF33">
            <v>121504.94015561696</v>
          </cell>
          <cell r="GG33">
            <v>109081.50501777825</v>
          </cell>
          <cell r="GH33">
            <v>95028.090473535471</v>
          </cell>
          <cell r="GI33">
            <v>82790.152619151748</v>
          </cell>
          <cell r="GJ33">
            <v>49971.788879531377</v>
          </cell>
        </row>
        <row r="34">
          <cell r="GF34">
            <v>132375.52449578978</v>
          </cell>
          <cell r="GG34">
            <v>123664.75179077627</v>
          </cell>
          <cell r="GH34">
            <v>111960.76262053638</v>
          </cell>
          <cell r="GI34">
            <v>93529.422903773026</v>
          </cell>
          <cell r="GJ34">
            <v>65220.470442821679</v>
          </cell>
        </row>
        <row r="35">
          <cell r="GF35">
            <v>149541.99094368238</v>
          </cell>
          <cell r="GG35">
            <v>136292.36772156181</v>
          </cell>
          <cell r="GH35">
            <v>133983.89648929145</v>
          </cell>
          <cell r="GI35">
            <v>113483.65003113518</v>
          </cell>
          <cell r="GJ35">
            <v>68574.592136604595</v>
          </cell>
        </row>
        <row r="36">
          <cell r="GF36">
            <v>161082.89322142233</v>
          </cell>
          <cell r="GG36">
            <v>169365.97313681617</v>
          </cell>
          <cell r="GH36">
            <v>145603.56024578703</v>
          </cell>
          <cell r="GI36">
            <v>128719.8182583726</v>
          </cell>
          <cell r="GJ36">
            <v>77179.627820417052</v>
          </cell>
        </row>
        <row r="37">
          <cell r="GF37">
            <v>213768.97297776397</v>
          </cell>
          <cell r="GG37">
            <v>187166.58601144352</v>
          </cell>
          <cell r="GH37">
            <v>191755.82492414</v>
          </cell>
          <cell r="GI37">
            <v>148441.10832930822</v>
          </cell>
          <cell r="GJ37">
            <v>85716.738499884726</v>
          </cell>
        </row>
        <row r="38">
          <cell r="GF38">
            <v>229111.91235120595</v>
          </cell>
          <cell r="GG38">
            <v>244315.16018308024</v>
          </cell>
          <cell r="GH38">
            <v>207074.29302250058</v>
          </cell>
          <cell r="GI38">
            <v>161584.44968034979</v>
          </cell>
          <cell r="GJ38">
            <v>94537.090339256334</v>
          </cell>
        </row>
        <row r="39">
          <cell r="GF39">
            <v>287757.81294812541</v>
          </cell>
          <cell r="GG39">
            <v>264830.69479147065</v>
          </cell>
          <cell r="GH39">
            <v>229875.13932431862</v>
          </cell>
          <cell r="GI39">
            <v>171216.63256864692</v>
          </cell>
          <cell r="GJ39">
            <v>95303.773986428743</v>
          </cell>
        </row>
        <row r="40">
          <cell r="GF40">
            <v>319576.29329120927</v>
          </cell>
          <cell r="GG40">
            <v>292248.22726310184</v>
          </cell>
          <cell r="GH40">
            <v>245866.38228947064</v>
          </cell>
          <cell r="GI40">
            <v>186505.51875151321</v>
          </cell>
          <cell r="GJ40">
            <v>112525.03662247653</v>
          </cell>
        </row>
        <row r="41">
          <cell r="GF41">
            <v>355839.37752623064</v>
          </cell>
          <cell r="GG41">
            <v>317327.5564402258</v>
          </cell>
          <cell r="GH41">
            <v>268992.13882244751</v>
          </cell>
          <cell r="GI41">
            <v>200258.3337718721</v>
          </cell>
          <cell r="GJ41">
            <v>119943.14538444206</v>
          </cell>
        </row>
        <row r="42">
          <cell r="GF42">
            <v>392289.6774663059</v>
          </cell>
          <cell r="GG42">
            <v>346062.53032459691</v>
          </cell>
          <cell r="GH42">
            <v>291033.31219612062</v>
          </cell>
          <cell r="GI42">
            <v>231063.74467351474</v>
          </cell>
          <cell r="GJ42">
            <v>134677.7681161752</v>
          </cell>
        </row>
        <row r="43">
          <cell r="GF43">
            <v>428990.42101276945</v>
          </cell>
          <cell r="GG43">
            <v>380822.32266434189</v>
          </cell>
          <cell r="GH43">
            <v>329795.67064063856</v>
          </cell>
          <cell r="GI43">
            <v>257387.77585302666</v>
          </cell>
          <cell r="GJ43">
            <v>154345.81843609246</v>
          </cell>
        </row>
        <row r="44">
          <cell r="GF44">
            <v>479561.56728249323</v>
          </cell>
          <cell r="GG44">
            <v>425593.65021839645</v>
          </cell>
          <cell r="GH44">
            <v>371945.70152331749</v>
          </cell>
          <cell r="GI44">
            <v>289956.26863666298</v>
          </cell>
          <cell r="GJ44">
            <v>170106.08835402108</v>
          </cell>
        </row>
        <row r="45">
          <cell r="GF45">
            <v>515619.04291664902</v>
          </cell>
          <cell r="GG45">
            <v>494701.098504466</v>
          </cell>
          <cell r="GH45">
            <v>417292.9177155639</v>
          </cell>
          <cell r="GI45">
            <v>324088.57159671839</v>
          </cell>
          <cell r="GJ45">
            <v>192683.60962697654</v>
          </cell>
        </row>
        <row r="46">
          <cell r="GF46">
            <v>584113.83418307081</v>
          </cell>
          <cell r="GG46">
            <v>511937.76793026272</v>
          </cell>
          <cell r="GH46">
            <v>450106.49798781564</v>
          </cell>
          <cell r="GI46">
            <v>338022.04091072362</v>
          </cell>
          <cell r="GJ46">
            <v>194199.13475076458</v>
          </cell>
        </row>
        <row r="47">
          <cell r="GF47">
            <v>626037.70657773782</v>
          </cell>
          <cell r="GG47">
            <v>578102.54752426501</v>
          </cell>
          <cell r="GH47">
            <v>475539.98489977885</v>
          </cell>
          <cell r="GI47">
            <v>371411.60922114179</v>
          </cell>
          <cell r="GJ47">
            <v>216895.92467785976</v>
          </cell>
        </row>
        <row r="48">
          <cell r="GF48">
            <v>701239.75793532096</v>
          </cell>
          <cell r="GG48">
            <v>620672.60529700201</v>
          </cell>
          <cell r="GH48">
            <v>538146.6662611505</v>
          </cell>
          <cell r="GI48">
            <v>406529.30798989302</v>
          </cell>
          <cell r="GJ48">
            <v>234043.7457697452</v>
          </cell>
        </row>
        <row r="49">
          <cell r="GF49">
            <v>760054.4949801201</v>
          </cell>
          <cell r="GG49">
            <v>690110.2282392066</v>
          </cell>
          <cell r="GH49">
            <v>572884.67543017026</v>
          </cell>
          <cell r="GI49">
            <v>448206.50096223736</v>
          </cell>
          <cell r="GJ49">
            <v>247547.08670722274</v>
          </cell>
        </row>
        <row r="50">
          <cell r="GF50">
            <v>841026.57504537143</v>
          </cell>
          <cell r="GG50">
            <v>751621.94799311459</v>
          </cell>
          <cell r="GH50">
            <v>644185.16991996858</v>
          </cell>
          <cell r="GI50">
            <v>478395.4371978147</v>
          </cell>
          <cell r="GJ50">
            <v>270617.73943007039</v>
          </cell>
        </row>
        <row r="51">
          <cell r="GF51">
            <v>926800.93874357361</v>
          </cell>
          <cell r="GG51">
            <v>817401.89100025222</v>
          </cell>
          <cell r="GH51">
            <v>700432.04840393458</v>
          </cell>
          <cell r="GI51">
            <v>517422.14810725581</v>
          </cell>
          <cell r="GJ51">
            <v>290509.08941978589</v>
          </cell>
        </row>
        <row r="52">
          <cell r="GF52">
            <v>1007923.856199408</v>
          </cell>
          <cell r="GG52">
            <v>915082.14060357772</v>
          </cell>
          <cell r="GH52">
            <v>750848.61951645277</v>
          </cell>
          <cell r="GI52">
            <v>553743.44036417454</v>
          </cell>
          <cell r="GJ52">
            <v>342257.87421175186</v>
          </cell>
        </row>
        <row r="53">
          <cell r="GF53">
            <v>1126331.508744128</v>
          </cell>
          <cell r="GG53">
            <v>992323.65145731717</v>
          </cell>
          <cell r="GH53">
            <v>823801.80208805483</v>
          </cell>
          <cell r="GI53">
            <v>640113.64505716693</v>
          </cell>
          <cell r="GJ53">
            <v>373796.26224781992</v>
          </cell>
        </row>
        <row r="54">
          <cell r="GF54">
            <v>1207172.2210904155</v>
          </cell>
          <cell r="GG54">
            <v>1049544.1180495638</v>
          </cell>
          <cell r="GH54">
            <v>882398.74884708971</v>
          </cell>
          <cell r="GI54">
            <v>700273.76851474773</v>
          </cell>
          <cell r="GJ54">
            <v>403813.26710541174</v>
          </cell>
        </row>
        <row r="55">
          <cell r="GF55">
            <v>1362954.383592939</v>
          </cell>
          <cell r="GG55">
            <v>1193589.0651376899</v>
          </cell>
          <cell r="GH55">
            <v>1062988.9863828328</v>
          </cell>
          <cell r="GI55">
            <v>799424.62924125977</v>
          </cell>
          <cell r="GJ55">
            <v>445890.32558660023</v>
          </cell>
        </row>
        <row r="56">
          <cell r="GF56">
            <v>1462659.0319380835</v>
          </cell>
          <cell r="GG56">
            <v>1360227.2022642475</v>
          </cell>
          <cell r="GH56">
            <v>1151085.4496580977</v>
          </cell>
          <cell r="GI56">
            <v>855082.47324044816</v>
          </cell>
          <cell r="GJ56">
            <v>489728.48147467896</v>
          </cell>
        </row>
        <row r="57">
          <cell r="GF57">
            <v>1625338.6446043756</v>
          </cell>
          <cell r="GG57">
            <v>1469343.4160961676</v>
          </cell>
          <cell r="GH57">
            <v>1212560.6773193069</v>
          </cell>
          <cell r="GI57">
            <v>892002.61983056925</v>
          </cell>
          <cell r="GJ57">
            <v>501009.83497475367</v>
          </cell>
        </row>
        <row r="58">
          <cell r="GF58">
            <v>1767434.7524235919</v>
          </cell>
          <cell r="GG58">
            <v>1561643.3085142411</v>
          </cell>
          <cell r="GH58">
            <v>1285704.748533709</v>
          </cell>
          <cell r="GI58">
            <v>985079.83474314958</v>
          </cell>
          <cell r="GJ58">
            <v>547612.04546805844</v>
          </cell>
        </row>
        <row r="59">
          <cell r="GF59">
            <v>1940301.4618583098</v>
          </cell>
          <cell r="GG59">
            <v>1688351.9645871148</v>
          </cell>
          <cell r="GH59">
            <v>1428947.8413996138</v>
          </cell>
          <cell r="GI59">
            <v>1054988.3193341289</v>
          </cell>
          <cell r="GJ59">
            <v>607641.15558941197</v>
          </cell>
        </row>
        <row r="60">
          <cell r="GF60">
            <v>2143041.0255998895</v>
          </cell>
          <cell r="GG60">
            <v>1901464.7932255566</v>
          </cell>
          <cell r="GH60">
            <v>1572969.5140727349</v>
          </cell>
          <cell r="GI60">
            <v>1177682.4978278633</v>
          </cell>
          <cell r="GJ60">
            <v>667856.09690825827</v>
          </cell>
        </row>
        <row r="61">
          <cell r="GF61">
            <v>2316433.9733255096</v>
          </cell>
          <cell r="GG61">
            <v>2040984.902562879</v>
          </cell>
          <cell r="GH61">
            <v>1709512.9251941442</v>
          </cell>
          <cell r="GI61">
            <v>1297920.1910023876</v>
          </cell>
          <cell r="GJ61">
            <v>741654.45704326499</v>
          </cell>
        </row>
        <row r="62">
          <cell r="GF62">
            <v>2591271.2639976479</v>
          </cell>
          <cell r="GG62">
            <v>2259825.8077176996</v>
          </cell>
          <cell r="GH62">
            <v>1915083.188384749</v>
          </cell>
          <cell r="GI62">
            <v>1420794.8344904855</v>
          </cell>
          <cell r="GJ62">
            <v>817675.16980766878</v>
          </cell>
        </row>
        <row r="63">
          <cell r="GF63">
            <v>2777255.7749855034</v>
          </cell>
          <cell r="GG63">
            <v>2482872.745896291</v>
          </cell>
          <cell r="GH63">
            <v>2049111.5524396673</v>
          </cell>
          <cell r="GI63">
            <v>1570108.5790499393</v>
          </cell>
          <cell r="GJ63">
            <v>948604.76948955096</v>
          </cell>
        </row>
        <row r="64">
          <cell r="GF64">
            <v>3109218.4902203903</v>
          </cell>
          <cell r="GG64">
            <v>2726571.3691720515</v>
          </cell>
          <cell r="GH64">
            <v>2324061.1893278807</v>
          </cell>
          <cell r="GI64">
            <v>1759735.3163261302</v>
          </cell>
          <cell r="GJ64">
            <v>992770.61994758248</v>
          </cell>
        </row>
        <row r="65">
          <cell r="GF65">
            <v>3349740.5971384794</v>
          </cell>
          <cell r="GG65">
            <v>3013681.5131959692</v>
          </cell>
          <cell r="GH65">
            <v>2521468.464802146</v>
          </cell>
          <cell r="GI65">
            <v>1959407.378426794</v>
          </cell>
          <cell r="GJ65">
            <v>1184452.4976809695</v>
          </cell>
        </row>
        <row r="66">
          <cell r="GF66">
            <v>3721265.8158944473</v>
          </cell>
          <cell r="GG66">
            <v>3298205.1030257158</v>
          </cell>
          <cell r="GH66">
            <v>2823926.847494103</v>
          </cell>
          <cell r="GI66">
            <v>2153355.8744446598</v>
          </cell>
          <cell r="GJ66">
            <v>1236809.4653360881</v>
          </cell>
        </row>
        <row r="67">
          <cell r="GF67">
            <v>4031072.0618664101</v>
          </cell>
          <cell r="GG67">
            <v>3654319.3731249869</v>
          </cell>
          <cell r="GH67">
            <v>3059139.4977013394</v>
          </cell>
          <cell r="GI67">
            <v>2386251.8659717701</v>
          </cell>
          <cell r="GJ67">
            <v>1334194.6991029195</v>
          </cell>
        </row>
        <row r="68">
          <cell r="GF68">
            <v>4460154.9582383335</v>
          </cell>
          <cell r="GG68">
            <v>3930985.0391492024</v>
          </cell>
          <cell r="GH68">
            <v>3472420.6183651984</v>
          </cell>
          <cell r="GI68">
            <v>2548368.5711446851</v>
          </cell>
          <cell r="GJ68">
            <v>1355697.5488077626</v>
          </cell>
        </row>
        <row r="69">
          <cell r="GF69">
            <v>4864348.7678727955</v>
          </cell>
          <cell r="GG69">
            <v>4408077.5126821846</v>
          </cell>
          <cell r="GH69">
            <v>3679212.5316856429</v>
          </cell>
          <cell r="GI69">
            <v>2653763.8203369118</v>
          </cell>
          <cell r="GJ69">
            <v>1563540.786163155</v>
          </cell>
        </row>
        <row r="70">
          <cell r="GF70">
            <v>5341901.6660195589</v>
          </cell>
          <cell r="GG70">
            <v>4800522.5943301767</v>
          </cell>
          <cell r="GH70">
            <v>3915413.8093927205</v>
          </cell>
          <cell r="GI70">
            <v>2845024.8284722567</v>
          </cell>
          <cell r="GJ70">
            <v>1668813.2717840113</v>
          </cell>
        </row>
        <row r="71">
          <cell r="GF71">
            <v>5856307.3810463473</v>
          </cell>
          <cell r="GG71">
            <v>5120559.8578799739</v>
          </cell>
          <cell r="GH71">
            <v>4069683.8281545788</v>
          </cell>
          <cell r="GI71">
            <v>3244623.0305162966</v>
          </cell>
          <cell r="GJ71">
            <v>1796594.7183258198</v>
          </cell>
        </row>
        <row r="72">
          <cell r="GF72">
            <v>6386813.9889672175</v>
          </cell>
          <cell r="GG72">
            <v>5482866.8995253295</v>
          </cell>
          <cell r="GH72">
            <v>4760705.606464535</v>
          </cell>
          <cell r="GI72">
            <v>3532159.8693177253</v>
          </cell>
          <cell r="GJ72">
            <v>1972766.381948214</v>
          </cell>
        </row>
        <row r="73">
          <cell r="GF73">
            <v>7035714.6299633533</v>
          </cell>
          <cell r="GG73">
            <v>6224681.8636962697</v>
          </cell>
          <cell r="GH73">
            <v>5322396.091754891</v>
          </cell>
          <cell r="GI73">
            <v>3911994.2530911341</v>
          </cell>
          <cell r="GJ73">
            <v>2205403.7817186005</v>
          </cell>
        </row>
        <row r="74">
          <cell r="GF74">
            <v>7623924.3457402587</v>
          </cell>
          <cell r="GG74">
            <v>6909214.3604530841</v>
          </cell>
          <cell r="GH74">
            <v>5683958.1107687801</v>
          </cell>
          <cell r="GI74">
            <v>4201660.9052660167</v>
          </cell>
          <cell r="GJ74">
            <v>2458615.5553701892</v>
          </cell>
        </row>
        <row r="75">
          <cell r="GF75">
            <v>8436383.7261265367</v>
          </cell>
          <cell r="GG75">
            <v>7416254.4540110528</v>
          </cell>
          <cell r="GH75">
            <v>6037075.0389363244</v>
          </cell>
          <cell r="GI75">
            <v>4597736.2299510911</v>
          </cell>
          <cell r="GJ75">
            <v>2597042.9241765402</v>
          </cell>
        </row>
        <row r="76">
          <cell r="GF76">
            <v>9091831.4446807057</v>
          </cell>
          <cell r="GG76">
            <v>7919021.8634177446</v>
          </cell>
          <cell r="GH76">
            <v>6608162.988066107</v>
          </cell>
          <cell r="GI76">
            <v>5024757.1828574389</v>
          </cell>
          <cell r="GJ76">
            <v>2907977.8901239336</v>
          </cell>
        </row>
        <row r="77">
          <cell r="GF77">
            <v>10138757.004088238</v>
          </cell>
          <cell r="GG77">
            <v>8778126.6873242557</v>
          </cell>
          <cell r="GH77">
            <v>7602016.2670939863</v>
          </cell>
          <cell r="GI77">
            <v>5665765.6091771498</v>
          </cell>
          <cell r="GJ77">
            <v>3211642.3556646034</v>
          </cell>
        </row>
        <row r="78">
          <cell r="GF78">
            <v>10866450.700085759</v>
          </cell>
          <cell r="GG78">
            <v>9911278.1826887578</v>
          </cell>
          <cell r="GH78">
            <v>8201719.6719575971</v>
          </cell>
          <cell r="GI78">
            <v>6189301.876167506</v>
          </cell>
          <cell r="GJ78">
            <v>3628332.6565381661</v>
          </cell>
        </row>
        <row r="79">
          <cell r="GF79">
            <v>12154319.407644302</v>
          </cell>
          <cell r="GG79">
            <v>10503520.487868831</v>
          </cell>
          <cell r="GH79">
            <v>8912601.3872149885</v>
          </cell>
          <cell r="GI79">
            <v>6779766.5645107925</v>
          </cell>
          <cell r="GJ79">
            <v>3968438.2214456126</v>
          </cell>
        </row>
        <row r="80">
          <cell r="GF80">
            <v>13033699.804817945</v>
          </cell>
          <cell r="GG80">
            <v>11844736.197560683</v>
          </cell>
          <cell r="GH80">
            <v>9814136.4368413687</v>
          </cell>
          <cell r="GI80">
            <v>7495040.1926553696</v>
          </cell>
          <cell r="GJ80">
            <v>4073592.6392473802</v>
          </cell>
        </row>
        <row r="81">
          <cell r="GF81">
            <v>14478757.697025001</v>
          </cell>
          <cell r="GG81">
            <v>12603289.268882021</v>
          </cell>
          <cell r="GH81">
            <v>10863690.895565867</v>
          </cell>
          <cell r="GI81">
            <v>7983692.1277564019</v>
          </cell>
          <cell r="GJ81">
            <v>4356629.6834975779</v>
          </cell>
        </row>
        <row r="82">
          <cell r="GF82">
            <v>15605211.389852315</v>
          </cell>
          <cell r="GG82">
            <v>14175844.398344696</v>
          </cell>
          <cell r="GH82">
            <v>11681901.359576494</v>
          </cell>
          <cell r="GI82">
            <v>8410554.6724504381</v>
          </cell>
          <cell r="GJ82">
            <v>4858691.0591672286</v>
          </cell>
        </row>
        <row r="83">
          <cell r="GF83">
            <v>17225263.649299711</v>
          </cell>
          <cell r="GG83">
            <v>15234269.194937468</v>
          </cell>
          <cell r="GH83">
            <v>12278114.545594931</v>
          </cell>
          <cell r="GI83">
            <v>9013299.3766721636</v>
          </cell>
          <cell r="GJ83">
            <v>5127853.1668998376</v>
          </cell>
        </row>
        <row r="84">
          <cell r="GF84">
            <v>18653291.30671221</v>
          </cell>
          <cell r="GG84">
            <v>16003961.232455015</v>
          </cell>
          <cell r="GH84">
            <v>13058538.900756747</v>
          </cell>
          <cell r="GI84">
            <v>10112991.931598544</v>
          </cell>
          <cell r="GJ84">
            <v>5695528.587991491</v>
          </cell>
        </row>
        <row r="85">
          <cell r="GF85">
            <v>20511227.459076077</v>
          </cell>
          <cell r="GG85">
            <v>17772565.645432919</v>
          </cell>
          <cell r="GH85">
            <v>14973162.647289038</v>
          </cell>
          <cell r="GI85">
            <v>11073160.383842394</v>
          </cell>
          <cell r="GJ85">
            <v>6152210.3522720337</v>
          </cell>
        </row>
        <row r="86">
          <cell r="GF86">
            <v>22338792.487782359</v>
          </cell>
          <cell r="GG86">
            <v>19931332.887407482</v>
          </cell>
          <cell r="GH86">
            <v>16719151.334666252</v>
          </cell>
          <cell r="GI86">
            <v>12313286.54870677</v>
          </cell>
          <cell r="GJ86">
            <v>6895845.0611038804</v>
          </cell>
        </row>
        <row r="87">
          <cell r="GF87">
            <v>24414512.679511487</v>
          </cell>
          <cell r="GG87">
            <v>21723304.29895103</v>
          </cell>
          <cell r="GH87">
            <v>17771763.841361403</v>
          </cell>
          <cell r="GI87">
            <v>13048719.970926404</v>
          </cell>
          <cell r="GJ87">
            <v>7669486.8526144773</v>
          </cell>
        </row>
        <row r="88">
          <cell r="GF88">
            <v>26707902.925512016</v>
          </cell>
          <cell r="GG88">
            <v>22950816.979012787</v>
          </cell>
          <cell r="GH88">
            <v>19057608.403884798</v>
          </cell>
          <cell r="GI88">
            <v>14870288.14163366</v>
          </cell>
          <cell r="GJ88">
            <v>8227891.4351918995</v>
          </cell>
        </row>
        <row r="89">
          <cell r="GF89">
            <v>29024600.134673059</v>
          </cell>
          <cell r="GG89">
            <v>25506647.974455833</v>
          </cell>
          <cell r="GH89">
            <v>21375655.558081001</v>
          </cell>
          <cell r="GI89">
            <v>16418872.117654204</v>
          </cell>
          <cell r="GJ89">
            <v>7917680.6024742573</v>
          </cell>
        </row>
        <row r="90">
          <cell r="GF90">
            <v>31882434.90716964</v>
          </cell>
          <cell r="GG90">
            <v>28143525.220597446</v>
          </cell>
          <cell r="GH90">
            <v>23962389.967144251</v>
          </cell>
          <cell r="GI90">
            <v>16113040.286314756</v>
          </cell>
          <cell r="GJ90">
            <v>8399766.1007941514</v>
          </cell>
        </row>
        <row r="91">
          <cell r="GF91">
            <v>34465388.936597526</v>
          </cell>
          <cell r="GG91">
            <v>31468764.574836671</v>
          </cell>
          <cell r="GH91">
            <v>24750289.258002102</v>
          </cell>
          <cell r="GI91">
            <v>16579193.101904571</v>
          </cell>
          <cell r="GJ91">
            <v>9444263.9821605086</v>
          </cell>
        </row>
        <row r="92">
          <cell r="GF92">
            <v>38005311.871965051</v>
          </cell>
          <cell r="GG92">
            <v>32358063.482406676</v>
          </cell>
          <cell r="GH92">
            <v>24320946.580197752</v>
          </cell>
          <cell r="GI92">
            <v>17896702.349282652</v>
          </cell>
          <cell r="GJ92">
            <v>9524042.8023563325</v>
          </cell>
        </row>
        <row r="93">
          <cell r="GF93">
            <v>40894406.509464622</v>
          </cell>
          <cell r="GG93">
            <v>32533033.799215436</v>
          </cell>
          <cell r="GH93">
            <v>26629007.43969512</v>
          </cell>
          <cell r="GI93">
            <v>18680385.407848626</v>
          </cell>
          <cell r="GJ93">
            <v>10176133.986178786</v>
          </cell>
        </row>
        <row r="94">
          <cell r="GF94">
            <v>45376446.22838515</v>
          </cell>
          <cell r="GG94">
            <v>38905764.99621737</v>
          </cell>
          <cell r="GH94">
            <v>31163516.395428896</v>
          </cell>
          <cell r="GI94">
            <v>22719417.871722251</v>
          </cell>
          <cell r="GJ94">
            <v>12501523.861615211</v>
          </cell>
        </row>
        <row r="95">
          <cell r="GF95">
            <v>48633270.891787708</v>
          </cell>
          <cell r="GG95">
            <v>41804837.785489857</v>
          </cell>
          <cell r="GH95">
            <v>34197000.464627206</v>
          </cell>
          <cell r="GI95">
            <v>25179364.136394441</v>
          </cell>
          <cell r="GJ95">
            <v>12956412.305314243</v>
          </cell>
        </row>
        <row r="96">
          <cell r="GF96">
            <v>54048309.112963438</v>
          </cell>
          <cell r="GG96">
            <v>46201369.980117619</v>
          </cell>
          <cell r="GH96">
            <v>37758126.04168129</v>
          </cell>
          <cell r="GI96">
            <v>26509172.251377583</v>
          </cell>
          <cell r="GJ96">
            <v>14705852.605337948</v>
          </cell>
        </row>
        <row r="97">
          <cell r="GF97">
            <v>57982289.051492691</v>
          </cell>
          <cell r="GG97">
            <v>50096749.078764677</v>
          </cell>
          <cell r="GH97">
            <v>40339300.706613779</v>
          </cell>
          <cell r="GI97">
            <v>28920921.800723612</v>
          </cell>
          <cell r="GJ97">
            <v>15529802.104405344</v>
          </cell>
        </row>
        <row r="98">
          <cell r="GF98">
            <v>64082447.815065145</v>
          </cell>
          <cell r="GG98">
            <v>55604499.227378249</v>
          </cell>
          <cell r="GH98">
            <v>43420549.753602684</v>
          </cell>
          <cell r="GI98">
            <v>31197358.314107656</v>
          </cell>
          <cell r="GJ98">
            <v>18614666.950071007</v>
          </cell>
        </row>
        <row r="99">
          <cell r="GF99">
            <v>69036334.436348677</v>
          </cell>
          <cell r="GG99">
            <v>58324475.057838559</v>
          </cell>
          <cell r="GH99">
            <v>46781976.808214128</v>
          </cell>
          <cell r="GI99">
            <v>35492400.069848061</v>
          </cell>
          <cell r="GJ99">
            <v>19929735.543821812</v>
          </cell>
        </row>
        <row r="100">
          <cell r="GF100">
            <v>75905123.957629442</v>
          </cell>
          <cell r="GG100">
            <v>64188035.311533689</v>
          </cell>
          <cell r="GH100">
            <v>55037864.058303714</v>
          </cell>
          <cell r="GI100">
            <v>41386168.459465504</v>
          </cell>
          <cell r="GJ100">
            <v>23911238.825971603</v>
          </cell>
        </row>
        <row r="101">
          <cell r="GF101">
            <v>82095758.515953422</v>
          </cell>
          <cell r="GG101">
            <v>73707789.671737432</v>
          </cell>
          <cell r="GH101">
            <v>62100092.497371197</v>
          </cell>
          <cell r="GI101">
            <v>46509488.297902942</v>
          </cell>
          <cell r="GJ101">
            <v>25661919.542295456</v>
          </cell>
        </row>
        <row r="102">
          <cell r="GF102">
            <v>89826381.009689808</v>
          </cell>
          <cell r="GG102">
            <v>79861392.232853174</v>
          </cell>
          <cell r="GH102">
            <v>65993241.800223589</v>
          </cell>
          <cell r="GI102">
            <v>49164020.596820772</v>
          </cell>
          <cell r="GJ102">
            <v>25270094.115792632</v>
          </cell>
        </row>
        <row r="103">
          <cell r="GF103">
            <v>97512536.099491715</v>
          </cell>
          <cell r="GG103">
            <v>84985998.658400059</v>
          </cell>
          <cell r="GH103">
            <v>70559928.374181628</v>
          </cell>
          <cell r="GI103">
            <v>49009267.681802511</v>
          </cell>
          <cell r="GJ103">
            <v>26035402.802175879</v>
          </cell>
        </row>
        <row r="104">
          <cell r="GF104">
            <v>106208921.63747144</v>
          </cell>
          <cell r="GG104">
            <v>93662065.263448715</v>
          </cell>
          <cell r="GH104">
            <v>73705737.021485686</v>
          </cell>
          <cell r="GI104">
            <v>51184214.942044973</v>
          </cell>
          <cell r="GJ104">
            <v>28673556.762393892</v>
          </cell>
        </row>
        <row r="105">
          <cell r="GF105">
            <v>115698976.81544971</v>
          </cell>
          <cell r="GG105">
            <v>96659538.073682547</v>
          </cell>
          <cell r="GH105">
            <v>75749585.488885522</v>
          </cell>
          <cell r="GI105">
            <v>54976841.574282169</v>
          </cell>
          <cell r="GJ105">
            <v>31465064.16859895</v>
          </cell>
        </row>
        <row r="106">
          <cell r="GF106">
            <v>125476912.94301367</v>
          </cell>
          <cell r="GG106">
            <v>104754786.29069781</v>
          </cell>
          <cell r="GH106">
            <v>84136814.220050216</v>
          </cell>
          <cell r="GI106">
            <v>64083745.346034884</v>
          </cell>
          <cell r="GJ106">
            <v>35092076.302650213</v>
          </cell>
        </row>
        <row r="107">
          <cell r="GF107">
            <v>137137885.90268731</v>
          </cell>
          <cell r="GG107">
            <v>117854724.02189875</v>
          </cell>
          <cell r="GH107">
            <v>99848957.91913116</v>
          </cell>
          <cell r="GI107">
            <v>72281134.701631188</v>
          </cell>
          <cell r="GJ107">
            <v>39687963.277871311</v>
          </cell>
        </row>
        <row r="108">
          <cell r="GF108">
            <v>148126245.99365473</v>
          </cell>
          <cell r="GG108">
            <v>131400971.97349977</v>
          </cell>
          <cell r="GH108">
            <v>106096298.18432689</v>
          </cell>
          <cell r="GI108">
            <v>78038523.178918123</v>
          </cell>
          <cell r="GJ108">
            <v>41887348.100367248</v>
          </cell>
        </row>
        <row r="109">
          <cell r="GF109">
            <v>162394412.71205902</v>
          </cell>
          <cell r="GG109">
            <v>140316263.16208887</v>
          </cell>
          <cell r="GH109">
            <v>115039290.01219702</v>
          </cell>
          <cell r="GI109">
            <v>81773049.410722613</v>
          </cell>
          <cell r="GJ109">
            <v>43388259.162803173</v>
          </cell>
        </row>
        <row r="110">
          <cell r="GF110">
            <v>174736487.44941878</v>
          </cell>
          <cell r="GG110">
            <v>152002990.86392665</v>
          </cell>
          <cell r="GH110">
            <v>123849052.80149555</v>
          </cell>
          <cell r="GI110">
            <v>85679388.972158074</v>
          </cell>
          <cell r="GJ110">
            <v>45767171.266590714</v>
          </cell>
        </row>
        <row r="111">
          <cell r="GF111">
            <v>192129864.17084432</v>
          </cell>
          <cell r="GG111">
            <v>163982839.0698154</v>
          </cell>
          <cell r="GH111">
            <v>126464031.88663316</v>
          </cell>
          <cell r="GI111">
            <v>92043167.402587891</v>
          </cell>
          <cell r="GJ111">
            <v>52537111.716555357</v>
          </cell>
        </row>
        <row r="112">
          <cell r="GF112">
            <v>205984799.66200924</v>
          </cell>
          <cell r="GG112">
            <v>171730829.74108315</v>
          </cell>
          <cell r="GH112">
            <v>138218886.25249243</v>
          </cell>
          <cell r="GI112">
            <v>101788873.67141604</v>
          </cell>
          <cell r="GJ112">
            <v>56961579.848421693</v>
          </cell>
        </row>
        <row r="113">
          <cell r="GF113">
            <v>227117805.59881544</v>
          </cell>
          <cell r="GG113">
            <v>193209117.22291231</v>
          </cell>
          <cell r="GH113">
            <v>161841097.96822309</v>
          </cell>
          <cell r="GI113">
            <v>118473707.35681796</v>
          </cell>
          <cell r="GJ113">
            <v>65203667.312054157</v>
          </cell>
        </row>
        <row r="114">
          <cell r="GF114">
            <v>243418836.91028452</v>
          </cell>
          <cell r="GG114">
            <v>216159987.52693701</v>
          </cell>
          <cell r="GH114">
            <v>175710167.67189622</v>
          </cell>
          <cell r="GI114">
            <v>130522708.75072193</v>
          </cell>
          <cell r="GJ114">
            <v>71939155.655361533</v>
          </cell>
        </row>
        <row r="115">
          <cell r="GF115">
            <v>267506137.18200064</v>
          </cell>
          <cell r="GG115">
            <v>230935614.99863148</v>
          </cell>
          <cell r="GH115">
            <v>188919244.6663487</v>
          </cell>
          <cell r="GI115">
            <v>137723032.50938845</v>
          </cell>
          <cell r="GJ115">
            <v>71397376.224293113</v>
          </cell>
        </row>
        <row r="116">
          <cell r="GF116">
            <v>287516975.42097712</v>
          </cell>
          <cell r="GG116">
            <v>251604837.73003912</v>
          </cell>
          <cell r="GH116">
            <v>205271619.23261404</v>
          </cell>
          <cell r="GI116">
            <v>143084681.49454832</v>
          </cell>
          <cell r="GJ116">
            <v>76305286.521139503</v>
          </cell>
        </row>
        <row r="117">
          <cell r="GF117">
            <v>314797597.30400324</v>
          </cell>
          <cell r="GG117">
            <v>270992491.37980366</v>
          </cell>
          <cell r="GH117">
            <v>212549401.53507948</v>
          </cell>
          <cell r="GI117">
            <v>150172318.39097905</v>
          </cell>
          <cell r="GJ117">
            <v>82646433.168425083</v>
          </cell>
        </row>
        <row r="118">
          <cell r="GF118">
            <v>339347472.46532822</v>
          </cell>
          <cell r="GG118">
            <v>281654262.55266714</v>
          </cell>
          <cell r="GH118">
            <v>222024746.07179785</v>
          </cell>
          <cell r="GI118">
            <v>159306204.64939117</v>
          </cell>
          <cell r="GJ118">
            <v>88224192.938350677</v>
          </cell>
        </row>
        <row r="119">
          <cell r="GF119">
            <v>370238037.35187435</v>
          </cell>
          <cell r="GG119">
            <v>312104302.6809082</v>
          </cell>
          <cell r="GH119">
            <v>251969068.74140549</v>
          </cell>
          <cell r="GI119">
            <v>187932189.74595571</v>
          </cell>
          <cell r="GJ119">
            <v>101306408.46392894</v>
          </cell>
        </row>
        <row r="120">
          <cell r="GF120">
            <v>400234843.23717308</v>
          </cell>
          <cell r="GG120">
            <v>345096826.66098642</v>
          </cell>
          <cell r="GH120">
            <v>283377081.31242514</v>
          </cell>
          <cell r="GI120">
            <v>202288317.41718578</v>
          </cell>
          <cell r="GJ120">
            <v>112881810.03911114</v>
          </cell>
        </row>
        <row r="121">
          <cell r="GF121">
            <v>435205271.34954929</v>
          </cell>
          <cell r="GG121">
            <v>375386064.27991581</v>
          </cell>
          <cell r="GH121">
            <v>303387509.63583755</v>
          </cell>
          <cell r="GI121">
            <v>225626854.41511106</v>
          </cell>
          <cell r="GJ121">
            <v>119904467.46758986</v>
          </cell>
        </row>
        <row r="122">
          <cell r="GF122">
            <v>471726537.65929317</v>
          </cell>
          <cell r="GG122">
            <v>408614220.40001678</v>
          </cell>
          <cell r="GH122">
            <v>337152163.30586338</v>
          </cell>
          <cell r="GI122">
            <v>239031641.56159115</v>
          </cell>
          <cell r="GJ122">
            <v>124245985.61337423</v>
          </cell>
        </row>
        <row r="123">
          <cell r="GF123">
            <v>511306686.94727421</v>
          </cell>
          <cell r="GG123">
            <v>445664541.05230045</v>
          </cell>
          <cell r="GH123">
            <v>355700173.40542412</v>
          </cell>
          <cell r="GI123">
            <v>242439098.57092094</v>
          </cell>
          <cell r="GJ123">
            <v>131299426.06132269</v>
          </cell>
        </row>
        <row r="124">
          <cell r="GF124">
            <v>555629953.8169632</v>
          </cell>
          <cell r="GG124">
            <v>466323719.20532227</v>
          </cell>
          <cell r="GH124">
            <v>361857206.14228153</v>
          </cell>
          <cell r="GI124">
            <v>258643784.54615164</v>
          </cell>
          <cell r="GJ124">
            <v>149472905.94494247</v>
          </cell>
        </row>
        <row r="125">
          <cell r="GF125">
            <v>600417054.74049664</v>
          </cell>
          <cell r="GG125">
            <v>499706366.89236355</v>
          </cell>
          <cell r="GH125">
            <v>396869735.89270306</v>
          </cell>
          <cell r="GI125">
            <v>295301419.0693903</v>
          </cell>
          <cell r="GJ125">
            <v>160013550.84835505</v>
          </cell>
        </row>
        <row r="126">
          <cell r="GF126">
            <v>654055529.71029949</v>
          </cell>
          <cell r="GG126">
            <v>555481516.60836506</v>
          </cell>
          <cell r="GH126">
            <v>467858079.93778133</v>
          </cell>
          <cell r="GI126">
            <v>340409778.47929001</v>
          </cell>
          <cell r="GJ126">
            <v>187220537.52196908</v>
          </cell>
        </row>
        <row r="127">
          <cell r="GF127">
            <v>704722505.80680466</v>
          </cell>
          <cell r="GG127">
            <v>626033283.7802496</v>
          </cell>
          <cell r="GH127">
            <v>498768016.33360577</v>
          </cell>
          <cell r="GI127">
            <v>367065576.00835657</v>
          </cell>
          <cell r="GJ127">
            <v>201750807.17898417</v>
          </cell>
        </row>
        <row r="128">
          <cell r="GF128">
            <v>769466902.58600235</v>
          </cell>
          <cell r="GG128">
            <v>649220725.14515305</v>
          </cell>
          <cell r="GH128">
            <v>544452422.58772564</v>
          </cell>
          <cell r="GI128">
            <v>390700412.32235336</v>
          </cell>
          <cell r="GJ128">
            <v>194961809.69598818</v>
          </cell>
        </row>
        <row r="129">
          <cell r="GF129">
            <v>826771675.85996246</v>
          </cell>
          <cell r="GG129">
            <v>731520814.27068138</v>
          </cell>
          <cell r="GH129">
            <v>580578061.70069122</v>
          </cell>
          <cell r="GI129">
            <v>393745004.11349106</v>
          </cell>
          <cell r="GJ129">
            <v>208380718.11527777</v>
          </cell>
        </row>
        <row r="130">
          <cell r="GF130">
            <v>904739284.91288948</v>
          </cell>
          <cell r="GG130">
            <v>769480761.81841278</v>
          </cell>
          <cell r="GH130">
            <v>584769069.62504959</v>
          </cell>
          <cell r="GI130">
            <v>408280645.5602808</v>
          </cell>
          <cell r="GJ130">
            <v>230867005.0632329</v>
          </cell>
        </row>
        <row r="131">
          <cell r="GF131">
            <v>969675556.08372307</v>
          </cell>
          <cell r="GG131">
            <v>782202782.29913902</v>
          </cell>
          <cell r="GH131">
            <v>617493336.69204903</v>
          </cell>
          <cell r="GI131">
            <v>453490108.90013313</v>
          </cell>
          <cell r="GJ131">
            <v>253129258.43092012</v>
          </cell>
        </row>
        <row r="132">
          <cell r="GF132">
            <v>1063087010.3903599</v>
          </cell>
          <cell r="GG132">
            <v>900021986.92267036</v>
          </cell>
          <cell r="GH132">
            <v>743695144.23019505</v>
          </cell>
          <cell r="GI132">
            <v>547275844.61487579</v>
          </cell>
          <cell r="GJ132">
            <v>293139604.37157679</v>
          </cell>
        </row>
        <row r="133">
          <cell r="GF133">
            <v>1139538902.8740559</v>
          </cell>
          <cell r="GG133">
            <v>997391279.47311592</v>
          </cell>
          <cell r="GH133">
            <v>812731882.78485489</v>
          </cell>
          <cell r="GI133">
            <v>589242675.30239773</v>
          </cell>
          <cell r="GJ133">
            <v>323847281.44711447</v>
          </cell>
        </row>
        <row r="134">
          <cell r="GF134">
            <v>1245780292.614481</v>
          </cell>
          <cell r="GG134">
            <v>1065854297.700676</v>
          </cell>
          <cell r="GH134">
            <v>866066119.41036415</v>
          </cell>
          <cell r="GI134">
            <v>636679852.12880898</v>
          </cell>
          <cell r="GJ134">
            <v>330262671.5888896</v>
          </cell>
        </row>
        <row r="135">
          <cell r="GF135">
            <v>1338478359.2375374</v>
          </cell>
          <cell r="GG135">
            <v>1162759813.4811954</v>
          </cell>
          <cell r="GH135">
            <v>957027488.53376579</v>
          </cell>
          <cell r="GI135">
            <v>656873247.90248394</v>
          </cell>
          <cell r="GJ135">
            <v>345529627.99283743</v>
          </cell>
        </row>
        <row r="136">
          <cell r="GF136">
            <v>1459299404.1537437</v>
          </cell>
          <cell r="GG136">
            <v>1257166758.4491997</v>
          </cell>
          <cell r="GH136">
            <v>966854294.68322563</v>
          </cell>
          <cell r="GI136">
            <v>671983486.67349815</v>
          </cell>
          <cell r="GJ136">
            <v>366359077.09636879</v>
          </cell>
        </row>
        <row r="137">
          <cell r="GF137">
            <v>1571385181.9348145</v>
          </cell>
          <cell r="GG137">
            <v>1292210288.38834</v>
          </cell>
          <cell r="GH137">
            <v>1012459640.3436546</v>
          </cell>
          <cell r="GI137">
            <v>728740356.23464775</v>
          </cell>
          <cell r="GJ137">
            <v>407229839.45958424</v>
          </cell>
        </row>
        <row r="138">
          <cell r="GF138">
            <v>1708772282.5590858</v>
          </cell>
          <cell r="GG138">
            <v>1431039280.8461151</v>
          </cell>
          <cell r="GH138">
            <v>1141828686.7751732</v>
          </cell>
          <cell r="GI138">
            <v>846395647.37759399</v>
          </cell>
          <cell r="GJ138">
            <v>462469517.13568497</v>
          </cell>
        </row>
        <row r="139">
          <cell r="GF139">
            <v>1843962363.6982193</v>
          </cell>
          <cell r="GG139">
            <v>1588583842.8915901</v>
          </cell>
          <cell r="GH139">
            <v>1331839041.0128822</v>
          </cell>
          <cell r="GI139">
            <v>948927361.99923515</v>
          </cell>
          <cell r="GJ139">
            <v>520110641.48747635</v>
          </cell>
        </row>
        <row r="140">
          <cell r="GF140">
            <v>2000170301.0370064</v>
          </cell>
          <cell r="GG140">
            <v>1737980678.2828827</v>
          </cell>
          <cell r="GH140">
            <v>1389034671.9013023</v>
          </cell>
          <cell r="GI140">
            <v>1017583632.8214378</v>
          </cell>
          <cell r="GJ140">
            <v>541385923.35052967</v>
          </cell>
        </row>
        <row r="141">
          <cell r="GF141">
            <v>2162857889.2789421</v>
          </cell>
          <cell r="GG141">
            <v>1843714488.0874443</v>
          </cell>
          <cell r="GH141">
            <v>1508791332.6738434</v>
          </cell>
          <cell r="GI141">
            <v>1073657370.7399044</v>
          </cell>
          <cell r="GJ141">
            <v>548354106.26023674</v>
          </cell>
        </row>
        <row r="142">
          <cell r="GF142">
            <v>2340445718.5820122</v>
          </cell>
          <cell r="GG142">
            <v>2018846121.8794441</v>
          </cell>
          <cell r="GH142">
            <v>1607022928.7404785</v>
          </cell>
          <cell r="GI142">
            <v>1094539854.4692764</v>
          </cell>
          <cell r="GJ142">
            <v>588901691.37413883</v>
          </cell>
        </row>
        <row r="143">
          <cell r="GF143">
            <v>2535819672.9467697</v>
          </cell>
          <cell r="GG143">
            <v>2142601287.2061729</v>
          </cell>
          <cell r="GH143">
            <v>1638447669.5851059</v>
          </cell>
          <cell r="GI143">
            <v>1160456606.0608826</v>
          </cell>
          <cell r="GJ143">
            <v>651072572.8361063</v>
          </cell>
        </row>
        <row r="144">
          <cell r="GF144">
            <v>2737691357.9503632</v>
          </cell>
          <cell r="GG144">
            <v>2258353891.6823654</v>
          </cell>
          <cell r="GH144">
            <v>1772845336.0873795</v>
          </cell>
          <cell r="GI144">
            <v>1325270519.8352699</v>
          </cell>
          <cell r="GJ144">
            <v>715212385.84063911</v>
          </cell>
        </row>
        <row r="145">
          <cell r="GF145">
            <v>2971875678.9851151</v>
          </cell>
          <cell r="GG145">
            <v>2513598667.6275558</v>
          </cell>
          <cell r="GH145">
            <v>2106897313.1890068</v>
          </cell>
          <cell r="GI145">
            <v>1496411474.275238</v>
          </cell>
          <cell r="GJ145">
            <v>813189515.3333683</v>
          </cell>
        </row>
        <row r="146">
          <cell r="GF146">
            <v>3201326082.7769012</v>
          </cell>
          <cell r="GG146">
            <v>2793723387.5459099</v>
          </cell>
          <cell r="GH146">
            <v>2230148992.13237</v>
          </cell>
          <cell r="GI146">
            <v>1625692343.2441597</v>
          </cell>
          <cell r="GJ146">
            <v>888325313.92526436</v>
          </cell>
        </row>
        <row r="147">
          <cell r="GF147">
            <v>3481543288.6648636</v>
          </cell>
          <cell r="GG147">
            <v>2945733776.5393372</v>
          </cell>
          <cell r="GH147">
            <v>2421485938.1561699</v>
          </cell>
          <cell r="GI147">
            <v>1743931993.9376488</v>
          </cell>
          <cell r="GJ147">
            <v>897255292.68390846</v>
          </cell>
        </row>
        <row r="148">
          <cell r="GF148">
            <v>3742310215.7395248</v>
          </cell>
          <cell r="GG148">
            <v>3284017318.4586334</v>
          </cell>
          <cell r="GH148">
            <v>2612029823.2791595</v>
          </cell>
          <cell r="GI148">
            <v>1798547882.4357834</v>
          </cell>
          <cell r="GJ148">
            <v>948441877.87280273</v>
          </cell>
        </row>
        <row r="149">
          <cell r="GF149">
            <v>4077072628.8262558</v>
          </cell>
          <cell r="GG149">
            <v>3442327766.8938217</v>
          </cell>
          <cell r="GH149">
            <v>2657483440.5470543</v>
          </cell>
          <cell r="GI149">
            <v>1854953287.9869003</v>
          </cell>
          <cell r="GJ149">
            <v>1003247341.0416183</v>
          </cell>
        </row>
        <row r="150">
          <cell r="GF150">
            <v>4373395701.0232162</v>
          </cell>
          <cell r="GG150">
            <v>3577011039.4103394</v>
          </cell>
          <cell r="GH150">
            <v>2792148246.4344482</v>
          </cell>
          <cell r="GI150">
            <v>1974828004.1298943</v>
          </cell>
          <cell r="GJ150">
            <v>1094487902.363121</v>
          </cell>
        </row>
        <row r="151">
          <cell r="GF151">
            <v>4772729332.7808762</v>
          </cell>
          <cell r="GG151">
            <v>4029615375.6669006</v>
          </cell>
          <cell r="GH151">
            <v>3260427180.2473602</v>
          </cell>
          <cell r="GI151">
            <v>2380170209.1286545</v>
          </cell>
          <cell r="GJ151">
            <v>1247835875.0737514</v>
          </cell>
        </row>
        <row r="152">
          <cell r="GF152">
            <v>5115284642.743103</v>
          </cell>
          <cell r="GG152">
            <v>4393087452.5439987</v>
          </cell>
          <cell r="GH152">
            <v>3541254473.771698</v>
          </cell>
          <cell r="GI152">
            <v>2517892832.8712692</v>
          </cell>
          <cell r="GJ152">
            <v>1363276737.8411674</v>
          </cell>
        </row>
        <row r="153">
          <cell r="GF153">
            <v>5579255018.3143692</v>
          </cell>
          <cell r="GG153">
            <v>4716636441.3056259</v>
          </cell>
          <cell r="GH153">
            <v>3789355840.3481064</v>
          </cell>
          <cell r="GI153">
            <v>2732313074.9503555</v>
          </cell>
          <cell r="GJ153">
            <v>1528274447.2383347</v>
          </cell>
        </row>
        <row r="154">
          <cell r="GF154">
            <v>5985986702.4546204</v>
          </cell>
          <cell r="GG154">
            <v>5150027214.8100739</v>
          </cell>
          <cell r="GH154">
            <v>4137795344.6315231</v>
          </cell>
          <cell r="GI154">
            <v>3129789155.1637115</v>
          </cell>
          <cell r="GJ154">
            <v>1953247835.9967461</v>
          </cell>
        </row>
        <row r="155">
          <cell r="GF155">
            <v>6515228819.8792114</v>
          </cell>
          <cell r="GG155">
            <v>5500717240.2929077</v>
          </cell>
          <cell r="GH155">
            <v>4786715253.6674728</v>
          </cell>
          <cell r="GI155">
            <v>3828371009.0390472</v>
          </cell>
          <cell r="GJ155">
            <v>1073429376.0032539</v>
          </cell>
        </row>
        <row r="156">
          <cell r="GF156">
            <v>7002527604.333313</v>
          </cell>
          <cell r="GG156">
            <v>6642525043.5583344</v>
          </cell>
          <cell r="GH156">
            <v>5614005423.6092682</v>
          </cell>
          <cell r="GI156">
            <v>1979019166.105957</v>
          </cell>
          <cell r="GJ156">
            <v>0</v>
          </cell>
        </row>
        <row r="157">
          <cell r="GF157">
            <v>7606193753.0795288</v>
          </cell>
          <cell r="GG157">
            <v>6958549527.385437</v>
          </cell>
          <cell r="GH157">
            <v>2519331725.5548019</v>
          </cell>
          <cell r="GI157">
            <v>0</v>
          </cell>
          <cell r="GJ157">
            <v>0</v>
          </cell>
        </row>
        <row r="158">
          <cell r="GF158">
            <v>8189027072.1675415</v>
          </cell>
          <cell r="GG158">
            <v>2752207408.6865387</v>
          </cell>
          <cell r="GH158">
            <v>0</v>
          </cell>
          <cell r="GI158">
            <v>0</v>
          </cell>
          <cell r="GJ158">
            <v>0</v>
          </cell>
        </row>
        <row r="159">
          <cell r="GF159">
            <v>3095114458.7523804</v>
          </cell>
          <cell r="GG159">
            <v>0</v>
          </cell>
          <cell r="GH159">
            <v>0</v>
          </cell>
          <cell r="GI159">
            <v>0</v>
          </cell>
          <cell r="GJ159">
            <v>0</v>
          </cell>
        </row>
        <row r="160">
          <cell r="GF160">
            <v>0</v>
          </cell>
          <cell r="GG160">
            <v>0</v>
          </cell>
          <cell r="GH160">
            <v>0</v>
          </cell>
          <cell r="GI160">
            <v>0</v>
          </cell>
          <cell r="GJ160">
            <v>0</v>
          </cell>
        </row>
        <row r="161">
          <cell r="GF161">
            <v>0</v>
          </cell>
          <cell r="GG161">
            <v>0</v>
          </cell>
          <cell r="GH161">
            <v>0</v>
          </cell>
          <cell r="GI161">
            <v>0</v>
          </cell>
          <cell r="GJ161">
            <v>0</v>
          </cell>
        </row>
        <row r="162">
          <cell r="GF162">
            <v>0</v>
          </cell>
          <cell r="GG162">
            <v>0</v>
          </cell>
          <cell r="GH162">
            <v>0</v>
          </cell>
          <cell r="GI162">
            <v>0</v>
          </cell>
          <cell r="GJ162">
            <v>0</v>
          </cell>
        </row>
        <row r="163">
          <cell r="GF163">
            <v>0</v>
          </cell>
          <cell r="GG163">
            <v>0</v>
          </cell>
          <cell r="GH163">
            <v>0</v>
          </cell>
          <cell r="GI163">
            <v>0</v>
          </cell>
          <cell r="GJ163">
            <v>0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4">
          <cell r="L4">
            <v>1040.8352879799568</v>
          </cell>
          <cell r="M4">
            <v>1168.9516338298708</v>
          </cell>
          <cell r="N4">
            <v>1452.2172869047899</v>
          </cell>
          <cell r="O4">
            <v>2510.7422303165949</v>
          </cell>
          <cell r="P4">
            <v>3045.4164117374748</v>
          </cell>
          <cell r="T4">
            <v>14501.673058529761</v>
          </cell>
          <cell r="U4">
            <v>19413.896977599055</v>
          </cell>
          <cell r="V4">
            <v>30743.578088908678</v>
          </cell>
          <cell r="W4">
            <v>76075.906172330011</v>
          </cell>
          <cell r="X4">
            <v>177081.7886017682</v>
          </cell>
        </row>
        <row r="5">
          <cell r="L5">
            <v>2156.3749285081976</v>
          </cell>
          <cell r="M5">
            <v>2445.0615859519603</v>
          </cell>
          <cell r="N5">
            <v>3068.6815757732184</v>
          </cell>
          <cell r="O5">
            <v>5380.4255785215355</v>
          </cell>
          <cell r="P5">
            <v>6628.3385775485367</v>
          </cell>
          <cell r="T5">
            <v>23031.394540905989</v>
          </cell>
          <cell r="U5">
            <v>30854.533994996593</v>
          </cell>
          <cell r="V5">
            <v>48567.987394496246</v>
          </cell>
          <cell r="W5">
            <v>119204.78613394586</v>
          </cell>
          <cell r="X5">
            <v>275220.26474734046</v>
          </cell>
        </row>
        <row r="6">
          <cell r="L6">
            <v>3351.9807116336397</v>
          </cell>
          <cell r="M6">
            <v>3828.7498339345493</v>
          </cell>
          <cell r="N6">
            <v>4848.3395205770648</v>
          </cell>
          <cell r="O6">
            <v>8568.4276587872155</v>
          </cell>
          <cell r="P6">
            <v>10613.278887857712</v>
          </cell>
          <cell r="T6">
            <v>31561.116023282215</v>
          </cell>
          <cell r="U6">
            <v>42157.227625610445</v>
          </cell>
          <cell r="V6">
            <v>66088.950388171492</v>
          </cell>
          <cell r="W6">
            <v>161357.84542698861</v>
          </cell>
          <cell r="X6">
            <v>371708.62996968755</v>
          </cell>
        </row>
        <row r="7">
          <cell r="L7">
            <v>4633.3992616424111</v>
          </cell>
          <cell r="M7">
            <v>5317.4188778006173</v>
          </cell>
          <cell r="N7">
            <v>6773.2188891002043</v>
          </cell>
          <cell r="O7">
            <v>12026.203815149966</v>
          </cell>
          <cell r="P7">
            <v>15024.655902480066</v>
          </cell>
          <cell r="T7">
            <v>40090.837505658441</v>
          </cell>
          <cell r="U7">
            <v>53459.921256224297</v>
          </cell>
          <cell r="V7">
            <v>83609.913381846723</v>
          </cell>
          <cell r="W7">
            <v>203510.90472003139</v>
          </cell>
          <cell r="X7">
            <v>468196.99519203458</v>
          </cell>
        </row>
        <row r="8">
          <cell r="L8">
            <v>6006.789657943551</v>
          </cell>
          <cell r="M8">
            <v>6890.3207409975184</v>
          </cell>
          <cell r="N8">
            <v>8791.163388022298</v>
          </cell>
          <cell r="O8">
            <v>15638.776428266865</v>
          </cell>
          <cell r="P8">
            <v>19574.3719490816</v>
          </cell>
          <cell r="T8">
            <v>48620.558988034674</v>
          </cell>
          <cell r="U8">
            <v>64762.61488683815</v>
          </cell>
          <cell r="V8">
            <v>101130.87637552196</v>
          </cell>
          <cell r="W8">
            <v>245663.96401307415</v>
          </cell>
          <cell r="X8">
            <v>564685.3604143816</v>
          </cell>
        </row>
        <row r="9">
          <cell r="L9">
            <v>7478.7530384013098</v>
          </cell>
          <cell r="M9">
            <v>8590.893200390401</v>
          </cell>
          <cell r="N9">
            <v>10971.055697648706</v>
          </cell>
          <cell r="O9">
            <v>19602.189096576229</v>
          </cell>
          <cell r="P9">
            <v>24730.552915572829</v>
          </cell>
          <cell r="T9">
            <v>57150.2804704109</v>
          </cell>
          <cell r="U9">
            <v>76065.308517452009</v>
          </cell>
          <cell r="V9">
            <v>118651.8393691972</v>
          </cell>
          <cell r="W9">
            <v>287817.02330611687</v>
          </cell>
          <cell r="X9">
            <v>661173.72563672857</v>
          </cell>
        </row>
        <row r="10">
          <cell r="L10">
            <v>9056.364327401152</v>
          </cell>
          <cell r="M10">
            <v>10443.399467293943</v>
          </cell>
          <cell r="N10">
            <v>13372.604016402558</v>
          </cell>
          <cell r="O10">
            <v>23847.861989582831</v>
          </cell>
          <cell r="P10">
            <v>29846.901310823479</v>
          </cell>
          <cell r="T10">
            <v>65680.001952787134</v>
          </cell>
          <cell r="U10">
            <v>87013.612097199526</v>
          </cell>
          <cell r="V10">
            <v>135833.17555775886</v>
          </cell>
          <cell r="W10">
            <v>329495.38453408948</v>
          </cell>
          <cell r="X10">
            <v>757274.01349916705</v>
          </cell>
        </row>
        <row r="11">
          <cell r="L11">
            <v>10747.20624114886</v>
          </cell>
          <cell r="M11">
            <v>12335.24414104376</v>
          </cell>
          <cell r="N11">
            <v>15694.428505331771</v>
          </cell>
          <cell r="O11">
            <v>27889.164573650749</v>
          </cell>
          <cell r="P11">
            <v>34995.512475748721</v>
          </cell>
          <cell r="T11">
            <v>71369.493447807283</v>
          </cell>
          <cell r="U11">
            <v>95426.442792588015</v>
          </cell>
          <cell r="V11">
            <v>149807.08707184682</v>
          </cell>
          <cell r="W11">
            <v>366417.79577903147</v>
          </cell>
          <cell r="X11">
            <v>844742.07535693469</v>
          </cell>
        </row>
        <row r="12">
          <cell r="L12">
            <v>12559.405733647733</v>
          </cell>
          <cell r="M12">
            <v>14410.139453011971</v>
          </cell>
          <cell r="N12">
            <v>18405.364234952573</v>
          </cell>
          <cell r="O12">
            <v>32952.202123758485</v>
          </cell>
          <cell r="P12">
            <v>41453.73097236536</v>
          </cell>
          <cell r="T12">
            <v>77058.984942827432</v>
          </cell>
          <cell r="U12">
            <v>103484.8834371102</v>
          </cell>
          <cell r="V12">
            <v>163441.37178082121</v>
          </cell>
          <cell r="W12">
            <v>402865.50895890332</v>
          </cell>
          <cell r="X12">
            <v>931822.0598547936</v>
          </cell>
        </row>
        <row r="13">
          <cell r="L13">
            <v>14501.673058529761</v>
          </cell>
          <cell r="M13">
            <v>16712.913143474369</v>
          </cell>
          <cell r="N13">
            <v>21406.923324366089</v>
          </cell>
          <cell r="O13">
            <v>38510.453075083373</v>
          </cell>
          <cell r="P13">
            <v>48829.554950228208</v>
          </cell>
          <cell r="T13">
            <v>82748.476437847581</v>
          </cell>
          <cell r="U13">
            <v>111543.32408163235</v>
          </cell>
          <cell r="V13">
            <v>177075.6564897956</v>
          </cell>
          <cell r="W13">
            <v>439313.22213877511</v>
          </cell>
          <cell r="X13">
            <v>1018902.0443526527</v>
          </cell>
        </row>
        <row r="14">
          <cell r="L14">
            <v>15726.088349050451</v>
          </cell>
          <cell r="M14">
            <v>19167.896551545822</v>
          </cell>
          <cell r="N14">
            <v>24667.991108060392</v>
          </cell>
          <cell r="O14">
            <v>44364.525578775363</v>
          </cell>
          <cell r="P14">
            <v>56779.073660921611</v>
          </cell>
          <cell r="T14">
            <v>88437.96793286773</v>
          </cell>
          <cell r="U14">
            <v>119601.76472615452</v>
          </cell>
          <cell r="V14">
            <v>190709.94119876999</v>
          </cell>
          <cell r="W14">
            <v>475760.93531864701</v>
          </cell>
          <cell r="X14">
            <v>1105982.0288505116</v>
          </cell>
        </row>
        <row r="15">
          <cell r="L15">
            <v>17038.384164554194</v>
          </cell>
          <cell r="M15">
            <v>20825.059623865094</v>
          </cell>
          <cell r="N15">
            <v>28123.71056574865</v>
          </cell>
          <cell r="O15">
            <v>51022.981683163329</v>
          </cell>
          <cell r="P15">
            <v>65345.525077267288</v>
          </cell>
          <cell r="T15">
            <v>94127.459427887894</v>
          </cell>
          <cell r="U15">
            <v>127660.20537067669</v>
          </cell>
          <cell r="V15">
            <v>204344.22590774437</v>
          </cell>
          <cell r="W15">
            <v>512208.6484985188</v>
          </cell>
          <cell r="X15">
            <v>1193062.0133483706</v>
          </cell>
        </row>
        <row r="16">
          <cell r="L16">
            <v>18444.867994608529</v>
          </cell>
          <cell r="M16">
            <v>22522.557065644731</v>
          </cell>
          <cell r="N16">
            <v>31563.040133767903</v>
          </cell>
          <cell r="O16">
            <v>58217.56000155623</v>
          </cell>
          <cell r="P16">
            <v>74826.697957350567</v>
          </cell>
          <cell r="T16">
            <v>99816.950922908043</v>
          </cell>
          <cell r="U16">
            <v>135718.64601519887</v>
          </cell>
          <cell r="V16">
            <v>217978.51061671876</v>
          </cell>
          <cell r="W16">
            <v>548656.36167839065</v>
          </cell>
          <cell r="X16">
            <v>1280141.9978462297</v>
          </cell>
        </row>
        <row r="17">
          <cell r="L17">
            <v>19952.300039147165</v>
          </cell>
          <cell r="M17">
            <v>24227.212538513926</v>
          </cell>
          <cell r="N17">
            <v>33754.411692335707</v>
          </cell>
          <cell r="O17">
            <v>65190.381474620808</v>
          </cell>
          <cell r="P17">
            <v>83664.923820554817</v>
          </cell>
          <cell r="T17">
            <v>105506.43551656598</v>
          </cell>
          <cell r="U17">
            <v>143763.35342501907</v>
          </cell>
          <cell r="V17">
            <v>231399.60984942626</v>
          </cell>
          <cell r="W17">
            <v>584412.16485232592</v>
          </cell>
          <cell r="X17">
            <v>1365888.7106964437</v>
          </cell>
        </row>
        <row r="18">
          <cell r="L18">
            <v>21567.925701060507</v>
          </cell>
          <cell r="M18">
            <v>26100.568500456058</v>
          </cell>
          <cell r="N18">
            <v>36178.578407986883</v>
          </cell>
          <cell r="O18">
            <v>73118.519562145026</v>
          </cell>
          <cell r="P18">
            <v>94215.936382830361</v>
          </cell>
          <cell r="T18">
            <v>111195.83045140664</v>
          </cell>
          <cell r="U18">
            <v>151610.41349654732</v>
          </cell>
          <cell r="V18">
            <v>244403.20484620208</v>
          </cell>
          <cell r="W18">
            <v>617942.27533082222</v>
          </cell>
          <cell r="X18">
            <v>1444458.0653639045</v>
          </cell>
        </row>
        <row r="19">
          <cell r="L19">
            <v>23299.51041089186</v>
          </cell>
          <cell r="M19">
            <v>28126.195578776875</v>
          </cell>
          <cell r="N19">
            <v>38754.142180374445</v>
          </cell>
          <cell r="O19">
            <v>79658.054654546926</v>
          </cell>
          <cell r="P19">
            <v>106274.07289769812</v>
          </cell>
          <cell r="T19">
            <v>116885.21848488509</v>
          </cell>
          <cell r="U19">
            <v>159443.74033337363</v>
          </cell>
          <cell r="V19">
            <v>257193.614366711</v>
          </cell>
          <cell r="W19">
            <v>650780.475803382</v>
          </cell>
          <cell r="X19">
            <v>1521694.1483837203</v>
          </cell>
        </row>
        <row r="20">
          <cell r="L20">
            <v>25155.376951022714</v>
          </cell>
          <cell r="M20">
            <v>30214.453217745926</v>
          </cell>
          <cell r="N20">
            <v>41393.145668975973</v>
          </cell>
          <cell r="O20">
            <v>84395.12297073126</v>
          </cell>
          <cell r="P20">
            <v>116732.01692544734</v>
          </cell>
          <cell r="T20">
            <v>122574.60651836354</v>
          </cell>
          <cell r="U20">
            <v>167277.06717019991</v>
          </cell>
          <cell r="V20">
            <v>269984.0238872199</v>
          </cell>
          <cell r="W20">
            <v>683618.67627594189</v>
          </cell>
          <cell r="X20">
            <v>1598930.2314035362</v>
          </cell>
        </row>
        <row r="21">
          <cell r="L21">
            <v>27144.445458744009</v>
          </cell>
          <cell r="M21">
            <v>32567.716194017077</v>
          </cell>
          <cell r="N21">
            <v>44521.793369274732</v>
          </cell>
          <cell r="O21">
            <v>89977.172780918947</v>
          </cell>
          <cell r="P21">
            <v>129678.52194244512</v>
          </cell>
          <cell r="T21">
            <v>128263.99455184198</v>
          </cell>
          <cell r="U21">
            <v>175110.39400702619</v>
          </cell>
          <cell r="V21">
            <v>282774.43340772885</v>
          </cell>
          <cell r="W21">
            <v>716456.87674850167</v>
          </cell>
          <cell r="X21">
            <v>1676166.314423352</v>
          </cell>
        </row>
        <row r="22">
          <cell r="L22">
            <v>29276.276300486359</v>
          </cell>
          <cell r="M22">
            <v>35074.994145464443</v>
          </cell>
          <cell r="N22">
            <v>47709.730679362823</v>
          </cell>
          <cell r="O22">
            <v>95580.53961916102</v>
          </cell>
          <cell r="P22">
            <v>143468.16217514762</v>
          </cell>
          <cell r="T22">
            <v>133953.38258532042</v>
          </cell>
          <cell r="U22">
            <v>182943.7208438525</v>
          </cell>
          <cell r="V22">
            <v>295564.84292823775</v>
          </cell>
          <cell r="W22">
            <v>749295.07722106157</v>
          </cell>
          <cell r="X22">
            <v>1753402.3974431679</v>
          </cell>
        </row>
        <row r="23">
          <cell r="L23">
            <v>31561.116023282215</v>
          </cell>
          <cell r="M23">
            <v>37677.97013979817</v>
          </cell>
          <cell r="N23">
            <v>50971.863517228492</v>
          </cell>
          <cell r="O23">
            <v>101504.7165367972</v>
          </cell>
          <cell r="P23">
            <v>157266.19839204173</v>
          </cell>
          <cell r="T23">
            <v>139642.77061879888</v>
          </cell>
          <cell r="U23">
            <v>190777.04768067878</v>
          </cell>
          <cell r="V23">
            <v>308355.25244874664</v>
          </cell>
          <cell r="W23">
            <v>782133.27769362135</v>
          </cell>
          <cell r="X23">
            <v>1830638.4804629835</v>
          </cell>
        </row>
        <row r="24">
          <cell r="L24">
            <v>34009.946604323595</v>
          </cell>
          <cell r="M24">
            <v>40483.1023076743</v>
          </cell>
          <cell r="N24">
            <v>54641.739591638812</v>
          </cell>
          <cell r="O24">
            <v>108100.47658500832</v>
          </cell>
          <cell r="P24">
            <v>173667.52080389639</v>
          </cell>
          <cell r="T24">
            <v>145332.15865227731</v>
          </cell>
          <cell r="U24">
            <v>198610.37451750509</v>
          </cell>
          <cell r="V24">
            <v>321145.6619692556</v>
          </cell>
          <cell r="W24">
            <v>814971.47816618124</v>
          </cell>
          <cell r="X24">
            <v>1907874.5634827993</v>
          </cell>
        </row>
        <row r="25">
          <cell r="L25">
            <v>36634.538235331078</v>
          </cell>
          <cell r="M25">
            <v>43561.417331527664</v>
          </cell>
          <cell r="N25">
            <v>58641.674296658151</v>
          </cell>
          <cell r="O25">
            <v>115316.45592085565</v>
          </cell>
          <cell r="P25">
            <v>185363.74592555995</v>
          </cell>
          <cell r="T25">
            <v>151021.54668575578</v>
          </cell>
          <cell r="U25">
            <v>206443.70135433137</v>
          </cell>
          <cell r="V25">
            <v>333936.07148976449</v>
          </cell>
          <cell r="W25">
            <v>847809.67863874102</v>
          </cell>
          <cell r="X25">
            <v>1985110.6465026152</v>
          </cell>
        </row>
        <row r="26">
          <cell r="L26">
            <v>39447.505895439739</v>
          </cell>
          <cell r="M26">
            <v>46769.893451378055</v>
          </cell>
          <cell r="N26">
            <v>62698.039224057815</v>
          </cell>
          <cell r="O26">
            <v>122561.59014963175</v>
          </cell>
          <cell r="P26">
            <v>194255.91934723043</v>
          </cell>
          <cell r="T26">
            <v>156710.93471923424</v>
          </cell>
          <cell r="U26">
            <v>214277.02819115765</v>
          </cell>
          <cell r="V26">
            <v>346726.48101027345</v>
          </cell>
          <cell r="W26">
            <v>880647.87911130092</v>
          </cell>
          <cell r="X26">
            <v>2062346.729522431</v>
          </cell>
        </row>
        <row r="27">
          <cell r="L27">
            <v>42462.369984517027</v>
          </cell>
          <cell r="M27">
            <v>50311.665879092536</v>
          </cell>
          <cell r="N27">
            <v>67313.937400448282</v>
          </cell>
          <cell r="O27">
            <v>130763.22334191311</v>
          </cell>
          <cell r="P27">
            <v>204715.44326334211</v>
          </cell>
          <cell r="T27">
            <v>162400.32275271267</v>
          </cell>
          <cell r="U27">
            <v>222110.35502798393</v>
          </cell>
          <cell r="V27">
            <v>359516.8905307824</v>
          </cell>
          <cell r="W27">
            <v>913486.0795838607</v>
          </cell>
          <cell r="X27">
            <v>2139582.8125422467</v>
          </cell>
        </row>
        <row r="28">
          <cell r="L28">
            <v>45693.621308343718</v>
          </cell>
          <cell r="M28">
            <v>54073.175003945638</v>
          </cell>
          <cell r="N28">
            <v>72125.845879448229</v>
          </cell>
          <cell r="O28">
            <v>139369.87523300829</v>
          </cell>
          <cell r="P28">
            <v>215425.61427332016</v>
          </cell>
          <cell r="T28">
            <v>168089.71078619111</v>
          </cell>
          <cell r="U28">
            <v>229943.68186481023</v>
          </cell>
          <cell r="V28">
            <v>372307.3000512913</v>
          </cell>
          <cell r="W28">
            <v>946324.28005642048</v>
          </cell>
          <cell r="X28">
            <v>2216818.8955620625</v>
          </cell>
        </row>
        <row r="29">
          <cell r="L29">
            <v>49156.790728006417</v>
          </cell>
          <cell r="M29">
            <v>58079.828833926251</v>
          </cell>
          <cell r="N29">
            <v>77252.661931416835</v>
          </cell>
          <cell r="O29">
            <v>148350.2420406632</v>
          </cell>
          <cell r="P29">
            <v>226939.51188803394</v>
          </cell>
          <cell r="T29">
            <v>173779.09881966957</v>
          </cell>
          <cell r="U29">
            <v>237777.00870163651</v>
          </cell>
          <cell r="V29">
            <v>385097.70957180019</v>
          </cell>
          <cell r="W29">
            <v>979162.48052898038</v>
          </cell>
          <cell r="X29">
            <v>2294054.9785818784</v>
          </cell>
        </row>
        <row r="30">
          <cell r="L30">
            <v>52868.523808268132</v>
          </cell>
          <cell r="M30">
            <v>62368.985766527236</v>
          </cell>
          <cell r="N30">
            <v>82720.324513717162</v>
          </cell>
          <cell r="O30">
            <v>158008.69143623821</v>
          </cell>
          <cell r="P30">
            <v>239429.1677670764</v>
          </cell>
          <cell r="T30">
            <v>179468.486853148</v>
          </cell>
          <cell r="U30">
            <v>245610.33553846279</v>
          </cell>
          <cell r="V30">
            <v>397888.11909230915</v>
          </cell>
          <cell r="W30">
            <v>1012000.6810015402</v>
          </cell>
          <cell r="X30">
            <v>2371291.0616016942</v>
          </cell>
        </row>
        <row r="31">
          <cell r="L31">
            <v>56846.660823710707</v>
          </cell>
          <cell r="M31">
            <v>66926.150305849689</v>
          </cell>
          <cell r="N31">
            <v>88433.174310601171</v>
          </cell>
          <cell r="O31">
            <v>168326.14538209527</v>
          </cell>
          <cell r="P31">
            <v>253395.93774105425</v>
          </cell>
          <cell r="T31">
            <v>185157.87488662647</v>
          </cell>
          <cell r="U31">
            <v>253443.6623752891</v>
          </cell>
          <cell r="V31">
            <v>410678.5286128181</v>
          </cell>
          <cell r="W31">
            <v>1044838.8814741001</v>
          </cell>
          <cell r="X31">
            <v>2448527.1446215101</v>
          </cell>
        </row>
        <row r="32">
          <cell r="L32">
            <v>61110.3225071954</v>
          </cell>
          <cell r="M32">
            <v>71909.456860487029</v>
          </cell>
          <cell r="N32">
            <v>95016.724322714377</v>
          </cell>
          <cell r="O32">
            <v>180462.02468798024</v>
          </cell>
          <cell r="P32">
            <v>269111.9215568311</v>
          </cell>
          <cell r="T32">
            <v>190863.14162790234</v>
          </cell>
          <cell r="U32">
            <v>261290.21329832528</v>
          </cell>
          <cell r="V32">
            <v>423468.938133327</v>
          </cell>
          <cell r="W32">
            <v>1077932.6215086782</v>
          </cell>
          <cell r="X32">
            <v>2525763.2276413259</v>
          </cell>
        </row>
        <row r="33">
          <cell r="L33">
            <v>65680.001952787134</v>
          </cell>
          <cell r="M33">
            <v>77224.964883952984</v>
          </cell>
          <cell r="N33">
            <v>101868.50891755569</v>
          </cell>
          <cell r="O33">
            <v>192673.35317579008</v>
          </cell>
          <cell r="P33">
            <v>284936.6431252308</v>
          </cell>
          <cell r="T33">
            <v>196663.61286678724</v>
          </cell>
          <cell r="U33">
            <v>269307.76347360696</v>
          </cell>
          <cell r="V33">
            <v>436498.61926985084</v>
          </cell>
          <cell r="W33">
            <v>1111368.2906063378</v>
          </cell>
          <cell r="X33">
            <v>2603895.6752189337</v>
          </cell>
        </row>
        <row r="34">
          <cell r="L34">
            <v>68946.837990134227</v>
          </cell>
          <cell r="M34">
            <v>82977.001107809148</v>
          </cell>
          <cell r="N34">
            <v>109247.66551910572</v>
          </cell>
          <cell r="O34">
            <v>205710.89057429146</v>
          </cell>
          <cell r="P34">
            <v>302074.48782038403</v>
          </cell>
          <cell r="T34">
            <v>202464.08410567214</v>
          </cell>
          <cell r="U34">
            <v>277325.31364888867</v>
          </cell>
          <cell r="V34">
            <v>449825.11207035818</v>
          </cell>
          <cell r="W34">
            <v>1145354.6959446499</v>
          </cell>
          <cell r="X34">
            <v>2685591.9040212682</v>
          </cell>
        </row>
        <row r="35">
          <cell r="L35">
            <v>72448.146161420067</v>
          </cell>
          <cell r="M35">
            <v>88592.612648810507</v>
          </cell>
          <cell r="N35">
            <v>117010.65127352798</v>
          </cell>
          <cell r="O35">
            <v>219761.91033099376</v>
          </cell>
          <cell r="P35">
            <v>320093.68795940961</v>
          </cell>
          <cell r="T35">
            <v>208391.51725776092</v>
          </cell>
          <cell r="U35">
            <v>285510.66898353701</v>
          </cell>
          <cell r="V35">
            <v>463203.73588189075</v>
          </cell>
          <cell r="W35">
            <v>1180194.1094700799</v>
          </cell>
          <cell r="X35">
            <v>2767356.0204170877</v>
          </cell>
        </row>
        <row r="36">
          <cell r="L36">
            <v>76200.755343565717</v>
          </cell>
          <cell r="M36">
            <v>93105.924956101415</v>
          </cell>
          <cell r="N36">
            <v>125127.9725742256</v>
          </cell>
          <cell r="O36">
            <v>234538.41940298415</v>
          </cell>
          <cell r="P36">
            <v>339164.14952323883</v>
          </cell>
          <cell r="T36">
            <v>214318.9504098497</v>
          </cell>
          <cell r="U36">
            <v>293710.84545083466</v>
          </cell>
          <cell r="V36">
            <v>476675.92999591812</v>
          </cell>
          <cell r="W36">
            <v>1215033.5229955099</v>
          </cell>
          <cell r="X36">
            <v>2849534.3752950612</v>
          </cell>
        </row>
        <row r="37">
          <cell r="L37">
            <v>80222.702280259429</v>
          </cell>
          <cell r="M37">
            <v>98093.593024921094</v>
          </cell>
          <cell r="N37">
            <v>134277.60959034087</v>
          </cell>
          <cell r="O37">
            <v>251090.71369793112</v>
          </cell>
          <cell r="P37">
            <v>360241.28502284456</v>
          </cell>
          <cell r="T37">
            <v>220246.38356193848</v>
          </cell>
          <cell r="U37">
            <v>301911.02191813232</v>
          </cell>
          <cell r="V37">
            <v>490148.12410994555</v>
          </cell>
          <cell r="W37">
            <v>1249872.9365209402</v>
          </cell>
          <cell r="X37">
            <v>2931712.7301730346</v>
          </cell>
        </row>
        <row r="38">
          <cell r="L38">
            <v>84533.318274736914</v>
          </cell>
          <cell r="M38">
            <v>103524.36085513508</v>
          </cell>
          <cell r="N38">
            <v>142372.9729246567</v>
          </cell>
          <cell r="O38">
            <v>268448.71290335787</v>
          </cell>
          <cell r="P38">
            <v>382381.64063262125</v>
          </cell>
          <cell r="T38">
            <v>226173.81671402726</v>
          </cell>
          <cell r="U38">
            <v>310111.19838542998</v>
          </cell>
          <cell r="V38">
            <v>503620.31822397298</v>
          </cell>
          <cell r="W38">
            <v>1284712.3500463704</v>
          </cell>
          <cell r="X38">
            <v>3013891.0850510076</v>
          </cell>
        </row>
        <row r="39">
          <cell r="L39">
            <v>89153.322104802355</v>
          </cell>
          <cell r="M39">
            <v>109336.24112426533</v>
          </cell>
          <cell r="N39">
            <v>150360.18774897605</v>
          </cell>
          <cell r="O39">
            <v>286555.30116916471</v>
          </cell>
          <cell r="P39">
            <v>404402.00785357563</v>
          </cell>
          <cell r="T39">
            <v>232101.24986611604</v>
          </cell>
          <cell r="U39">
            <v>318311.37485272769</v>
          </cell>
          <cell r="V39">
            <v>517092.51233800041</v>
          </cell>
          <cell r="W39">
            <v>1319551.7635718007</v>
          </cell>
          <cell r="X39">
            <v>3096069.439928981</v>
          </cell>
        </row>
        <row r="40">
          <cell r="L40">
            <v>94104.919606682539</v>
          </cell>
          <cell r="M40">
            <v>115438.27391491983</v>
          </cell>
          <cell r="N40">
            <v>158903.03243934349</v>
          </cell>
          <cell r="O40">
            <v>305381.39836842776</v>
          </cell>
          <cell r="P40">
            <v>429602.7207360816</v>
          </cell>
          <cell r="T40">
            <v>238028.68301820479</v>
          </cell>
          <cell r="U40">
            <v>326511.55132002529</v>
          </cell>
          <cell r="V40">
            <v>530564.70645202789</v>
          </cell>
          <cell r="W40">
            <v>1354391.1770972307</v>
          </cell>
          <cell r="X40">
            <v>3178247.794806954</v>
          </cell>
        </row>
        <row r="41">
          <cell r="L41">
            <v>99411.910406358715</v>
          </cell>
          <cell r="M41">
            <v>121955.00500168031</v>
          </cell>
          <cell r="N41">
            <v>167791.87483036291</v>
          </cell>
          <cell r="O41">
            <v>325595.7216859844</v>
          </cell>
          <cell r="P41">
            <v>455738.94028841017</v>
          </cell>
          <cell r="T41">
            <v>243956.11617029356</v>
          </cell>
          <cell r="U41">
            <v>334711.72778732295</v>
          </cell>
          <cell r="V41">
            <v>544036.90056605532</v>
          </cell>
          <cell r="W41">
            <v>1389230.5906226609</v>
          </cell>
          <cell r="X41">
            <v>3260426.149684927</v>
          </cell>
        </row>
        <row r="42">
          <cell r="L42">
            <v>105099.80231137591</v>
          </cell>
          <cell r="M42">
            <v>128845.35339229734</v>
          </cell>
          <cell r="N42">
            <v>177293.86486455292</v>
          </cell>
          <cell r="O42">
            <v>345268.16438133456</v>
          </cell>
          <cell r="P42">
            <v>484619.43485490943</v>
          </cell>
          <cell r="T42">
            <v>249883.54932238234</v>
          </cell>
          <cell r="U42">
            <v>342911.9042546206</v>
          </cell>
          <cell r="V42">
            <v>557509.09468008275</v>
          </cell>
          <cell r="W42">
            <v>1424070.004148091</v>
          </cell>
          <cell r="X42">
            <v>3342604.5045629004</v>
          </cell>
        </row>
        <row r="43">
          <cell r="L43">
            <v>111195.83045140664</v>
          </cell>
          <cell r="M43">
            <v>136194.09401322569</v>
          </cell>
          <cell r="N43">
            <v>187737.66713221357</v>
          </cell>
          <cell r="O43">
            <v>366454.24349221133</v>
          </cell>
          <cell r="P43">
            <v>516441.17780320806</v>
          </cell>
          <cell r="T43">
            <v>255810.98247447115</v>
          </cell>
          <cell r="U43">
            <v>351112.08072191826</v>
          </cell>
          <cell r="V43">
            <v>570981.28879411006</v>
          </cell>
          <cell r="W43">
            <v>1458909.4176735212</v>
          </cell>
          <cell r="X43">
            <v>3424782.8594408734</v>
          </cell>
        </row>
        <row r="44">
          <cell r="L44">
            <v>117729.3837134114</v>
          </cell>
          <cell r="M44">
            <v>144288.09353151682</v>
          </cell>
          <cell r="N44">
            <v>199190.2723509311</v>
          </cell>
          <cell r="O44">
            <v>389368.62240997958</v>
          </cell>
          <cell r="P44">
            <v>551240.76766568329</v>
          </cell>
          <cell r="T44">
            <v>261738.41562655996</v>
          </cell>
          <cell r="U44">
            <v>359312.25718921592</v>
          </cell>
          <cell r="V44">
            <v>584453.48290813749</v>
          </cell>
          <cell r="W44">
            <v>1493748.8311989512</v>
          </cell>
          <cell r="X44">
            <v>3506961.2143188468</v>
          </cell>
        </row>
        <row r="45">
          <cell r="L45">
            <v>124731.87271569562</v>
          </cell>
          <cell r="M45">
            <v>153039.57363793612</v>
          </cell>
          <cell r="N45">
            <v>211812.58801458497</v>
          </cell>
          <cell r="O45">
            <v>414608.5525433803</v>
          </cell>
          <cell r="P45">
            <v>588663.72760539316</v>
          </cell>
          <cell r="T45">
            <v>267665.84877864871</v>
          </cell>
          <cell r="U45">
            <v>367512.43365651357</v>
          </cell>
          <cell r="V45">
            <v>597925.67702216492</v>
          </cell>
          <cell r="W45">
            <v>1528588.2447243815</v>
          </cell>
          <cell r="X45">
            <v>3589139.5691968198</v>
          </cell>
        </row>
        <row r="46">
          <cell r="L46">
            <v>132236.95460004604</v>
          </cell>
          <cell r="M46">
            <v>162095.97801082022</v>
          </cell>
          <cell r="N46">
            <v>224925.57977297233</v>
          </cell>
          <cell r="O46">
            <v>440057.65420750715</v>
          </cell>
          <cell r="P46">
            <v>626381.0324356982</v>
          </cell>
          <cell r="T46">
            <v>273593.28193073749</v>
          </cell>
          <cell r="U46">
            <v>375712.61012381123</v>
          </cell>
          <cell r="V46">
            <v>611397.87113619235</v>
          </cell>
          <cell r="W46">
            <v>1563427.6582498117</v>
          </cell>
          <cell r="X46">
            <v>3671317.9240747932</v>
          </cell>
        </row>
        <row r="47">
          <cell r="L47">
            <v>140280.7021978547</v>
          </cell>
          <cell r="M47">
            <v>171773.21033300663</v>
          </cell>
          <cell r="N47">
            <v>238276.02804493564</v>
          </cell>
          <cell r="O47">
            <v>467306.25284793961</v>
          </cell>
          <cell r="P47">
            <v>666359.98475052416</v>
          </cell>
          <cell r="T47">
            <v>279520.71508282627</v>
          </cell>
          <cell r="U47">
            <v>383912.78659110889</v>
          </cell>
          <cell r="V47">
            <v>624870.06525021978</v>
          </cell>
          <cell r="W47">
            <v>1598267.071775242</v>
          </cell>
          <cell r="X47">
            <v>3753496.2789527662</v>
          </cell>
        </row>
        <row r="48">
          <cell r="L48">
            <v>148901.77741252608</v>
          </cell>
          <cell r="M48">
            <v>182161.95258932267</v>
          </cell>
          <cell r="N48">
            <v>252130.93191686951</v>
          </cell>
          <cell r="O48">
            <v>496639.30931567377</v>
          </cell>
          <cell r="P48">
            <v>709325.16439252812</v>
          </cell>
          <cell r="T48">
            <v>285448.14823491505</v>
          </cell>
          <cell r="U48">
            <v>392112.96305840655</v>
          </cell>
          <cell r="V48">
            <v>638342.25936424721</v>
          </cell>
          <cell r="W48">
            <v>1633106.485300672</v>
          </cell>
          <cell r="X48">
            <v>3835674.6338307397</v>
          </cell>
        </row>
        <row r="49">
          <cell r="L49">
            <v>158141.61704614019</v>
          </cell>
          <cell r="M49">
            <v>193206.59107855934</v>
          </cell>
          <cell r="N49">
            <v>266880.18635884963</v>
          </cell>
          <cell r="O49">
            <v>527720.17307599634</v>
          </cell>
          <cell r="P49">
            <v>753273.14395466493</v>
          </cell>
          <cell r="T49">
            <v>291375.58138700383</v>
          </cell>
          <cell r="U49">
            <v>400313.1395257042</v>
          </cell>
          <cell r="V49">
            <v>651814.45347827463</v>
          </cell>
          <cell r="W49">
            <v>1667945.8988261023</v>
          </cell>
          <cell r="X49">
            <v>3917852.9887087126</v>
          </cell>
        </row>
        <row r="50">
          <cell r="L50">
            <v>168044.63196353897</v>
          </cell>
          <cell r="M50">
            <v>205057.83982324961</v>
          </cell>
          <cell r="N50">
            <v>282733.43272314564</v>
          </cell>
          <cell r="O50">
            <v>560894.48753860174</v>
          </cell>
          <cell r="P50">
            <v>796207.21319163172</v>
          </cell>
          <cell r="T50">
            <v>297303.0145390926</v>
          </cell>
          <cell r="U50">
            <v>408513.3159930018</v>
          </cell>
          <cell r="V50">
            <v>665286.64759230218</v>
          </cell>
          <cell r="W50">
            <v>1702785.3123515323</v>
          </cell>
          <cell r="X50">
            <v>4000031.3435866856</v>
          </cell>
        </row>
        <row r="51">
          <cell r="L51">
            <v>178658.42055110796</v>
          </cell>
          <cell r="M51">
            <v>217607.87188967346</v>
          </cell>
          <cell r="N51">
            <v>299778.35802827356</v>
          </cell>
          <cell r="O51">
            <v>593952.40865693032</v>
          </cell>
          <cell r="P51">
            <v>841310.94830571418</v>
          </cell>
          <cell r="T51">
            <v>303230.44769118138</v>
          </cell>
          <cell r="U51">
            <v>416713.49246029946</v>
          </cell>
          <cell r="V51">
            <v>678758.84170632961</v>
          </cell>
          <cell r="W51">
            <v>1737624.7258769625</v>
          </cell>
          <cell r="X51">
            <v>4082209.6984646586</v>
          </cell>
        </row>
        <row r="52">
          <cell r="L52">
            <v>190033.99749623501</v>
          </cell>
          <cell r="M52">
            <v>231245.88081260055</v>
          </cell>
          <cell r="N52">
            <v>317556.23835718312</v>
          </cell>
          <cell r="O52">
            <v>626751.71981321415</v>
          </cell>
          <cell r="P52">
            <v>892414.87557016802</v>
          </cell>
          <cell r="T52">
            <v>309157.88084327016</v>
          </cell>
          <cell r="U52">
            <v>424913.66892759711</v>
          </cell>
          <cell r="V52">
            <v>692231.03582035704</v>
          </cell>
          <cell r="W52">
            <v>1772464.1394023926</v>
          </cell>
          <cell r="X52">
            <v>4164388.053342632</v>
          </cell>
        </row>
        <row r="53">
          <cell r="L53">
            <v>202464.08410567214</v>
          </cell>
          <cell r="M53">
            <v>245885.2853104354</v>
          </cell>
          <cell r="N53">
            <v>336561.942564325</v>
          </cell>
          <cell r="O53">
            <v>663475.72410607361</v>
          </cell>
          <cell r="P53">
            <v>948227.92893419019</v>
          </cell>
          <cell r="T53">
            <v>315085.31399535894</v>
          </cell>
          <cell r="U53">
            <v>433113.84539489483</v>
          </cell>
          <cell r="V53">
            <v>705703.22993438446</v>
          </cell>
          <cell r="W53">
            <v>1807303.5529278228</v>
          </cell>
          <cell r="X53">
            <v>4246566.408220605</v>
          </cell>
        </row>
        <row r="54">
          <cell r="L54">
            <v>216077.92094656249</v>
          </cell>
          <cell r="M54">
            <v>260714.6902641707</v>
          </cell>
          <cell r="N54">
            <v>356752.48777482286</v>
          </cell>
          <cell r="O54">
            <v>702905.98884572077</v>
          </cell>
          <cell r="P54">
            <v>1005478.5961148695</v>
          </cell>
          <cell r="T54">
            <v>321012.74714744772</v>
          </cell>
          <cell r="U54">
            <v>441314.02186219243</v>
          </cell>
          <cell r="V54">
            <v>719175.42404841189</v>
          </cell>
          <cell r="W54">
            <v>1842142.9664532528</v>
          </cell>
          <cell r="X54">
            <v>4328744.763098578</v>
          </cell>
        </row>
        <row r="55">
          <cell r="L55">
            <v>230668.86999592787</v>
          </cell>
          <cell r="M55">
            <v>277975.98214441777</v>
          </cell>
          <cell r="N55">
            <v>380065.35549023282</v>
          </cell>
          <cell r="O55">
            <v>747011.80733607896</v>
          </cell>
          <cell r="P55">
            <v>1068552.2196363551</v>
          </cell>
          <cell r="T55">
            <v>326940.1802995365</v>
          </cell>
          <cell r="U55">
            <v>449514.19832949014</v>
          </cell>
          <cell r="V55">
            <v>732647.61816243932</v>
          </cell>
          <cell r="W55">
            <v>1876982.3799786831</v>
          </cell>
          <cell r="X55">
            <v>4410923.1179765519</v>
          </cell>
        </row>
        <row r="56">
          <cell r="L56">
            <v>246307.06198025664</v>
          </cell>
          <cell r="M56">
            <v>297221.32820633071</v>
          </cell>
          <cell r="N56">
            <v>405310.30455440679</v>
          </cell>
          <cell r="O56">
            <v>792624.81850703747</v>
          </cell>
          <cell r="P56">
            <v>1135460.5409884979</v>
          </cell>
          <cell r="T56">
            <v>332867.61345162528</v>
          </cell>
          <cell r="U56">
            <v>457714.3747967878</v>
          </cell>
          <cell r="V56">
            <v>746119.81227646663</v>
          </cell>
          <cell r="W56">
            <v>1911821.7935041133</v>
          </cell>
          <cell r="X56">
            <v>4493101.4728545249</v>
          </cell>
        </row>
        <row r="57">
          <cell r="L57">
            <v>263067.66115110822</v>
          </cell>
          <cell r="M57">
            <v>317881.26528289204</v>
          </cell>
          <cell r="N57">
            <v>430550.56681762933</v>
          </cell>
          <cell r="O57">
            <v>840003.48785740929</v>
          </cell>
          <cell r="P57">
            <v>1202787.5913941714</v>
          </cell>
          <cell r="T57">
            <v>338795.04660371406</v>
          </cell>
          <cell r="U57">
            <v>465914.55126408546</v>
          </cell>
          <cell r="V57">
            <v>759592.00639049406</v>
          </cell>
          <cell r="W57">
            <v>1946661.2070295434</v>
          </cell>
          <cell r="X57">
            <v>4575279.8277324978</v>
          </cell>
        </row>
        <row r="58">
          <cell r="L58">
            <v>281031.2265586346</v>
          </cell>
          <cell r="M58">
            <v>339079.83026278776</v>
          </cell>
          <cell r="N58">
            <v>458383.46979831893</v>
          </cell>
          <cell r="O58">
            <v>889923.62534934084</v>
          </cell>
          <cell r="P58">
            <v>1275312.4499331585</v>
          </cell>
          <cell r="T58">
            <v>344722.47975580284</v>
          </cell>
          <cell r="U58">
            <v>474114.72773138311</v>
          </cell>
          <cell r="V58">
            <v>773064.20050452149</v>
          </cell>
          <cell r="W58">
            <v>1981500.6205549736</v>
          </cell>
          <cell r="X58">
            <v>4657458.1826104717</v>
          </cell>
        </row>
        <row r="59">
          <cell r="L59">
            <v>300284.09925495624</v>
          </cell>
          <cell r="M59">
            <v>361569.73287572316</v>
          </cell>
          <cell r="N59">
            <v>488647.19172683056</v>
          </cell>
          <cell r="O59">
            <v>943386.46165567264</v>
          </cell>
          <cell r="P59">
            <v>1353080.501680641</v>
          </cell>
          <cell r="T59">
            <v>350649.91290789162</v>
          </cell>
          <cell r="U59">
            <v>482314.90419868077</v>
          </cell>
          <cell r="V59">
            <v>786536.39461854892</v>
          </cell>
          <cell r="W59">
            <v>2016340.0340804036</v>
          </cell>
          <cell r="X59">
            <v>4739636.5374884447</v>
          </cell>
        </row>
        <row r="60">
          <cell r="L60">
            <v>320918.81728846359</v>
          </cell>
          <cell r="M60">
            <v>386457.52842069557</v>
          </cell>
          <cell r="N60">
            <v>521349.89331484796</v>
          </cell>
          <cell r="O60">
            <v>1000990.4333649687</v>
          </cell>
          <cell r="P60">
            <v>1430246.2374665507</v>
          </cell>
          <cell r="T60">
            <v>356577.34605998034</v>
          </cell>
          <cell r="U60">
            <v>490515.08066597843</v>
          </cell>
          <cell r="V60">
            <v>800008.58873257635</v>
          </cell>
          <cell r="W60">
            <v>2051179.4476058339</v>
          </cell>
          <cell r="X60">
            <v>4821814.8923664177</v>
          </cell>
        </row>
        <row r="61">
          <cell r="L61">
            <v>343034.56048369553</v>
          </cell>
          <cell r="M61">
            <v>412285.36232209357</v>
          </cell>
          <cell r="N61">
            <v>556343.42493231257</v>
          </cell>
          <cell r="O61">
            <v>1063632.0609803707</v>
          </cell>
          <cell r="P61">
            <v>1510608.8710470924</v>
          </cell>
          <cell r="T61">
            <v>362504.77921206912</v>
          </cell>
          <cell r="U61">
            <v>498715.25713327609</v>
          </cell>
          <cell r="V61">
            <v>813480.78284660366</v>
          </cell>
          <cell r="W61">
            <v>2086018.8611312639</v>
          </cell>
          <cell r="X61">
            <v>4903993.2472443907</v>
          </cell>
        </row>
        <row r="62">
          <cell r="L62">
            <v>366737.62714461319</v>
          </cell>
          <cell r="M62">
            <v>440824.98876863928</v>
          </cell>
          <cell r="N62">
            <v>594262.8435954958</v>
          </cell>
          <cell r="O62">
            <v>1131686.0200432963</v>
          </cell>
          <cell r="P62">
            <v>1599208.7971112158</v>
          </cell>
          <cell r="T62">
            <v>368432.21236415789</v>
          </cell>
          <cell r="U62">
            <v>506915.43360057374</v>
          </cell>
          <cell r="V62">
            <v>826952.97696063109</v>
          </cell>
          <cell r="W62">
            <v>2120858.2746566939</v>
          </cell>
          <cell r="X62">
            <v>4986171.6021223646</v>
          </cell>
        </row>
        <row r="63">
          <cell r="L63">
            <v>392141.94497251301</v>
          </cell>
          <cell r="M63">
            <v>470748.55529155745</v>
          </cell>
          <cell r="N63">
            <v>634535.01730762306</v>
          </cell>
          <cell r="O63">
            <v>1208427.9701910885</v>
          </cell>
          <cell r="P63">
            <v>1697506.6441617273</v>
          </cell>
          <cell r="T63">
            <v>374359.64551624667</v>
          </cell>
          <cell r="U63">
            <v>515115.61006787134</v>
          </cell>
          <cell r="V63">
            <v>840425.17107465852</v>
          </cell>
          <cell r="W63">
            <v>2155697.6881821244</v>
          </cell>
          <cell r="X63">
            <v>5068349.9570003375</v>
          </cell>
        </row>
        <row r="64">
          <cell r="L64">
            <v>419369.61865429371</v>
          </cell>
          <cell r="M64">
            <v>503609.17607035255</v>
          </cell>
          <cell r="N64">
            <v>678460.66752578062</v>
          </cell>
          <cell r="O64">
            <v>1292716.1142577378</v>
          </cell>
          <cell r="P64">
            <v>1799907.4374602123</v>
          </cell>
          <cell r="T64">
            <v>380287.07866833545</v>
          </cell>
          <cell r="U64">
            <v>523315.786535169</v>
          </cell>
          <cell r="V64">
            <v>853897.36518868594</v>
          </cell>
          <cell r="W64">
            <v>2190537.1017075544</v>
          </cell>
          <cell r="X64">
            <v>5150528.3118783105</v>
          </cell>
        </row>
        <row r="65">
          <cell r="L65">
            <v>448551.51675302436</v>
          </cell>
          <cell r="M65">
            <v>538428.44644102664</v>
          </cell>
          <cell r="N65">
            <v>726027.49324814021</v>
          </cell>
          <cell r="O65">
            <v>1383881.4506917524</v>
          </cell>
          <cell r="P65">
            <v>1917460.5787300309</v>
          </cell>
          <cell r="T65">
            <v>386214.51182042423</v>
          </cell>
          <cell r="U65">
            <v>531515.9630024666</v>
          </cell>
          <cell r="V65">
            <v>867369.55930271337</v>
          </cell>
          <cell r="W65">
            <v>2225376.5152329844</v>
          </cell>
          <cell r="X65">
            <v>5232706.6667562826</v>
          </cell>
        </row>
        <row r="66">
          <cell r="L66">
            <v>479827.90072168206</v>
          </cell>
          <cell r="M66">
            <v>576371.57757199276</v>
          </cell>
          <cell r="N66">
            <v>776834.77243250725</v>
          </cell>
          <cell r="O66">
            <v>1482533.5529296137</v>
          </cell>
          <cell r="P66">
            <v>2039181.1681087164</v>
          </cell>
          <cell r="T66">
            <v>392141.94497251301</v>
          </cell>
          <cell r="U66">
            <v>539716.13946976431</v>
          </cell>
          <cell r="V66">
            <v>880841.7534167408</v>
          </cell>
          <cell r="W66">
            <v>2260215.9287584145</v>
          </cell>
          <cell r="X66">
            <v>5314885.0216342555</v>
          </cell>
        </row>
        <row r="67">
          <cell r="L67">
            <v>513349.09906338493</v>
          </cell>
          <cell r="M67">
            <v>616797.17551422887</v>
          </cell>
          <cell r="N67">
            <v>831873.929931066</v>
          </cell>
          <cell r="O67">
            <v>1588465.7847522693</v>
          </cell>
          <cell r="P67">
            <v>2165992.0911573763</v>
          </cell>
          <cell r="T67">
            <v>398069.37812460179</v>
          </cell>
          <cell r="U67">
            <v>547916.31593706203</v>
          </cell>
          <cell r="V67">
            <v>894313.94753076823</v>
          </cell>
          <cell r="W67">
            <v>2295055.3422838449</v>
          </cell>
          <cell r="X67">
            <v>5397063.3765122285</v>
          </cell>
        </row>
        <row r="68">
          <cell r="L68">
            <v>549276.22987843782</v>
          </cell>
          <cell r="M68">
            <v>659845.74791183905</v>
          </cell>
          <cell r="N68">
            <v>891653.07258616271</v>
          </cell>
          <cell r="O68">
            <v>1700343.7289087544</v>
          </cell>
          <cell r="P68">
            <v>2293561.2534739906</v>
          </cell>
          <cell r="T68">
            <v>403996.81127669057</v>
          </cell>
          <cell r="U68">
            <v>556116.49240435963</v>
          </cell>
          <cell r="V68">
            <v>907786.14164479566</v>
          </cell>
          <cell r="W68">
            <v>2329894.755809275</v>
          </cell>
          <cell r="X68">
            <v>5479241.7313902024</v>
          </cell>
        </row>
        <row r="69">
          <cell r="L69">
            <v>578208.18137042806</v>
          </cell>
          <cell r="M69">
            <v>706608.49155666959</v>
          </cell>
          <cell r="N69">
            <v>954811.92250159499</v>
          </cell>
          <cell r="O69">
            <v>1812984.5368224278</v>
          </cell>
          <cell r="P69">
            <v>2437042.1437460529</v>
          </cell>
          <cell r="T69">
            <v>409924.24442877935</v>
          </cell>
          <cell r="U69">
            <v>564316.66887165734</v>
          </cell>
          <cell r="V69">
            <v>921258.33575882309</v>
          </cell>
          <cell r="W69">
            <v>2364734.169334705</v>
          </cell>
          <cell r="X69">
            <v>5561420.0862681754</v>
          </cell>
        </row>
        <row r="70">
          <cell r="L70">
            <v>608378.95300539816</v>
          </cell>
          <cell r="M70">
            <v>756767.93652195623</v>
          </cell>
          <cell r="N70">
            <v>1019508.9017561502</v>
          </cell>
          <cell r="O70">
            <v>1933627.578509642</v>
          </cell>
          <cell r="P70">
            <v>2587477.018167248</v>
          </cell>
          <cell r="T70">
            <v>415851.67758086813</v>
          </cell>
          <cell r="U70">
            <v>572516.84533895506</v>
          </cell>
          <cell r="V70">
            <v>934730.52987285051</v>
          </cell>
          <cell r="W70">
            <v>2399573.582860135</v>
          </cell>
          <cell r="X70">
            <v>5643598.4411461493</v>
          </cell>
        </row>
        <row r="71">
          <cell r="L71">
            <v>640715.18538800185</v>
          </cell>
          <cell r="M71">
            <v>798715.20818464796</v>
          </cell>
          <cell r="N71">
            <v>1086306.624119231</v>
          </cell>
          <cell r="O71">
            <v>2065561.2427186659</v>
          </cell>
          <cell r="P71">
            <v>2755784.5849957354</v>
          </cell>
          <cell r="T71">
            <v>421779.11073295691</v>
          </cell>
          <cell r="U71">
            <v>580717.02180625277</v>
          </cell>
          <cell r="V71">
            <v>948202.72398687794</v>
          </cell>
          <cell r="W71">
            <v>2434412.9963855655</v>
          </cell>
          <cell r="X71">
            <v>5725776.7960241223</v>
          </cell>
        </row>
        <row r="72">
          <cell r="L72">
            <v>675372.30113408319</v>
          </cell>
          <cell r="M72">
            <v>841778.51562049228</v>
          </cell>
          <cell r="N72">
            <v>1162337.2288970766</v>
          </cell>
          <cell r="O72">
            <v>2209186.8009879114</v>
          </cell>
          <cell r="P72">
            <v>2936639.8904699385</v>
          </cell>
          <cell r="T72">
            <v>427706.54388504568</v>
          </cell>
          <cell r="U72">
            <v>588917.19827355037</v>
          </cell>
          <cell r="V72">
            <v>961674.91810090537</v>
          </cell>
          <cell r="W72">
            <v>2469252.4099109955</v>
          </cell>
          <cell r="X72">
            <v>5807955.1509020953</v>
          </cell>
        </row>
        <row r="73">
          <cell r="L73">
            <v>712516.87807878188</v>
          </cell>
          <cell r="M73">
            <v>889856.8618376099</v>
          </cell>
          <cell r="N73">
            <v>1245820.362646288</v>
          </cell>
          <cell r="O73">
            <v>2362145.6009097658</v>
          </cell>
          <cell r="P73">
            <v>3137142.1816969919</v>
          </cell>
          <cell r="T73">
            <v>433633.97703713446</v>
          </cell>
          <cell r="U73">
            <v>597117.37474084797</v>
          </cell>
          <cell r="V73">
            <v>975147.1122149328</v>
          </cell>
          <cell r="W73">
            <v>2504091.8234364255</v>
          </cell>
          <cell r="X73">
            <v>5890133.5057800682</v>
          </cell>
        </row>
        <row r="74">
          <cell r="L74">
            <v>752327.44992524723</v>
          </cell>
          <cell r="M74">
            <v>941842.84192293312</v>
          </cell>
          <cell r="N74">
            <v>1320590.4489970768</v>
          </cell>
          <cell r="O74">
            <v>2525447.0308207385</v>
          </cell>
          <cell r="P74">
            <v>3353002.2047928427</v>
          </cell>
          <cell r="T74">
            <v>439561.41018922324</v>
          </cell>
          <cell r="U74">
            <v>605317.55120814568</v>
          </cell>
          <cell r="V74">
            <v>988619.30632896023</v>
          </cell>
          <cell r="W74">
            <v>2538931.236961856</v>
          </cell>
          <cell r="X74">
            <v>5972311.8606580412</v>
          </cell>
        </row>
        <row r="75">
          <cell r="L75">
            <v>794995.36435868323</v>
          </cell>
          <cell r="M75">
            <v>996952.18451324687</v>
          </cell>
          <cell r="N75">
            <v>1398332.6936868359</v>
          </cell>
          <cell r="O75">
            <v>2698735.5287803207</v>
          </cell>
          <cell r="P75">
            <v>3580673.5082542915</v>
          </cell>
          <cell r="T75">
            <v>445488.84334131208</v>
          </cell>
          <cell r="U75">
            <v>613517.72767544328</v>
          </cell>
          <cell r="V75">
            <v>1002091.5004429877</v>
          </cell>
          <cell r="W75">
            <v>2573770.650487286</v>
          </cell>
          <cell r="X75">
            <v>6054490.2155360151</v>
          </cell>
        </row>
        <row r="76">
          <cell r="L76">
            <v>840725.70275020949</v>
          </cell>
          <cell r="M76">
            <v>1053903.8882900055</v>
          </cell>
          <cell r="N76">
            <v>1482169.2828920323</v>
          </cell>
          <cell r="O76">
            <v>2885765.0088641308</v>
          </cell>
          <cell r="P76">
            <v>3825623.1177580887</v>
          </cell>
          <cell r="T76">
            <v>451416.27649340086</v>
          </cell>
          <cell r="U76">
            <v>621717.90414274088</v>
          </cell>
          <cell r="V76">
            <v>1015563.6945570151</v>
          </cell>
          <cell r="W76">
            <v>2608610.0640127161</v>
          </cell>
          <cell r="X76">
            <v>6136668.5704139881</v>
          </cell>
        </row>
        <row r="77">
          <cell r="L77">
            <v>889738.2658710517</v>
          </cell>
          <cell r="M77">
            <v>1116744.7416914625</v>
          </cell>
          <cell r="N77">
            <v>1575922.3092621714</v>
          </cell>
          <cell r="O77">
            <v>3091829.7441632054</v>
          </cell>
          <cell r="P77">
            <v>4096151.4954179237</v>
          </cell>
          <cell r="T77">
            <v>457343.70964548958</v>
          </cell>
          <cell r="U77">
            <v>629918.0806100386</v>
          </cell>
          <cell r="V77">
            <v>1029035.8886710425</v>
          </cell>
          <cell r="W77">
            <v>2643449.4775381461</v>
          </cell>
          <cell r="X77">
            <v>6218846.9252919611</v>
          </cell>
        </row>
        <row r="78">
          <cell r="L78">
            <v>942260.01727511862</v>
          </cell>
          <cell r="M78">
            <v>1185008.6020046037</v>
          </cell>
          <cell r="N78">
            <v>1676101.3179611163</v>
          </cell>
          <cell r="O78">
            <v>3306035.1774592092</v>
          </cell>
          <cell r="P78">
            <v>4390835.3665658776</v>
          </cell>
          <cell r="T78">
            <v>463271.14279757836</v>
          </cell>
          <cell r="U78">
            <v>638118.25707733631</v>
          </cell>
          <cell r="V78">
            <v>1042508.0827850699</v>
          </cell>
          <cell r="W78">
            <v>2678288.8910635766</v>
          </cell>
          <cell r="X78">
            <v>6301025.280169934</v>
          </cell>
        </row>
        <row r="79">
          <cell r="L79">
            <v>992773.3004085588</v>
          </cell>
          <cell r="M79">
            <v>1257351.5271212088</v>
          </cell>
          <cell r="N79">
            <v>1781555.799674347</v>
          </cell>
          <cell r="O79">
            <v>3529299.5322354301</v>
          </cell>
          <cell r="P79">
            <v>4712072.2898059003</v>
          </cell>
          <cell r="T79">
            <v>469198.57594966714</v>
          </cell>
          <cell r="U79">
            <v>646318.43354463391</v>
          </cell>
          <cell r="V79">
            <v>1055980.2768990973</v>
          </cell>
          <cell r="W79">
            <v>2713128.3045890066</v>
          </cell>
          <cell r="X79">
            <v>6383203.635047907</v>
          </cell>
        </row>
        <row r="80">
          <cell r="L80">
            <v>1046912.096776562</v>
          </cell>
          <cell r="M80">
            <v>1335678.1654017968</v>
          </cell>
          <cell r="N80">
            <v>1897158.2629734648</v>
          </cell>
          <cell r="O80">
            <v>3770848.4591382518</v>
          </cell>
          <cell r="P80">
            <v>5030191.5633052476</v>
          </cell>
          <cell r="T80">
            <v>475126.00910175592</v>
          </cell>
          <cell r="U80">
            <v>654518.61001193163</v>
          </cell>
          <cell r="V80">
            <v>1069452.4710131248</v>
          </cell>
          <cell r="W80">
            <v>2747967.7181144371</v>
          </cell>
          <cell r="X80">
            <v>6465381.9899258809</v>
          </cell>
        </row>
        <row r="81">
          <cell r="L81">
            <v>1104936.6220174441</v>
          </cell>
          <cell r="M81">
            <v>1413058.9444595983</v>
          </cell>
          <cell r="N81">
            <v>2020684.1954405201</v>
          </cell>
          <cell r="O81">
            <v>4024319.6756068617</v>
          </cell>
          <cell r="P81">
            <v>5368457.4932016712</v>
          </cell>
          <cell r="T81">
            <v>481053.4422538447</v>
          </cell>
          <cell r="U81">
            <v>662718.78647922922</v>
          </cell>
          <cell r="V81">
            <v>1082924.6651271521</v>
          </cell>
          <cell r="W81">
            <v>2782807.1316398671</v>
          </cell>
          <cell r="X81">
            <v>6547560.3448038539</v>
          </cell>
        </row>
        <row r="82">
          <cell r="L82">
            <v>1167125.7683468889</v>
          </cell>
          <cell r="M82">
            <v>1496667.2212345796</v>
          </cell>
          <cell r="N82">
            <v>2153461.8603539318</v>
          </cell>
          <cell r="O82">
            <v>4284310.2254597275</v>
          </cell>
          <cell r="P82">
            <v>5735809.6297819801</v>
          </cell>
          <cell r="T82">
            <v>486980.87540593348</v>
          </cell>
          <cell r="U82">
            <v>670918.96294652694</v>
          </cell>
          <cell r="V82">
            <v>1096396.8592411797</v>
          </cell>
          <cell r="W82">
            <v>2817646.5451652976</v>
          </cell>
          <cell r="X82">
            <v>6629738.6996818269</v>
          </cell>
        </row>
        <row r="83">
          <cell r="L83">
            <v>1233778.4450405743</v>
          </cell>
          <cell r="M83">
            <v>1586054.5988333216</v>
          </cell>
          <cell r="N83">
            <v>2287191.1277600061</v>
          </cell>
          <cell r="O83">
            <v>4561282.0271056285</v>
          </cell>
          <cell r="P83">
            <v>6118342.7972761998</v>
          </cell>
          <cell r="T83">
            <v>492908.30855802225</v>
          </cell>
          <cell r="U83">
            <v>679119.13941382454</v>
          </cell>
          <cell r="V83">
            <v>1109869.053355207</v>
          </cell>
          <cell r="W83">
            <v>2852485.9586907276</v>
          </cell>
          <cell r="X83">
            <v>6711917.0545597998</v>
          </cell>
        </row>
        <row r="84">
          <cell r="L84">
            <v>1305215.0151278772</v>
          </cell>
          <cell r="M84">
            <v>1677038.3177689395</v>
          </cell>
          <cell r="N84">
            <v>2422963.1258291933</v>
          </cell>
          <cell r="O84">
            <v>4861639.5326732919</v>
          </cell>
          <cell r="P84">
            <v>6535802.0213373909</v>
          </cell>
          <cell r="T84">
            <v>498835.74171011103</v>
          </cell>
          <cell r="U84">
            <v>687319.31588112214</v>
          </cell>
          <cell r="V84">
            <v>1123341.2474692345</v>
          </cell>
          <cell r="W84">
            <v>2887325.3722161576</v>
          </cell>
          <cell r="X84">
            <v>6794095.4094377728</v>
          </cell>
        </row>
        <row r="85">
          <cell r="L85">
            <v>1381778.8352020616</v>
          </cell>
          <cell r="M85">
            <v>1777062.8377403398</v>
          </cell>
          <cell r="N85">
            <v>2573762.9897704134</v>
          </cell>
          <cell r="O85">
            <v>5190514.1974744778</v>
          </cell>
          <cell r="P85">
            <v>6977432.4595038407</v>
          </cell>
          <cell r="T85">
            <v>504763.17486219981</v>
          </cell>
          <cell r="U85">
            <v>695519.49234841985</v>
          </cell>
          <cell r="V85">
            <v>1136813.4415832618</v>
          </cell>
          <cell r="W85">
            <v>2922164.7857415881</v>
          </cell>
          <cell r="X85">
            <v>6876273.7643157458</v>
          </cell>
        </row>
        <row r="86">
          <cell r="L86">
            <v>1463837.9057479792</v>
          </cell>
          <cell r="M86">
            <v>1886598.4100187661</v>
          </cell>
          <cell r="N86">
            <v>2740778.0963098295</v>
          </cell>
          <cell r="O86">
            <v>5542785.4674281906</v>
          </cell>
          <cell r="P86">
            <v>7467440.6996243615</v>
          </cell>
          <cell r="T86">
            <v>510690.60801428859</v>
          </cell>
          <cell r="U86">
            <v>703719.66881571745</v>
          </cell>
          <cell r="V86">
            <v>1150285.6356972894</v>
          </cell>
          <cell r="W86">
            <v>2957004.1992670181</v>
          </cell>
          <cell r="X86">
            <v>6958452.1191937188</v>
          </cell>
        </row>
        <row r="87">
          <cell r="L87">
            <v>1551786.6399194838</v>
          </cell>
          <cell r="M87">
            <v>2004063.3168475013</v>
          </cell>
          <cell r="N87">
            <v>2913729.6215637578</v>
          </cell>
          <cell r="O87">
            <v>5915710.0787900444</v>
          </cell>
          <cell r="P87">
            <v>7984782.1827939106</v>
          </cell>
          <cell r="T87">
            <v>516618.04116637737</v>
          </cell>
          <cell r="U87">
            <v>711919.84528301517</v>
          </cell>
          <cell r="V87">
            <v>1163754.342828128</v>
          </cell>
          <cell r="W87">
            <v>2991843.6127924481</v>
          </cell>
          <cell r="X87">
            <v>7040630.4740716927</v>
          </cell>
        </row>
        <row r="88">
          <cell r="L88">
            <v>1645681.2115073304</v>
          </cell>
          <cell r="M88">
            <v>2125945.3671908407</v>
          </cell>
          <cell r="N88">
            <v>3096920.662903918</v>
          </cell>
          <cell r="O88">
            <v>6324532.800104253</v>
          </cell>
          <cell r="P88">
            <v>8534549.653670514</v>
          </cell>
          <cell r="T88">
            <v>522545.47431846615</v>
          </cell>
          <cell r="U88">
            <v>720120.02175031276</v>
          </cell>
          <cell r="V88">
            <v>1177193.4683203346</v>
          </cell>
          <cell r="W88">
            <v>3026683.0263178786</v>
          </cell>
          <cell r="X88">
            <v>7122808.8289496657</v>
          </cell>
        </row>
        <row r="89">
          <cell r="L89">
            <v>1737537.7421784848</v>
          </cell>
          <cell r="M89">
            <v>2258663.4036026709</v>
          </cell>
          <cell r="N89">
            <v>3298452.5136889042</v>
          </cell>
          <cell r="O89">
            <v>6768516.992928803</v>
          </cell>
          <cell r="P89">
            <v>9046521.636546459</v>
          </cell>
          <cell r="T89">
            <v>528472.90747055493</v>
          </cell>
          <cell r="U89">
            <v>728320.19821761036</v>
          </cell>
          <cell r="V89">
            <v>1190632.5938125413</v>
          </cell>
          <cell r="W89">
            <v>3061522.4398433086</v>
          </cell>
          <cell r="X89">
            <v>7204987.1838276386</v>
          </cell>
        </row>
        <row r="90">
          <cell r="L90">
            <v>1835987.1341124773</v>
          </cell>
          <cell r="M90">
            <v>2403311.8227408277</v>
          </cell>
          <cell r="N90">
            <v>3520414.7768692896</v>
          </cell>
          <cell r="O90">
            <v>7192132.9366573216</v>
          </cell>
          <cell r="P90">
            <v>9589666.1661418863</v>
          </cell>
          <cell r="T90">
            <v>534400.34062264371</v>
          </cell>
          <cell r="U90">
            <v>736520.37468490808</v>
          </cell>
          <cell r="V90">
            <v>1204071.7193047479</v>
          </cell>
          <cell r="W90">
            <v>3096222.0253897994</v>
          </cell>
          <cell r="X90">
            <v>7287165.5387056116</v>
          </cell>
        </row>
        <row r="91">
          <cell r="L91">
            <v>1941502.5797901682</v>
          </cell>
          <cell r="M91">
            <v>2551481.3850856088</v>
          </cell>
          <cell r="N91">
            <v>3746044.8914453089</v>
          </cell>
          <cell r="O91">
            <v>7623460.6844343161</v>
          </cell>
          <cell r="P91">
            <v>10183575.897720458</v>
          </cell>
          <cell r="T91">
            <v>540327.77377473249</v>
          </cell>
          <cell r="U91">
            <v>744720.55115220568</v>
          </cell>
          <cell r="V91">
            <v>1217510.8447969547</v>
          </cell>
          <cell r="W91">
            <v>3129986.5476097078</v>
          </cell>
          <cell r="X91">
            <v>7369343.8935835855</v>
          </cell>
        </row>
        <row r="92">
          <cell r="L92">
            <v>2054591.2343552057</v>
          </cell>
          <cell r="M92">
            <v>2701893.7777782041</v>
          </cell>
          <cell r="N92">
            <v>3962790.0005633235</v>
          </cell>
          <cell r="O92">
            <v>8082951.7043096367</v>
          </cell>
          <cell r="P92">
            <v>10776929.628632817</v>
          </cell>
          <cell r="T92">
            <v>546255.20692682127</v>
          </cell>
          <cell r="U92">
            <v>752920.72761950339</v>
          </cell>
          <cell r="V92">
            <v>1230949.9702891614</v>
          </cell>
          <cell r="W92">
            <v>3163751.0698296167</v>
          </cell>
          <cell r="X92">
            <v>7451522.2484615585</v>
          </cell>
        </row>
        <row r="93">
          <cell r="L93">
            <v>2175796.6532319468</v>
          </cell>
          <cell r="M93">
            <v>2848606.3717980972</v>
          </cell>
          <cell r="N93">
            <v>4199608.7618296258</v>
          </cell>
          <cell r="O93">
            <v>8551197.5813476294</v>
          </cell>
          <cell r="P93">
            <v>11404640.311290829</v>
          </cell>
          <cell r="T93">
            <v>551460.0109759972</v>
          </cell>
          <cell r="U93">
            <v>760267.74958207726</v>
          </cell>
          <cell r="V93">
            <v>1244389.095781368</v>
          </cell>
          <cell r="W93">
            <v>3197515.5920495256</v>
          </cell>
          <cell r="X93">
            <v>7532053.8318579765</v>
          </cell>
        </row>
        <row r="94">
          <cell r="L94">
            <v>2305701.4046996329</v>
          </cell>
          <cell r="M94">
            <v>3024057.7526976266</v>
          </cell>
          <cell r="N94">
            <v>4459318.6399757573</v>
          </cell>
          <cell r="O94">
            <v>9120686.5675153062</v>
          </cell>
          <cell r="P94">
            <v>12156053.692849174</v>
          </cell>
          <cell r="T94">
            <v>555913.689425266</v>
          </cell>
          <cell r="U94">
            <v>766860.74258467252</v>
          </cell>
          <cell r="V94">
            <v>1256134.3574138554</v>
          </cell>
          <cell r="W94">
            <v>3231280.1142694345</v>
          </cell>
          <cell r="X94">
            <v>7612189.7906015413</v>
          </cell>
        </row>
        <row r="95">
          <cell r="L95">
            <v>2444929.8699800698</v>
          </cell>
          <cell r="M95">
            <v>3205889.9080303553</v>
          </cell>
          <cell r="N95">
            <v>4741555.090752501</v>
          </cell>
          <cell r="O95">
            <v>9729655.4351587482</v>
          </cell>
          <cell r="P95">
            <v>12934808.48234269</v>
          </cell>
          <cell r="T95">
            <v>560367.3678745348</v>
          </cell>
          <cell r="U95">
            <v>773453.73558726779</v>
          </cell>
          <cell r="V95">
            <v>1267677.7203322295</v>
          </cell>
          <cell r="W95">
            <v>3265044.6364893434</v>
          </cell>
          <cell r="X95">
            <v>7692325.7493451061</v>
          </cell>
        </row>
        <row r="96">
          <cell r="L96">
            <v>2594151.2442973014</v>
          </cell>
          <cell r="M96">
            <v>3406633.5537786563</v>
          </cell>
          <cell r="N96">
            <v>5043646.0993167479</v>
          </cell>
          <cell r="O96">
            <v>10370729.088515211</v>
          </cell>
          <cell r="P96">
            <v>13789517.861866554</v>
          </cell>
          <cell r="T96">
            <v>564821.0463238036</v>
          </cell>
          <cell r="U96">
            <v>780046.72858986305</v>
          </cell>
          <cell r="V96">
            <v>1279221.0832506036</v>
          </cell>
          <cell r="W96">
            <v>3298809.1587092523</v>
          </cell>
          <cell r="X96">
            <v>7772461.7080886709</v>
          </cell>
        </row>
        <row r="97">
          <cell r="L97">
            <v>2754082.7533337036</v>
          </cell>
          <cell r="M97">
            <v>3618003.5787739865</v>
          </cell>
          <cell r="N97">
            <v>5364847.2444486609</v>
          </cell>
          <cell r="O97">
            <v>11051151.494321905</v>
          </cell>
          <cell r="P97">
            <v>14691182.205045251</v>
          </cell>
          <cell r="T97">
            <v>569274.7247730724</v>
          </cell>
          <cell r="U97">
            <v>786639.72159245831</v>
          </cell>
          <cell r="V97">
            <v>1290764.446168978</v>
          </cell>
          <cell r="W97">
            <v>3331750.8907858757</v>
          </cell>
          <cell r="X97">
            <v>7852597.6668322347</v>
          </cell>
        </row>
        <row r="98">
          <cell r="L98">
            <v>2924661.7427972769</v>
          </cell>
          <cell r="M98">
            <v>3851091.9028485566</v>
          </cell>
          <cell r="N98">
            <v>5702367.1263075275</v>
          </cell>
          <cell r="O98">
            <v>11779925.01724546</v>
          </cell>
          <cell r="P98">
            <v>15736906.296819471</v>
          </cell>
          <cell r="T98">
            <v>573728.40322234121</v>
          </cell>
          <cell r="U98">
            <v>793232.71459505358</v>
          </cell>
          <cell r="V98">
            <v>1302307.8090873521</v>
          </cell>
          <cell r="W98">
            <v>3364468.5899960874</v>
          </cell>
          <cell r="X98">
            <v>7932733.6255757995</v>
          </cell>
        </row>
        <row r="99">
          <cell r="L99">
            <v>3094335.0091305487</v>
          </cell>
          <cell r="M99">
            <v>4089862.4207360642</v>
          </cell>
          <cell r="N99">
            <v>6062191.2630684217</v>
          </cell>
          <cell r="O99">
            <v>12583296.153171927</v>
          </cell>
          <cell r="P99">
            <v>16846808.909609322</v>
          </cell>
          <cell r="T99">
            <v>578182.08167161001</v>
          </cell>
          <cell r="U99">
            <v>799801.06545975129</v>
          </cell>
          <cell r="V99">
            <v>1313851.1720057263</v>
          </cell>
          <cell r="W99">
            <v>3397186.289206299</v>
          </cell>
          <cell r="X99">
            <v>8012767.4181269277</v>
          </cell>
        </row>
        <row r="100">
          <cell r="L100">
            <v>3276186.3132883999</v>
          </cell>
          <cell r="M100">
            <v>4349775.2229271745</v>
          </cell>
          <cell r="N100">
            <v>6478236.0020442484</v>
          </cell>
          <cell r="O100">
            <v>13504592.544950774</v>
          </cell>
          <cell r="P100">
            <v>18149097.230531126</v>
          </cell>
          <cell r="T100">
            <v>582516.14456537226</v>
          </cell>
          <cell r="U100">
            <v>806247.75902190967</v>
          </cell>
          <cell r="V100">
            <v>1325394.5349241006</v>
          </cell>
          <cell r="W100">
            <v>3429903.9884165106</v>
          </cell>
          <cell r="X100">
            <v>8092611.8872581609</v>
          </cell>
        </row>
        <row r="101">
          <cell r="L101">
            <v>3471089.7152124052</v>
          </cell>
          <cell r="M101">
            <v>4630894.6105433023</v>
          </cell>
          <cell r="N101">
            <v>6940159.6934923707</v>
          </cell>
          <cell r="O101">
            <v>14521355.143789764</v>
          </cell>
          <cell r="P101">
            <v>19532693.586081833</v>
          </cell>
          <cell r="T101">
            <v>586849.50234915258</v>
          </cell>
          <cell r="U101">
            <v>812694.45258406794</v>
          </cell>
          <cell r="V101">
            <v>1336937.8978424747</v>
          </cell>
          <cell r="W101">
            <v>3462621.6876267218</v>
          </cell>
          <cell r="X101">
            <v>8172456.356389394</v>
          </cell>
        </row>
        <row r="102">
          <cell r="L102">
            <v>3679982.0091525968</v>
          </cell>
          <cell r="M102">
            <v>4926940.3423935231</v>
          </cell>
          <cell r="N102">
            <v>7423204.1238851706</v>
          </cell>
          <cell r="O102">
            <v>15580922.265153006</v>
          </cell>
          <cell r="P102">
            <v>20864986.893163215</v>
          </cell>
          <cell r="T102">
            <v>591182.8601329329</v>
          </cell>
          <cell r="U102">
            <v>819141.14614622633</v>
          </cell>
          <cell r="V102">
            <v>1348481.2607608489</v>
          </cell>
          <cell r="W102">
            <v>3495339.3868369334</v>
          </cell>
          <cell r="X102">
            <v>8252300.8255206263</v>
          </cell>
        </row>
        <row r="103">
          <cell r="L103">
            <v>3903867.2263260251</v>
          </cell>
          <cell r="M103">
            <v>5237263.6505681509</v>
          </cell>
          <cell r="N103">
            <v>7931332.0383830452</v>
          </cell>
          <cell r="O103">
            <v>16620061.748838918</v>
          </cell>
          <cell r="P103">
            <v>22225374.412219442</v>
          </cell>
          <cell r="T103">
            <v>595516.21791671321</v>
          </cell>
          <cell r="U103">
            <v>825587.83970838471</v>
          </cell>
          <cell r="V103">
            <v>1360024.6236792232</v>
          </cell>
          <cell r="W103">
            <v>3528057.0860471451</v>
          </cell>
          <cell r="X103">
            <v>8332145.2946518594</v>
          </cell>
        </row>
        <row r="104">
          <cell r="L104">
            <v>4143821.4607466767</v>
          </cell>
          <cell r="M104">
            <v>5573405.5033057407</v>
          </cell>
          <cell r="N104">
            <v>8443747.5607369058</v>
          </cell>
          <cell r="O104">
            <v>17689104.801142946</v>
          </cell>
          <cell r="P104">
            <v>23701878.06144619</v>
          </cell>
          <cell r="T104">
            <v>599849.57570049353</v>
          </cell>
          <cell r="U104">
            <v>832034.53327054298</v>
          </cell>
          <cell r="V104">
            <v>1371567.9865975974</v>
          </cell>
          <cell r="W104">
            <v>3560774.7852573567</v>
          </cell>
          <cell r="X104">
            <v>8411989.7637830917</v>
          </cell>
        </row>
        <row r="105">
          <cell r="L105">
            <v>4400998.041421948</v>
          </cell>
          <cell r="M105">
            <v>5916659.2362165749</v>
          </cell>
          <cell r="N105">
            <v>8956065.887940675</v>
          </cell>
          <cell r="O105">
            <v>18828637.327303059</v>
          </cell>
          <cell r="P105">
            <v>25296726.162904508</v>
          </cell>
          <cell r="T105">
            <v>604182.93348427385</v>
          </cell>
          <cell r="U105">
            <v>838481.22683270136</v>
          </cell>
          <cell r="V105">
            <v>1383111.3495159715</v>
          </cell>
          <cell r="W105">
            <v>3593492.4844675683</v>
          </cell>
          <cell r="X105">
            <v>8491834.2329143248</v>
          </cell>
        </row>
        <row r="106">
          <cell r="L106">
            <v>4676633.0757755302</v>
          </cell>
          <cell r="M106">
            <v>6281002.5483988523</v>
          </cell>
          <cell r="N106">
            <v>9522610.3094585855</v>
          </cell>
          <cell r="O106">
            <v>20127010.104631633</v>
          </cell>
          <cell r="P106">
            <v>27060543.590263713</v>
          </cell>
          <cell r="T106">
            <v>608516.29126805416</v>
          </cell>
          <cell r="U106">
            <v>844927.92039485974</v>
          </cell>
          <cell r="V106">
            <v>1394654.7124343459</v>
          </cell>
          <cell r="W106">
            <v>3626210.18367778</v>
          </cell>
          <cell r="X106">
            <v>8571678.702045558</v>
          </cell>
        </row>
        <row r="107">
          <cell r="L107">
            <v>4972051.3909409763</v>
          </cell>
          <cell r="M107">
            <v>6688855.2349086739</v>
          </cell>
          <cell r="N107">
            <v>10177692.110752419</v>
          </cell>
          <cell r="O107">
            <v>21585808.912013665</v>
          </cell>
          <cell r="P107">
            <v>29013419.360997062</v>
          </cell>
          <cell r="T107">
            <v>612849.64905183448</v>
          </cell>
          <cell r="U107">
            <v>851374.61395701801</v>
          </cell>
          <cell r="V107">
            <v>1406198.07535272</v>
          </cell>
          <cell r="W107">
            <v>3658927.8828879916</v>
          </cell>
          <cell r="X107">
            <v>8651523.1711767912</v>
          </cell>
        </row>
        <row r="108">
          <cell r="L108">
            <v>5287316.0016192785</v>
          </cell>
          <cell r="M108">
            <v>7132186.0006032009</v>
          </cell>
          <cell r="N108">
            <v>10872383.201795192</v>
          </cell>
          <cell r="O108">
            <v>23120930.445503563</v>
          </cell>
          <cell r="P108">
            <v>31050589.295172971</v>
          </cell>
          <cell r="T108">
            <v>617183.0068356148</v>
          </cell>
          <cell r="U108">
            <v>857821.30751917639</v>
          </cell>
          <cell r="V108">
            <v>1417741.4382710941</v>
          </cell>
          <cell r="W108">
            <v>3691645.5820982032</v>
          </cell>
          <cell r="X108">
            <v>8731367.6403080244</v>
          </cell>
        </row>
        <row r="109">
          <cell r="L109">
            <v>5606950.2951373328</v>
          </cell>
          <cell r="M109">
            <v>7604613.8868121523</v>
          </cell>
          <cell r="N109">
            <v>11605174.657679331</v>
          </cell>
          <cell r="O109">
            <v>24712641.577476706</v>
          </cell>
          <cell r="P109">
            <v>33111940.714318942</v>
          </cell>
          <cell r="T109">
            <v>621516.36461939523</v>
          </cell>
          <cell r="U109">
            <v>864268.00108133478</v>
          </cell>
          <cell r="V109">
            <v>1429284.8011894682</v>
          </cell>
          <cell r="W109">
            <v>3724363.2813084149</v>
          </cell>
          <cell r="X109">
            <v>8811212.1094392557</v>
          </cell>
        </row>
        <row r="110">
          <cell r="L110">
            <v>5949525.8486465234</v>
          </cell>
          <cell r="M110">
            <v>8102538.543933766</v>
          </cell>
          <cell r="N110">
            <v>12394083.626977185</v>
          </cell>
          <cell r="O110">
            <v>26331833.469624061</v>
          </cell>
          <cell r="P110">
            <v>35286312.889212817</v>
          </cell>
          <cell r="T110">
            <v>625849.72240317555</v>
          </cell>
          <cell r="U110">
            <v>870714.69464349304</v>
          </cell>
          <cell r="V110">
            <v>1440828.1641078424</v>
          </cell>
          <cell r="W110">
            <v>3757080.9805186265</v>
          </cell>
          <cell r="X110">
            <v>8891056.5785704888</v>
          </cell>
        </row>
        <row r="111">
          <cell r="L111">
            <v>6316689.235811362</v>
          </cell>
          <cell r="M111">
            <v>8622841.4403145257</v>
          </cell>
          <cell r="N111">
            <v>13177881.008156372</v>
          </cell>
          <cell r="O111">
            <v>28071289.739956029</v>
          </cell>
          <cell r="P111">
            <v>37717621.249749318</v>
          </cell>
          <cell r="T111">
            <v>630183.08018695586</v>
          </cell>
          <cell r="U111">
            <v>877161.38820565143</v>
          </cell>
          <cell r="V111">
            <v>1452371.5270262167</v>
          </cell>
          <cell r="W111">
            <v>3789798.6797288381</v>
          </cell>
          <cell r="X111">
            <v>8970901.047701722</v>
          </cell>
        </row>
        <row r="112">
          <cell r="L112">
            <v>6710205.2105895681</v>
          </cell>
          <cell r="M112">
            <v>9148705.5819281265</v>
          </cell>
          <cell r="N112">
            <v>14033442.609875198</v>
          </cell>
          <cell r="O112">
            <v>29952688.924554098</v>
          </cell>
          <cell r="P112">
            <v>40349455.46125254</v>
          </cell>
          <cell r="T112">
            <v>634516.43797073618</v>
          </cell>
          <cell r="U112">
            <v>883608.08176780981</v>
          </cell>
          <cell r="V112">
            <v>1463914.8899445909</v>
          </cell>
          <cell r="W112">
            <v>3822516.3789390498</v>
          </cell>
          <cell r="X112">
            <v>9050745.5168329552</v>
          </cell>
        </row>
        <row r="113">
          <cell r="L113">
            <v>7131965.1894409508</v>
          </cell>
          <cell r="M113">
            <v>9739385.1666944623</v>
          </cell>
          <cell r="N113">
            <v>15014601.77485897</v>
          </cell>
          <cell r="O113">
            <v>32130101.013103947</v>
          </cell>
          <cell r="P113">
            <v>43296865.536363885</v>
          </cell>
          <cell r="T113">
            <v>638849.7957545165</v>
          </cell>
          <cell r="U113">
            <v>890054.77532996819</v>
          </cell>
          <cell r="V113">
            <v>1475458.252862965</v>
          </cell>
          <cell r="W113">
            <v>3855234.0781492614</v>
          </cell>
          <cell r="X113">
            <v>9130589.9859641884</v>
          </cell>
        </row>
        <row r="114">
          <cell r="L114">
            <v>7583996.3423337257</v>
          </cell>
          <cell r="M114">
            <v>10385788.975014254</v>
          </cell>
          <cell r="N114">
            <v>16058461.400235761</v>
          </cell>
          <cell r="O114">
            <v>34483509.107027754</v>
          </cell>
          <cell r="P114">
            <v>46531809.109250382</v>
          </cell>
          <cell r="T114">
            <v>643183.15353829681</v>
          </cell>
          <cell r="U114">
            <v>896501.46889212646</v>
          </cell>
          <cell r="V114">
            <v>1487001.6157813391</v>
          </cell>
          <cell r="W114">
            <v>3887951.7773594731</v>
          </cell>
          <cell r="X114">
            <v>9210434.4550954197</v>
          </cell>
        </row>
        <row r="115">
          <cell r="L115">
            <v>8068471.336243894</v>
          </cell>
          <cell r="M115">
            <v>11072401.862657852</v>
          </cell>
          <cell r="N115">
            <v>17149937.536610078</v>
          </cell>
          <cell r="O115">
            <v>36946995.110363379</v>
          </cell>
          <cell r="P115">
            <v>49678321.037087649</v>
          </cell>
          <cell r="T115">
            <v>647516.51132207713</v>
          </cell>
          <cell r="U115">
            <v>902948.16245428484</v>
          </cell>
          <cell r="V115">
            <v>1498544.9786997135</v>
          </cell>
          <cell r="W115">
            <v>3920669.4765696847</v>
          </cell>
          <cell r="X115">
            <v>9290278.9242266528</v>
          </cell>
        </row>
        <row r="116">
          <cell r="L116">
            <v>8587718.777979251</v>
          </cell>
          <cell r="M116">
            <v>11806256.452359673</v>
          </cell>
          <cell r="N116">
            <v>18325650.428964917</v>
          </cell>
          <cell r="O116">
            <v>39464263.135467231</v>
          </cell>
          <cell r="P116">
            <v>53020207.757090084</v>
          </cell>
          <cell r="T116">
            <v>651849.86910585745</v>
          </cell>
          <cell r="U116">
            <v>909394.85601644323</v>
          </cell>
          <cell r="V116">
            <v>1510088.3416180876</v>
          </cell>
          <cell r="W116">
            <v>3953387.1757798963</v>
          </cell>
          <cell r="X116">
            <v>9370123.393357886</v>
          </cell>
        </row>
        <row r="117">
          <cell r="L117">
            <v>9144234.4065210596</v>
          </cell>
          <cell r="M117">
            <v>12590413.70717838</v>
          </cell>
          <cell r="N117">
            <v>19524756.662145667</v>
          </cell>
          <cell r="O117">
            <v>42080452.23287075</v>
          </cell>
          <cell r="P117">
            <v>56589134.153164648</v>
          </cell>
          <cell r="T117">
            <v>656183.22688963776</v>
          </cell>
          <cell r="U117">
            <v>915841.54957860161</v>
          </cell>
          <cell r="V117">
            <v>1521631.7045364617</v>
          </cell>
          <cell r="W117">
            <v>3986104.874990108</v>
          </cell>
          <cell r="X117">
            <v>9449967.8624891192</v>
          </cell>
        </row>
        <row r="118">
          <cell r="L118">
            <v>9738538.8935887981</v>
          </cell>
          <cell r="M118">
            <v>13392937.873347066</v>
          </cell>
          <cell r="N118">
            <v>20763295.067592066</v>
          </cell>
          <cell r="O118">
            <v>44827571.908513241</v>
          </cell>
          <cell r="P118">
            <v>60339547.251220301</v>
          </cell>
          <cell r="T118">
            <v>660516.58467341808</v>
          </cell>
          <cell r="U118">
            <v>922288.24314075988</v>
          </cell>
          <cell r="V118">
            <v>1533175.0674548359</v>
          </cell>
          <cell r="W118">
            <v>4018822.5742003196</v>
          </cell>
          <cell r="X118">
            <v>9529812.3316203505</v>
          </cell>
        </row>
        <row r="119">
          <cell r="L119">
            <v>10348556.771582669</v>
          </cell>
          <cell r="M119">
            <v>14272530.10812116</v>
          </cell>
          <cell r="N119">
            <v>22155790.886767384</v>
          </cell>
          <cell r="O119">
            <v>48001018.167546235</v>
          </cell>
          <cell r="P119">
            <v>64604626.828710958</v>
          </cell>
          <cell r="T119">
            <v>664849.9424571984</v>
          </cell>
          <cell r="U119">
            <v>928734.93670291826</v>
          </cell>
          <cell r="V119">
            <v>1544718.4303732102</v>
          </cell>
          <cell r="W119">
            <v>4051540.2734105312</v>
          </cell>
          <cell r="X119">
            <v>9609656.8007515837</v>
          </cell>
        </row>
        <row r="120">
          <cell r="L120">
            <v>11002357.744889198</v>
          </cell>
          <cell r="M120">
            <v>15234331.670130363</v>
          </cell>
          <cell r="N120">
            <v>23696438.812443428</v>
          </cell>
          <cell r="O120">
            <v>51385088.939006463</v>
          </cell>
          <cell r="P120">
            <v>69279969.311791047</v>
          </cell>
          <cell r="T120">
            <v>669183.30024097872</v>
          </cell>
          <cell r="U120">
            <v>935181.63026507664</v>
          </cell>
          <cell r="V120">
            <v>1556261.7932915844</v>
          </cell>
          <cell r="W120">
            <v>4084257.9726207429</v>
          </cell>
          <cell r="X120">
            <v>9689501.2698828168</v>
          </cell>
        </row>
        <row r="121">
          <cell r="L121">
            <v>11703084.277859572</v>
          </cell>
          <cell r="M121">
            <v>16242125.346185649</v>
          </cell>
          <cell r="N121">
            <v>25335050.866138194</v>
          </cell>
          <cell r="O121">
            <v>55090992.359062366</v>
          </cell>
          <cell r="P121">
            <v>74214641.27308093</v>
          </cell>
          <cell r="T121">
            <v>673516.65802475903</v>
          </cell>
          <cell r="U121">
            <v>941628.32382723503</v>
          </cell>
          <cell r="V121">
            <v>1567805.1562099585</v>
          </cell>
          <cell r="W121">
            <v>4116975.6718309545</v>
          </cell>
          <cell r="X121">
            <v>9769345.73901405</v>
          </cell>
        </row>
        <row r="122">
          <cell r="L122">
            <v>12454104.380392246</v>
          </cell>
          <cell r="M122">
            <v>17321171.056574348</v>
          </cell>
          <cell r="N122">
            <v>27122671.211559452</v>
          </cell>
          <cell r="O122">
            <v>58998869.738176376</v>
          </cell>
          <cell r="P122">
            <v>79236319.238532424</v>
          </cell>
          <cell r="T122">
            <v>677850.01580853935</v>
          </cell>
          <cell r="U122">
            <v>948075.0173893933</v>
          </cell>
          <cell r="V122">
            <v>1579348.5191283328</v>
          </cell>
          <cell r="W122">
            <v>4149693.3710411661</v>
          </cell>
          <cell r="X122">
            <v>9849190.2081452813</v>
          </cell>
        </row>
        <row r="123">
          <cell r="L123">
            <v>13259027.79611806</v>
          </cell>
          <cell r="M123">
            <v>18478471.56588478</v>
          </cell>
          <cell r="N123">
            <v>29000583.64980448</v>
          </cell>
          <cell r="O123">
            <v>62884692.577243991</v>
          </cell>
          <cell r="P123">
            <v>84537126.952919662</v>
          </cell>
          <cell r="T123">
            <v>682183.37359231967</v>
          </cell>
          <cell r="U123">
            <v>954521.71095155168</v>
          </cell>
          <cell r="V123">
            <v>1590891.882046707</v>
          </cell>
          <cell r="W123">
            <v>4182411.0702513778</v>
          </cell>
          <cell r="X123">
            <v>9929034.6772765145</v>
          </cell>
        </row>
        <row r="124">
          <cell r="L124">
            <v>14121723.352467058</v>
          </cell>
          <cell r="M124">
            <v>19683081.933774956</v>
          </cell>
          <cell r="N124">
            <v>30856010.285562344</v>
          </cell>
          <cell r="O124">
            <v>67030244.722490549</v>
          </cell>
          <cell r="P124">
            <v>90435872.296623737</v>
          </cell>
          <cell r="T124">
            <v>686516.73137609998</v>
          </cell>
          <cell r="U124">
            <v>960968.40451371006</v>
          </cell>
          <cell r="V124">
            <v>1602435.2449650811</v>
          </cell>
          <cell r="W124">
            <v>4215128.7694615889</v>
          </cell>
          <cell r="X124">
            <v>10008879.146407748</v>
          </cell>
        </row>
        <row r="125">
          <cell r="L125">
            <v>15046337.556009885</v>
          </cell>
          <cell r="M125">
            <v>20949362.593348604</v>
          </cell>
          <cell r="N125">
            <v>32874526.018650733</v>
          </cell>
          <cell r="O125">
            <v>71657232.737099364</v>
          </cell>
          <cell r="P125">
            <v>96750589.883929878</v>
          </cell>
          <cell r="T125">
            <v>690850.0891598803</v>
          </cell>
          <cell r="U125">
            <v>967415.09807586845</v>
          </cell>
          <cell r="V125">
            <v>1613978.6078834552</v>
          </cell>
          <cell r="W125">
            <v>4247846.4686718006</v>
          </cell>
          <cell r="X125">
            <v>10088723.615538979</v>
          </cell>
        </row>
        <row r="126">
          <cell r="L126">
            <v>16037314.522451241</v>
          </cell>
          <cell r="M126">
            <v>22355011.230257772</v>
          </cell>
          <cell r="N126">
            <v>35200457.267034888</v>
          </cell>
          <cell r="O126">
            <v>76984604.932975695</v>
          </cell>
          <cell r="P126">
            <v>103984208.36576307</v>
          </cell>
          <cell r="T126">
            <v>695183.44694366062</v>
          </cell>
          <cell r="U126">
            <v>973861.79163802683</v>
          </cell>
          <cell r="V126">
            <v>1625521.9708018296</v>
          </cell>
          <cell r="W126">
            <v>4280564.1678820122</v>
          </cell>
          <cell r="X126">
            <v>10168568.084670212</v>
          </cell>
        </row>
        <row r="127">
          <cell r="L127">
            <v>17099417.337067779</v>
          </cell>
          <cell r="M127">
            <v>23903981.888942767</v>
          </cell>
          <cell r="N127">
            <v>37677385.53684704</v>
          </cell>
          <cell r="O127">
            <v>82612796.811235681</v>
          </cell>
          <cell r="P127">
            <v>111762512.95330533</v>
          </cell>
          <cell r="T127">
            <v>699516.80472744093</v>
          </cell>
          <cell r="U127">
            <v>980308.4852001851</v>
          </cell>
          <cell r="V127">
            <v>1637065.3337202037</v>
          </cell>
          <cell r="W127">
            <v>4313281.8670922238</v>
          </cell>
          <cell r="X127">
            <v>10248412.553801445</v>
          </cell>
        </row>
        <row r="128">
          <cell r="L128">
            <v>18234405.740156852</v>
          </cell>
          <cell r="M128">
            <v>25510324.363559552</v>
          </cell>
          <cell r="N128">
            <v>40324885.3231235</v>
          </cell>
          <cell r="O128">
            <v>88586276.3057383</v>
          </cell>
          <cell r="P128">
            <v>119109615.22291803</v>
          </cell>
          <cell r="T128">
            <v>703850.16251122125</v>
          </cell>
          <cell r="U128">
            <v>986755.17876234348</v>
          </cell>
          <cell r="V128">
            <v>1648608.6966385779</v>
          </cell>
          <cell r="W128">
            <v>4345999.5663024355</v>
          </cell>
          <cell r="X128">
            <v>10328257.022932678</v>
          </cell>
        </row>
        <row r="129">
          <cell r="L129">
            <v>19410455.212857489</v>
          </cell>
          <cell r="M129">
            <v>27279888.003524348</v>
          </cell>
          <cell r="N129">
            <v>43141633.030211702</v>
          </cell>
          <cell r="O129">
            <v>94472761.352526248</v>
          </cell>
          <cell r="P129">
            <v>126934667.54212233</v>
          </cell>
          <cell r="T129">
            <v>708183.52029500157</v>
          </cell>
          <cell r="U129">
            <v>993201.87232450186</v>
          </cell>
          <cell r="V129">
            <v>1660152.059556952</v>
          </cell>
          <cell r="W129">
            <v>4378717.2655126471</v>
          </cell>
          <cell r="X129">
            <v>10408101.49206391</v>
          </cell>
        </row>
        <row r="130">
          <cell r="L130">
            <v>20670913.828327835</v>
          </cell>
          <cell r="M130">
            <v>29139901.214220621</v>
          </cell>
          <cell r="N130">
            <v>45926811.416054659</v>
          </cell>
          <cell r="O130">
            <v>100537575.73712525</v>
          </cell>
          <cell r="P130">
            <v>135483737.92705396</v>
          </cell>
          <cell r="T130">
            <v>712516.87807878188</v>
          </cell>
          <cell r="U130">
            <v>999648.56588666025</v>
          </cell>
          <cell r="V130">
            <v>1671695.4224753263</v>
          </cell>
          <cell r="W130">
            <v>4411434.9647228587</v>
          </cell>
          <cell r="X130">
            <v>10487945.961195143</v>
          </cell>
        </row>
        <row r="131">
          <cell r="L131">
            <v>22021839.923014224</v>
          </cell>
          <cell r="M131">
            <v>30961306.966293775</v>
          </cell>
          <cell r="N131">
            <v>48855160.821308494</v>
          </cell>
          <cell r="O131">
            <v>107192958.85472654</v>
          </cell>
          <cell r="P131">
            <v>144779732.63812914</v>
          </cell>
          <cell r="T131">
            <v>716850.2358625622</v>
          </cell>
          <cell r="U131">
            <v>1006095.2594488186</v>
          </cell>
          <cell r="V131">
            <v>1683238.7853937005</v>
          </cell>
          <cell r="W131">
            <v>4444152.6639330704</v>
          </cell>
          <cell r="X131">
            <v>10567790.430326376</v>
          </cell>
        </row>
        <row r="132">
          <cell r="L132">
            <v>23469726.661146887</v>
          </cell>
          <cell r="M132">
            <v>33037427.43138627</v>
          </cell>
          <cell r="N132">
            <v>52336389.566204518</v>
          </cell>
          <cell r="O132">
            <v>115143355.61287996</v>
          </cell>
          <cell r="P132">
            <v>155434325.46311164</v>
          </cell>
          <cell r="T132">
            <v>721183.59364634252</v>
          </cell>
          <cell r="U132">
            <v>1012541.9530109769</v>
          </cell>
          <cell r="V132">
            <v>1694782.1483120746</v>
          </cell>
          <cell r="W132">
            <v>4476870.363143282</v>
          </cell>
          <cell r="X132">
            <v>10647634.899457609</v>
          </cell>
        </row>
        <row r="133">
          <cell r="L133">
            <v>25021533.243835688</v>
          </cell>
          <cell r="M133">
            <v>35301805.992381781</v>
          </cell>
          <cell r="N133">
            <v>56105698.360661089</v>
          </cell>
          <cell r="O133">
            <v>123615645.11346307</v>
          </cell>
          <cell r="P133">
            <v>167070988.97448242</v>
          </cell>
          <cell r="T133">
            <v>725516.95143012283</v>
          </cell>
          <cell r="U133">
            <v>1018988.6465731353</v>
          </cell>
          <cell r="V133">
            <v>1706325.5112304487</v>
          </cell>
          <cell r="W133">
            <v>4509588.0623534936</v>
          </cell>
          <cell r="X133">
            <v>10727479.368588842</v>
          </cell>
        </row>
        <row r="134">
          <cell r="L134">
            <v>26684718.358150683</v>
          </cell>
          <cell r="M134">
            <v>37706285.458295979</v>
          </cell>
          <cell r="N134">
            <v>60052703.082792744</v>
          </cell>
          <cell r="O134">
            <v>132665431.5110721</v>
          </cell>
          <cell r="P134">
            <v>178830879.03489286</v>
          </cell>
          <cell r="T134">
            <v>729850.30921390315</v>
          </cell>
          <cell r="U134">
            <v>1025435.3401352937</v>
          </cell>
          <cell r="V134">
            <v>1717868.8741488231</v>
          </cell>
          <cell r="W134">
            <v>4542305.7615637053</v>
          </cell>
          <cell r="X134">
            <v>10807323.837720074</v>
          </cell>
        </row>
        <row r="135">
          <cell r="L135">
            <v>28467276.026958864</v>
          </cell>
          <cell r="M135">
            <v>40293567.583107665</v>
          </cell>
          <cell r="N135">
            <v>64339102.531990744</v>
          </cell>
          <cell r="O135">
            <v>141921621.10182008</v>
          </cell>
          <cell r="P135">
            <v>190984623.84193194</v>
          </cell>
          <cell r="T135">
            <v>734183.66699768347</v>
          </cell>
          <cell r="U135">
            <v>1031882.033697452</v>
          </cell>
          <cell r="V135">
            <v>1729412.2370671972</v>
          </cell>
          <cell r="W135">
            <v>4575023.4607739169</v>
          </cell>
          <cell r="X135">
            <v>10887168.306851307</v>
          </cell>
        </row>
        <row r="136">
          <cell r="L136">
            <v>30377774.031828076</v>
          </cell>
          <cell r="M136">
            <v>43068489.840897977</v>
          </cell>
          <cell r="N136">
            <v>68629245.481208459</v>
          </cell>
          <cell r="O136">
            <v>151271638.58037889</v>
          </cell>
          <cell r="P136">
            <v>203811210.76051348</v>
          </cell>
          <cell r="T136">
            <v>738517.0247814639</v>
          </cell>
          <cell r="U136">
            <v>1038328.7272596103</v>
          </cell>
          <cell r="V136">
            <v>1740955.5999855713</v>
          </cell>
          <cell r="W136">
            <v>4607741.1599841285</v>
          </cell>
          <cell r="X136">
            <v>10967012.77598254</v>
          </cell>
        </row>
        <row r="137">
          <cell r="L137">
            <v>32425395.093675382</v>
          </cell>
          <cell r="M137">
            <v>45889291.469480656</v>
          </cell>
          <cell r="N137">
            <v>73068218.939424127</v>
          </cell>
          <cell r="O137">
            <v>161374762.85707304</v>
          </cell>
          <cell r="P137">
            <v>217839169.51968169</v>
          </cell>
          <cell r="T137">
            <v>742850.38256524422</v>
          </cell>
          <cell r="U137">
            <v>1044775.4208217687</v>
          </cell>
          <cell r="V137">
            <v>1752498.9629039457</v>
          </cell>
          <cell r="W137">
            <v>4640458.8591943402</v>
          </cell>
          <cell r="X137">
            <v>11046857.245113773</v>
          </cell>
        </row>
        <row r="138">
          <cell r="L138">
            <v>34614884.26629331</v>
          </cell>
          <cell r="M138">
            <v>48981338.466808848</v>
          </cell>
          <cell r="N138">
            <v>78050193.707845315</v>
          </cell>
          <cell r="O138">
            <v>172908161.67525318</v>
          </cell>
          <cell r="P138">
            <v>233720757.21706653</v>
          </cell>
          <cell r="T138">
            <v>747183.74034902453</v>
          </cell>
          <cell r="U138">
            <v>1051222.1143839271</v>
          </cell>
          <cell r="V138">
            <v>1764042.3258223198</v>
          </cell>
          <cell r="W138">
            <v>4673176.5584045518</v>
          </cell>
          <cell r="X138">
            <v>11126701.714245005</v>
          </cell>
        </row>
        <row r="139">
          <cell r="L139">
            <v>36901009.197876357</v>
          </cell>
          <cell r="M139">
            <v>52386513.266411647</v>
          </cell>
          <cell r="N139">
            <v>83768753.10691601</v>
          </cell>
          <cell r="O139">
            <v>185781671.09349987</v>
          </cell>
          <cell r="P139">
            <v>251227997.70278466</v>
          </cell>
          <cell r="T139">
            <v>751517.09813280485</v>
          </cell>
          <cell r="U139">
            <v>1057668.8079460855</v>
          </cell>
          <cell r="V139">
            <v>1775585.688740694</v>
          </cell>
          <cell r="W139">
            <v>4705894.2576147635</v>
          </cell>
          <cell r="X139">
            <v>11206546.183376238</v>
          </cell>
        </row>
        <row r="140">
          <cell r="L140">
            <v>39351217.23158966</v>
          </cell>
          <cell r="M140">
            <v>56064156.040933087</v>
          </cell>
          <cell r="N140">
            <v>89710676.40270111</v>
          </cell>
          <cell r="O140">
            <v>199304983.53542653</v>
          </cell>
          <cell r="P140">
            <v>269433057.58926111</v>
          </cell>
          <cell r="T140">
            <v>755850.45591658517</v>
          </cell>
          <cell r="U140">
            <v>1064115.5015082438</v>
          </cell>
          <cell r="V140">
            <v>1787129.0516590683</v>
          </cell>
          <cell r="W140">
            <v>4738611.9568249751</v>
          </cell>
          <cell r="X140">
            <v>11286390.652507471</v>
          </cell>
        </row>
        <row r="141">
          <cell r="L141">
            <v>41977285.179816887</v>
          </cell>
          <cell r="M141">
            <v>59892747.061179705</v>
          </cell>
          <cell r="N141">
            <v>96057840.009374917</v>
          </cell>
          <cell r="O141">
            <v>213562480.57053208</v>
          </cell>
          <cell r="P141">
            <v>287524649.62611848</v>
          </cell>
          <cell r="T141">
            <v>760183.81370036548</v>
          </cell>
          <cell r="U141">
            <v>1070562.1950704022</v>
          </cell>
          <cell r="V141">
            <v>1798672.4145774425</v>
          </cell>
          <cell r="W141">
            <v>4771329.6560351867</v>
          </cell>
          <cell r="X141">
            <v>11366235.121638704</v>
          </cell>
        </row>
        <row r="142">
          <cell r="L142">
            <v>44791835.117543951</v>
          </cell>
          <cell r="M142">
            <v>64001972.940322354</v>
          </cell>
          <cell r="N142">
            <v>102806090.60437706</v>
          </cell>
          <cell r="O142">
            <v>227819813.03246519</v>
          </cell>
          <cell r="P142">
            <v>306954009.28354383</v>
          </cell>
          <cell r="T142">
            <v>764517.1714841458</v>
          </cell>
          <cell r="U142">
            <v>1077008.8886325604</v>
          </cell>
          <cell r="V142">
            <v>1810215.7774958166</v>
          </cell>
          <cell r="W142">
            <v>4804047.3552453984</v>
          </cell>
          <cell r="X142">
            <v>11446079.590769937</v>
          </cell>
        </row>
        <row r="143">
          <cell r="L143">
            <v>47808395.049782947</v>
          </cell>
          <cell r="M143">
            <v>68346540.580155924</v>
          </cell>
          <cell r="N143">
            <v>109561891.09177381</v>
          </cell>
          <cell r="O143">
            <v>242935768.4476099</v>
          </cell>
          <cell r="P143">
            <v>328083416.33812416</v>
          </cell>
          <cell r="T143">
            <v>768850.52926792612</v>
          </cell>
          <cell r="U143">
            <v>1083455.5821947188</v>
          </cell>
          <cell r="V143">
            <v>1821759.1404141907</v>
          </cell>
          <cell r="W143">
            <v>4836765.05445561</v>
          </cell>
          <cell r="X143">
            <v>11525924.059901169</v>
          </cell>
        </row>
        <row r="144">
          <cell r="L144">
            <v>51041463.933306925</v>
          </cell>
          <cell r="M144">
            <v>72852035.694086939</v>
          </cell>
          <cell r="N144">
            <v>116846020.79875034</v>
          </cell>
          <cell r="O144">
            <v>259923710.36208475</v>
          </cell>
          <cell r="P144">
            <v>351220869.37695414</v>
          </cell>
          <cell r="T144">
            <v>773183.88705170644</v>
          </cell>
          <cell r="U144">
            <v>1089902.2757568771</v>
          </cell>
          <cell r="V144">
            <v>1833302.5033325651</v>
          </cell>
          <cell r="W144">
            <v>4869482.7536658216</v>
          </cell>
          <cell r="X144">
            <v>11605768.529032402</v>
          </cell>
        </row>
        <row r="145">
          <cell r="L145">
            <v>54506581.365219891</v>
          </cell>
          <cell r="M145">
            <v>77862630.273750991</v>
          </cell>
          <cell r="N145">
            <v>125300047.36711799</v>
          </cell>
          <cell r="O145">
            <v>279036433.30328238</v>
          </cell>
          <cell r="P145">
            <v>377170623.84265661</v>
          </cell>
          <cell r="T145">
            <v>777517.24483548675</v>
          </cell>
          <cell r="U145">
            <v>1096348.9693190355</v>
          </cell>
          <cell r="V145">
            <v>1844845.8662509392</v>
          </cell>
          <cell r="W145">
            <v>4902200.4528760333</v>
          </cell>
          <cell r="X145">
            <v>11685612.998163635</v>
          </cell>
        </row>
        <row r="146">
          <cell r="L146">
            <v>58220402.273316115</v>
          </cell>
          <cell r="M146">
            <v>83327738.486928567</v>
          </cell>
          <cell r="N146">
            <v>134227618.90301773</v>
          </cell>
          <cell r="O146">
            <v>299504631.2805295</v>
          </cell>
          <cell r="P146">
            <v>405359769.3941015</v>
          </cell>
          <cell r="T146">
            <v>781850.60261926707</v>
          </cell>
          <cell r="U146">
            <v>1102795.6628811939</v>
          </cell>
          <cell r="V146">
            <v>1856389.2291693133</v>
          </cell>
          <cell r="W146">
            <v>4934918.1520862449</v>
          </cell>
          <cell r="X146">
            <v>11765457.467294868</v>
          </cell>
        </row>
        <row r="147">
          <cell r="L147">
            <v>62200776.967225976</v>
          </cell>
          <cell r="M147">
            <v>89090210.866179213</v>
          </cell>
          <cell r="N147">
            <v>143766875.39511824</v>
          </cell>
          <cell r="O147">
            <v>321353574.21959931</v>
          </cell>
          <cell r="P147">
            <v>433475930.79776585</v>
          </cell>
          <cell r="T147">
            <v>786183.96040304727</v>
          </cell>
          <cell r="U147">
            <v>1109242.3564433521</v>
          </cell>
          <cell r="V147">
            <v>1867932.5920876875</v>
          </cell>
          <cell r="W147">
            <v>4967635.8512964556</v>
          </cell>
          <cell r="X147">
            <v>11845301.936426101</v>
          </cell>
        </row>
        <row r="148">
          <cell r="L148">
            <v>66459132.484107137</v>
          </cell>
          <cell r="M148">
            <v>95397071.028365076</v>
          </cell>
          <cell r="N148">
            <v>154023558.61037484</v>
          </cell>
          <cell r="O148">
            <v>343599014.87185836</v>
          </cell>
          <cell r="P148">
            <v>462983146.77745134</v>
          </cell>
          <cell r="T148">
            <v>790517.3181868277</v>
          </cell>
          <cell r="U148">
            <v>1115689.0500055104</v>
          </cell>
          <cell r="V148">
            <v>1879475.9550060616</v>
          </cell>
          <cell r="W148">
            <v>5000353.5505066672</v>
          </cell>
          <cell r="X148">
            <v>11925146.405557334</v>
          </cell>
        </row>
        <row r="149">
          <cell r="L149">
            <v>70932423.507837355</v>
          </cell>
          <cell r="M149">
            <v>102002437.73042709</v>
          </cell>
          <cell r="N149">
            <v>164312040.91437861</v>
          </cell>
          <cell r="O149">
            <v>366368970.22120637</v>
          </cell>
          <cell r="P149">
            <v>493891148.11210066</v>
          </cell>
          <cell r="T149">
            <v>794850.6759706079</v>
          </cell>
          <cell r="U149">
            <v>1122135.7435676688</v>
          </cell>
          <cell r="V149">
            <v>1891019.3179244359</v>
          </cell>
          <cell r="W149">
            <v>5033071.2497168789</v>
          </cell>
          <cell r="X149">
            <v>12004990.874688568</v>
          </cell>
        </row>
        <row r="150">
          <cell r="L150">
            <v>75726778.117273211</v>
          </cell>
          <cell r="M150">
            <v>108754686.476156</v>
          </cell>
          <cell r="N150">
            <v>175070620.21719462</v>
          </cell>
          <cell r="O150">
            <v>390361815.80146009</v>
          </cell>
          <cell r="P150">
            <v>527278575.66912967</v>
          </cell>
          <cell r="T150">
            <v>799184.03375438834</v>
          </cell>
          <cell r="U150">
            <v>1128582.4371298272</v>
          </cell>
          <cell r="V150">
            <v>1902562.6808428101</v>
          </cell>
          <cell r="W150">
            <v>5065788.9489270905</v>
          </cell>
          <cell r="X150">
            <v>12084835.343819801</v>
          </cell>
        </row>
        <row r="151">
          <cell r="L151">
            <v>80865240.157655239</v>
          </cell>
          <cell r="M151">
            <v>116273813.76123451</v>
          </cell>
          <cell r="N151">
            <v>187505483.27616221</v>
          </cell>
          <cell r="O151">
            <v>418986508.47767115</v>
          </cell>
          <cell r="P151">
            <v>565143581.12545681</v>
          </cell>
          <cell r="T151">
            <v>803517.39153816865</v>
          </cell>
          <cell r="U151">
            <v>1135029.1306919856</v>
          </cell>
          <cell r="V151">
            <v>1914106.0437611842</v>
          </cell>
          <cell r="W151">
            <v>5098506.6481373021</v>
          </cell>
          <cell r="X151">
            <v>12164679.812951032</v>
          </cell>
        </row>
        <row r="152">
          <cell r="L152">
            <v>86372507.410786808</v>
          </cell>
          <cell r="M152">
            <v>124321057.99618401</v>
          </cell>
          <cell r="N152">
            <v>200899586.61430249</v>
          </cell>
          <cell r="O152">
            <v>449073300.40346277</v>
          </cell>
          <cell r="P152">
            <v>605979556.6396575</v>
          </cell>
          <cell r="T152">
            <v>807850.74932194897</v>
          </cell>
          <cell r="U152">
            <v>1141475.824254144</v>
          </cell>
          <cell r="V152">
            <v>1925649.4066795586</v>
          </cell>
          <cell r="W152">
            <v>5131224.3473475138</v>
          </cell>
          <cell r="X152">
            <v>12244524.282082265</v>
          </cell>
        </row>
        <row r="153">
          <cell r="L153">
            <v>92275050.303788245</v>
          </cell>
          <cell r="M153">
            <v>132917516.59703743</v>
          </cell>
          <cell r="N153">
            <v>215109986.92600882</v>
          </cell>
          <cell r="O153">
            <v>481339676.76755732</v>
          </cell>
          <cell r="P153">
            <v>651561402.82112622</v>
          </cell>
          <cell r="T153">
            <v>812184.10710572929</v>
          </cell>
          <cell r="U153">
            <v>1147922.5178163024</v>
          </cell>
          <cell r="V153">
            <v>1937192.7695979327</v>
          </cell>
          <cell r="W153">
            <v>5163942.0465577254</v>
          </cell>
          <cell r="X153">
            <v>12324368.751213498</v>
          </cell>
        </row>
        <row r="154">
          <cell r="L154">
            <v>98601239.137989312</v>
          </cell>
          <cell r="M154">
            <v>142196137.08427939</v>
          </cell>
          <cell r="N154">
            <v>230438006.2499252</v>
          </cell>
          <cell r="O154">
            <v>518093454.99883437</v>
          </cell>
          <cell r="P154">
            <v>709031877.48814201</v>
          </cell>
          <cell r="T154">
            <v>816517.4648895096</v>
          </cell>
          <cell r="U154">
            <v>1154369.2113784607</v>
          </cell>
          <cell r="V154">
            <v>1948736.1325163068</v>
          </cell>
          <cell r="W154">
            <v>5196659.745767937</v>
          </cell>
          <cell r="X154">
            <v>12404213.220344732</v>
          </cell>
        </row>
        <row r="155">
          <cell r="L155">
            <v>105381480.44947961</v>
          </cell>
          <cell r="M155">
            <v>152040631.39419919</v>
          </cell>
          <cell r="N155">
            <v>247948519.16521761</v>
          </cell>
          <cell r="O155">
            <v>562501563.50439644</v>
          </cell>
          <cell r="P155">
            <v>1098416415.5899403</v>
          </cell>
          <cell r="T155">
            <v>820850.82267328992</v>
          </cell>
          <cell r="U155">
            <v>1160815.9049406191</v>
          </cell>
          <cell r="V155">
            <v>1960279.4954346812</v>
          </cell>
          <cell r="W155">
            <v>5229377.4449781487</v>
          </cell>
          <cell r="X155">
            <v>12484057.689475963</v>
          </cell>
        </row>
        <row r="156">
          <cell r="L156">
            <v>112648363.15672721</v>
          </cell>
          <cell r="M156">
            <v>163805576.3922936</v>
          </cell>
          <cell r="N156">
            <v>268276036.31259289</v>
          </cell>
          <cell r="O156">
            <v>744520014.07159317</v>
          </cell>
          <cell r="P156">
            <v>1880534218.3901145</v>
          </cell>
          <cell r="T156">
            <v>825184.18045707024</v>
          </cell>
          <cell r="U156">
            <v>1167262.5985027773</v>
          </cell>
          <cell r="V156">
            <v>1971822.8583530553</v>
          </cell>
          <cell r="W156">
            <v>5262095.1441883603</v>
          </cell>
          <cell r="X156">
            <v>12563902.158607196</v>
          </cell>
        </row>
        <row r="157">
          <cell r="L157">
            <v>120436815.19771889</v>
          </cell>
          <cell r="M157">
            <v>176038248.52770308</v>
          </cell>
          <cell r="N157">
            <v>329309296.58627486</v>
          </cell>
          <cell r="O157">
            <v>1048364358.3480647</v>
          </cell>
          <cell r="P157">
            <v>2651219260.3727632</v>
          </cell>
          <cell r="T157">
            <v>829517.53824085055</v>
          </cell>
          <cell r="U157">
            <v>1173709.2920649357</v>
          </cell>
          <cell r="V157">
            <v>1983366.2212714294</v>
          </cell>
          <cell r="W157">
            <v>5294812.8433985729</v>
          </cell>
          <cell r="X157">
            <v>12643746.627738429</v>
          </cell>
        </row>
        <row r="158">
          <cell r="L158">
            <v>128770912.15692526</v>
          </cell>
          <cell r="M158">
            <v>209026117.58476669</v>
          </cell>
          <cell r="N158">
            <v>429272515.33814478</v>
          </cell>
          <cell r="O158">
            <v>1361176657.7009187</v>
          </cell>
          <cell r="P158">
            <v>3455416492.6939464</v>
          </cell>
          <cell r="T158">
            <v>833850.89602463087</v>
          </cell>
          <cell r="U158">
            <v>1180155.9856270941</v>
          </cell>
          <cell r="V158">
            <v>1994909.5841898038</v>
          </cell>
          <cell r="W158">
            <v>5327530.5426087845</v>
          </cell>
          <cell r="X158">
            <v>12723591.096869662</v>
          </cell>
        </row>
        <row r="159">
          <cell r="L159">
            <v>137546563.07977226</v>
          </cell>
          <cell r="M159">
            <v>234742620.14612284</v>
          </cell>
          <cell r="N159">
            <v>484051157.41935933</v>
          </cell>
          <cell r="O159">
            <v>1536742765.4889503</v>
          </cell>
          <cell r="P159">
            <v>3901893226.6270924</v>
          </cell>
          <cell r="T159">
            <v>838184.25380841119</v>
          </cell>
          <cell r="U159">
            <v>1186602.6791892524</v>
          </cell>
          <cell r="V159">
            <v>2006452.9471081779</v>
          </cell>
          <cell r="W159">
            <v>5360248.2418189961</v>
          </cell>
          <cell r="X159">
            <v>12803435.566000894</v>
          </cell>
        </row>
        <row r="160">
          <cell r="L160">
            <v>146952072.85536182</v>
          </cell>
          <cell r="M160">
            <v>251077498.86086968</v>
          </cell>
          <cell r="N160">
            <v>518228278.94566095</v>
          </cell>
          <cell r="O160">
            <v>1646418014.0173526</v>
          </cell>
          <cell r="P160">
            <v>4168905505.4417071</v>
          </cell>
          <cell r="T160">
            <v>842517.6115921915</v>
          </cell>
          <cell r="U160">
            <v>1193049.3727514108</v>
          </cell>
          <cell r="V160">
            <v>2017996.3100265521</v>
          </cell>
          <cell r="W160">
            <v>5392965.9410292078</v>
          </cell>
          <cell r="X160">
            <v>12883280.035132127</v>
          </cell>
        </row>
        <row r="161">
          <cell r="L161">
            <v>157032648.63446465</v>
          </cell>
          <cell r="M161">
            <v>268584788.38108474</v>
          </cell>
          <cell r="N161">
            <v>554858410.82342982</v>
          </cell>
          <cell r="O161">
            <v>1763965034.8871698</v>
          </cell>
          <cell r="P161">
            <v>4467436435.3613586</v>
          </cell>
          <cell r="T161">
            <v>846850.96937597182</v>
          </cell>
          <cell r="U161">
            <v>1199496.0663135692</v>
          </cell>
          <cell r="V161">
            <v>2029539.6729449264</v>
          </cell>
          <cell r="W161">
            <v>5425683.6402394194</v>
          </cell>
          <cell r="X161">
            <v>12963124.50426336</v>
          </cell>
        </row>
        <row r="162">
          <cell r="L162">
            <v>167836742.24159318</v>
          </cell>
          <cell r="M162">
            <v>287348636.68979102</v>
          </cell>
          <cell r="N162">
            <v>594117614.09922743</v>
          </cell>
          <cell r="O162">
            <v>1889948812.4556398</v>
          </cell>
          <cell r="P162">
            <v>4787393963.7955246</v>
          </cell>
          <cell r="T162">
            <v>851184.32715975214</v>
          </cell>
          <cell r="U162">
            <v>1205942.7598757276</v>
          </cell>
          <cell r="V162">
            <v>2041083.0358633006</v>
          </cell>
          <cell r="W162">
            <v>5458401.3394496311</v>
          </cell>
          <cell r="X162">
            <v>13042968.973394593</v>
          </cell>
        </row>
        <row r="163">
          <cell r="L163">
            <v>179416283.05647135</v>
          </cell>
          <cell r="M163">
            <v>307459231.36211848</v>
          </cell>
          <cell r="N163">
            <v>636194586.33054423</v>
          </cell>
          <cell r="O163">
            <v>2024974881.9635987</v>
          </cell>
          <cell r="P163">
            <v>5130315951.9099579</v>
          </cell>
          <cell r="T163">
            <v>855517.68494353245</v>
          </cell>
          <cell r="U163">
            <v>1212389.453437886</v>
          </cell>
          <cell r="V163">
            <v>2052626.3987816747</v>
          </cell>
          <cell r="W163">
            <v>5491119.0386598427</v>
          </cell>
          <cell r="X163">
            <v>13122813.442525825</v>
          </cell>
        </row>
        <row r="164">
          <cell r="T164">
            <v>859851.04272731277</v>
          </cell>
          <cell r="U164">
            <v>1218836.1470000444</v>
          </cell>
          <cell r="V164">
            <v>2064169.761700049</v>
          </cell>
          <cell r="W164">
            <v>5523836.7378700543</v>
          </cell>
          <cell r="X164">
            <v>13202657.911657058</v>
          </cell>
        </row>
        <row r="165">
          <cell r="T165">
            <v>864184.40051109309</v>
          </cell>
          <cell r="U165">
            <v>1225282.8405622025</v>
          </cell>
          <cell r="V165">
            <v>2075713.1246184232</v>
          </cell>
          <cell r="W165">
            <v>5556554.437080266</v>
          </cell>
          <cell r="X165">
            <v>13282502.380788291</v>
          </cell>
        </row>
        <row r="166">
          <cell r="T166">
            <v>868517.75829487341</v>
          </cell>
          <cell r="U166">
            <v>1231729.5341243609</v>
          </cell>
          <cell r="V166">
            <v>2087256.4875367973</v>
          </cell>
          <cell r="W166">
            <v>5589272.1362904776</v>
          </cell>
          <cell r="X166">
            <v>13362346.849919524</v>
          </cell>
        </row>
        <row r="167">
          <cell r="T167">
            <v>872851.11607865372</v>
          </cell>
          <cell r="U167">
            <v>1238176.2276865193</v>
          </cell>
          <cell r="V167">
            <v>2098799.8504551714</v>
          </cell>
          <cell r="W167">
            <v>5621989.8355006892</v>
          </cell>
          <cell r="X167">
            <v>13442191.319050755</v>
          </cell>
        </row>
        <row r="168">
          <cell r="T168">
            <v>877184.47386243404</v>
          </cell>
          <cell r="U168">
            <v>1244622.9212486777</v>
          </cell>
          <cell r="V168">
            <v>2110343.2133735456</v>
          </cell>
          <cell r="W168">
            <v>5654707.5347109009</v>
          </cell>
          <cell r="X168">
            <v>13522035.788181989</v>
          </cell>
        </row>
        <row r="169">
          <cell r="T169">
            <v>881517.83164621436</v>
          </cell>
          <cell r="U169">
            <v>1251069.614810836</v>
          </cell>
          <cell r="V169">
            <v>2121886.5762919202</v>
          </cell>
          <cell r="W169">
            <v>5687425.2339211125</v>
          </cell>
          <cell r="X169">
            <v>13601880.257313222</v>
          </cell>
        </row>
        <row r="170">
          <cell r="T170">
            <v>885851.18942999467</v>
          </cell>
          <cell r="U170">
            <v>1257516.3083729944</v>
          </cell>
          <cell r="V170">
            <v>2133429.9392102943</v>
          </cell>
          <cell r="W170">
            <v>5720142.9331313241</v>
          </cell>
          <cell r="X170">
            <v>13681724.726444455</v>
          </cell>
        </row>
        <row r="171">
          <cell r="T171">
            <v>890184.47403977695</v>
          </cell>
          <cell r="U171">
            <v>1263963.0019351528</v>
          </cell>
          <cell r="V171">
            <v>2144973.3021286684</v>
          </cell>
          <cell r="W171">
            <v>5752860.6323415348</v>
          </cell>
          <cell r="X171">
            <v>13761569.195575688</v>
          </cell>
        </row>
        <row r="172">
          <cell r="T172">
            <v>894517.12130961951</v>
          </cell>
          <cell r="U172">
            <v>1270409.6954973112</v>
          </cell>
          <cell r="V172">
            <v>2156512.5337531343</v>
          </cell>
          <cell r="W172">
            <v>5785578.3315517465</v>
          </cell>
          <cell r="X172">
            <v>13841413.664706919</v>
          </cell>
        </row>
        <row r="173">
          <cell r="T173">
            <v>898849.76857946208</v>
          </cell>
          <cell r="U173">
            <v>1276856.3890594693</v>
          </cell>
          <cell r="V173">
            <v>2168040.2855180311</v>
          </cell>
          <cell r="W173">
            <v>5818296.0307619581</v>
          </cell>
          <cell r="X173">
            <v>13921258.133838153</v>
          </cell>
        </row>
        <row r="174">
          <cell r="T174">
            <v>903182.41584930464</v>
          </cell>
          <cell r="U174">
            <v>1283303.0826216277</v>
          </cell>
          <cell r="V174">
            <v>2179568.0372829279</v>
          </cell>
          <cell r="W174">
            <v>5851013.7299721697</v>
          </cell>
          <cell r="X174">
            <v>14001102.602969386</v>
          </cell>
        </row>
        <row r="175">
          <cell r="T175">
            <v>907515.06311914721</v>
          </cell>
          <cell r="U175">
            <v>1289749.7761837861</v>
          </cell>
          <cell r="V175">
            <v>2191095.7890478252</v>
          </cell>
          <cell r="W175">
            <v>5883731.4291823814</v>
          </cell>
          <cell r="X175">
            <v>14080947.072100619</v>
          </cell>
        </row>
        <row r="176">
          <cell r="T176">
            <v>911847.71038898989</v>
          </cell>
          <cell r="U176">
            <v>1296196.4697459445</v>
          </cell>
          <cell r="V176">
            <v>2202623.5408127219</v>
          </cell>
          <cell r="W176">
            <v>5916443.2022817116</v>
          </cell>
          <cell r="X176">
            <v>14160791.54123185</v>
          </cell>
        </row>
        <row r="177">
          <cell r="T177">
            <v>916180.35765883245</v>
          </cell>
          <cell r="U177">
            <v>1302643.1633081029</v>
          </cell>
          <cell r="V177">
            <v>2214151.2925776187</v>
          </cell>
          <cell r="W177">
            <v>5948898.5527772438</v>
          </cell>
          <cell r="X177">
            <v>14240636.010363083</v>
          </cell>
        </row>
        <row r="178">
          <cell r="T178">
            <v>920513.00492867501</v>
          </cell>
          <cell r="U178">
            <v>1309089.856870261</v>
          </cell>
          <cell r="V178">
            <v>2225679.044342516</v>
          </cell>
          <cell r="W178">
            <v>5981353.9032727769</v>
          </cell>
          <cell r="X178">
            <v>14320480.479494317</v>
          </cell>
        </row>
        <row r="179">
          <cell r="T179">
            <v>924845.65219851758</v>
          </cell>
          <cell r="U179">
            <v>1315536.5504324194</v>
          </cell>
          <cell r="V179">
            <v>2237206.7961074128</v>
          </cell>
          <cell r="W179">
            <v>6013809.25376831</v>
          </cell>
          <cell r="X179">
            <v>14400324.94862555</v>
          </cell>
        </row>
        <row r="180">
          <cell r="T180">
            <v>929178.29946836014</v>
          </cell>
          <cell r="U180">
            <v>1321983.2439945778</v>
          </cell>
          <cell r="V180">
            <v>2248734.5478723096</v>
          </cell>
          <cell r="W180">
            <v>6046264.604263843</v>
          </cell>
          <cell r="X180">
            <v>14480169.417756781</v>
          </cell>
        </row>
        <row r="181">
          <cell r="T181">
            <v>933510.94673820282</v>
          </cell>
          <cell r="U181">
            <v>1328429.9375567362</v>
          </cell>
          <cell r="V181">
            <v>2260262.2996372068</v>
          </cell>
          <cell r="W181">
            <v>6078719.9547593761</v>
          </cell>
          <cell r="X181">
            <v>14560013.886888014</v>
          </cell>
        </row>
        <row r="182">
          <cell r="T182">
            <v>937843.59400804539</v>
          </cell>
          <cell r="U182">
            <v>1334876.6311188946</v>
          </cell>
          <cell r="V182">
            <v>2271790.0514021036</v>
          </cell>
          <cell r="W182">
            <v>6111175.3052549092</v>
          </cell>
          <cell r="X182">
            <v>14639858.356019247</v>
          </cell>
        </row>
        <row r="183">
          <cell r="T183">
            <v>942176.24127788795</v>
          </cell>
          <cell r="U183">
            <v>1340923.342526078</v>
          </cell>
          <cell r="V183">
            <v>2283317.8031670004</v>
          </cell>
          <cell r="W183">
            <v>6143630.6557504414</v>
          </cell>
          <cell r="X183">
            <v>14719476.170548452</v>
          </cell>
        </row>
        <row r="184">
          <cell r="T184">
            <v>946072.75534475804</v>
          </cell>
          <cell r="U184">
            <v>1346913.262017586</v>
          </cell>
          <cell r="V184">
            <v>2294498.0339671574</v>
          </cell>
          <cell r="W184">
            <v>6176086.0062459745</v>
          </cell>
          <cell r="X184">
            <v>14798686.112228729</v>
          </cell>
        </row>
        <row r="185">
          <cell r="T185">
            <v>949960.67007037718</v>
          </cell>
          <cell r="U185">
            <v>1352903.1815090941</v>
          </cell>
          <cell r="V185">
            <v>2305502.4107851568</v>
          </cell>
          <cell r="W185">
            <v>6208541.3567415075</v>
          </cell>
          <cell r="X185">
            <v>14877896.053909006</v>
          </cell>
        </row>
        <row r="186">
          <cell r="T186">
            <v>953848.58479599631</v>
          </cell>
          <cell r="U186">
            <v>1358893.1010006021</v>
          </cell>
          <cell r="V186">
            <v>2316506.7876031557</v>
          </cell>
          <cell r="W186">
            <v>6240996.7072370406</v>
          </cell>
          <cell r="X186">
            <v>14957105.995589282</v>
          </cell>
        </row>
        <row r="187">
          <cell r="T187">
            <v>957736.49952161545</v>
          </cell>
          <cell r="U187">
            <v>1364883.0204921104</v>
          </cell>
          <cell r="V187">
            <v>2327511.1644211551</v>
          </cell>
          <cell r="W187">
            <v>6273452.0577325737</v>
          </cell>
          <cell r="X187">
            <v>15036315.937269557</v>
          </cell>
        </row>
        <row r="188">
          <cell r="T188">
            <v>961624.41424723458</v>
          </cell>
          <cell r="U188">
            <v>1370872.9399836184</v>
          </cell>
          <cell r="V188">
            <v>2338515.5412391541</v>
          </cell>
          <cell r="W188">
            <v>6305907.4082281068</v>
          </cell>
          <cell r="X188">
            <v>15115525.878949834</v>
          </cell>
        </row>
        <row r="189">
          <cell r="T189">
            <v>965512.32897285372</v>
          </cell>
          <cell r="U189">
            <v>1376862.8594751265</v>
          </cell>
          <cell r="V189">
            <v>2349519.918057153</v>
          </cell>
          <cell r="W189">
            <v>6338221.9098628685</v>
          </cell>
          <cell r="X189">
            <v>15194735.820630111</v>
          </cell>
        </row>
        <row r="190">
          <cell r="T190">
            <v>969400.24369847286</v>
          </cell>
          <cell r="U190">
            <v>1382852.7789666345</v>
          </cell>
          <cell r="V190">
            <v>2360524.2948751524</v>
          </cell>
          <cell r="W190">
            <v>6370346.7243626676</v>
          </cell>
          <cell r="X190">
            <v>15273945.762310388</v>
          </cell>
        </row>
        <row r="191">
          <cell r="T191">
            <v>973288.15842409199</v>
          </cell>
          <cell r="U191">
            <v>1388842.6984581426</v>
          </cell>
          <cell r="V191">
            <v>2371528.6716931514</v>
          </cell>
          <cell r="W191">
            <v>6402471.5388624668</v>
          </cell>
          <cell r="X191">
            <v>15353155.703990664</v>
          </cell>
        </row>
        <row r="192">
          <cell r="T192">
            <v>977176.07314971113</v>
          </cell>
          <cell r="U192">
            <v>1394832.6179496506</v>
          </cell>
          <cell r="V192">
            <v>2382533.0485111508</v>
          </cell>
          <cell r="W192">
            <v>6434596.353362266</v>
          </cell>
          <cell r="X192">
            <v>15432365.645670941</v>
          </cell>
        </row>
        <row r="193">
          <cell r="T193">
            <v>981063.98787533026</v>
          </cell>
          <cell r="U193">
            <v>1400822.5374411589</v>
          </cell>
          <cell r="V193">
            <v>2393537.4253291497</v>
          </cell>
          <cell r="W193">
            <v>6466721.1678620651</v>
          </cell>
          <cell r="X193">
            <v>15511575.587351218</v>
          </cell>
        </row>
        <row r="194">
          <cell r="T194">
            <v>984951.9026009494</v>
          </cell>
          <cell r="U194">
            <v>1406812.4569326669</v>
          </cell>
          <cell r="V194">
            <v>2404541.8021471491</v>
          </cell>
          <cell r="W194">
            <v>6498845.9823618643</v>
          </cell>
          <cell r="X194">
            <v>15590785.529031493</v>
          </cell>
        </row>
        <row r="195">
          <cell r="T195">
            <v>988839.81732656853</v>
          </cell>
          <cell r="U195">
            <v>1412802.376424175</v>
          </cell>
          <cell r="V195">
            <v>2415546.1789651481</v>
          </cell>
          <cell r="W195">
            <v>6530970.7968616635</v>
          </cell>
          <cell r="X195">
            <v>15669995.47071177</v>
          </cell>
        </row>
        <row r="196">
          <cell r="T196">
            <v>992727.73205218767</v>
          </cell>
          <cell r="U196">
            <v>1418760.5052574067</v>
          </cell>
          <cell r="V196">
            <v>2426550.5557831475</v>
          </cell>
          <cell r="W196">
            <v>6563095.6113614617</v>
          </cell>
          <cell r="X196">
            <v>15749202.672497608</v>
          </cell>
        </row>
        <row r="197">
          <cell r="T197">
            <v>996615.64677780692</v>
          </cell>
          <cell r="U197">
            <v>1424717.2114555878</v>
          </cell>
          <cell r="V197">
            <v>2437554.9326011464</v>
          </cell>
          <cell r="W197">
            <v>6595220.4258612609</v>
          </cell>
          <cell r="X197">
            <v>15828394.968447385</v>
          </cell>
        </row>
        <row r="198">
          <cell r="T198">
            <v>1000503.5615034261</v>
          </cell>
          <cell r="U198">
            <v>1430673.9176537688</v>
          </cell>
          <cell r="V198">
            <v>2448559.3094191458</v>
          </cell>
          <cell r="W198">
            <v>6627345.24036106</v>
          </cell>
          <cell r="X198">
            <v>15907587.264397165</v>
          </cell>
        </row>
        <row r="199">
          <cell r="T199">
            <v>1004391.4762290452</v>
          </cell>
          <cell r="U199">
            <v>1436630.6238519498</v>
          </cell>
          <cell r="V199">
            <v>2459563.6862371447</v>
          </cell>
          <cell r="W199">
            <v>6659470.0548608592</v>
          </cell>
          <cell r="X199">
            <v>15986779.560346944</v>
          </cell>
        </row>
        <row r="200">
          <cell r="T200">
            <v>1008279.3909546643</v>
          </cell>
          <cell r="U200">
            <v>1442587.3300501308</v>
          </cell>
          <cell r="V200">
            <v>2470568.0630551442</v>
          </cell>
          <cell r="W200">
            <v>6691594.8693606583</v>
          </cell>
          <cell r="X200">
            <v>16065971.856296724</v>
          </cell>
        </row>
        <row r="201">
          <cell r="T201">
            <v>1012167.3056802835</v>
          </cell>
          <cell r="U201">
            <v>1448544.0362483119</v>
          </cell>
          <cell r="V201">
            <v>2481572.4398731431</v>
          </cell>
          <cell r="W201">
            <v>6723719.6838604575</v>
          </cell>
          <cell r="X201">
            <v>16145164.152246501</v>
          </cell>
        </row>
        <row r="202">
          <cell r="T202">
            <v>1016055.2204059026</v>
          </cell>
          <cell r="U202">
            <v>1454500.7424464929</v>
          </cell>
          <cell r="V202">
            <v>2492576.8166911425</v>
          </cell>
          <cell r="W202">
            <v>6755844.4983602567</v>
          </cell>
          <cell r="X202">
            <v>16224356.448196281</v>
          </cell>
        </row>
        <row r="203">
          <cell r="T203">
            <v>1019943.1351315217</v>
          </cell>
          <cell r="U203">
            <v>1460457.4486446739</v>
          </cell>
          <cell r="V203">
            <v>2503581.1935091414</v>
          </cell>
          <cell r="W203">
            <v>6787969.3128600558</v>
          </cell>
          <cell r="X203">
            <v>16303548.74414606</v>
          </cell>
        </row>
        <row r="204">
          <cell r="T204">
            <v>1023831.0498571409</v>
          </cell>
          <cell r="U204">
            <v>1466414.1548428549</v>
          </cell>
          <cell r="V204">
            <v>2514585.5703271409</v>
          </cell>
          <cell r="W204">
            <v>6820094.127359855</v>
          </cell>
          <cell r="X204">
            <v>16382741.04009584</v>
          </cell>
        </row>
        <row r="205">
          <cell r="T205">
            <v>1027718.96458276</v>
          </cell>
          <cell r="U205">
            <v>1472370.861041036</v>
          </cell>
          <cell r="V205">
            <v>2525589.9471451398</v>
          </cell>
          <cell r="W205">
            <v>6852218.9418596542</v>
          </cell>
          <cell r="X205">
            <v>16461933.336045617</v>
          </cell>
        </row>
        <row r="206">
          <cell r="T206">
            <v>1031606.8793083791</v>
          </cell>
          <cell r="U206">
            <v>1478327.567239217</v>
          </cell>
          <cell r="V206">
            <v>2536594.3239631392</v>
          </cell>
          <cell r="W206">
            <v>6884343.7563594533</v>
          </cell>
          <cell r="X206">
            <v>16541125.631995397</v>
          </cell>
        </row>
        <row r="207">
          <cell r="T207">
            <v>1035494.7940339983</v>
          </cell>
          <cell r="U207">
            <v>1484284.273437398</v>
          </cell>
          <cell r="V207">
            <v>2547598.7007811381</v>
          </cell>
          <cell r="W207">
            <v>6916468.5708592515</v>
          </cell>
          <cell r="X207">
            <v>16620317.927945176</v>
          </cell>
        </row>
        <row r="208">
          <cell r="T208">
            <v>1039382.7087596174</v>
          </cell>
          <cell r="U208">
            <v>1490240.9796355793</v>
          </cell>
          <cell r="V208">
            <v>2558603.0775991376</v>
          </cell>
          <cell r="W208">
            <v>6948593.3853590507</v>
          </cell>
          <cell r="X208">
            <v>16699510.223894954</v>
          </cell>
        </row>
        <row r="209">
          <cell r="T209">
            <v>1043270.6234852365</v>
          </cell>
          <cell r="U209">
            <v>1496197.6858337603</v>
          </cell>
          <cell r="V209">
            <v>2569607.4544171365</v>
          </cell>
          <cell r="W209">
            <v>6980718.1998588499</v>
          </cell>
          <cell r="X209">
            <v>16778702.519844733</v>
          </cell>
        </row>
        <row r="210">
          <cell r="T210">
            <v>1047158.5382108557</v>
          </cell>
          <cell r="U210">
            <v>1502154.3920319413</v>
          </cell>
          <cell r="V210">
            <v>2580611.8312351359</v>
          </cell>
          <cell r="W210">
            <v>7012843.014358649</v>
          </cell>
          <cell r="X210">
            <v>16857894.815794513</v>
          </cell>
        </row>
        <row r="211">
          <cell r="T211">
            <v>1051046.4529364747</v>
          </cell>
          <cell r="U211">
            <v>1508111.0982301224</v>
          </cell>
          <cell r="V211">
            <v>2591616.2080531348</v>
          </cell>
          <cell r="W211">
            <v>7044967.8288584482</v>
          </cell>
          <cell r="X211">
            <v>16937087.111744292</v>
          </cell>
        </row>
        <row r="212">
          <cell r="T212">
            <v>1054934.3676620938</v>
          </cell>
          <cell r="U212">
            <v>1514067.8044283034</v>
          </cell>
          <cell r="V212">
            <v>2602620.5848711343</v>
          </cell>
          <cell r="W212">
            <v>7077092.6433582474</v>
          </cell>
          <cell r="X212">
            <v>17016279.407694072</v>
          </cell>
        </row>
        <row r="213">
          <cell r="T213">
            <v>1058822.282387713</v>
          </cell>
          <cell r="U213">
            <v>1520024.5106264844</v>
          </cell>
          <cell r="V213">
            <v>2613624.9616891332</v>
          </cell>
          <cell r="W213">
            <v>7109217.4578580465</v>
          </cell>
          <cell r="X213">
            <v>17095471.703643851</v>
          </cell>
        </row>
        <row r="214">
          <cell r="T214">
            <v>1062710.1971133321</v>
          </cell>
          <cell r="U214">
            <v>1525981.2168246654</v>
          </cell>
          <cell r="V214">
            <v>2624629.3385071326</v>
          </cell>
          <cell r="W214">
            <v>7141342.2723578457</v>
          </cell>
          <cell r="X214">
            <v>17174663.99959363</v>
          </cell>
        </row>
        <row r="215">
          <cell r="T215">
            <v>1066598.1118389512</v>
          </cell>
          <cell r="U215">
            <v>1531937.9230228467</v>
          </cell>
          <cell r="V215">
            <v>2635633.7153251315</v>
          </cell>
          <cell r="W215">
            <v>7173467.0868576448</v>
          </cell>
          <cell r="X215">
            <v>17253856.295543406</v>
          </cell>
        </row>
        <row r="216">
          <cell r="T216">
            <v>1070486.0265645704</v>
          </cell>
          <cell r="U216">
            <v>1537894.6292210277</v>
          </cell>
          <cell r="V216">
            <v>2646638.092143131</v>
          </cell>
          <cell r="W216">
            <v>7205591.901357444</v>
          </cell>
          <cell r="X216">
            <v>17333048.591493186</v>
          </cell>
        </row>
        <row r="217">
          <cell r="T217">
            <v>1074373.9412901895</v>
          </cell>
          <cell r="U217">
            <v>1543851.3354192087</v>
          </cell>
          <cell r="V217">
            <v>2657642.4689611299</v>
          </cell>
          <cell r="W217">
            <v>7237716.7158572432</v>
          </cell>
          <cell r="X217">
            <v>17412240.887442965</v>
          </cell>
        </row>
        <row r="218">
          <cell r="T218">
            <v>1078261.8560158086</v>
          </cell>
          <cell r="U218">
            <v>1549808.0416173898</v>
          </cell>
          <cell r="V218">
            <v>2668646.8457791293</v>
          </cell>
          <cell r="W218">
            <v>7269841.5303570414</v>
          </cell>
          <cell r="X218">
            <v>17491433.183392745</v>
          </cell>
        </row>
        <row r="219">
          <cell r="T219">
            <v>1082149.7707414278</v>
          </cell>
          <cell r="U219">
            <v>1555764.7478155708</v>
          </cell>
          <cell r="V219">
            <v>2679651.2225971282</v>
          </cell>
          <cell r="W219">
            <v>7301966.3448568406</v>
          </cell>
          <cell r="X219">
            <v>17570625.479342524</v>
          </cell>
        </row>
        <row r="220">
          <cell r="T220">
            <v>1086037.6854670469</v>
          </cell>
          <cell r="U220">
            <v>1561721.4540137518</v>
          </cell>
          <cell r="V220">
            <v>2690655.5994151277</v>
          </cell>
          <cell r="W220">
            <v>7334091.1593566397</v>
          </cell>
          <cell r="X220">
            <v>17649817.775292303</v>
          </cell>
        </row>
        <row r="221">
          <cell r="T221">
            <v>1089925.6001926661</v>
          </cell>
          <cell r="U221">
            <v>1567678.1602119331</v>
          </cell>
          <cell r="V221">
            <v>2701659.9762331266</v>
          </cell>
          <cell r="W221">
            <v>7366215.9738564389</v>
          </cell>
          <cell r="X221">
            <v>17729010.071242083</v>
          </cell>
        </row>
        <row r="222">
          <cell r="T222">
            <v>1093813.5149182852</v>
          </cell>
          <cell r="U222">
            <v>1573634.8664101141</v>
          </cell>
          <cell r="V222">
            <v>2712664.353051126</v>
          </cell>
          <cell r="W222">
            <v>7398340.788356238</v>
          </cell>
          <cell r="X222">
            <v>17808202.367191862</v>
          </cell>
        </row>
        <row r="223">
          <cell r="T223">
            <v>1097701.4296439043</v>
          </cell>
          <cell r="U223">
            <v>1579591.5726082951</v>
          </cell>
          <cell r="V223">
            <v>2723668.7298691249</v>
          </cell>
          <cell r="W223">
            <v>7430465.6028560372</v>
          </cell>
          <cell r="X223">
            <v>17887394.663141642</v>
          </cell>
        </row>
        <row r="224">
          <cell r="T224">
            <v>1101589.3443695235</v>
          </cell>
          <cell r="U224">
            <v>1585548.2788064762</v>
          </cell>
          <cell r="V224">
            <v>2734673.1066871239</v>
          </cell>
          <cell r="W224">
            <v>7462590.4173558364</v>
          </cell>
          <cell r="X224">
            <v>17966586.959091417</v>
          </cell>
        </row>
        <row r="225">
          <cell r="T225">
            <v>1105477.2590951426</v>
          </cell>
          <cell r="U225">
            <v>1591504.9850046572</v>
          </cell>
          <cell r="V225">
            <v>2745677.4835051233</v>
          </cell>
          <cell r="W225">
            <v>7494715.2318556355</v>
          </cell>
          <cell r="X225">
            <v>18045779.255041197</v>
          </cell>
        </row>
        <row r="226">
          <cell r="T226">
            <v>1109365.1738207617</v>
          </cell>
          <cell r="U226">
            <v>1597461.6912028382</v>
          </cell>
          <cell r="V226">
            <v>2756681.8603231222</v>
          </cell>
          <cell r="W226">
            <v>7526840.0463554347</v>
          </cell>
          <cell r="X226">
            <v>18124971.550990976</v>
          </cell>
        </row>
        <row r="227">
          <cell r="T227">
            <v>1113253.0885463809</v>
          </cell>
          <cell r="U227">
            <v>1603418.3974010192</v>
          </cell>
          <cell r="V227">
            <v>2767686.2371411216</v>
          </cell>
          <cell r="W227">
            <v>7558964.8608552339</v>
          </cell>
          <cell r="X227">
            <v>18204163.846940756</v>
          </cell>
        </row>
        <row r="228">
          <cell r="T228">
            <v>1117141.003272</v>
          </cell>
          <cell r="U228">
            <v>1609375.1035992003</v>
          </cell>
          <cell r="V228">
            <v>2778690.6139591206</v>
          </cell>
          <cell r="W228">
            <v>7591089.675355033</v>
          </cell>
          <cell r="X228">
            <v>18283356.142890535</v>
          </cell>
        </row>
        <row r="229">
          <cell r="T229">
            <v>1121028.9179976194</v>
          </cell>
          <cell r="U229">
            <v>1615331.8097973813</v>
          </cell>
          <cell r="V229">
            <v>2789694.99077712</v>
          </cell>
          <cell r="W229">
            <v>7623214.4898548322</v>
          </cell>
          <cell r="X229">
            <v>18362548.438840315</v>
          </cell>
        </row>
        <row r="230">
          <cell r="T230">
            <v>1124916.8327232385</v>
          </cell>
          <cell r="U230">
            <v>1621288.5159955623</v>
          </cell>
          <cell r="V230">
            <v>2800699.3675951189</v>
          </cell>
          <cell r="W230">
            <v>7655339.3043546304</v>
          </cell>
          <cell r="X230">
            <v>18441740.734790094</v>
          </cell>
        </row>
        <row r="231">
          <cell r="T231">
            <v>1128804.7474488576</v>
          </cell>
          <cell r="U231">
            <v>1627245.2221937433</v>
          </cell>
          <cell r="V231">
            <v>2811703.7444131183</v>
          </cell>
          <cell r="W231">
            <v>7687464.1188544296</v>
          </cell>
          <cell r="X231">
            <v>18520933.030739874</v>
          </cell>
        </row>
        <row r="232">
          <cell r="T232">
            <v>1132692.6621744768</v>
          </cell>
          <cell r="U232">
            <v>1633201.9283919244</v>
          </cell>
          <cell r="V232">
            <v>2822708.1212311173</v>
          </cell>
          <cell r="W232">
            <v>7719588.9333542287</v>
          </cell>
          <cell r="X232">
            <v>18600125.326689649</v>
          </cell>
        </row>
        <row r="233">
          <cell r="T233">
            <v>1136580.5769000959</v>
          </cell>
          <cell r="U233">
            <v>1639158.6345901056</v>
          </cell>
          <cell r="V233">
            <v>2833712.4980491167</v>
          </cell>
          <cell r="W233">
            <v>7751713.7478540279</v>
          </cell>
          <cell r="X233">
            <v>18679317.622639429</v>
          </cell>
        </row>
        <row r="234">
          <cell r="T234">
            <v>1140468.491625715</v>
          </cell>
          <cell r="U234">
            <v>1645115.3407882866</v>
          </cell>
          <cell r="V234">
            <v>2844716.8748671156</v>
          </cell>
          <cell r="W234">
            <v>7783838.5623538271</v>
          </cell>
          <cell r="X234">
            <v>18758509.918589208</v>
          </cell>
        </row>
        <row r="235">
          <cell r="T235">
            <v>1144356.4063513342</v>
          </cell>
          <cell r="U235">
            <v>1651072.0469864677</v>
          </cell>
          <cell r="V235">
            <v>2855721.2516851146</v>
          </cell>
          <cell r="W235">
            <v>7815963.3768536262</v>
          </cell>
          <cell r="X235">
            <v>18837702.214538988</v>
          </cell>
        </row>
        <row r="236">
          <cell r="T236">
            <v>1148244.3210769533</v>
          </cell>
          <cell r="U236">
            <v>1657028.7531846487</v>
          </cell>
          <cell r="V236">
            <v>2866725.628503114</v>
          </cell>
          <cell r="W236">
            <v>7848088.1913534254</v>
          </cell>
          <cell r="X236">
            <v>18916894.510488767</v>
          </cell>
        </row>
        <row r="237">
          <cell r="T237">
            <v>1152132.2358025725</v>
          </cell>
          <cell r="U237">
            <v>1662985.4593828297</v>
          </cell>
          <cell r="V237">
            <v>2877730.0053211129</v>
          </cell>
          <cell r="W237">
            <v>7880213.0058532245</v>
          </cell>
          <cell r="X237">
            <v>18996086.806438547</v>
          </cell>
        </row>
        <row r="238">
          <cell r="T238">
            <v>1156020.1505281916</v>
          </cell>
          <cell r="U238">
            <v>1668942.1655810107</v>
          </cell>
          <cell r="V238">
            <v>2888734.3821391123</v>
          </cell>
          <cell r="W238">
            <v>7912337.8203530237</v>
          </cell>
          <cell r="X238">
            <v>19075279.102388322</v>
          </cell>
        </row>
        <row r="239">
          <cell r="T239">
            <v>1159908.0652538107</v>
          </cell>
          <cell r="U239">
            <v>1674898.8717791918</v>
          </cell>
          <cell r="V239">
            <v>2899738.7589571113</v>
          </cell>
          <cell r="W239">
            <v>7944462.6348528229</v>
          </cell>
          <cell r="X239">
            <v>19154471.398338102</v>
          </cell>
        </row>
        <row r="240">
          <cell r="T240">
            <v>1163795.9799794299</v>
          </cell>
          <cell r="U240">
            <v>1680855.5779773728</v>
          </cell>
          <cell r="V240">
            <v>2910743.1357751107</v>
          </cell>
          <cell r="W240">
            <v>7976587.449352622</v>
          </cell>
          <cell r="X240">
            <v>19233663.694287881</v>
          </cell>
        </row>
        <row r="241">
          <cell r="T241">
            <v>1167683.894705049</v>
          </cell>
          <cell r="U241">
            <v>1686812.2841755538</v>
          </cell>
          <cell r="V241">
            <v>2921747.5125931096</v>
          </cell>
          <cell r="W241">
            <v>8008712.2638524203</v>
          </cell>
          <cell r="X241">
            <v>19312855.990237661</v>
          </cell>
        </row>
        <row r="242">
          <cell r="T242">
            <v>1171571.8094306681</v>
          </cell>
          <cell r="U242">
            <v>1692768.9903737349</v>
          </cell>
          <cell r="V242">
            <v>2932751.889411109</v>
          </cell>
          <cell r="W242">
            <v>8040837.0783522194</v>
          </cell>
          <cell r="X242">
            <v>19392048.28618744</v>
          </cell>
        </row>
        <row r="243">
          <cell r="T243">
            <v>1175459.7241562873</v>
          </cell>
          <cell r="U243">
            <v>1698725.6965719159</v>
          </cell>
          <cell r="V243">
            <v>2943756.266229108</v>
          </cell>
          <cell r="W243">
            <v>8072961.8928520186</v>
          </cell>
          <cell r="X243">
            <v>19471240.58213722</v>
          </cell>
        </row>
        <row r="244">
          <cell r="T244">
            <v>1179347.6388819064</v>
          </cell>
          <cell r="U244">
            <v>1704682.4027700971</v>
          </cell>
          <cell r="V244">
            <v>2954760.6430471069</v>
          </cell>
          <cell r="W244">
            <v>8105086.7073518177</v>
          </cell>
          <cell r="X244">
            <v>19550432.878086999</v>
          </cell>
        </row>
        <row r="245">
          <cell r="T245">
            <v>1183235.5536075255</v>
          </cell>
          <cell r="U245">
            <v>1710639.1089682782</v>
          </cell>
          <cell r="V245">
            <v>2965765.0198651063</v>
          </cell>
          <cell r="W245">
            <v>8137211.5218516169</v>
          </cell>
          <cell r="X245">
            <v>19629625.174036775</v>
          </cell>
        </row>
        <row r="246">
          <cell r="T246">
            <v>1187123.4683331447</v>
          </cell>
          <cell r="U246">
            <v>1716595.8151664592</v>
          </cell>
          <cell r="V246">
            <v>2976769.3966831053</v>
          </cell>
          <cell r="W246">
            <v>8169336.3363514161</v>
          </cell>
          <cell r="X246">
            <v>19708817.469986554</v>
          </cell>
        </row>
        <row r="247">
          <cell r="T247">
            <v>1191011.3830587638</v>
          </cell>
          <cell r="U247">
            <v>1722552.5213646402</v>
          </cell>
          <cell r="V247">
            <v>2987773.7735011047</v>
          </cell>
          <cell r="W247">
            <v>8201461.1508512152</v>
          </cell>
          <cell r="X247">
            <v>19788009.765936334</v>
          </cell>
        </row>
        <row r="248">
          <cell r="T248">
            <v>1194899.2977843829</v>
          </cell>
          <cell r="U248">
            <v>1728509.2275628212</v>
          </cell>
          <cell r="V248">
            <v>2998778.1503191036</v>
          </cell>
          <cell r="W248">
            <v>8233585.9653510144</v>
          </cell>
          <cell r="X248">
            <v>19867202.061886113</v>
          </cell>
        </row>
        <row r="249">
          <cell r="T249">
            <v>1198787.2125100021</v>
          </cell>
          <cell r="U249">
            <v>1734465.9337610023</v>
          </cell>
          <cell r="V249">
            <v>3009782.527137103</v>
          </cell>
          <cell r="W249">
            <v>8265710.7798508136</v>
          </cell>
          <cell r="X249">
            <v>19946394.357835893</v>
          </cell>
        </row>
        <row r="250">
          <cell r="T250">
            <v>1202675.1272356212</v>
          </cell>
          <cell r="U250">
            <v>1740422.6399591835</v>
          </cell>
          <cell r="V250">
            <v>3020786.903955102</v>
          </cell>
          <cell r="W250">
            <v>8297835.5943506127</v>
          </cell>
          <cell r="X250">
            <v>20025586.653785672</v>
          </cell>
        </row>
        <row r="251">
          <cell r="T251">
            <v>1206563.0419612403</v>
          </cell>
          <cell r="U251">
            <v>1746379.3461573645</v>
          </cell>
          <cell r="V251">
            <v>3031791.2807731009</v>
          </cell>
          <cell r="W251">
            <v>8329960.4088504119</v>
          </cell>
          <cell r="X251">
            <v>20104778.949735451</v>
          </cell>
        </row>
        <row r="252">
          <cell r="T252">
            <v>1210450.9566868595</v>
          </cell>
          <cell r="U252">
            <v>1752336.0523555456</v>
          </cell>
          <cell r="V252">
            <v>3042795.6575911003</v>
          </cell>
          <cell r="W252">
            <v>8362085.223350211</v>
          </cell>
          <cell r="X252">
            <v>20183971.245685227</v>
          </cell>
        </row>
        <row r="253">
          <cell r="T253">
            <v>1214338.8714124786</v>
          </cell>
          <cell r="U253">
            <v>1758292.7585537266</v>
          </cell>
          <cell r="V253">
            <v>3053800.0344090993</v>
          </cell>
          <cell r="W253">
            <v>8394210.0378500111</v>
          </cell>
          <cell r="X253">
            <v>20263163.541635007</v>
          </cell>
        </row>
        <row r="254">
          <cell r="T254">
            <v>1218226.7861380978</v>
          </cell>
          <cell r="U254">
            <v>1764249.4647519076</v>
          </cell>
          <cell r="V254">
            <v>3064804.4112270987</v>
          </cell>
          <cell r="W254">
            <v>8426334.8523498103</v>
          </cell>
          <cell r="X254">
            <v>20342355.837584786</v>
          </cell>
        </row>
        <row r="255">
          <cell r="T255">
            <v>1222114.7008637169</v>
          </cell>
          <cell r="U255">
            <v>1770206.1709500886</v>
          </cell>
          <cell r="V255">
            <v>3075808.7880450976</v>
          </cell>
          <cell r="W255">
            <v>8458459.6668496095</v>
          </cell>
          <cell r="X255">
            <v>20421548.133534566</v>
          </cell>
        </row>
        <row r="256">
          <cell r="T256">
            <v>1226002.615589336</v>
          </cell>
          <cell r="U256">
            <v>1776162.8771482697</v>
          </cell>
          <cell r="V256">
            <v>3086813.1648630966</v>
          </cell>
          <cell r="W256">
            <v>8490584.4813494068</v>
          </cell>
          <cell r="X256">
            <v>20500740.429484345</v>
          </cell>
        </row>
        <row r="257">
          <cell r="T257">
            <v>1229890.5303149552</v>
          </cell>
          <cell r="U257">
            <v>1782119.5833464509</v>
          </cell>
          <cell r="V257">
            <v>3097817.541681096</v>
          </cell>
          <cell r="W257">
            <v>8522709.2958492059</v>
          </cell>
          <cell r="X257">
            <v>20579932.725434124</v>
          </cell>
        </row>
        <row r="258">
          <cell r="T258">
            <v>1233778.4450405743</v>
          </cell>
          <cell r="U258">
            <v>1788076.289544632</v>
          </cell>
          <cell r="V258">
            <v>3108821.9184990949</v>
          </cell>
          <cell r="W258">
            <v>8554834.1103490051</v>
          </cell>
          <cell r="X258">
            <v>20659125.021383904</v>
          </cell>
        </row>
        <row r="259">
          <cell r="T259">
            <v>1237666.3597661934</v>
          </cell>
          <cell r="U259">
            <v>1794032.995742813</v>
          </cell>
          <cell r="V259">
            <v>3119826.2953170943</v>
          </cell>
          <cell r="W259">
            <v>8586958.9248488043</v>
          </cell>
          <cell r="X259">
            <v>20738317.31733368</v>
          </cell>
        </row>
        <row r="260">
          <cell r="T260">
            <v>1241554.2744918126</v>
          </cell>
          <cell r="U260">
            <v>1799989.701940994</v>
          </cell>
          <cell r="V260">
            <v>3130830.6721350932</v>
          </cell>
          <cell r="W260">
            <v>8619083.7393486034</v>
          </cell>
          <cell r="X260">
            <v>20817509.613283459</v>
          </cell>
        </row>
        <row r="261">
          <cell r="T261">
            <v>1245442.1892174317</v>
          </cell>
          <cell r="U261">
            <v>1805946.408139175</v>
          </cell>
          <cell r="V261">
            <v>3141835.0489530927</v>
          </cell>
          <cell r="W261">
            <v>8651208.5538484026</v>
          </cell>
          <cell r="X261">
            <v>20896701.909233239</v>
          </cell>
        </row>
        <row r="262">
          <cell r="T262">
            <v>1249330.1039430508</v>
          </cell>
          <cell r="U262">
            <v>1811903.1143373561</v>
          </cell>
          <cell r="V262">
            <v>3152839.4257710916</v>
          </cell>
          <cell r="W262">
            <v>8683333.3683482017</v>
          </cell>
          <cell r="X262">
            <v>20975894.205183018</v>
          </cell>
        </row>
        <row r="263">
          <cell r="T263">
            <v>1253218.01866867</v>
          </cell>
          <cell r="U263">
            <v>1817859.8205355371</v>
          </cell>
          <cell r="V263">
            <v>3163843.802589091</v>
          </cell>
          <cell r="W263">
            <v>8715458.1828480009</v>
          </cell>
          <cell r="X263">
            <v>21055086.501132797</v>
          </cell>
        </row>
        <row r="264">
          <cell r="T264">
            <v>1257105.9333942891</v>
          </cell>
          <cell r="U264">
            <v>1823816.5267337181</v>
          </cell>
          <cell r="V264">
            <v>3174848.1794070899</v>
          </cell>
          <cell r="W264">
            <v>8747582.9973478001</v>
          </cell>
          <cell r="X264">
            <v>21134278.797082577</v>
          </cell>
        </row>
        <row r="265">
          <cell r="T265">
            <v>1260993.8481199082</v>
          </cell>
          <cell r="U265">
            <v>1829773.2329318991</v>
          </cell>
          <cell r="V265">
            <v>3185852.5562250894</v>
          </cell>
          <cell r="W265">
            <v>8779707.8118475992</v>
          </cell>
          <cell r="X265">
            <v>21213471.093032356</v>
          </cell>
        </row>
        <row r="266">
          <cell r="T266">
            <v>1264881.7628455274</v>
          </cell>
          <cell r="U266">
            <v>1835729.9391300802</v>
          </cell>
          <cell r="V266">
            <v>3196856.9330430883</v>
          </cell>
          <cell r="W266">
            <v>8811832.6263473984</v>
          </cell>
          <cell r="X266">
            <v>21292663.388982136</v>
          </cell>
        </row>
        <row r="267">
          <cell r="T267">
            <v>1268769.6775711465</v>
          </cell>
          <cell r="U267">
            <v>1841686.6453282614</v>
          </cell>
          <cell r="V267">
            <v>3207861.3098610877</v>
          </cell>
          <cell r="W267">
            <v>8843957.4408471957</v>
          </cell>
          <cell r="X267">
            <v>21371855.684931912</v>
          </cell>
        </row>
        <row r="268">
          <cell r="T268">
            <v>1272657.5922967657</v>
          </cell>
          <cell r="U268">
            <v>1847643.3515264424</v>
          </cell>
          <cell r="V268">
            <v>3218865.6866790866</v>
          </cell>
          <cell r="W268">
            <v>8876082.2553469948</v>
          </cell>
          <cell r="X268">
            <v>21451047.980881691</v>
          </cell>
        </row>
        <row r="269">
          <cell r="T269">
            <v>1276545.5070223848</v>
          </cell>
          <cell r="U269">
            <v>1853600.0577246235</v>
          </cell>
          <cell r="V269">
            <v>3229870.0634970861</v>
          </cell>
          <cell r="W269">
            <v>8908207.069846794</v>
          </cell>
          <cell r="X269">
            <v>21530240.27683147</v>
          </cell>
        </row>
        <row r="270">
          <cell r="T270">
            <v>1280433.4217480039</v>
          </cell>
          <cell r="U270">
            <v>1859556.7639228045</v>
          </cell>
          <cell r="V270">
            <v>3240874.440315085</v>
          </cell>
          <cell r="W270">
            <v>8940331.8843465932</v>
          </cell>
          <cell r="X270">
            <v>21609432.57278125</v>
          </cell>
        </row>
        <row r="271">
          <cell r="T271">
            <v>1284321.3364736231</v>
          </cell>
          <cell r="U271">
            <v>1865513.4701209855</v>
          </cell>
          <cell r="V271">
            <v>3251878.8171330839</v>
          </cell>
          <cell r="W271">
            <v>8972456.6988463923</v>
          </cell>
          <cell r="X271">
            <v>21688624.868731029</v>
          </cell>
        </row>
        <row r="272">
          <cell r="T272">
            <v>1288209.2511992422</v>
          </cell>
          <cell r="U272">
            <v>1871470.1763191666</v>
          </cell>
          <cell r="V272">
            <v>3262883.1939510833</v>
          </cell>
          <cell r="W272">
            <v>9004581.5133461915</v>
          </cell>
          <cell r="X272">
            <v>21767817.164680809</v>
          </cell>
        </row>
        <row r="273">
          <cell r="T273">
            <v>1292097.1659248616</v>
          </cell>
          <cell r="U273">
            <v>1877426.8825173476</v>
          </cell>
          <cell r="V273">
            <v>3273887.5707690823</v>
          </cell>
          <cell r="W273">
            <v>9036706.3278459907</v>
          </cell>
          <cell r="X273">
            <v>21847009.460630588</v>
          </cell>
        </row>
        <row r="274">
          <cell r="T274">
            <v>1295985.0806504807</v>
          </cell>
          <cell r="U274">
            <v>1883383.5887155286</v>
          </cell>
          <cell r="V274">
            <v>3284891.9475870817</v>
          </cell>
          <cell r="W274">
            <v>9068831.1423457898</v>
          </cell>
          <cell r="X274">
            <v>21926201.756580368</v>
          </cell>
        </row>
        <row r="275">
          <cell r="T275">
            <v>1299872.9953760998</v>
          </cell>
          <cell r="U275">
            <v>1889340.2949137096</v>
          </cell>
          <cell r="V275">
            <v>3295896.3244050806</v>
          </cell>
          <cell r="W275">
            <v>9100955.956845589</v>
          </cell>
          <cell r="X275">
            <v>22005394.052530147</v>
          </cell>
        </row>
        <row r="276">
          <cell r="T276">
            <v>1303760.910101719</v>
          </cell>
          <cell r="U276">
            <v>1895297.0011118907</v>
          </cell>
          <cell r="V276">
            <v>3306900.70122308</v>
          </cell>
          <cell r="W276">
            <v>9133080.7713453881</v>
          </cell>
          <cell r="X276">
            <v>22084586.348479923</v>
          </cell>
        </row>
        <row r="277">
          <cell r="T277">
            <v>1307648.8248273381</v>
          </cell>
          <cell r="U277">
            <v>1901253.7073100717</v>
          </cell>
          <cell r="V277">
            <v>3317905.078041079</v>
          </cell>
          <cell r="W277">
            <v>9165205.5858451873</v>
          </cell>
          <cell r="X277">
            <v>22163778.644429702</v>
          </cell>
        </row>
        <row r="278">
          <cell r="T278">
            <v>1311536.7395529572</v>
          </cell>
          <cell r="U278">
            <v>1907210.4135082529</v>
          </cell>
          <cell r="V278">
            <v>3328909.4548590784</v>
          </cell>
          <cell r="W278">
            <v>9197330.4003449865</v>
          </cell>
          <cell r="X278">
            <v>22242970.940379482</v>
          </cell>
        </row>
        <row r="279">
          <cell r="T279">
            <v>1315424.6542785764</v>
          </cell>
          <cell r="U279">
            <v>1913167.119706434</v>
          </cell>
          <cell r="V279">
            <v>3339913.8316770773</v>
          </cell>
          <cell r="W279">
            <v>9229455.2148447856</v>
          </cell>
          <cell r="X279">
            <v>22322163.236329261</v>
          </cell>
        </row>
        <row r="280">
          <cell r="T280">
            <v>1319312.5690041955</v>
          </cell>
          <cell r="U280">
            <v>1919123.825904615</v>
          </cell>
          <cell r="V280">
            <v>3350918.2084950767</v>
          </cell>
          <cell r="W280">
            <v>9261580.0293445848</v>
          </cell>
          <cell r="X280">
            <v>22401355.532279041</v>
          </cell>
        </row>
        <row r="281">
          <cell r="T281">
            <v>1323200.4837298146</v>
          </cell>
          <cell r="U281">
            <v>1925080.532102796</v>
          </cell>
          <cell r="V281">
            <v>3361922.5853130757</v>
          </cell>
          <cell r="W281">
            <v>9293704.843844384</v>
          </cell>
          <cell r="X281">
            <v>22480547.82822882</v>
          </cell>
        </row>
        <row r="282">
          <cell r="T282">
            <v>1327088.3984554338</v>
          </cell>
          <cell r="U282">
            <v>1931037.238300977</v>
          </cell>
          <cell r="V282">
            <v>3372926.9621310751</v>
          </cell>
          <cell r="W282">
            <v>9325829.6583441831</v>
          </cell>
          <cell r="X282">
            <v>22559740.1241786</v>
          </cell>
        </row>
        <row r="283">
          <cell r="T283">
            <v>1330976.3131810529</v>
          </cell>
          <cell r="U283">
            <v>1936993.9444991581</v>
          </cell>
          <cell r="V283">
            <v>3383931.338949074</v>
          </cell>
          <cell r="W283">
            <v>9357954.4728439823</v>
          </cell>
          <cell r="X283">
            <v>22638932.420128379</v>
          </cell>
        </row>
        <row r="284">
          <cell r="T284">
            <v>1334864.2279066721</v>
          </cell>
          <cell r="U284">
            <v>1942950.6506973391</v>
          </cell>
          <cell r="V284">
            <v>3394935.715767073</v>
          </cell>
          <cell r="W284">
            <v>9390079.2873437814</v>
          </cell>
          <cell r="X284">
            <v>22718124.716078155</v>
          </cell>
        </row>
        <row r="285">
          <cell r="T285">
            <v>1338752.1426322912</v>
          </cell>
          <cell r="U285">
            <v>1948907.3568955201</v>
          </cell>
          <cell r="V285">
            <v>3405940.0925850724</v>
          </cell>
          <cell r="W285">
            <v>9422204.1018435806</v>
          </cell>
          <cell r="X285">
            <v>22797317.012027934</v>
          </cell>
        </row>
        <row r="286">
          <cell r="T286">
            <v>1342640.0573579101</v>
          </cell>
          <cell r="U286">
            <v>1954864.0630937011</v>
          </cell>
          <cell r="V286">
            <v>3416944.4694030713</v>
          </cell>
          <cell r="W286">
            <v>9454328.9163433798</v>
          </cell>
          <cell r="X286">
            <v>22876509.307977714</v>
          </cell>
        </row>
        <row r="287">
          <cell r="T287">
            <v>1346527.9720835295</v>
          </cell>
          <cell r="U287">
            <v>1960820.7692918822</v>
          </cell>
          <cell r="V287">
            <v>3427948.8462210707</v>
          </cell>
          <cell r="W287">
            <v>9486453.7308431789</v>
          </cell>
          <cell r="X287">
            <v>22955701.603927493</v>
          </cell>
        </row>
        <row r="288">
          <cell r="T288">
            <v>1350415.8868091484</v>
          </cell>
          <cell r="U288">
            <v>1966777.4754900634</v>
          </cell>
          <cell r="V288">
            <v>3438953.2230390697</v>
          </cell>
          <cell r="W288">
            <v>9518578.5453429781</v>
          </cell>
          <cell r="X288">
            <v>23034893.899877273</v>
          </cell>
        </row>
        <row r="289">
          <cell r="T289">
            <v>1354303.8015347675</v>
          </cell>
          <cell r="U289">
            <v>1972734.1816882445</v>
          </cell>
          <cell r="V289">
            <v>3449957.5998570691</v>
          </cell>
          <cell r="W289">
            <v>9550703.3598427773</v>
          </cell>
          <cell r="X289">
            <v>23114086.195827052</v>
          </cell>
        </row>
        <row r="290">
          <cell r="T290">
            <v>1358191.7162603866</v>
          </cell>
          <cell r="U290">
            <v>1978690.8878864255</v>
          </cell>
          <cell r="V290">
            <v>3460961.976675068</v>
          </cell>
          <cell r="W290">
            <v>9582828.1743425764</v>
          </cell>
          <cell r="X290">
            <v>23193278.491776831</v>
          </cell>
        </row>
        <row r="291">
          <cell r="T291">
            <v>1362079.6309860058</v>
          </cell>
          <cell r="U291">
            <v>1984647.5940846065</v>
          </cell>
          <cell r="V291">
            <v>3471966.3534930674</v>
          </cell>
          <cell r="W291">
            <v>9614952.9888423756</v>
          </cell>
          <cell r="X291">
            <v>23272470.787726611</v>
          </cell>
        </row>
        <row r="292">
          <cell r="T292">
            <v>1365967.5457116249</v>
          </cell>
          <cell r="U292">
            <v>1990604.3002827875</v>
          </cell>
          <cell r="V292">
            <v>3482970.7303110664</v>
          </cell>
          <cell r="W292">
            <v>9647077.8033421747</v>
          </cell>
          <cell r="X292">
            <v>23351663.08367639</v>
          </cell>
        </row>
        <row r="293">
          <cell r="T293">
            <v>1369855.460437244</v>
          </cell>
          <cell r="U293">
            <v>1996561.0064809686</v>
          </cell>
          <cell r="V293">
            <v>3493975.1071290653</v>
          </cell>
          <cell r="W293">
            <v>9679202.6178419739</v>
          </cell>
          <cell r="X293">
            <v>23430855.37962617</v>
          </cell>
        </row>
        <row r="294">
          <cell r="T294">
            <v>1373743.3751628632</v>
          </cell>
          <cell r="U294">
            <v>2002517.7126791496</v>
          </cell>
          <cell r="V294">
            <v>3504979.4839470647</v>
          </cell>
          <cell r="W294">
            <v>9711327.4323417731</v>
          </cell>
          <cell r="X294">
            <v>23510047.675575946</v>
          </cell>
        </row>
        <row r="295">
          <cell r="T295">
            <v>1377631.2898884823</v>
          </cell>
          <cell r="U295">
            <v>2008474.4188773306</v>
          </cell>
          <cell r="V295">
            <v>3515983.8607650637</v>
          </cell>
          <cell r="W295">
            <v>9743452.2468415722</v>
          </cell>
          <cell r="X295">
            <v>23589239.971525725</v>
          </cell>
        </row>
        <row r="296">
          <cell r="T296">
            <v>1381519.2046141014</v>
          </cell>
          <cell r="U296">
            <v>2014431.1250755116</v>
          </cell>
          <cell r="V296">
            <v>3526988.2375830631</v>
          </cell>
          <cell r="W296">
            <v>9775577.0613413714</v>
          </cell>
          <cell r="X296">
            <v>23668432.267475504</v>
          </cell>
        </row>
        <row r="297">
          <cell r="T297">
            <v>1385407.1193397206</v>
          </cell>
          <cell r="U297">
            <v>2020387.8312736927</v>
          </cell>
          <cell r="V297">
            <v>3537992.614401062</v>
          </cell>
          <cell r="W297">
            <v>9807701.8758411705</v>
          </cell>
          <cell r="X297">
            <v>23747624.563425284</v>
          </cell>
        </row>
        <row r="298">
          <cell r="T298">
            <v>1389295.0340653397</v>
          </cell>
          <cell r="U298">
            <v>2026344.5374718737</v>
          </cell>
          <cell r="V298">
            <v>3548996.9912190614</v>
          </cell>
          <cell r="W298">
            <v>9839826.6903409697</v>
          </cell>
          <cell r="X298">
            <v>23826816.859375063</v>
          </cell>
        </row>
        <row r="299">
          <cell r="T299">
            <v>1393182.9487909588</v>
          </cell>
          <cell r="U299">
            <v>2032301.2436700547</v>
          </cell>
          <cell r="V299">
            <v>3560001.3680370604</v>
          </cell>
          <cell r="W299">
            <v>9871951.5048407689</v>
          </cell>
          <cell r="X299">
            <v>23906009.155324843</v>
          </cell>
        </row>
        <row r="300">
          <cell r="T300">
            <v>1397070.863516578</v>
          </cell>
          <cell r="U300">
            <v>2038257.949868236</v>
          </cell>
          <cell r="V300">
            <v>3571005.7448550598</v>
          </cell>
          <cell r="W300">
            <v>9904076.3193405662</v>
          </cell>
          <cell r="X300">
            <v>23985201.451274622</v>
          </cell>
        </row>
        <row r="301">
          <cell r="T301">
            <v>1400958.7782421971</v>
          </cell>
          <cell r="U301">
            <v>2044214.656066417</v>
          </cell>
          <cell r="V301">
            <v>3582010.1216730587</v>
          </cell>
          <cell r="W301">
            <v>9936201.1338403653</v>
          </cell>
          <cell r="X301">
            <v>24064393.747224402</v>
          </cell>
        </row>
        <row r="302">
          <cell r="T302">
            <v>1404846.6929678163</v>
          </cell>
          <cell r="U302">
            <v>2050171.362264598</v>
          </cell>
          <cell r="V302">
            <v>3593014.4984910581</v>
          </cell>
          <cell r="W302">
            <v>9968325.9483401645</v>
          </cell>
          <cell r="X302">
            <v>24143586.043174177</v>
          </cell>
        </row>
        <row r="303">
          <cell r="T303">
            <v>1408734.6076934354</v>
          </cell>
          <cell r="U303">
            <v>2056128.068462779</v>
          </cell>
          <cell r="V303">
            <v>3604018.8753090571</v>
          </cell>
          <cell r="W303">
            <v>10000450.762839964</v>
          </cell>
          <cell r="X303">
            <v>24222778.339123957</v>
          </cell>
        </row>
        <row r="304">
          <cell r="T304">
            <v>1412622.5224190545</v>
          </cell>
          <cell r="U304">
            <v>2062084.7746609601</v>
          </cell>
          <cell r="V304">
            <v>3615023.2521270565</v>
          </cell>
          <cell r="W304">
            <v>10032575.577339763</v>
          </cell>
          <cell r="X304">
            <v>24301970.635073736</v>
          </cell>
        </row>
        <row r="305">
          <cell r="T305">
            <v>1416510.4371446737</v>
          </cell>
          <cell r="U305">
            <v>2068041.4808591411</v>
          </cell>
          <cell r="V305">
            <v>3626027.6289450554</v>
          </cell>
          <cell r="W305">
            <v>10064700.391839562</v>
          </cell>
          <cell r="X305">
            <v>24381162.931023516</v>
          </cell>
        </row>
        <row r="306">
          <cell r="T306">
            <v>1420398.3518702928</v>
          </cell>
          <cell r="U306">
            <v>2073998.1870573221</v>
          </cell>
          <cell r="V306">
            <v>3637032.0057630544</v>
          </cell>
          <cell r="W306">
            <v>10096825.206339361</v>
          </cell>
          <cell r="X306">
            <v>24460355.226973295</v>
          </cell>
        </row>
        <row r="307">
          <cell r="T307">
            <v>1424286.2665959122</v>
          </cell>
          <cell r="U307">
            <v>2079954.8932555031</v>
          </cell>
          <cell r="V307">
            <v>3648036.3825810538</v>
          </cell>
          <cell r="W307">
            <v>10128950.02083916</v>
          </cell>
          <cell r="X307">
            <v>24539547.522923075</v>
          </cell>
        </row>
        <row r="308">
          <cell r="T308">
            <v>1428174.1813215311</v>
          </cell>
          <cell r="U308">
            <v>2085911.5994536842</v>
          </cell>
          <cell r="V308">
            <v>3659040.7593990527</v>
          </cell>
          <cell r="W308">
            <v>10161074.835338959</v>
          </cell>
          <cell r="X308">
            <v>24618739.818872854</v>
          </cell>
        </row>
        <row r="309">
          <cell r="T309">
            <v>1432062.0960471504</v>
          </cell>
          <cell r="U309">
            <v>2091868.3056518652</v>
          </cell>
          <cell r="V309">
            <v>3670045.1362170521</v>
          </cell>
          <cell r="W309">
            <v>10193199.649838759</v>
          </cell>
          <cell r="X309">
            <v>24697932.114822634</v>
          </cell>
        </row>
        <row r="310">
          <cell r="T310">
            <v>1435950.0107727696</v>
          </cell>
          <cell r="U310">
            <v>2097825.0118500465</v>
          </cell>
          <cell r="V310">
            <v>3681049.5130350511</v>
          </cell>
          <cell r="W310">
            <v>10225324.464338558</v>
          </cell>
          <cell r="X310">
            <v>24777124.410772413</v>
          </cell>
        </row>
        <row r="311">
          <cell r="T311">
            <v>1439837.9254983887</v>
          </cell>
          <cell r="U311">
            <v>2103781.7180482275</v>
          </cell>
          <cell r="V311">
            <v>3692053.8898530505</v>
          </cell>
          <cell r="W311">
            <v>10257449.278838357</v>
          </cell>
          <cell r="X311">
            <v>24856316.706722189</v>
          </cell>
        </row>
        <row r="312">
          <cell r="T312">
            <v>1443725.8402240078</v>
          </cell>
          <cell r="U312">
            <v>2109738.4242464085</v>
          </cell>
          <cell r="V312">
            <v>3703058.2666710494</v>
          </cell>
          <cell r="W312">
            <v>10289574.093338156</v>
          </cell>
          <cell r="X312">
            <v>24935509.002671968</v>
          </cell>
        </row>
        <row r="313">
          <cell r="T313">
            <v>1447613.754949627</v>
          </cell>
          <cell r="U313">
            <v>2115695.1304445895</v>
          </cell>
          <cell r="V313">
            <v>3714062.6434890488</v>
          </cell>
          <cell r="W313">
            <v>10321698.907837955</v>
          </cell>
          <cell r="X313">
            <v>25014701.298621748</v>
          </cell>
        </row>
        <row r="314">
          <cell r="T314">
            <v>1451501.6696752461</v>
          </cell>
          <cell r="U314">
            <v>2121651.8366427706</v>
          </cell>
          <cell r="V314">
            <v>3725067.0203070478</v>
          </cell>
          <cell r="W314">
            <v>10353823.722337754</v>
          </cell>
          <cell r="X314">
            <v>25093893.594571527</v>
          </cell>
        </row>
        <row r="315">
          <cell r="T315">
            <v>1455389.5844008652</v>
          </cell>
          <cell r="U315">
            <v>2127608.5428409516</v>
          </cell>
          <cell r="V315">
            <v>3736071.3971250472</v>
          </cell>
          <cell r="W315">
            <v>10385948.536837554</v>
          </cell>
          <cell r="X315">
            <v>25173085.890521307</v>
          </cell>
        </row>
        <row r="316">
          <cell r="T316">
            <v>1459277.4991264844</v>
          </cell>
          <cell r="U316">
            <v>2133565.2490391326</v>
          </cell>
          <cell r="V316">
            <v>3747075.7739430461</v>
          </cell>
          <cell r="W316">
            <v>10418073.351337353</v>
          </cell>
          <cell r="X316">
            <v>25252278.186471086</v>
          </cell>
        </row>
        <row r="317">
          <cell r="T317">
            <v>1463165.4138521035</v>
          </cell>
          <cell r="U317">
            <v>2139521.9552373136</v>
          </cell>
          <cell r="V317">
            <v>3758080.1507610455</v>
          </cell>
          <cell r="W317">
            <v>10450198.165837152</v>
          </cell>
          <cell r="X317">
            <v>25331470.482420865</v>
          </cell>
        </row>
        <row r="318">
          <cell r="T318">
            <v>1467053.3285777227</v>
          </cell>
          <cell r="U318">
            <v>2145478.6614354947</v>
          </cell>
          <cell r="V318">
            <v>3769084.5275790445</v>
          </cell>
          <cell r="W318">
            <v>10482322.980336951</v>
          </cell>
          <cell r="X318">
            <v>25410662.778370641</v>
          </cell>
        </row>
        <row r="319">
          <cell r="T319">
            <v>1470941.2433033418</v>
          </cell>
          <cell r="U319">
            <v>2151435.3676336757</v>
          </cell>
          <cell r="V319">
            <v>3780088.9043970439</v>
          </cell>
          <cell r="W319">
            <v>10514447.794836748</v>
          </cell>
          <cell r="X319">
            <v>25489855.074320421</v>
          </cell>
        </row>
        <row r="320">
          <cell r="T320">
            <v>1474829.1580289609</v>
          </cell>
          <cell r="U320">
            <v>2157392.0738318567</v>
          </cell>
          <cell r="V320">
            <v>3791093.2812150428</v>
          </cell>
          <cell r="W320">
            <v>10546572.609336548</v>
          </cell>
          <cell r="X320">
            <v>25569047.3702702</v>
          </cell>
        </row>
        <row r="321">
          <cell r="T321">
            <v>1478717.0727545801</v>
          </cell>
          <cell r="U321">
            <v>2163348.7800300377</v>
          </cell>
          <cell r="V321">
            <v>3802097.6580330422</v>
          </cell>
          <cell r="W321">
            <v>10578697.423836347</v>
          </cell>
          <cell r="X321">
            <v>25648239.66621998</v>
          </cell>
        </row>
        <row r="322">
          <cell r="T322">
            <v>1482604.9874801992</v>
          </cell>
          <cell r="U322">
            <v>2169305.4862282188</v>
          </cell>
          <cell r="V322">
            <v>3813102.0348510412</v>
          </cell>
          <cell r="W322">
            <v>10610822.238336146</v>
          </cell>
          <cell r="X322">
            <v>25727431.962169759</v>
          </cell>
        </row>
        <row r="323">
          <cell r="T323">
            <v>1486492.9022058183</v>
          </cell>
          <cell r="U323">
            <v>2175262.1924263998</v>
          </cell>
          <cell r="V323">
            <v>3824106.4116690401</v>
          </cell>
          <cell r="W323">
            <v>10642947.052835945</v>
          </cell>
          <cell r="X323">
            <v>25806624.258119538</v>
          </cell>
        </row>
        <row r="324">
          <cell r="T324">
            <v>1490380.8169314375</v>
          </cell>
          <cell r="U324">
            <v>2181218.8986245808</v>
          </cell>
          <cell r="V324">
            <v>3835110.7884870395</v>
          </cell>
          <cell r="W324">
            <v>10675071.867335744</v>
          </cell>
          <cell r="X324">
            <v>25885816.554069318</v>
          </cell>
        </row>
        <row r="325">
          <cell r="T325">
            <v>1494268.7316570566</v>
          </cell>
          <cell r="U325">
            <v>2187175.6048227618</v>
          </cell>
          <cell r="V325">
            <v>3846115.1653050384</v>
          </cell>
          <cell r="W325">
            <v>10707196.681835543</v>
          </cell>
          <cell r="X325">
            <v>25965008.850019094</v>
          </cell>
        </row>
        <row r="326">
          <cell r="T326">
            <v>1498156.6463826757</v>
          </cell>
          <cell r="U326">
            <v>2193132.3110209429</v>
          </cell>
          <cell r="V326">
            <v>3857119.5421230379</v>
          </cell>
          <cell r="W326">
            <v>10739321.496335343</v>
          </cell>
          <cell r="X326">
            <v>26044201.145968873</v>
          </cell>
        </row>
        <row r="327">
          <cell r="T327">
            <v>1502044.5611082949</v>
          </cell>
          <cell r="U327">
            <v>2199089.0172191239</v>
          </cell>
          <cell r="V327">
            <v>3868123.9189410368</v>
          </cell>
          <cell r="W327">
            <v>10771446.310835142</v>
          </cell>
          <cell r="X327">
            <v>26123393.441918653</v>
          </cell>
        </row>
        <row r="328">
          <cell r="T328">
            <v>1505932.475833914</v>
          </cell>
          <cell r="U328">
            <v>2205045.7234173049</v>
          </cell>
          <cell r="V328">
            <v>3879128.2957590362</v>
          </cell>
          <cell r="W328">
            <v>10803571.125334941</v>
          </cell>
          <cell r="X328">
            <v>26202585.737868432</v>
          </cell>
        </row>
        <row r="329">
          <cell r="T329">
            <v>1509820.3905595331</v>
          </cell>
          <cell r="U329">
            <v>2211002.4296154864</v>
          </cell>
          <cell r="V329">
            <v>3890132.6725770351</v>
          </cell>
          <cell r="W329">
            <v>10835695.93983474</v>
          </cell>
          <cell r="X329">
            <v>26281778.033818211</v>
          </cell>
        </row>
        <row r="330">
          <cell r="T330">
            <v>1513708.3052851523</v>
          </cell>
          <cell r="U330">
            <v>2216959.1358136674</v>
          </cell>
          <cell r="V330">
            <v>3901137.0493950346</v>
          </cell>
          <cell r="W330">
            <v>10867820.754334539</v>
          </cell>
          <cell r="X330">
            <v>26360970.329767991</v>
          </cell>
        </row>
        <row r="331">
          <cell r="T331">
            <v>1517596.2200107714</v>
          </cell>
          <cell r="U331">
            <v>2222915.8420118485</v>
          </cell>
          <cell r="V331">
            <v>3912141.4262130335</v>
          </cell>
          <cell r="W331">
            <v>10899945.568834338</v>
          </cell>
          <cell r="X331">
            <v>26440162.625717767</v>
          </cell>
        </row>
        <row r="332">
          <cell r="T332">
            <v>1521484.1347363906</v>
          </cell>
          <cell r="U332">
            <v>2228872.5482100295</v>
          </cell>
          <cell r="V332">
            <v>3923145.8030310329</v>
          </cell>
          <cell r="W332">
            <v>10932070.383334137</v>
          </cell>
          <cell r="X332">
            <v>26519354.921667546</v>
          </cell>
        </row>
        <row r="333">
          <cell r="T333">
            <v>1525372.0494620097</v>
          </cell>
          <cell r="U333">
            <v>2234829.2544082105</v>
          </cell>
          <cell r="V333">
            <v>3934150.1798490318</v>
          </cell>
          <cell r="W333">
            <v>10964195.197833937</v>
          </cell>
          <cell r="X333">
            <v>26598547.217617325</v>
          </cell>
        </row>
        <row r="334">
          <cell r="T334">
            <v>1529259.9641876288</v>
          </cell>
          <cell r="U334">
            <v>2240785.9606063915</v>
          </cell>
          <cell r="V334">
            <v>3945154.5566670313</v>
          </cell>
          <cell r="W334">
            <v>10996320.012333736</v>
          </cell>
          <cell r="X334">
            <v>26677739.513567105</v>
          </cell>
        </row>
        <row r="335">
          <cell r="T335">
            <v>1533147.878913248</v>
          </cell>
          <cell r="U335">
            <v>2246742.6668045726</v>
          </cell>
          <cell r="V335">
            <v>3956158.9334850302</v>
          </cell>
          <cell r="W335">
            <v>11028444.826833533</v>
          </cell>
          <cell r="X335">
            <v>26756931.809516884</v>
          </cell>
        </row>
        <row r="336">
          <cell r="T336">
            <v>1537035.7936388671</v>
          </cell>
          <cell r="U336">
            <v>2252699.3730027536</v>
          </cell>
          <cell r="V336">
            <v>3967163.3103030296</v>
          </cell>
          <cell r="W336">
            <v>11060569.641333332</v>
          </cell>
          <cell r="X336">
            <v>26836124.105466664</v>
          </cell>
        </row>
        <row r="337">
          <cell r="T337">
            <v>1540923.7083644862</v>
          </cell>
          <cell r="U337">
            <v>2258656.0792009346</v>
          </cell>
          <cell r="V337">
            <v>3978167.6871210285</v>
          </cell>
          <cell r="W337">
            <v>11092694.455833131</v>
          </cell>
          <cell r="X337">
            <v>26915316.40141644</v>
          </cell>
        </row>
        <row r="338">
          <cell r="T338">
            <v>1544811.6230901054</v>
          </cell>
          <cell r="U338">
            <v>2264612.7853991156</v>
          </cell>
          <cell r="V338">
            <v>3989172.063939028</v>
          </cell>
          <cell r="W338">
            <v>11124819.270332931</v>
          </cell>
          <cell r="X338">
            <v>26994508.697366219</v>
          </cell>
        </row>
        <row r="339">
          <cell r="T339">
            <v>1548699.5378157245</v>
          </cell>
          <cell r="U339">
            <v>2270569.4915972967</v>
          </cell>
          <cell r="V339">
            <v>4000176.4407570269</v>
          </cell>
          <cell r="W339">
            <v>11156944.08483273</v>
          </cell>
          <cell r="X339">
            <v>27073699.263363283</v>
          </cell>
        </row>
        <row r="340">
          <cell r="T340">
            <v>1552584.3384676364</v>
          </cell>
          <cell r="U340">
            <v>2276526.1977954777</v>
          </cell>
          <cell r="V340">
            <v>4011180.8175750263</v>
          </cell>
          <cell r="W340">
            <v>11189068.899332529</v>
          </cell>
          <cell r="X340">
            <v>27152881.147005476</v>
          </cell>
        </row>
        <row r="341">
          <cell r="T341">
            <v>1556457.134484218</v>
          </cell>
          <cell r="U341">
            <v>2282482.9039936587</v>
          </cell>
          <cell r="V341">
            <v>4022185.1943930252</v>
          </cell>
          <cell r="W341">
            <v>11221193.713832328</v>
          </cell>
          <cell r="X341">
            <v>27232063.030647673</v>
          </cell>
        </row>
        <row r="342">
          <cell r="T342">
            <v>1560329.9305007996</v>
          </cell>
          <cell r="U342">
            <v>2288439.6101918397</v>
          </cell>
          <cell r="V342">
            <v>4033189.5712110247</v>
          </cell>
          <cell r="W342">
            <v>11253318.528332127</v>
          </cell>
          <cell r="X342">
            <v>27311244.914289866</v>
          </cell>
        </row>
        <row r="343">
          <cell r="T343">
            <v>1564202.7265173811</v>
          </cell>
          <cell r="U343">
            <v>2294396.3163900208</v>
          </cell>
          <cell r="V343">
            <v>4044193.9480290236</v>
          </cell>
          <cell r="W343">
            <v>11285443.342831926</v>
          </cell>
          <cell r="X343">
            <v>27390426.797932062</v>
          </cell>
        </row>
        <row r="344">
          <cell r="T344">
            <v>1568075.5225339627</v>
          </cell>
          <cell r="U344">
            <v>2300353.0225882018</v>
          </cell>
          <cell r="V344">
            <v>4055198.324847023</v>
          </cell>
          <cell r="W344">
            <v>11317568.157331726</v>
          </cell>
          <cell r="X344">
            <v>27469608.681574255</v>
          </cell>
        </row>
        <row r="345">
          <cell r="T345">
            <v>1571948.3185505446</v>
          </cell>
          <cell r="U345">
            <v>2306309.7287863828</v>
          </cell>
          <cell r="V345">
            <v>4066202.7016650219</v>
          </cell>
          <cell r="W345">
            <v>11349692.971831525</v>
          </cell>
          <cell r="X345">
            <v>27548790.565216452</v>
          </cell>
        </row>
        <row r="346">
          <cell r="T346">
            <v>1575821.1145671261</v>
          </cell>
          <cell r="U346">
            <v>2312266.4349845638</v>
          </cell>
          <cell r="V346">
            <v>4077207.0784830214</v>
          </cell>
          <cell r="W346">
            <v>11381817.786331324</v>
          </cell>
          <cell r="X346">
            <v>27627972.448858645</v>
          </cell>
        </row>
        <row r="347">
          <cell r="T347">
            <v>1579693.9105837077</v>
          </cell>
          <cell r="U347">
            <v>2318223.1411827449</v>
          </cell>
          <cell r="V347">
            <v>4088211.4553010203</v>
          </cell>
          <cell r="W347">
            <v>11413942.600831123</v>
          </cell>
          <cell r="X347">
            <v>27707154.332500841</v>
          </cell>
        </row>
        <row r="348">
          <cell r="T348">
            <v>1583566.7066002893</v>
          </cell>
          <cell r="U348">
            <v>2324179.8473809259</v>
          </cell>
          <cell r="V348">
            <v>4099215.8321190197</v>
          </cell>
          <cell r="W348">
            <v>11446067.415330922</v>
          </cell>
          <cell r="X348">
            <v>27786336.216143034</v>
          </cell>
        </row>
        <row r="349">
          <cell r="T349">
            <v>1587439.5026168709</v>
          </cell>
          <cell r="U349">
            <v>2330136.5535791074</v>
          </cell>
          <cell r="V349">
            <v>4110220.2089370186</v>
          </cell>
          <cell r="W349">
            <v>11478192.229830721</v>
          </cell>
          <cell r="X349">
            <v>27865518.099785231</v>
          </cell>
        </row>
        <row r="350">
          <cell r="T350">
            <v>1591312.2986334525</v>
          </cell>
          <cell r="U350">
            <v>2336093.2597772884</v>
          </cell>
          <cell r="V350">
            <v>4121224.5857550181</v>
          </cell>
          <cell r="W350">
            <v>11510317.044330521</v>
          </cell>
          <cell r="X350">
            <v>27944699.983427424</v>
          </cell>
        </row>
        <row r="351">
          <cell r="T351">
            <v>1595185.0946500343</v>
          </cell>
          <cell r="U351">
            <v>2342049.9659754694</v>
          </cell>
          <cell r="V351">
            <v>4132228.962573017</v>
          </cell>
          <cell r="W351">
            <v>11542441.85883032</v>
          </cell>
          <cell r="X351">
            <v>28023881.867069621</v>
          </cell>
        </row>
        <row r="352">
          <cell r="T352">
            <v>1599057.8906666159</v>
          </cell>
          <cell r="U352">
            <v>2348006.6721736505</v>
          </cell>
          <cell r="V352">
            <v>4143233.3393910164</v>
          </cell>
          <cell r="W352">
            <v>11574566.673330119</v>
          </cell>
          <cell r="X352">
            <v>28103063.750711814</v>
          </cell>
        </row>
        <row r="353">
          <cell r="T353">
            <v>1602930.6866831975</v>
          </cell>
          <cell r="U353">
            <v>2353963.3783718315</v>
          </cell>
          <cell r="V353">
            <v>4154237.7162090153</v>
          </cell>
          <cell r="W353">
            <v>11606691.487829918</v>
          </cell>
          <cell r="X353">
            <v>28182245.63435401</v>
          </cell>
        </row>
        <row r="354">
          <cell r="T354">
            <v>1606803.4826997791</v>
          </cell>
          <cell r="U354">
            <v>2359920.0845700125</v>
          </cell>
          <cell r="V354">
            <v>4165242.0930270143</v>
          </cell>
          <cell r="W354">
            <v>11638816.302329717</v>
          </cell>
          <cell r="X354">
            <v>28261427.517996203</v>
          </cell>
        </row>
        <row r="355">
          <cell r="T355">
            <v>1610676.2787163607</v>
          </cell>
          <cell r="U355">
            <v>2365876.7907681935</v>
          </cell>
          <cell r="V355">
            <v>4176246.4698450137</v>
          </cell>
          <cell r="W355">
            <v>11670941.116829516</v>
          </cell>
          <cell r="X355">
            <v>28340609.4016384</v>
          </cell>
        </row>
        <row r="356">
          <cell r="T356">
            <v>1614549.0747329423</v>
          </cell>
          <cell r="U356">
            <v>2371833.4969663746</v>
          </cell>
          <cell r="V356">
            <v>4187250.8466630131</v>
          </cell>
          <cell r="W356">
            <v>11703065.931329316</v>
          </cell>
          <cell r="X356">
            <v>28419791.285280593</v>
          </cell>
        </row>
        <row r="357">
          <cell r="T357">
            <v>1618421.8707495241</v>
          </cell>
          <cell r="U357">
            <v>2377790.2031645556</v>
          </cell>
          <cell r="V357">
            <v>4198255.2234810125</v>
          </cell>
          <cell r="W357">
            <v>11735190.745829113</v>
          </cell>
          <cell r="X357">
            <v>28498973.168922789</v>
          </cell>
        </row>
        <row r="358">
          <cell r="T358">
            <v>1622294.6667661057</v>
          </cell>
          <cell r="U358">
            <v>2383746.9093627366</v>
          </cell>
          <cell r="V358">
            <v>4208975.6234510429</v>
          </cell>
          <cell r="W358">
            <v>11767315.560328912</v>
          </cell>
          <cell r="X358">
            <v>28578155.052564986</v>
          </cell>
        </row>
        <row r="359">
          <cell r="T359">
            <v>1626167.4627826873</v>
          </cell>
          <cell r="U359">
            <v>2389703.6155609176</v>
          </cell>
          <cell r="V359">
            <v>4219656.1954252925</v>
          </cell>
          <cell r="W359">
            <v>11799206.97581517</v>
          </cell>
          <cell r="X359">
            <v>28657336.936207179</v>
          </cell>
        </row>
        <row r="360">
          <cell r="T360">
            <v>1630040.2587992689</v>
          </cell>
          <cell r="U360">
            <v>2395660.3217590987</v>
          </cell>
          <cell r="V360">
            <v>4230336.767399542</v>
          </cell>
          <cell r="W360">
            <v>11830947.585209705</v>
          </cell>
          <cell r="X360">
            <v>28736518.819849376</v>
          </cell>
        </row>
        <row r="361">
          <cell r="T361">
            <v>1633913.0548158505</v>
          </cell>
          <cell r="U361">
            <v>2401617.0279572797</v>
          </cell>
          <cell r="V361">
            <v>4241017.3393737916</v>
          </cell>
          <cell r="W361">
            <v>11862688.194604242</v>
          </cell>
          <cell r="X361">
            <v>28815700.703491569</v>
          </cell>
        </row>
        <row r="362">
          <cell r="T362">
            <v>1637785.850832432</v>
          </cell>
          <cell r="U362">
            <v>2407313.9784725667</v>
          </cell>
          <cell r="V362">
            <v>4251697.9113480402</v>
          </cell>
          <cell r="W362">
            <v>11894428.80399878</v>
          </cell>
          <cell r="X362">
            <v>28894882.587133765</v>
          </cell>
        </row>
        <row r="363">
          <cell r="T363">
            <v>1641658.6468490139</v>
          </cell>
          <cell r="U363">
            <v>2412907.6343546393</v>
          </cell>
          <cell r="V363">
            <v>4262378.4833222898</v>
          </cell>
          <cell r="W363">
            <v>11926169.413393315</v>
          </cell>
          <cell r="X363">
            <v>28974064.470775958</v>
          </cell>
        </row>
        <row r="364">
          <cell r="T364">
            <v>1645531.4428655955</v>
          </cell>
          <cell r="U364">
            <v>2418501.2902367124</v>
          </cell>
          <cell r="V364">
            <v>4273059.0552965393</v>
          </cell>
          <cell r="W364">
            <v>11957910.022787852</v>
          </cell>
          <cell r="X364">
            <v>29052991.710573517</v>
          </cell>
        </row>
        <row r="365">
          <cell r="T365">
            <v>1649079.5198663634</v>
          </cell>
          <cell r="U365">
            <v>2424094.9461187851</v>
          </cell>
          <cell r="V365">
            <v>4283739.6272707889</v>
          </cell>
          <cell r="W365">
            <v>11989650.632182389</v>
          </cell>
          <cell r="X365">
            <v>29131667.325036339</v>
          </cell>
        </row>
        <row r="366">
          <cell r="T366">
            <v>1652614.5341842531</v>
          </cell>
          <cell r="U366">
            <v>2429688.6020008582</v>
          </cell>
          <cell r="V366">
            <v>4294420.1992450384</v>
          </cell>
          <cell r="W366">
            <v>12021391.241576927</v>
          </cell>
          <cell r="X366">
            <v>29210342.939499162</v>
          </cell>
        </row>
        <row r="367">
          <cell r="T367">
            <v>1656149.548502143</v>
          </cell>
          <cell r="U367">
            <v>2435282.2578829308</v>
          </cell>
          <cell r="V367">
            <v>4305100.771219288</v>
          </cell>
          <cell r="W367">
            <v>12053131.850971462</v>
          </cell>
          <cell r="X367">
            <v>29289018.553961985</v>
          </cell>
        </row>
        <row r="368">
          <cell r="T368">
            <v>1659684.5628200327</v>
          </cell>
          <cell r="U368">
            <v>2440875.9137650039</v>
          </cell>
          <cell r="V368">
            <v>4315781.3431935376</v>
          </cell>
          <cell r="W368">
            <v>12084872.460365999</v>
          </cell>
          <cell r="X368">
            <v>29367694.168424807</v>
          </cell>
        </row>
        <row r="369">
          <cell r="T369">
            <v>1663219.5771379226</v>
          </cell>
          <cell r="U369">
            <v>2446469.5696470765</v>
          </cell>
          <cell r="V369">
            <v>4326461.9151677871</v>
          </cell>
          <cell r="W369">
            <v>12116613.069760537</v>
          </cell>
          <cell r="X369">
            <v>29446369.78288763</v>
          </cell>
        </row>
        <row r="370">
          <cell r="T370">
            <v>1666754.5914558123</v>
          </cell>
          <cell r="U370">
            <v>2452063.2255291492</v>
          </cell>
          <cell r="V370">
            <v>4337142.4871420367</v>
          </cell>
          <cell r="W370">
            <v>12148353.679155072</v>
          </cell>
          <cell r="X370">
            <v>29525045.397350453</v>
          </cell>
        </row>
        <row r="371">
          <cell r="T371">
            <v>1670289.6057737023</v>
          </cell>
          <cell r="U371">
            <v>2457656.8814112223</v>
          </cell>
          <cell r="V371">
            <v>4347823.0591162862</v>
          </cell>
          <cell r="W371">
            <v>12180094.288549609</v>
          </cell>
          <cell r="X371">
            <v>29603721.011813276</v>
          </cell>
        </row>
        <row r="372">
          <cell r="T372">
            <v>1673824.6200915922</v>
          </cell>
          <cell r="U372">
            <v>2463250.5372932949</v>
          </cell>
          <cell r="V372">
            <v>4358503.6310905358</v>
          </cell>
          <cell r="W372">
            <v>12211834.897944147</v>
          </cell>
          <cell r="X372">
            <v>29682396.626276098</v>
          </cell>
        </row>
        <row r="373">
          <cell r="T373">
            <v>1677359.6344094819</v>
          </cell>
          <cell r="U373">
            <v>2468844.193175368</v>
          </cell>
          <cell r="V373">
            <v>4369184.2030647853</v>
          </cell>
          <cell r="W373">
            <v>12243575.507338684</v>
          </cell>
          <cell r="X373">
            <v>29761072.240738921</v>
          </cell>
        </row>
        <row r="374">
          <cell r="T374">
            <v>1680894.6487273718</v>
          </cell>
          <cell r="U374">
            <v>2474437.8490574406</v>
          </cell>
          <cell r="V374">
            <v>4379864.7750390349</v>
          </cell>
          <cell r="W374">
            <v>12275316.116733219</v>
          </cell>
          <cell r="X374">
            <v>29839747.855201744</v>
          </cell>
        </row>
        <row r="375">
          <cell r="T375">
            <v>1684429.6630452615</v>
          </cell>
          <cell r="U375">
            <v>2480031.5049395133</v>
          </cell>
          <cell r="V375">
            <v>4390545.3470132835</v>
          </cell>
          <cell r="W375">
            <v>12307056.726127757</v>
          </cell>
          <cell r="X375">
            <v>29918423.469664566</v>
          </cell>
        </row>
        <row r="376">
          <cell r="T376">
            <v>1687964.6773631515</v>
          </cell>
          <cell r="U376">
            <v>2485625.1608215864</v>
          </cell>
          <cell r="V376">
            <v>4401225.9189875331</v>
          </cell>
          <cell r="W376">
            <v>12338797.335522294</v>
          </cell>
          <cell r="X376">
            <v>29997099.084127389</v>
          </cell>
        </row>
        <row r="377">
          <cell r="T377">
            <v>1691499.6916810411</v>
          </cell>
          <cell r="U377">
            <v>2491218.816703659</v>
          </cell>
          <cell r="V377">
            <v>4411906.4909617826</v>
          </cell>
          <cell r="W377">
            <v>12370537.944916829</v>
          </cell>
          <cell r="X377">
            <v>30075774.698590212</v>
          </cell>
        </row>
        <row r="378">
          <cell r="T378">
            <v>1695034.7059989311</v>
          </cell>
          <cell r="U378">
            <v>2496812.4725857321</v>
          </cell>
          <cell r="V378">
            <v>4422587.0629360322</v>
          </cell>
          <cell r="W378">
            <v>12402278.554311367</v>
          </cell>
          <cell r="X378">
            <v>30154450.313053031</v>
          </cell>
        </row>
        <row r="379">
          <cell r="T379">
            <v>1698569.7203168208</v>
          </cell>
          <cell r="U379">
            <v>2502406.1284678048</v>
          </cell>
          <cell r="V379">
            <v>4433267.6349102817</v>
          </cell>
          <cell r="W379">
            <v>12434019.163705904</v>
          </cell>
          <cell r="X379">
            <v>30233125.927515853</v>
          </cell>
        </row>
        <row r="380">
          <cell r="T380">
            <v>1702104.7346347107</v>
          </cell>
          <cell r="U380">
            <v>2507999.7843498774</v>
          </cell>
          <cell r="V380">
            <v>4443948.2068845313</v>
          </cell>
          <cell r="W380">
            <v>12465759.773100439</v>
          </cell>
          <cell r="X380">
            <v>30311801.541978676</v>
          </cell>
        </row>
        <row r="381">
          <cell r="T381">
            <v>1705639.7489526006</v>
          </cell>
          <cell r="U381">
            <v>2513593.4402319505</v>
          </cell>
          <cell r="V381">
            <v>4454628.7788587809</v>
          </cell>
          <cell r="W381">
            <v>12497500.382494977</v>
          </cell>
          <cell r="X381">
            <v>30390477.156441499</v>
          </cell>
        </row>
        <row r="382">
          <cell r="T382">
            <v>1709174.7632704903</v>
          </cell>
          <cell r="U382">
            <v>2519187.0961140231</v>
          </cell>
          <cell r="V382">
            <v>4465251.4635572936</v>
          </cell>
          <cell r="W382">
            <v>12529240.991889514</v>
          </cell>
          <cell r="X382">
            <v>30469152.770904321</v>
          </cell>
        </row>
        <row r="383">
          <cell r="T383">
            <v>1712709.7775883803</v>
          </cell>
          <cell r="U383">
            <v>2524780.7519960962</v>
          </cell>
          <cell r="V383">
            <v>4475828.8308819402</v>
          </cell>
          <cell r="W383">
            <v>12560981.601284051</v>
          </cell>
          <cell r="X383">
            <v>30547828.385367144</v>
          </cell>
        </row>
        <row r="384">
          <cell r="T384">
            <v>1716244.79190627</v>
          </cell>
          <cell r="U384">
            <v>2530374.4078781689</v>
          </cell>
          <cell r="V384">
            <v>4486406.1982065868</v>
          </cell>
          <cell r="W384">
            <v>12592696.818027247</v>
          </cell>
          <cell r="X384">
            <v>30626503.999829967</v>
          </cell>
        </row>
        <row r="385">
          <cell r="T385">
            <v>1719779.8062241599</v>
          </cell>
          <cell r="U385">
            <v>2535968.0637602415</v>
          </cell>
          <cell r="V385">
            <v>4496983.5655312343</v>
          </cell>
          <cell r="W385">
            <v>12624351.922084358</v>
          </cell>
          <cell r="X385">
            <v>30705179.614292789</v>
          </cell>
        </row>
        <row r="386">
          <cell r="T386">
            <v>1723314.8205420496</v>
          </cell>
          <cell r="U386">
            <v>2541561.7196423146</v>
          </cell>
          <cell r="V386">
            <v>4507560.9328558808</v>
          </cell>
          <cell r="W386">
            <v>12656007.026141468</v>
          </cell>
          <cell r="X386">
            <v>30783855.228755612</v>
          </cell>
        </row>
        <row r="387">
          <cell r="T387">
            <v>1726849.8348599395</v>
          </cell>
          <cell r="U387">
            <v>2547155.3755243872</v>
          </cell>
          <cell r="V387">
            <v>4518138.3001805274</v>
          </cell>
          <cell r="W387">
            <v>12687662.130198581</v>
          </cell>
          <cell r="X387">
            <v>30862530.843218435</v>
          </cell>
        </row>
        <row r="388">
          <cell r="T388">
            <v>1730384.8491778295</v>
          </cell>
          <cell r="U388">
            <v>2552743.3340956126</v>
          </cell>
          <cell r="V388">
            <v>4528715.6675051739</v>
          </cell>
          <cell r="W388">
            <v>12719317.234255692</v>
          </cell>
          <cell r="X388">
            <v>30941206.457681257</v>
          </cell>
        </row>
        <row r="389">
          <cell r="T389">
            <v>1733919.8634957192</v>
          </cell>
          <cell r="U389">
            <v>2558311.8498452911</v>
          </cell>
          <cell r="V389">
            <v>4539293.0348298205</v>
          </cell>
          <cell r="W389">
            <v>12750972.338312803</v>
          </cell>
          <cell r="X389">
            <v>31019882.07214408</v>
          </cell>
        </row>
        <row r="390">
          <cell r="T390">
            <v>1737454.8778136091</v>
          </cell>
          <cell r="U390">
            <v>2563880.3655949701</v>
          </cell>
          <cell r="V390">
            <v>4549870.4021544671</v>
          </cell>
          <cell r="W390">
            <v>12782627.442369914</v>
          </cell>
          <cell r="X390">
            <v>31098557.686606903</v>
          </cell>
        </row>
        <row r="391">
          <cell r="T391">
            <v>1740989.8921314988</v>
          </cell>
          <cell r="U391">
            <v>2569448.881344649</v>
          </cell>
          <cell r="V391">
            <v>4560447.7694791136</v>
          </cell>
          <cell r="W391">
            <v>12814282.546427026</v>
          </cell>
          <cell r="X391">
            <v>31177233.301069725</v>
          </cell>
        </row>
        <row r="392">
          <cell r="T392">
            <v>1744524.9064493887</v>
          </cell>
          <cell r="U392">
            <v>2575017.397094328</v>
          </cell>
          <cell r="V392">
            <v>4571025.1368037602</v>
          </cell>
          <cell r="W392">
            <v>12845937.650484137</v>
          </cell>
          <cell r="X392">
            <v>31255908.915532548</v>
          </cell>
        </row>
        <row r="393">
          <cell r="T393">
            <v>1748059.9207672784</v>
          </cell>
          <cell r="U393">
            <v>2580585.9128440064</v>
          </cell>
          <cell r="V393">
            <v>4581602.5041284077</v>
          </cell>
          <cell r="W393">
            <v>12877592.754541248</v>
          </cell>
          <cell r="X393">
            <v>31334584.529995371</v>
          </cell>
        </row>
        <row r="394">
          <cell r="T394">
            <v>1751594.9350851683</v>
          </cell>
          <cell r="U394">
            <v>2586154.4285936854</v>
          </cell>
          <cell r="V394">
            <v>4592179.8714530542</v>
          </cell>
          <cell r="W394">
            <v>12909247.858598361</v>
          </cell>
          <cell r="X394">
            <v>31413260.144458193</v>
          </cell>
        </row>
        <row r="395">
          <cell r="T395">
            <v>1755129.949403058</v>
          </cell>
          <cell r="U395">
            <v>2591722.9443433643</v>
          </cell>
          <cell r="V395">
            <v>4602757.2387777008</v>
          </cell>
          <cell r="W395">
            <v>12940902.962655472</v>
          </cell>
          <cell r="X395">
            <v>31491935.758921012</v>
          </cell>
        </row>
        <row r="396">
          <cell r="T396">
            <v>1758664.963720948</v>
          </cell>
          <cell r="U396">
            <v>2597291.4600930428</v>
          </cell>
          <cell r="V396">
            <v>4613334.6061023474</v>
          </cell>
          <cell r="W396">
            <v>12972558.066712582</v>
          </cell>
          <cell r="X396">
            <v>31570611.373383835</v>
          </cell>
        </row>
        <row r="397">
          <cell r="T397">
            <v>1762199.9780388377</v>
          </cell>
          <cell r="U397">
            <v>2602859.9758427218</v>
          </cell>
          <cell r="V397">
            <v>4623911.9734269939</v>
          </cell>
          <cell r="W397">
            <v>13004213.170769693</v>
          </cell>
          <cell r="X397">
            <v>31649286.987846658</v>
          </cell>
        </row>
        <row r="398">
          <cell r="T398">
            <v>1765734.9923567276</v>
          </cell>
          <cell r="U398">
            <v>2608428.4915924007</v>
          </cell>
          <cell r="V398">
            <v>4634489.3407516405</v>
          </cell>
          <cell r="W398">
            <v>13035868.274826806</v>
          </cell>
          <cell r="X398">
            <v>31727962.60230948</v>
          </cell>
        </row>
        <row r="399">
          <cell r="T399">
            <v>1769270.0066746173</v>
          </cell>
          <cell r="U399">
            <v>2613997.0073420792</v>
          </cell>
          <cell r="V399">
            <v>4645066.7080762871</v>
          </cell>
          <cell r="W399">
            <v>13067523.378883917</v>
          </cell>
          <cell r="X399">
            <v>31806638.216772303</v>
          </cell>
        </row>
        <row r="400">
          <cell r="T400">
            <v>1772805.0209925072</v>
          </cell>
          <cell r="U400">
            <v>2619565.5230917581</v>
          </cell>
          <cell r="V400">
            <v>4655644.0754009336</v>
          </cell>
          <cell r="W400">
            <v>13099178.482941028</v>
          </cell>
          <cell r="X400">
            <v>31885313.831235126</v>
          </cell>
        </row>
        <row r="401">
          <cell r="T401">
            <v>1776340.0353103969</v>
          </cell>
          <cell r="U401">
            <v>2625134.0388414371</v>
          </cell>
          <cell r="V401">
            <v>4666221.4427255802</v>
          </cell>
          <cell r="W401">
            <v>13130833.586998139</v>
          </cell>
          <cell r="X401">
            <v>31963989.445697948</v>
          </cell>
        </row>
        <row r="402">
          <cell r="T402">
            <v>1779875.0496282869</v>
          </cell>
          <cell r="U402">
            <v>2630702.5545911156</v>
          </cell>
          <cell r="V402">
            <v>4676798.8100502277</v>
          </cell>
          <cell r="W402">
            <v>13162488.691055251</v>
          </cell>
          <cell r="X402">
            <v>32042665.060160771</v>
          </cell>
        </row>
        <row r="403">
          <cell r="T403">
            <v>1783410.0639461766</v>
          </cell>
          <cell r="U403">
            <v>2636271.0703407945</v>
          </cell>
          <cell r="V403">
            <v>4687376.1773748742</v>
          </cell>
          <cell r="W403">
            <v>13194143.795112362</v>
          </cell>
          <cell r="X403">
            <v>32121340.674623594</v>
          </cell>
        </row>
        <row r="404">
          <cell r="T404">
            <v>1786945.0782640665</v>
          </cell>
          <cell r="U404">
            <v>2641839.5860904735</v>
          </cell>
          <cell r="V404">
            <v>4697953.5446995208</v>
          </cell>
          <cell r="W404">
            <v>13225798.899169473</v>
          </cell>
          <cell r="X404">
            <v>32200016.289086416</v>
          </cell>
        </row>
        <row r="405">
          <cell r="T405">
            <v>1790480.0925819562</v>
          </cell>
          <cell r="U405">
            <v>2647408.1018401524</v>
          </cell>
          <cell r="V405">
            <v>4708530.9120241674</v>
          </cell>
          <cell r="W405">
            <v>13257454.003226584</v>
          </cell>
          <cell r="X405">
            <v>32278691.903549239</v>
          </cell>
        </row>
        <row r="406">
          <cell r="T406">
            <v>1794015.1068998461</v>
          </cell>
          <cell r="U406">
            <v>2652976.6175898309</v>
          </cell>
          <cell r="V406">
            <v>4719108.2793488139</v>
          </cell>
          <cell r="W406">
            <v>13289109.107283697</v>
          </cell>
          <cell r="X406">
            <v>32357367.518012062</v>
          </cell>
        </row>
        <row r="407">
          <cell r="T407">
            <v>1797550.1212177358</v>
          </cell>
          <cell r="U407">
            <v>2658545.1333395098</v>
          </cell>
          <cell r="V407">
            <v>4729685.6466734605</v>
          </cell>
          <cell r="W407">
            <v>13320764.211340807</v>
          </cell>
          <cell r="X407">
            <v>32436043.132474884</v>
          </cell>
        </row>
        <row r="408">
          <cell r="T408">
            <v>1801085.1355356257</v>
          </cell>
          <cell r="U408">
            <v>2664113.6490891888</v>
          </cell>
          <cell r="V408">
            <v>4740263.0139981071</v>
          </cell>
          <cell r="W408">
            <v>13352419.315397918</v>
          </cell>
          <cell r="X408">
            <v>32514718.746937707</v>
          </cell>
        </row>
        <row r="409">
          <cell r="T409">
            <v>1804620.1498535154</v>
          </cell>
          <cell r="U409">
            <v>2669682.1648388673</v>
          </cell>
          <cell r="V409">
            <v>4750840.3813227536</v>
          </cell>
          <cell r="W409">
            <v>13384074.419455029</v>
          </cell>
          <cell r="X409">
            <v>32593394.36140053</v>
          </cell>
        </row>
        <row r="410">
          <cell r="T410">
            <v>1808155.1641714054</v>
          </cell>
          <cell r="U410">
            <v>2675250.6805885462</v>
          </cell>
          <cell r="V410">
            <v>4761417.7486474002</v>
          </cell>
          <cell r="W410">
            <v>13415729.523512142</v>
          </cell>
          <cell r="X410">
            <v>32672069.975863352</v>
          </cell>
        </row>
        <row r="411">
          <cell r="T411">
            <v>1811690.1784892951</v>
          </cell>
          <cell r="U411">
            <v>2680819.1963382252</v>
          </cell>
          <cell r="V411">
            <v>4771995.1159720477</v>
          </cell>
          <cell r="W411">
            <v>13447384.627569253</v>
          </cell>
          <cell r="X411">
            <v>32750745.590326175</v>
          </cell>
        </row>
        <row r="412">
          <cell r="T412">
            <v>1815225.192807185</v>
          </cell>
          <cell r="U412">
            <v>2686387.7120879041</v>
          </cell>
          <cell r="V412">
            <v>4782572.4832966942</v>
          </cell>
          <cell r="W412">
            <v>13479039.731626363</v>
          </cell>
          <cell r="X412">
            <v>32829421.204788998</v>
          </cell>
        </row>
        <row r="413">
          <cell r="T413">
            <v>1818760.2071250747</v>
          </cell>
          <cell r="U413">
            <v>2691956.2278375826</v>
          </cell>
          <cell r="V413">
            <v>4793149.8506213408</v>
          </cell>
          <cell r="W413">
            <v>13510694.835683476</v>
          </cell>
          <cell r="X413">
            <v>32908096.81925182</v>
          </cell>
        </row>
        <row r="414">
          <cell r="T414">
            <v>1822295.2214429646</v>
          </cell>
          <cell r="U414">
            <v>2697524.7435872615</v>
          </cell>
          <cell r="V414">
            <v>4803727.2179459874</v>
          </cell>
          <cell r="W414">
            <v>13542349.939740587</v>
          </cell>
          <cell r="X414">
            <v>32986772.433714643</v>
          </cell>
        </row>
        <row r="415">
          <cell r="T415">
            <v>1825830.2357608543</v>
          </cell>
          <cell r="U415">
            <v>2703093.2593369405</v>
          </cell>
          <cell r="V415">
            <v>4814304.5852706339</v>
          </cell>
          <cell r="W415">
            <v>13574005.043797698</v>
          </cell>
          <cell r="X415">
            <v>33065448.048177466</v>
          </cell>
        </row>
        <row r="416">
          <cell r="T416">
            <v>1829365.2500787443</v>
          </cell>
          <cell r="U416">
            <v>2708661.775086619</v>
          </cell>
          <cell r="V416">
            <v>4824881.9525952805</v>
          </cell>
          <cell r="W416">
            <v>13605660.147854809</v>
          </cell>
          <cell r="X416">
            <v>33144123.662640288</v>
          </cell>
        </row>
        <row r="417">
          <cell r="T417">
            <v>1832900.264396634</v>
          </cell>
          <cell r="U417">
            <v>2714230.2908362979</v>
          </cell>
          <cell r="V417">
            <v>4835459.319919928</v>
          </cell>
          <cell r="W417">
            <v>13637315.251911921</v>
          </cell>
          <cell r="X417">
            <v>33222799.277103111</v>
          </cell>
        </row>
        <row r="418">
          <cell r="T418">
            <v>1836435.2787145239</v>
          </cell>
          <cell r="U418">
            <v>2719798.8065859769</v>
          </cell>
          <cell r="V418">
            <v>4846036.6872445745</v>
          </cell>
          <cell r="W418">
            <v>13668970.355969032</v>
          </cell>
          <cell r="X418">
            <v>33301474.891565934</v>
          </cell>
        </row>
        <row r="419">
          <cell r="T419">
            <v>1839970.2930324136</v>
          </cell>
          <cell r="U419">
            <v>2725367.3223356553</v>
          </cell>
          <cell r="V419">
            <v>4856614.0545692211</v>
          </cell>
          <cell r="W419">
            <v>13700625.460026143</v>
          </cell>
          <cell r="X419">
            <v>33380150.506028753</v>
          </cell>
        </row>
        <row r="420">
          <cell r="T420">
            <v>1843505.3073503035</v>
          </cell>
          <cell r="U420">
            <v>2730935.8380853343</v>
          </cell>
          <cell r="V420">
            <v>4867191.4218938677</v>
          </cell>
          <cell r="W420">
            <v>13732280.564083254</v>
          </cell>
          <cell r="X420">
            <v>33458826.120491575</v>
          </cell>
        </row>
        <row r="421">
          <cell r="T421">
            <v>1847040.3216681932</v>
          </cell>
          <cell r="U421">
            <v>2736504.3538350132</v>
          </cell>
          <cell r="V421">
            <v>4877768.7892185142</v>
          </cell>
          <cell r="W421">
            <v>13763935.668140367</v>
          </cell>
          <cell r="X421">
            <v>33537501.734954398</v>
          </cell>
        </row>
        <row r="422">
          <cell r="T422">
            <v>1850575.3359860831</v>
          </cell>
          <cell r="U422">
            <v>2742072.8695846917</v>
          </cell>
          <cell r="V422">
            <v>4888346.1565431608</v>
          </cell>
          <cell r="W422">
            <v>13795590.772197478</v>
          </cell>
          <cell r="X422">
            <v>33616177.349417225</v>
          </cell>
        </row>
        <row r="423">
          <cell r="T423">
            <v>1854110.3503039728</v>
          </cell>
          <cell r="U423">
            <v>2747641.3853343707</v>
          </cell>
          <cell r="V423">
            <v>4898923.5238678074</v>
          </cell>
          <cell r="W423">
            <v>13827245.876254588</v>
          </cell>
          <cell r="X423">
            <v>33694852.963880047</v>
          </cell>
        </row>
        <row r="424">
          <cell r="T424">
            <v>1857645.3646218628</v>
          </cell>
          <cell r="U424">
            <v>2753209.9010840496</v>
          </cell>
          <cell r="V424">
            <v>4909500.8911924548</v>
          </cell>
          <cell r="W424">
            <v>13858900.980311701</v>
          </cell>
          <cell r="X424">
            <v>33773528.57834287</v>
          </cell>
        </row>
        <row r="425">
          <cell r="T425">
            <v>1861180.3789397525</v>
          </cell>
          <cell r="U425">
            <v>2758778.4168337281</v>
          </cell>
          <cell r="V425">
            <v>4920078.2585171014</v>
          </cell>
          <cell r="W425">
            <v>13890556.084368812</v>
          </cell>
          <cell r="X425">
            <v>33852204.192805693</v>
          </cell>
        </row>
        <row r="426">
          <cell r="T426">
            <v>1864715.3932576424</v>
          </cell>
          <cell r="U426">
            <v>2764346.932583407</v>
          </cell>
          <cell r="V426">
            <v>4930655.625841748</v>
          </cell>
          <cell r="W426">
            <v>13922211.188425923</v>
          </cell>
          <cell r="X426">
            <v>33930879.807268515</v>
          </cell>
        </row>
        <row r="427">
          <cell r="T427">
            <v>1868250.4075755323</v>
          </cell>
          <cell r="U427">
            <v>2769915.448333086</v>
          </cell>
          <cell r="V427">
            <v>4941232.9931663945</v>
          </cell>
          <cell r="W427">
            <v>13953866.292483034</v>
          </cell>
          <cell r="X427">
            <v>34009555.421731338</v>
          </cell>
        </row>
        <row r="428">
          <cell r="T428">
            <v>1871785.421893422</v>
          </cell>
          <cell r="U428">
            <v>2775483.9640827649</v>
          </cell>
          <cell r="V428">
            <v>4951810.3604910411</v>
          </cell>
          <cell r="W428">
            <v>13985521.396540146</v>
          </cell>
          <cell r="X428">
            <v>34088231.036194153</v>
          </cell>
        </row>
        <row r="429">
          <cell r="T429">
            <v>1875320.436211312</v>
          </cell>
          <cell r="U429">
            <v>2781052.4798324434</v>
          </cell>
          <cell r="V429">
            <v>4962387.7278156877</v>
          </cell>
          <cell r="W429">
            <v>14017176.500597257</v>
          </cell>
          <cell r="X429">
            <v>34166906.650656976</v>
          </cell>
        </row>
        <row r="430">
          <cell r="T430">
            <v>1878855.4505292017</v>
          </cell>
          <cell r="U430">
            <v>2786620.9955821224</v>
          </cell>
          <cell r="V430">
            <v>4972965.0951403352</v>
          </cell>
          <cell r="W430">
            <v>14048831.604654368</v>
          </cell>
          <cell r="X430">
            <v>34245582.265119798</v>
          </cell>
        </row>
        <row r="431">
          <cell r="T431">
            <v>1882390.4648470916</v>
          </cell>
          <cell r="U431">
            <v>2792189.5113318013</v>
          </cell>
          <cell r="V431">
            <v>4983542.4624649817</v>
          </cell>
          <cell r="W431">
            <v>14080486.708711479</v>
          </cell>
          <cell r="X431">
            <v>34324257.879582621</v>
          </cell>
        </row>
        <row r="432">
          <cell r="T432">
            <v>1885925.4791649813</v>
          </cell>
          <cell r="U432">
            <v>2797758.0270814798</v>
          </cell>
          <cell r="V432">
            <v>4994119.8297896283</v>
          </cell>
          <cell r="W432">
            <v>14112141.812768592</v>
          </cell>
          <cell r="X432">
            <v>34402933.494045444</v>
          </cell>
        </row>
        <row r="433">
          <cell r="T433">
            <v>1889460.4934828712</v>
          </cell>
          <cell r="U433">
            <v>2803326.5428311587</v>
          </cell>
          <cell r="V433">
            <v>5004697.1971142748</v>
          </cell>
          <cell r="W433">
            <v>14143796.916825702</v>
          </cell>
          <cell r="X433">
            <v>34481609.108508267</v>
          </cell>
        </row>
        <row r="434">
          <cell r="T434">
            <v>1892995.5078007609</v>
          </cell>
          <cell r="U434">
            <v>2808895.0585808377</v>
          </cell>
          <cell r="V434">
            <v>5015274.5644389214</v>
          </cell>
          <cell r="W434">
            <v>14175452.020882813</v>
          </cell>
          <cell r="X434">
            <v>34560284.722971089</v>
          </cell>
        </row>
        <row r="435">
          <cell r="T435">
            <v>1896530.5221186508</v>
          </cell>
          <cell r="U435">
            <v>2814463.5743305162</v>
          </cell>
          <cell r="V435">
            <v>5025851.931763568</v>
          </cell>
          <cell r="W435">
            <v>14207107.124939926</v>
          </cell>
          <cell r="X435">
            <v>34638960.337433912</v>
          </cell>
        </row>
        <row r="436">
          <cell r="T436">
            <v>1900065.5364365405</v>
          </cell>
          <cell r="U436">
            <v>2820032.0900801951</v>
          </cell>
          <cell r="V436">
            <v>5036429.2990882145</v>
          </cell>
          <cell r="W436">
            <v>14238762.228997037</v>
          </cell>
          <cell r="X436">
            <v>34717635.951896735</v>
          </cell>
        </row>
        <row r="437">
          <cell r="T437">
            <v>1903600.5507544305</v>
          </cell>
          <cell r="U437">
            <v>2825600.6058298741</v>
          </cell>
          <cell r="V437">
            <v>5047006.666412862</v>
          </cell>
          <cell r="W437">
            <v>14270417.333054148</v>
          </cell>
          <cell r="X437">
            <v>34796311.566359557</v>
          </cell>
        </row>
        <row r="438">
          <cell r="T438">
            <v>1907135.5650723204</v>
          </cell>
          <cell r="U438">
            <v>2831169.1215795525</v>
          </cell>
          <cell r="V438">
            <v>5057584.0337375086</v>
          </cell>
          <cell r="W438">
            <v>14302072.437111259</v>
          </cell>
          <cell r="X438">
            <v>34874987.18082238</v>
          </cell>
        </row>
        <row r="439">
          <cell r="T439">
            <v>1910670.5793902101</v>
          </cell>
          <cell r="U439">
            <v>2836737.6373292315</v>
          </cell>
          <cell r="V439">
            <v>5068161.4010621551</v>
          </cell>
          <cell r="W439">
            <v>14333727.541168371</v>
          </cell>
          <cell r="X439">
            <v>34953662.795285203</v>
          </cell>
        </row>
        <row r="440">
          <cell r="T440">
            <v>1914205.5937081</v>
          </cell>
          <cell r="U440">
            <v>2842306.1530789104</v>
          </cell>
          <cell r="V440">
            <v>5078738.7683868017</v>
          </cell>
          <cell r="W440">
            <v>14365382.645225482</v>
          </cell>
          <cell r="X440">
            <v>35032338.409748025</v>
          </cell>
        </row>
        <row r="441">
          <cell r="T441">
            <v>1917740.6080259897</v>
          </cell>
          <cell r="U441">
            <v>2847874.6688285889</v>
          </cell>
          <cell r="V441">
            <v>5089316.1357114483</v>
          </cell>
          <cell r="W441">
            <v>14397037.749282593</v>
          </cell>
          <cell r="X441">
            <v>35111014.024210848</v>
          </cell>
        </row>
        <row r="442">
          <cell r="T442">
            <v>1921275.6223438797</v>
          </cell>
          <cell r="U442">
            <v>2853443.1845782679</v>
          </cell>
          <cell r="V442">
            <v>5099893.5030360948</v>
          </cell>
          <cell r="W442">
            <v>14428692.853339704</v>
          </cell>
          <cell r="X442">
            <v>35189689.638673671</v>
          </cell>
        </row>
        <row r="443">
          <cell r="T443">
            <v>1924810.6366617694</v>
          </cell>
          <cell r="U443">
            <v>2859011.7003279468</v>
          </cell>
          <cell r="V443">
            <v>5110470.8703607414</v>
          </cell>
          <cell r="W443">
            <v>14460347.957396816</v>
          </cell>
          <cell r="X443">
            <v>35268365.253136493</v>
          </cell>
        </row>
        <row r="444">
          <cell r="T444">
            <v>1928345.6509796593</v>
          </cell>
          <cell r="U444">
            <v>2864580.2160776258</v>
          </cell>
          <cell r="V444">
            <v>5121048.237685388</v>
          </cell>
          <cell r="W444">
            <v>14492003.061453927</v>
          </cell>
          <cell r="X444">
            <v>35347040.867599316</v>
          </cell>
        </row>
        <row r="445">
          <cell r="T445">
            <v>1931880.665297549</v>
          </cell>
          <cell r="U445">
            <v>2870148.7318273042</v>
          </cell>
          <cell r="V445">
            <v>5131625.6050100354</v>
          </cell>
          <cell r="W445">
            <v>14523658.165511038</v>
          </cell>
          <cell r="X445">
            <v>35425716.482062139</v>
          </cell>
        </row>
        <row r="446">
          <cell r="T446">
            <v>1935415.6796154389</v>
          </cell>
          <cell r="U446">
            <v>2875717.2475769832</v>
          </cell>
          <cell r="V446">
            <v>5142202.972334682</v>
          </cell>
          <cell r="W446">
            <v>14555313.269568151</v>
          </cell>
          <cell r="X446">
            <v>35504392.096524961</v>
          </cell>
        </row>
        <row r="447">
          <cell r="T447">
            <v>1938950.6939333288</v>
          </cell>
          <cell r="U447">
            <v>2881285.7633266621</v>
          </cell>
          <cell r="V447">
            <v>5152780.3396593286</v>
          </cell>
          <cell r="W447">
            <v>14586968.373625262</v>
          </cell>
          <cell r="X447">
            <v>35583067.710987784</v>
          </cell>
        </row>
        <row r="448">
          <cell r="T448">
            <v>1942485.7082512185</v>
          </cell>
          <cell r="U448">
            <v>2886854.2790763406</v>
          </cell>
          <cell r="V448">
            <v>5163357.7069839751</v>
          </cell>
          <cell r="W448">
            <v>14618623.477682373</v>
          </cell>
          <cell r="X448">
            <v>35661743.325450607</v>
          </cell>
        </row>
        <row r="449">
          <cell r="T449">
            <v>1946020.7225691085</v>
          </cell>
          <cell r="U449">
            <v>2892422.7948260196</v>
          </cell>
          <cell r="V449">
            <v>5173935.0743086217</v>
          </cell>
          <cell r="W449">
            <v>14650278.581739483</v>
          </cell>
          <cell r="X449">
            <v>35740418.939913429</v>
          </cell>
        </row>
        <row r="450">
          <cell r="T450">
            <v>1949555.7368869982</v>
          </cell>
          <cell r="U450">
            <v>2897991.3105756985</v>
          </cell>
          <cell r="V450">
            <v>5184512.4416332683</v>
          </cell>
          <cell r="W450">
            <v>14681933.685796596</v>
          </cell>
          <cell r="X450">
            <v>35819094.554376252</v>
          </cell>
        </row>
        <row r="451">
          <cell r="T451">
            <v>1953090.7512048881</v>
          </cell>
          <cell r="U451">
            <v>2903559.826325377</v>
          </cell>
          <cell r="V451">
            <v>5195089.8089579148</v>
          </cell>
          <cell r="W451">
            <v>14713588.789853707</v>
          </cell>
          <cell r="X451">
            <v>35897770.168839075</v>
          </cell>
        </row>
        <row r="452">
          <cell r="T452">
            <v>1956625.7655227778</v>
          </cell>
          <cell r="U452">
            <v>2909128.3420750559</v>
          </cell>
          <cell r="V452">
            <v>5205667.1762825623</v>
          </cell>
          <cell r="W452">
            <v>14745243.893910818</v>
          </cell>
          <cell r="X452">
            <v>35976445.783301897</v>
          </cell>
        </row>
        <row r="453">
          <cell r="T453">
            <v>1960160.7798406677</v>
          </cell>
          <cell r="U453">
            <v>2914696.8578247349</v>
          </cell>
          <cell r="V453">
            <v>5216244.5436072089</v>
          </cell>
          <cell r="W453">
            <v>14776898.997967931</v>
          </cell>
          <cell r="X453">
            <v>36055121.39776472</v>
          </cell>
        </row>
        <row r="454">
          <cell r="T454">
            <v>1963695.7941585574</v>
          </cell>
          <cell r="U454">
            <v>2920265.3735744134</v>
          </cell>
          <cell r="V454">
            <v>5226821.9109318554</v>
          </cell>
          <cell r="W454">
            <v>14808554.102025041</v>
          </cell>
          <cell r="X454">
            <v>36133797.012227543</v>
          </cell>
        </row>
        <row r="455">
          <cell r="T455">
            <v>1967230.8084764474</v>
          </cell>
          <cell r="U455">
            <v>2925833.8893240923</v>
          </cell>
          <cell r="V455">
            <v>5237399.278256502</v>
          </cell>
          <cell r="W455">
            <v>14840209.206082152</v>
          </cell>
          <cell r="X455">
            <v>36212472.626690365</v>
          </cell>
        </row>
        <row r="456">
          <cell r="T456">
            <v>1970765.8227943371</v>
          </cell>
          <cell r="U456">
            <v>2931402.4050737713</v>
          </cell>
          <cell r="V456">
            <v>5247976.6455811486</v>
          </cell>
          <cell r="W456">
            <v>14871864.310139263</v>
          </cell>
          <cell r="X456">
            <v>36291148.241153188</v>
          </cell>
        </row>
        <row r="457">
          <cell r="T457">
            <v>1974300.837112227</v>
          </cell>
          <cell r="U457">
            <v>2936970.9208234502</v>
          </cell>
          <cell r="V457">
            <v>5258554.0129057951</v>
          </cell>
          <cell r="W457">
            <v>14903519.414196376</v>
          </cell>
          <cell r="X457">
            <v>36369823.855616011</v>
          </cell>
        </row>
        <row r="458">
          <cell r="T458">
            <v>1977835.8514301167</v>
          </cell>
          <cell r="U458">
            <v>2942539.4365731287</v>
          </cell>
          <cell r="V458">
            <v>5269131.3802304417</v>
          </cell>
          <cell r="W458">
            <v>14935174.518253487</v>
          </cell>
          <cell r="X458">
            <v>36448499.470078833</v>
          </cell>
        </row>
        <row r="459">
          <cell r="T459">
            <v>1981370.8657480066</v>
          </cell>
          <cell r="U459">
            <v>2948107.9523228076</v>
          </cell>
          <cell r="V459">
            <v>5279708.7475550883</v>
          </cell>
          <cell r="W459">
            <v>14966829.622310597</v>
          </cell>
          <cell r="X459">
            <v>36527175.084541656</v>
          </cell>
        </row>
        <row r="460">
          <cell r="T460">
            <v>1984905.8800658965</v>
          </cell>
          <cell r="U460">
            <v>2953676.4680724866</v>
          </cell>
          <cell r="V460">
            <v>5290286.1148797348</v>
          </cell>
          <cell r="W460">
            <v>14998484.72636771</v>
          </cell>
          <cell r="X460">
            <v>36605850.699004479</v>
          </cell>
        </row>
        <row r="461">
          <cell r="T461">
            <v>1988440.8943837862</v>
          </cell>
          <cell r="U461">
            <v>2959244.9838221651</v>
          </cell>
          <cell r="V461">
            <v>5300863.4822043823</v>
          </cell>
          <cell r="W461">
            <v>15030139.830424821</v>
          </cell>
          <cell r="X461">
            <v>36684526.313467301</v>
          </cell>
        </row>
        <row r="462">
          <cell r="T462">
            <v>1991975.9087016762</v>
          </cell>
          <cell r="U462">
            <v>2964813.499571844</v>
          </cell>
          <cell r="V462">
            <v>5311440.8495290289</v>
          </cell>
          <cell r="W462">
            <v>15061794.934481932</v>
          </cell>
          <cell r="X462">
            <v>36763201.927930124</v>
          </cell>
        </row>
        <row r="463">
          <cell r="T463">
            <v>1995510.9230195659</v>
          </cell>
          <cell r="U463">
            <v>2970382.015321523</v>
          </cell>
          <cell r="V463">
            <v>5322018.2168536754</v>
          </cell>
          <cell r="W463">
            <v>15093450.038539043</v>
          </cell>
          <cell r="X463">
            <v>36841877.542392947</v>
          </cell>
        </row>
        <row r="464">
          <cell r="T464">
            <v>1999045.9373374558</v>
          </cell>
          <cell r="U464">
            <v>2975950.5310712014</v>
          </cell>
          <cell r="V464">
            <v>5332595.584178322</v>
          </cell>
          <cell r="W464">
            <v>15125105.142596155</v>
          </cell>
          <cell r="X464">
            <v>36920553.156855769</v>
          </cell>
        </row>
        <row r="465">
          <cell r="T465">
            <v>2002580.9516553455</v>
          </cell>
          <cell r="U465">
            <v>2981519.0468208804</v>
          </cell>
          <cell r="V465">
            <v>5343172.9515029686</v>
          </cell>
          <cell r="W465">
            <v>15156760.246653266</v>
          </cell>
          <cell r="X465">
            <v>36999228.771318592</v>
          </cell>
        </row>
        <row r="466">
          <cell r="T466">
            <v>2006115.9659732354</v>
          </cell>
          <cell r="U466">
            <v>2987087.5625705593</v>
          </cell>
          <cell r="V466">
            <v>5353750.3188276151</v>
          </cell>
          <cell r="W466">
            <v>15188415.350710377</v>
          </cell>
          <cell r="X466">
            <v>37077904.385781415</v>
          </cell>
        </row>
        <row r="467">
          <cell r="T467">
            <v>2009650.9802911251</v>
          </cell>
          <cell r="U467">
            <v>2992656.0783202378</v>
          </cell>
          <cell r="V467">
            <v>5364327.6861522617</v>
          </cell>
          <cell r="W467">
            <v>15220070.45476749</v>
          </cell>
          <cell r="X467">
            <v>37156580.000244237</v>
          </cell>
        </row>
        <row r="468">
          <cell r="T468">
            <v>2013185.9946090151</v>
          </cell>
          <cell r="U468">
            <v>2998224.5940699168</v>
          </cell>
          <cell r="V468">
            <v>5374905.0534769092</v>
          </cell>
          <cell r="W468">
            <v>15251725.558824601</v>
          </cell>
          <cell r="X468">
            <v>37235255.61470706</v>
          </cell>
        </row>
        <row r="469">
          <cell r="T469">
            <v>2016721.0089269048</v>
          </cell>
          <cell r="U469">
            <v>3003793.1098195957</v>
          </cell>
          <cell r="V469">
            <v>5385482.4208015557</v>
          </cell>
          <cell r="W469">
            <v>15283380.662881711</v>
          </cell>
          <cell r="X469">
            <v>37313931.229169883</v>
          </cell>
        </row>
        <row r="470">
          <cell r="T470">
            <v>2020256.0232447947</v>
          </cell>
          <cell r="U470">
            <v>3009361.6255692746</v>
          </cell>
          <cell r="V470">
            <v>5396059.7881262023</v>
          </cell>
          <cell r="W470">
            <v>15315035.766938822</v>
          </cell>
          <cell r="X470">
            <v>37392606.843632706</v>
          </cell>
        </row>
        <row r="471">
          <cell r="T471">
            <v>2023791.0375626844</v>
          </cell>
          <cell r="U471">
            <v>3014930.1413189531</v>
          </cell>
          <cell r="V471">
            <v>5406637.1554508489</v>
          </cell>
          <cell r="W471">
            <v>15346690.870995935</v>
          </cell>
          <cell r="X471">
            <v>37471282.458095528</v>
          </cell>
        </row>
        <row r="472">
          <cell r="T472">
            <v>2027326.0518805743</v>
          </cell>
          <cell r="U472">
            <v>3020498.6570686321</v>
          </cell>
          <cell r="V472">
            <v>5417214.5227754954</v>
          </cell>
          <cell r="W472">
            <v>15378345.975053046</v>
          </cell>
          <cell r="X472">
            <v>37549958.072558351</v>
          </cell>
        </row>
        <row r="473">
          <cell r="T473">
            <v>2030861.066198464</v>
          </cell>
          <cell r="U473">
            <v>3026067.172818311</v>
          </cell>
          <cell r="V473">
            <v>5427791.890100142</v>
          </cell>
          <cell r="W473">
            <v>15410001.079110157</v>
          </cell>
          <cell r="X473">
            <v>37628633.687021174</v>
          </cell>
        </row>
        <row r="474">
          <cell r="T474">
            <v>2034396.0805163539</v>
          </cell>
          <cell r="U474">
            <v>3031635.6885679895</v>
          </cell>
          <cell r="V474">
            <v>5438369.2574247885</v>
          </cell>
          <cell r="W474">
            <v>15441656.183167269</v>
          </cell>
          <cell r="X474">
            <v>37707309.301483996</v>
          </cell>
        </row>
        <row r="475">
          <cell r="T475">
            <v>2037931.0948342439</v>
          </cell>
          <cell r="U475">
            <v>3037204.2043176685</v>
          </cell>
          <cell r="V475">
            <v>5448946.6247494351</v>
          </cell>
          <cell r="W475">
            <v>15473311.28722438</v>
          </cell>
          <cell r="X475">
            <v>37785984.915946819</v>
          </cell>
        </row>
        <row r="476">
          <cell r="T476">
            <v>2041466.1091521336</v>
          </cell>
          <cell r="U476">
            <v>3042772.7200673474</v>
          </cell>
          <cell r="V476">
            <v>5459523.9920740826</v>
          </cell>
          <cell r="W476">
            <v>15504966.391281491</v>
          </cell>
          <cell r="X476">
            <v>37864660.530409642</v>
          </cell>
        </row>
        <row r="477">
          <cell r="T477">
            <v>2045001.1234700235</v>
          </cell>
          <cell r="U477">
            <v>3048341.2358170259</v>
          </cell>
          <cell r="V477">
            <v>5470101.3593987292</v>
          </cell>
          <cell r="W477">
            <v>15536621.495338602</v>
          </cell>
          <cell r="X477">
            <v>37943336.144872457</v>
          </cell>
        </row>
        <row r="478">
          <cell r="T478">
            <v>2048536.1377879132</v>
          </cell>
          <cell r="U478">
            <v>3053909.7515667048</v>
          </cell>
          <cell r="V478">
            <v>5480678.7267233757</v>
          </cell>
          <cell r="W478">
            <v>15568276.599395715</v>
          </cell>
          <cell r="X478">
            <v>38022011.759335279</v>
          </cell>
        </row>
        <row r="479">
          <cell r="T479">
            <v>2052071.1521058031</v>
          </cell>
          <cell r="U479">
            <v>3059478.2673163838</v>
          </cell>
          <cell r="V479">
            <v>5491256.0940480223</v>
          </cell>
          <cell r="W479">
            <v>15599931.703452826</v>
          </cell>
          <cell r="X479">
            <v>38100687.373798102</v>
          </cell>
        </row>
        <row r="480">
          <cell r="T480">
            <v>2055606.1664236928</v>
          </cell>
          <cell r="U480">
            <v>3065046.7830660627</v>
          </cell>
          <cell r="V480">
            <v>5501833.4613726689</v>
          </cell>
          <cell r="W480">
            <v>15631586.807509936</v>
          </cell>
          <cell r="X480">
            <v>38179362.988260925</v>
          </cell>
        </row>
        <row r="481">
          <cell r="T481">
            <v>2059141.1807415828</v>
          </cell>
          <cell r="U481">
            <v>3070615.2988157412</v>
          </cell>
          <cell r="V481">
            <v>5512410.8286973154</v>
          </cell>
          <cell r="W481">
            <v>15663241.911567047</v>
          </cell>
          <cell r="X481">
            <v>38258038.602723747</v>
          </cell>
        </row>
        <row r="482">
          <cell r="T482">
            <v>2062676.1950594725</v>
          </cell>
          <cell r="U482">
            <v>3076183.8145654202</v>
          </cell>
          <cell r="V482">
            <v>5522988.196021962</v>
          </cell>
          <cell r="W482">
            <v>15694897.01562416</v>
          </cell>
          <cell r="X482">
            <v>38336714.21718657</v>
          </cell>
        </row>
        <row r="483">
          <cell r="T483">
            <v>2066211.2093773624</v>
          </cell>
          <cell r="U483">
            <v>3081752.3303150991</v>
          </cell>
          <cell r="V483">
            <v>5533565.5633466095</v>
          </cell>
          <cell r="W483">
            <v>15726552.119681271</v>
          </cell>
          <cell r="X483">
            <v>38415389.831649393</v>
          </cell>
        </row>
        <row r="484">
          <cell r="T484">
            <v>2069746.2236952521</v>
          </cell>
          <cell r="U484">
            <v>3087320.8460647776</v>
          </cell>
          <cell r="V484">
            <v>5544142.930671256</v>
          </cell>
          <cell r="W484">
            <v>15758207.223738382</v>
          </cell>
          <cell r="X484">
            <v>38494065.446112216</v>
          </cell>
        </row>
        <row r="485">
          <cell r="T485">
            <v>2073281.238013142</v>
          </cell>
          <cell r="U485">
            <v>3092889.3618144565</v>
          </cell>
          <cell r="V485">
            <v>5554720.2979959026</v>
          </cell>
          <cell r="W485">
            <v>15789862.327795492</v>
          </cell>
          <cell r="X485">
            <v>38572741.060575038</v>
          </cell>
        </row>
        <row r="486">
          <cell r="T486">
            <v>2076816.2523310317</v>
          </cell>
          <cell r="U486">
            <v>3098457.8775641355</v>
          </cell>
          <cell r="V486">
            <v>5565297.6653205492</v>
          </cell>
          <cell r="W486">
            <v>15821517.431852605</v>
          </cell>
          <cell r="X486">
            <v>38651416.675037861</v>
          </cell>
        </row>
        <row r="487">
          <cell r="T487">
            <v>2080351.2666489216</v>
          </cell>
          <cell r="U487">
            <v>3104026.3933138144</v>
          </cell>
          <cell r="V487">
            <v>5575875.0326451957</v>
          </cell>
          <cell r="W487">
            <v>15853172.535909716</v>
          </cell>
          <cell r="X487">
            <v>38730092.289500684</v>
          </cell>
        </row>
        <row r="488">
          <cell r="T488">
            <v>2083886.2809668113</v>
          </cell>
          <cell r="U488">
            <v>3109594.9090634929</v>
          </cell>
          <cell r="V488">
            <v>5586452.3999698423</v>
          </cell>
          <cell r="W488">
            <v>15884827.639966827</v>
          </cell>
          <cell r="X488">
            <v>38808767.903963506</v>
          </cell>
        </row>
        <row r="489">
          <cell r="T489">
            <v>2087421.2952847013</v>
          </cell>
          <cell r="U489">
            <v>3115163.4248131718</v>
          </cell>
          <cell r="V489">
            <v>5597029.7672944888</v>
          </cell>
          <cell r="W489">
            <v>15916482.74402394</v>
          </cell>
          <cell r="X489">
            <v>38887443.518426329</v>
          </cell>
        </row>
        <row r="490">
          <cell r="T490">
            <v>2090956.309602591</v>
          </cell>
          <cell r="U490">
            <v>3120731.9405628508</v>
          </cell>
          <cell r="V490">
            <v>5607607.1346191354</v>
          </cell>
          <cell r="W490">
            <v>15948137.84808105</v>
          </cell>
          <cell r="X490">
            <v>38966119.132889152</v>
          </cell>
        </row>
        <row r="491">
          <cell r="T491">
            <v>2094491.3239204809</v>
          </cell>
          <cell r="U491">
            <v>3126300.4563125293</v>
          </cell>
          <cell r="V491">
            <v>5618184.5019437829</v>
          </cell>
          <cell r="W491">
            <v>15979792.952138161</v>
          </cell>
          <cell r="X491">
            <v>39044794.747351974</v>
          </cell>
        </row>
        <row r="492">
          <cell r="T492">
            <v>2098026.3382383706</v>
          </cell>
          <cell r="U492">
            <v>3131868.9720622082</v>
          </cell>
          <cell r="V492">
            <v>5628761.8692684295</v>
          </cell>
          <cell r="W492">
            <v>16011448.056195272</v>
          </cell>
          <cell r="X492">
            <v>39123470.361814797</v>
          </cell>
        </row>
        <row r="493">
          <cell r="T493">
            <v>2101561.3525562608</v>
          </cell>
          <cell r="U493">
            <v>3137437.4878118872</v>
          </cell>
          <cell r="V493">
            <v>5639339.236593076</v>
          </cell>
          <cell r="W493">
            <v>16043103.160252385</v>
          </cell>
          <cell r="X493">
            <v>39202145.97627762</v>
          </cell>
        </row>
        <row r="494">
          <cell r="T494">
            <v>2105096.3668741505</v>
          </cell>
          <cell r="U494">
            <v>3143006.0035615657</v>
          </cell>
          <cell r="V494">
            <v>5649916.6039177226</v>
          </cell>
          <cell r="W494">
            <v>16074758.264309496</v>
          </cell>
          <cell r="X494">
            <v>39280821.590740442</v>
          </cell>
        </row>
        <row r="495">
          <cell r="T495">
            <v>2108631.3811920402</v>
          </cell>
          <cell r="U495">
            <v>3148574.5193112446</v>
          </cell>
          <cell r="V495">
            <v>5660493.9712423692</v>
          </cell>
          <cell r="W495">
            <v>16106413.368366607</v>
          </cell>
          <cell r="X495">
            <v>39359497.205203265</v>
          </cell>
        </row>
        <row r="496">
          <cell r="T496">
            <v>2112166.3955099299</v>
          </cell>
          <cell r="U496">
            <v>3154143.0350609235</v>
          </cell>
          <cell r="V496">
            <v>5671071.3385670157</v>
          </cell>
          <cell r="W496">
            <v>16138068.472423717</v>
          </cell>
          <cell r="X496">
            <v>39438172.819666088</v>
          </cell>
        </row>
        <row r="497">
          <cell r="T497">
            <v>2115701.40982782</v>
          </cell>
          <cell r="U497">
            <v>3159711.5508106025</v>
          </cell>
          <cell r="V497">
            <v>5681648.7058916623</v>
          </cell>
          <cell r="W497">
            <v>16169723.57648083</v>
          </cell>
          <cell r="X497">
            <v>39516848.43412891</v>
          </cell>
        </row>
        <row r="498">
          <cell r="T498">
            <v>2119236.4241457097</v>
          </cell>
          <cell r="U498">
            <v>3165280.066560281</v>
          </cell>
          <cell r="V498">
            <v>5692226.0732163088</v>
          </cell>
          <cell r="W498">
            <v>16201378.680537941</v>
          </cell>
          <cell r="X498">
            <v>39595524.048591733</v>
          </cell>
        </row>
        <row r="499">
          <cell r="T499">
            <v>2122771.4384635994</v>
          </cell>
          <cell r="U499">
            <v>3170848.5823099599</v>
          </cell>
          <cell r="V499">
            <v>5702803.4405409563</v>
          </cell>
          <cell r="W499">
            <v>16233033.784595052</v>
          </cell>
          <cell r="X499">
            <v>39674199.663054548</v>
          </cell>
        </row>
        <row r="500">
          <cell r="T500">
            <v>2126306.4527814891</v>
          </cell>
          <cell r="U500">
            <v>3176417.0980596389</v>
          </cell>
          <cell r="V500">
            <v>5713380.8078656029</v>
          </cell>
          <cell r="W500">
            <v>16264688.888652163</v>
          </cell>
          <cell r="X500">
            <v>39752875.277517371</v>
          </cell>
        </row>
        <row r="501">
          <cell r="T501">
            <v>2129841.4670993793</v>
          </cell>
          <cell r="U501">
            <v>3181985.6138093174</v>
          </cell>
          <cell r="V501">
            <v>5723958.1751902495</v>
          </cell>
          <cell r="W501">
            <v>16296343.992709275</v>
          </cell>
          <cell r="X501">
            <v>39831550.891980194</v>
          </cell>
        </row>
        <row r="502">
          <cell r="T502">
            <v>2133376.481417269</v>
          </cell>
          <cell r="U502">
            <v>3187554.1295589963</v>
          </cell>
          <cell r="V502">
            <v>5734535.542514896</v>
          </cell>
          <cell r="W502">
            <v>16327999.096766386</v>
          </cell>
          <cell r="X502">
            <v>39910226.506443016</v>
          </cell>
        </row>
        <row r="503">
          <cell r="T503">
            <v>2136911.4957351587</v>
          </cell>
          <cell r="U503">
            <v>3193122.6453086752</v>
          </cell>
          <cell r="V503">
            <v>5745112.9098395426</v>
          </cell>
          <cell r="W503">
            <v>16359654.200823497</v>
          </cell>
          <cell r="X503">
            <v>39988902.120905839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阵旗洗练逻辑"/>
      <sheetName val="阵旗洗练模拟"/>
    </sheetNames>
    <sheetDataSet>
      <sheetData sheetId="0"/>
      <sheetData sheetId="1">
        <row r="8">
          <cell r="D8">
            <v>20</v>
          </cell>
          <cell r="E8">
            <v>40</v>
          </cell>
          <cell r="F8">
            <v>60</v>
          </cell>
          <cell r="G8">
            <v>80</v>
          </cell>
          <cell r="H8">
            <v>100</v>
          </cell>
          <cell r="I8">
            <v>120</v>
          </cell>
          <cell r="J8">
            <v>140</v>
          </cell>
          <cell r="K8">
            <v>160</v>
          </cell>
          <cell r="L8">
            <v>180</v>
          </cell>
          <cell r="M8">
            <v>200</v>
          </cell>
          <cell r="N8">
            <v>220</v>
          </cell>
          <cell r="O8">
            <v>240</v>
          </cell>
          <cell r="P8">
            <v>260</v>
          </cell>
          <cell r="Q8">
            <v>280</v>
          </cell>
          <cell r="R8">
            <v>300</v>
          </cell>
          <cell r="S8">
            <v>320</v>
          </cell>
          <cell r="T8">
            <v>340</v>
          </cell>
          <cell r="U8">
            <v>360</v>
          </cell>
          <cell r="V8">
            <v>380</v>
          </cell>
          <cell r="W8">
            <v>400</v>
          </cell>
          <cell r="X8">
            <v>420</v>
          </cell>
          <cell r="Y8">
            <v>440</v>
          </cell>
          <cell r="Z8">
            <v>460</v>
          </cell>
          <cell r="AA8">
            <v>480</v>
          </cell>
          <cell r="AB8">
            <v>500</v>
          </cell>
          <cell r="AC8">
            <v>520</v>
          </cell>
          <cell r="AD8">
            <v>540</v>
          </cell>
          <cell r="AE8">
            <v>560</v>
          </cell>
          <cell r="AF8">
            <v>580</v>
          </cell>
          <cell r="AG8">
            <v>600</v>
          </cell>
          <cell r="AH8">
            <v>620</v>
          </cell>
          <cell r="AI8">
            <v>640</v>
          </cell>
          <cell r="AJ8">
            <v>660</v>
          </cell>
          <cell r="AK8">
            <v>680</v>
          </cell>
          <cell r="AL8">
            <v>700</v>
          </cell>
          <cell r="AM8">
            <v>720</v>
          </cell>
          <cell r="AN8">
            <v>740</v>
          </cell>
          <cell r="AO8">
            <v>760</v>
          </cell>
          <cell r="AP8">
            <v>780</v>
          </cell>
          <cell r="AQ8">
            <v>800</v>
          </cell>
        </row>
        <row r="16">
          <cell r="D16">
            <v>0.52542315945625306</v>
          </cell>
          <cell r="E16">
            <v>0.56752616138458245</v>
          </cell>
          <cell r="F16">
            <v>0.62023783147335054</v>
          </cell>
          <cell r="G16">
            <v>0.67020851382017133</v>
          </cell>
          <cell r="H16">
            <v>0.68835315982103329</v>
          </cell>
          <cell r="I16">
            <v>0.75140234637260417</v>
          </cell>
          <cell r="J16">
            <v>0.77407452083826056</v>
          </cell>
          <cell r="K16">
            <v>0.82030045025348608</v>
          </cell>
          <cell r="L16">
            <v>0.84929689912796047</v>
          </cell>
          <cell r="M16">
            <v>0.87041914061307923</v>
          </cell>
          <cell r="N16">
            <v>0.88798393162488964</v>
          </cell>
          <cell r="O16">
            <v>0.90822742546796775</v>
          </cell>
          <cell r="P16">
            <v>0.93461291073560693</v>
          </cell>
          <cell r="Q16">
            <v>0.94206559002399504</v>
          </cell>
          <cell r="R16">
            <v>0.96081660952568015</v>
          </cell>
          <cell r="S16">
            <v>0.97526698400974265</v>
          </cell>
          <cell r="T16">
            <v>0.97928628472089752</v>
          </cell>
          <cell r="U16">
            <v>0.98834840663671497</v>
          </cell>
          <cell r="V16">
            <v>0.989973742353916</v>
          </cell>
          <cell r="W16">
            <v>0.99325009346008342</v>
          </cell>
          <cell r="X16">
            <v>0.99588274111747777</v>
          </cell>
          <cell r="Y16">
            <v>0.99780333521366116</v>
          </cell>
          <cell r="Z16">
            <v>0.99829709641933428</v>
          </cell>
          <cell r="AA16">
            <v>0.99853140313625266</v>
          </cell>
          <cell r="AB16">
            <v>0.99916749064922328</v>
          </cell>
          <cell r="AC16">
            <v>0.99880198748111748</v>
          </cell>
          <cell r="AD16">
            <v>0.99930716769695249</v>
          </cell>
          <cell r="AE16">
            <v>0.99954186573028525</v>
          </cell>
          <cell r="AF16">
            <v>0.99956277024745954</v>
          </cell>
          <cell r="AG16">
            <v>0.99966639521121958</v>
          </cell>
          <cell r="AH16">
            <v>0.99970386941432954</v>
          </cell>
          <cell r="AI16">
            <v>0.99968300621509587</v>
          </cell>
          <cell r="AJ16">
            <v>0.99968003375530212</v>
          </cell>
          <cell r="AK16">
            <v>0.99972219686508212</v>
          </cell>
          <cell r="AL16">
            <v>0.99974809594154312</v>
          </cell>
          <cell r="AM16">
            <v>0.99976681106090537</v>
          </cell>
          <cell r="AN16">
            <v>0.9998010349035259</v>
          </cell>
          <cell r="AO16">
            <v>0.99978066380023978</v>
          </cell>
          <cell r="AP16">
            <v>0.99981656780242967</v>
          </cell>
          <cell r="AQ16">
            <v>0.99985759973525989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0</v>
          </cell>
        </row>
      </sheetData>
      <sheetData sheetId="8">
        <row r="5">
          <cell r="AV5">
            <v>1.2402098837099819E-2</v>
          </cell>
        </row>
      </sheetData>
      <sheetData sheetId="9">
        <row r="5">
          <cell r="BG5">
            <v>1.2402098837099819E-2</v>
          </cell>
        </row>
      </sheetData>
      <sheetData sheetId="10"/>
      <sheetData sheetId="11">
        <row r="5">
          <cell r="AQ5">
            <v>8.6741016109045856E-3</v>
          </cell>
        </row>
      </sheetData>
      <sheetData sheetId="12">
        <row r="4">
          <cell r="D4">
            <v>1249.1935266914652</v>
          </cell>
        </row>
      </sheetData>
      <sheetData sheetId="13"/>
      <sheetData sheetId="14">
        <row r="7">
          <cell r="M7">
            <v>60</v>
          </cell>
          <cell r="AX7">
            <v>1983056.2797829863</v>
          </cell>
        </row>
        <row r="8">
          <cell r="AX8">
            <v>2871238.3432154572</v>
          </cell>
        </row>
        <row r="9">
          <cell r="AX9">
            <v>3977203.365341939</v>
          </cell>
        </row>
        <row r="10">
          <cell r="AX10">
            <v>5380691.6644423557</v>
          </cell>
        </row>
        <row r="11">
          <cell r="AX11">
            <v>7137626.8697135188</v>
          </cell>
        </row>
        <row r="12">
          <cell r="AX12">
            <v>9310032.0847002063</v>
          </cell>
        </row>
        <row r="13">
          <cell r="AX13">
            <v>11967302.547853161</v>
          </cell>
        </row>
        <row r="14">
          <cell r="AX14">
            <v>15186771.839366747</v>
          </cell>
        </row>
        <row r="15">
          <cell r="AX15">
            <v>18915892.697562315</v>
          </cell>
        </row>
        <row r="16">
          <cell r="AX16">
            <v>23431382.793330841</v>
          </cell>
        </row>
        <row r="17">
          <cell r="AX17">
            <v>28845127.993437462</v>
          </cell>
        </row>
        <row r="18">
          <cell r="AX18">
            <v>33055298.453391522</v>
          </cell>
        </row>
        <row r="19">
          <cell r="AX19">
            <v>37760970.341286592</v>
          </cell>
        </row>
        <row r="20">
          <cell r="AX20">
            <v>42898254.829630345</v>
          </cell>
        </row>
        <row r="21">
          <cell r="AX21">
            <v>48510047.83273159</v>
          </cell>
        </row>
        <row r="22">
          <cell r="AX22">
            <v>54622519.00644131</v>
          </cell>
        </row>
        <row r="23">
          <cell r="AX23">
            <v>61262158.918859884</v>
          </cell>
        </row>
        <row r="24">
          <cell r="AX24">
            <v>68569501.558335125</v>
          </cell>
        </row>
        <row r="25">
          <cell r="AX25">
            <v>77222628.02809009</v>
          </cell>
        </row>
        <row r="26">
          <cell r="AX26">
            <v>86270675.18394284</v>
          </cell>
        </row>
        <row r="27">
          <cell r="AX27">
            <v>95843107.894904435</v>
          </cell>
        </row>
        <row r="28">
          <cell r="AX28">
            <v>106305853.33557823</v>
          </cell>
        </row>
        <row r="29">
          <cell r="AX29">
            <v>117494077.80285856</v>
          </cell>
        </row>
        <row r="30">
          <cell r="AX30">
            <v>129378688.42132083</v>
          </cell>
        </row>
        <row r="31">
          <cell r="AX31">
            <v>141918921.98030499</v>
          </cell>
        </row>
        <row r="32">
          <cell r="AX32">
            <v>155415992.29158011</v>
          </cell>
        </row>
        <row r="33">
          <cell r="AX33">
            <v>170233000.29527092</v>
          </cell>
        </row>
        <row r="34">
          <cell r="AX34">
            <v>186496405.98552567</v>
          </cell>
        </row>
        <row r="35">
          <cell r="AX35">
            <v>205517158.85326785</v>
          </cell>
        </row>
        <row r="36">
          <cell r="AX36">
            <v>225891141.96188393</v>
          </cell>
        </row>
        <row r="37">
          <cell r="AX37">
            <v>250223297.15583009</v>
          </cell>
        </row>
        <row r="38">
          <cell r="AX38">
            <v>276373106.31539202</v>
          </cell>
        </row>
        <row r="39">
          <cell r="AX39">
            <v>305120820.10302812</v>
          </cell>
        </row>
        <row r="40">
          <cell r="AX40">
            <v>335865134.10133123</v>
          </cell>
        </row>
        <row r="41">
          <cell r="AX41">
            <v>371524229.09128428</v>
          </cell>
        </row>
        <row r="42">
          <cell r="AX42">
            <v>412512435.48867559</v>
          </cell>
        </row>
        <row r="43">
          <cell r="AX43">
            <v>457226775.28420389</v>
          </cell>
        </row>
        <row r="44">
          <cell r="AX44">
            <v>505565164.48442769</v>
          </cell>
        </row>
        <row r="45">
          <cell r="AX45">
            <v>558071142.70438921</v>
          </cell>
        </row>
        <row r="46">
          <cell r="AX46">
            <v>615246066.83693337</v>
          </cell>
        </row>
        <row r="47">
          <cell r="AX47">
            <v>664696862.29078245</v>
          </cell>
        </row>
        <row r="48">
          <cell r="AX48">
            <v>718304849.85790265</v>
          </cell>
        </row>
        <row r="49">
          <cell r="AX49">
            <v>774666175.18430281</v>
          </cell>
        </row>
        <row r="50">
          <cell r="AX50">
            <v>836550075.24280071</v>
          </cell>
        </row>
        <row r="51">
          <cell r="AX51">
            <v>901897269.59346414</v>
          </cell>
        </row>
        <row r="52">
          <cell r="AX52">
            <v>973326040.1163671</v>
          </cell>
        </row>
        <row r="53">
          <cell r="AX53">
            <v>1050265866.3625106</v>
          </cell>
        </row>
        <row r="54">
          <cell r="AX54">
            <v>1133904814.5529444</v>
          </cell>
        </row>
        <row r="55">
          <cell r="AX55">
            <v>1223490716.6389885</v>
          </cell>
        </row>
        <row r="56">
          <cell r="AX56">
            <v>1317658119.8179655</v>
          </cell>
        </row>
        <row r="57">
          <cell r="AX57">
            <v>1444419889.1244187</v>
          </cell>
        </row>
        <row r="58">
          <cell r="AX58">
            <v>1579288161.0722942</v>
          </cell>
        </row>
        <row r="59">
          <cell r="AX59">
            <v>1725771746.7694049</v>
          </cell>
        </row>
        <row r="60">
          <cell r="AX60">
            <v>1883857326.9866271</v>
          </cell>
        </row>
        <row r="61">
          <cell r="AX61">
            <v>2056236205.5853357</v>
          </cell>
        </row>
        <row r="62">
          <cell r="AX62">
            <v>2245187595.768084</v>
          </cell>
        </row>
        <row r="63">
          <cell r="AX63">
            <v>2447528887.5846348</v>
          </cell>
        </row>
        <row r="64">
          <cell r="AX64">
            <v>2666280449.5572853</v>
          </cell>
        </row>
        <row r="65">
          <cell r="AX65">
            <v>2898828760.65312</v>
          </cell>
        </row>
        <row r="66">
          <cell r="AX66">
            <v>3197825723.5027447</v>
          </cell>
        </row>
        <row r="67">
          <cell r="AX67">
            <v>3570512918.9480705</v>
          </cell>
        </row>
        <row r="68">
          <cell r="AX68">
            <v>3986696381.1429367</v>
          </cell>
        </row>
        <row r="69">
          <cell r="AX69">
            <v>5476434006.8327589</v>
          </cell>
        </row>
        <row r="70">
          <cell r="AX70">
            <v>6243548455.8442059</v>
          </cell>
        </row>
        <row r="71">
          <cell r="AX71">
            <v>7102153610.216424</v>
          </cell>
        </row>
        <row r="72">
          <cell r="AX72">
            <v>7986792711.7621651</v>
          </cell>
        </row>
        <row r="73">
          <cell r="AX73">
            <v>8957336738.9939232</v>
          </cell>
        </row>
        <row r="74">
          <cell r="AX74">
            <v>10016380717.637024</v>
          </cell>
        </row>
        <row r="75">
          <cell r="AX75">
            <v>11180279372.879581</v>
          </cell>
        </row>
        <row r="76">
          <cell r="AX76">
            <v>12528043769.864136</v>
          </cell>
        </row>
        <row r="77">
          <cell r="AX77">
            <v>14082733999.012505</v>
          </cell>
        </row>
        <row r="78">
          <cell r="AX78">
            <v>15858542047.653183</v>
          </cell>
        </row>
        <row r="79">
          <cell r="AX79">
            <v>17865210762.708054</v>
          </cell>
        </row>
        <row r="80">
          <cell r="AX80">
            <v>20102248498.012486</v>
          </cell>
        </row>
        <row r="81">
          <cell r="AX81">
            <v>22616977678.864029</v>
          </cell>
        </row>
        <row r="82">
          <cell r="AX82">
            <v>25536580124.765263</v>
          </cell>
        </row>
        <row r="83">
          <cell r="AX83">
            <v>28823904544.08432</v>
          </cell>
        </row>
        <row r="84">
          <cell r="AX84">
            <v>31843283529.460243</v>
          </cell>
        </row>
        <row r="85">
          <cell r="AX85">
            <v>35000848752.967545</v>
          </cell>
        </row>
        <row r="86">
          <cell r="AX86">
            <v>38422516674.019852</v>
          </cell>
        </row>
        <row r="87">
          <cell r="AX87">
            <v>42000992384.697357</v>
          </cell>
        </row>
        <row r="88">
          <cell r="AX88">
            <v>46100703879.096375</v>
          </cell>
        </row>
        <row r="89">
          <cell r="AX89">
            <v>50539879837.868561</v>
          </cell>
        </row>
        <row r="90">
          <cell r="AX90">
            <v>55344935323.262985</v>
          </cell>
        </row>
        <row r="91">
          <cell r="AX91">
            <v>60614628051.971802</v>
          </cell>
        </row>
        <row r="92">
          <cell r="AX92">
            <v>66947518784.938629</v>
          </cell>
        </row>
        <row r="93">
          <cell r="AX93">
            <v>73939248798.178223</v>
          </cell>
        </row>
        <row r="94">
          <cell r="AX94">
            <v>80508149063.04071</v>
          </cell>
        </row>
        <row r="95">
          <cell r="AX95">
            <v>87383358730.02356</v>
          </cell>
        </row>
        <row r="96">
          <cell r="AX96">
            <v>94887858545.555008</v>
          </cell>
        </row>
        <row r="97">
          <cell r="AX97">
            <v>103313370939.57733</v>
          </cell>
        </row>
        <row r="98">
          <cell r="AX98">
            <v>112990676798.28848</v>
          </cell>
        </row>
        <row r="99">
          <cell r="AX99">
            <v>122969437156.28119</v>
          </cell>
        </row>
        <row r="100">
          <cell r="AX100">
            <v>133874197841.02843</v>
          </cell>
        </row>
        <row r="101">
          <cell r="AX101">
            <v>145979389086.53424</v>
          </cell>
        </row>
        <row r="102">
          <cell r="AX102">
            <v>159712214329.47791</v>
          </cell>
        </row>
        <row r="103">
          <cell r="AX103">
            <v>175662604523.09323</v>
          </cell>
        </row>
        <row r="104">
          <cell r="AX104">
            <v>192229013481.61975</v>
          </cell>
        </row>
        <row r="105">
          <cell r="AX105">
            <v>208568512315.5983</v>
          </cell>
        </row>
        <row r="106">
          <cell r="AX106">
            <v>225836955453.18121</v>
          </cell>
        </row>
        <row r="107">
          <cell r="AX107">
            <v>243988971892.59656</v>
          </cell>
        </row>
        <row r="108">
          <cell r="AX108">
            <v>261473633081.95428</v>
          </cell>
        </row>
        <row r="109">
          <cell r="AX109">
            <v>280047107973.01001</v>
          </cell>
        </row>
        <row r="110">
          <cell r="AX110">
            <v>299671606687.28748</v>
          </cell>
        </row>
        <row r="111">
          <cell r="AX111">
            <v>319011170073.98291</v>
          </cell>
        </row>
        <row r="112">
          <cell r="AX112">
            <v>339986589297.44336</v>
          </cell>
        </row>
        <row r="113">
          <cell r="AX113">
            <v>362393505281.69403</v>
          </cell>
        </row>
        <row r="114">
          <cell r="AX114">
            <v>385726672676.08691</v>
          </cell>
        </row>
        <row r="115">
          <cell r="AX115">
            <v>410548044231.3158</v>
          </cell>
        </row>
        <row r="116">
          <cell r="AX116">
            <v>436279858416.7865</v>
          </cell>
        </row>
        <row r="117">
          <cell r="AX117">
            <v>463526004736.73364</v>
          </cell>
        </row>
        <row r="118">
          <cell r="AX118">
            <v>491972175769.22351</v>
          </cell>
        </row>
        <row r="119">
          <cell r="AX119">
            <v>522114163960.89813</v>
          </cell>
        </row>
        <row r="120">
          <cell r="AX120">
            <v>555408422795.06641</v>
          </cell>
        </row>
        <row r="121">
          <cell r="AX121">
            <v>590773933299.04907</v>
          </cell>
        </row>
        <row r="122">
          <cell r="AX122">
            <v>625338834108.40308</v>
          </cell>
        </row>
        <row r="123">
          <cell r="AX123">
            <v>661193990667.36963</v>
          </cell>
        </row>
        <row r="124">
          <cell r="AX124">
            <v>698674035794.70264</v>
          </cell>
        </row>
        <row r="125">
          <cell r="AX125">
            <v>737923199057.32422</v>
          </cell>
        </row>
        <row r="126">
          <cell r="AX126">
            <v>779125555805.55713</v>
          </cell>
        </row>
        <row r="127">
          <cell r="AX127">
            <v>818428699324.39111</v>
          </cell>
        </row>
        <row r="128">
          <cell r="AX128">
            <v>859550404755.11414</v>
          </cell>
        </row>
        <row r="129">
          <cell r="AX129">
            <v>901239988489.00244</v>
          </cell>
        </row>
        <row r="130">
          <cell r="AX130">
            <v>944588841841.1687</v>
          </cell>
        </row>
        <row r="131">
          <cell r="AX131">
            <v>989407524129.05457</v>
          </cell>
        </row>
        <row r="132">
          <cell r="AX132">
            <v>1036572482180.5527</v>
          </cell>
        </row>
        <row r="133">
          <cell r="AX133">
            <v>1087110591500.798</v>
          </cell>
        </row>
        <row r="134">
          <cell r="AX134">
            <v>1140408712610.8228</v>
          </cell>
        </row>
        <row r="135">
          <cell r="AX135">
            <v>1195461048889.5806</v>
          </cell>
        </row>
        <row r="136">
          <cell r="AX136">
            <v>1253462488498.1843</v>
          </cell>
        </row>
        <row r="137">
          <cell r="AX137">
            <v>1312353643632.729</v>
          </cell>
        </row>
        <row r="138">
          <cell r="AX138">
            <v>1377388630765.9897</v>
          </cell>
        </row>
        <row r="139">
          <cell r="AX139">
            <v>1445387955737.5396</v>
          </cell>
        </row>
        <row r="140">
          <cell r="AX140">
            <v>1516662550648.6555</v>
          </cell>
        </row>
        <row r="141">
          <cell r="AX141">
            <v>1586398060744.9424</v>
          </cell>
        </row>
        <row r="142">
          <cell r="AX142">
            <v>1656975218089.3579</v>
          </cell>
        </row>
        <row r="143">
          <cell r="AX143">
            <v>1730036571236.6953</v>
          </cell>
        </row>
        <row r="144">
          <cell r="AX144">
            <v>1805849961874.564</v>
          </cell>
        </row>
        <row r="145">
          <cell r="AX145">
            <v>1884370957465.4565</v>
          </cell>
        </row>
        <row r="146">
          <cell r="AX146">
            <v>1965445949330.5972</v>
          </cell>
        </row>
        <row r="147">
          <cell r="AX147">
            <v>2049549410656.7446</v>
          </cell>
        </row>
        <row r="148">
          <cell r="AX148">
            <v>2136276318613.1843</v>
          </cell>
        </row>
        <row r="149">
          <cell r="AX149">
            <v>2227472690864.9575</v>
          </cell>
        </row>
        <row r="150">
          <cell r="AX150">
            <v>2322876892686.4136</v>
          </cell>
        </row>
        <row r="151">
          <cell r="AX151">
            <v>2422542489656.9512</v>
          </cell>
        </row>
        <row r="152">
          <cell r="AX152">
            <v>2524842477649.5264</v>
          </cell>
        </row>
        <row r="153">
          <cell r="AX153">
            <v>2631901802441.9561</v>
          </cell>
        </row>
        <row r="154">
          <cell r="AX154">
            <v>2741482637026.8813</v>
          </cell>
        </row>
        <row r="155">
          <cell r="AX155">
            <v>2856341441926.4648</v>
          </cell>
        </row>
        <row r="156">
          <cell r="AX156">
            <v>2987015923289.9204</v>
          </cell>
        </row>
        <row r="157">
          <cell r="AX157">
            <v>3121839398628.2607</v>
          </cell>
        </row>
        <row r="158">
          <cell r="AX158">
            <v>3260739533976.1738</v>
          </cell>
        </row>
        <row r="159">
          <cell r="AX159">
            <v>3420781587885.7271</v>
          </cell>
        </row>
        <row r="160">
          <cell r="AX160">
            <v>3589468234995.8784</v>
          </cell>
        </row>
        <row r="161">
          <cell r="AX161">
            <v>3765892799593.9355</v>
          </cell>
        </row>
        <row r="162">
          <cell r="AX162">
            <v>3865190761879.6313</v>
          </cell>
        </row>
        <row r="163">
          <cell r="AX163">
            <v>3919570865549.0303</v>
          </cell>
        </row>
        <row r="164">
          <cell r="AX164">
            <v>3954243325914.9097</v>
          </cell>
        </row>
        <row r="165">
          <cell r="AX165">
            <v>3978023324158.0737</v>
          </cell>
        </row>
        <row r="166">
          <cell r="AX166">
            <v>4001860144277.7783</v>
          </cell>
        </row>
      </sheetData>
      <sheetData sheetId="15">
        <row r="7">
          <cell r="M7">
            <v>60</v>
          </cell>
          <cell r="AX7">
            <v>1988582.2158227139</v>
          </cell>
        </row>
        <row r="8">
          <cell r="AX8">
            <v>2898295.4021932008</v>
          </cell>
        </row>
        <row r="9">
          <cell r="AX9">
            <v>4038409.8955920856</v>
          </cell>
        </row>
        <row r="10">
          <cell r="AX10">
            <v>5493044.1016072743</v>
          </cell>
        </row>
        <row r="11">
          <cell r="AX11">
            <v>7321819.906357985</v>
          </cell>
        </row>
        <row r="12">
          <cell r="AX12">
            <v>9591952.4702779949</v>
          </cell>
        </row>
        <row r="13">
          <cell r="AX13">
            <v>12378872.585527763</v>
          </cell>
        </row>
        <row r="14">
          <cell r="AX14">
            <v>15725323.201374684</v>
          </cell>
        </row>
        <row r="15">
          <cell r="AX15">
            <v>19635008.101586234</v>
          </cell>
        </row>
        <row r="16">
          <cell r="AX16">
            <v>24271770.541646764</v>
          </cell>
        </row>
        <row r="17">
          <cell r="AX17">
            <v>29897496.306959964</v>
          </cell>
        </row>
        <row r="18">
          <cell r="AX18">
            <v>34480331.012398273</v>
          </cell>
        </row>
        <row r="19">
          <cell r="AX19">
            <v>39388437.17719233</v>
          </cell>
        </row>
        <row r="20">
          <cell r="AX20">
            <v>44752954.965302676</v>
          </cell>
        </row>
        <row r="21">
          <cell r="AX21">
            <v>50564068.071200624</v>
          </cell>
        </row>
        <row r="22">
          <cell r="AX22">
            <v>56932429.838301256</v>
          </cell>
        </row>
        <row r="23">
          <cell r="AX23">
            <v>63802045.845732763</v>
          </cell>
        </row>
        <row r="24">
          <cell r="AX24">
            <v>72092592.578623414</v>
          </cell>
        </row>
        <row r="25">
          <cell r="AX25">
            <v>80587332.940823883</v>
          </cell>
        </row>
        <row r="26">
          <cell r="AX26">
            <v>89593186.706662834</v>
          </cell>
        </row>
        <row r="27">
          <cell r="AX27">
            <v>99700430.139393955</v>
          </cell>
        </row>
        <row r="28">
          <cell r="AX28">
            <v>110659109.2306464</v>
          </cell>
        </row>
        <row r="29">
          <cell r="AX29">
            <v>122502836.16225418</v>
          </cell>
        </row>
        <row r="30">
          <cell r="AX30">
            <v>134990293.60608232</v>
          </cell>
        </row>
        <row r="31">
          <cell r="AX31">
            <v>148370647.84581178</v>
          </cell>
        </row>
        <row r="32">
          <cell r="AX32">
            <v>163143779.78263485</v>
          </cell>
        </row>
        <row r="33">
          <cell r="AX33">
            <v>179401061.03839007</v>
          </cell>
        </row>
        <row r="34">
          <cell r="AX34">
            <v>197354086.42775843</v>
          </cell>
        </row>
        <row r="35">
          <cell r="AX35">
            <v>218635566.32159865</v>
          </cell>
        </row>
        <row r="36">
          <cell r="AX36">
            <v>241675926.68718159</v>
          </cell>
        </row>
        <row r="37">
          <cell r="AX37">
            <v>268834208.51792818</v>
          </cell>
        </row>
        <row r="38">
          <cell r="AX38">
            <v>298669861.23592979</v>
          </cell>
        </row>
        <row r="39">
          <cell r="AX39">
            <v>330600029.49595857</v>
          </cell>
        </row>
        <row r="40">
          <cell r="AX40">
            <v>366377342.6917423</v>
          </cell>
        </row>
        <row r="41">
          <cell r="AX41">
            <v>405644068.68125224</v>
          </cell>
        </row>
        <row r="42">
          <cell r="AX42">
            <v>449091475.89197206</v>
          </cell>
        </row>
        <row r="43">
          <cell r="AX43">
            <v>495704450.38964057</v>
          </cell>
        </row>
        <row r="44">
          <cell r="AX44">
            <v>546288271.5680542</v>
          </cell>
        </row>
        <row r="45">
          <cell r="AX45">
            <v>600674726.40925694</v>
          </cell>
        </row>
        <row r="46">
          <cell r="AX46">
            <v>657450768.21860623</v>
          </cell>
        </row>
        <row r="47">
          <cell r="AX47">
            <v>709180404.04744864</v>
          </cell>
        </row>
        <row r="48">
          <cell r="AX48">
            <v>764350805.20230758</v>
          </cell>
        </row>
        <row r="49">
          <cell r="AX49">
            <v>825707832.75872111</v>
          </cell>
        </row>
        <row r="50">
          <cell r="AX50">
            <v>891087548.19179332</v>
          </cell>
        </row>
        <row r="51">
          <cell r="AX51">
            <v>962979200.74629676</v>
          </cell>
        </row>
        <row r="52">
          <cell r="AX52">
            <v>1040311525.359078</v>
          </cell>
        </row>
        <row r="53">
          <cell r="AX53">
            <v>1123749046.5305161</v>
          </cell>
        </row>
        <row r="54">
          <cell r="AX54">
            <v>1211950511.7955079</v>
          </cell>
        </row>
        <row r="55">
          <cell r="AX55">
            <v>1303583700.1143613</v>
          </cell>
        </row>
        <row r="56">
          <cell r="AX56">
            <v>1406502273.1784077</v>
          </cell>
        </row>
        <row r="57">
          <cell r="AX57">
            <v>1536845079.4639115</v>
          </cell>
        </row>
        <row r="58">
          <cell r="AX58">
            <v>1682112381.2123499</v>
          </cell>
        </row>
        <row r="59">
          <cell r="AX59">
            <v>1838574882.7905207</v>
          </cell>
        </row>
        <row r="60">
          <cell r="AX60">
            <v>2011580953.9745219</v>
          </cell>
        </row>
        <row r="61">
          <cell r="AX61">
            <v>2196721477.1147008</v>
          </cell>
        </row>
        <row r="62">
          <cell r="AX62">
            <v>2395271915.7717676</v>
          </cell>
        </row>
        <row r="63">
          <cell r="AX63">
            <v>2610062231.8654938</v>
          </cell>
        </row>
        <row r="64">
          <cell r="AX64">
            <v>2837646067.95786</v>
          </cell>
        </row>
        <row r="65">
          <cell r="AX65">
            <v>3083391389.9371037</v>
          </cell>
        </row>
        <row r="66">
          <cell r="AX66">
            <v>3447107046.8739777</v>
          </cell>
        </row>
        <row r="67">
          <cell r="AX67">
            <v>3907873534.5375948</v>
          </cell>
        </row>
        <row r="68">
          <cell r="AX68">
            <v>4782241750.4528675</v>
          </cell>
        </row>
        <row r="69">
          <cell r="AX69">
            <v>6199130205.7597733</v>
          </cell>
        </row>
        <row r="70">
          <cell r="AX70">
            <v>7131217286.931489</v>
          </cell>
        </row>
        <row r="71">
          <cell r="AX71">
            <v>8193146079.3869724</v>
          </cell>
        </row>
        <row r="72">
          <cell r="AX72">
            <v>9308860237.5208015</v>
          </cell>
        </row>
        <row r="73">
          <cell r="AX73">
            <v>10547871603.555357</v>
          </cell>
        </row>
        <row r="74">
          <cell r="AX74">
            <v>11912549359.612282</v>
          </cell>
        </row>
        <row r="75">
          <cell r="AX75">
            <v>13418894807.230724</v>
          </cell>
        </row>
        <row r="76">
          <cell r="AX76">
            <v>15196650100.754536</v>
          </cell>
        </row>
        <row r="77">
          <cell r="AX77">
            <v>17073517812.491982</v>
          </cell>
        </row>
        <row r="78">
          <cell r="AX78">
            <v>19169279355.965115</v>
          </cell>
        </row>
        <row r="79">
          <cell r="AX79">
            <v>21459802753.688965</v>
          </cell>
        </row>
        <row r="80">
          <cell r="AX80">
            <v>24016095414.731873</v>
          </cell>
        </row>
        <row r="81">
          <cell r="AX81">
            <v>26984385700.85524</v>
          </cell>
        </row>
        <row r="82">
          <cell r="AX82">
            <v>30392620839.623276</v>
          </cell>
        </row>
        <row r="83">
          <cell r="AX83">
            <v>34177324617.602268</v>
          </cell>
        </row>
        <row r="84">
          <cell r="AX84">
            <v>37748561799.046532</v>
          </cell>
        </row>
        <row r="85">
          <cell r="AX85">
            <v>41667599858.535538</v>
          </cell>
        </row>
        <row r="86">
          <cell r="AX86">
            <v>46070308331.24762</v>
          </cell>
        </row>
        <row r="87">
          <cell r="AX87">
            <v>51312994447.891479</v>
          </cell>
        </row>
        <row r="88">
          <cell r="AX88">
            <v>56781071307.305038</v>
          </cell>
        </row>
        <row r="89">
          <cell r="AX89">
            <v>62580615203.909073</v>
          </cell>
        </row>
        <row r="90">
          <cell r="AX90">
            <v>68957471116.673752</v>
          </cell>
        </row>
        <row r="91">
          <cell r="AX91">
            <v>76133770657.30069</v>
          </cell>
        </row>
        <row r="92">
          <cell r="AX92">
            <v>84389899508.885788</v>
          </cell>
        </row>
        <row r="93">
          <cell r="AX93">
            <v>93161500106.854477</v>
          </cell>
        </row>
        <row r="94">
          <cell r="AX94">
            <v>102126408176.44843</v>
          </cell>
        </row>
        <row r="95">
          <cell r="AX95">
            <v>111844561601.96384</v>
          </cell>
        </row>
        <row r="96">
          <cell r="AX96">
            <v>122300778078.05606</v>
          </cell>
        </row>
        <row r="97">
          <cell r="AX97">
            <v>134795699158.75922</v>
          </cell>
        </row>
        <row r="98">
          <cell r="AX98">
            <v>147638878998.74481</v>
          </cell>
        </row>
        <row r="99">
          <cell r="AX99">
            <v>161612945687.61606</v>
          </cell>
        </row>
        <row r="100">
          <cell r="AX100">
            <v>177695510068.89136</v>
          </cell>
        </row>
        <row r="101">
          <cell r="AX101">
            <v>196023759061.33795</v>
          </cell>
        </row>
        <row r="102">
          <cell r="AX102">
            <v>217922663288.71893</v>
          </cell>
        </row>
        <row r="103">
          <cell r="AX103">
            <v>238996994210.67395</v>
          </cell>
        </row>
        <row r="104">
          <cell r="AX104">
            <v>258611962984.2356</v>
          </cell>
        </row>
        <row r="105">
          <cell r="AX105">
            <v>277031348036.82465</v>
          </cell>
        </row>
        <row r="106">
          <cell r="AX106">
            <v>296027340662.05872</v>
          </cell>
        </row>
        <row r="107">
          <cell r="AX107">
            <v>317541211340.00854</v>
          </cell>
        </row>
        <row r="108">
          <cell r="AX108">
            <v>340243548482.59521</v>
          </cell>
        </row>
        <row r="109">
          <cell r="AX109">
            <v>364249786967.10608</v>
          </cell>
        </row>
        <row r="110">
          <cell r="AX110">
            <v>388982554976.23364</v>
          </cell>
        </row>
        <row r="111">
          <cell r="AX111">
            <v>414844320821.04553</v>
          </cell>
        </row>
        <row r="112">
          <cell r="AX112">
            <v>439722591369.87018</v>
          </cell>
        </row>
        <row r="113">
          <cell r="AX113">
            <v>465533183835.02777</v>
          </cell>
        </row>
        <row r="114">
          <cell r="AX114">
            <v>492889576439.12048</v>
          </cell>
        </row>
        <row r="115">
          <cell r="AX115">
            <v>521001960347.60712</v>
          </cell>
        </row>
        <row r="116">
          <cell r="AX116">
            <v>550806512230.61292</v>
          </cell>
        </row>
        <row r="117">
          <cell r="AX117">
            <v>578742797289.22595</v>
          </cell>
        </row>
        <row r="118">
          <cell r="AX118">
            <v>607994099974.94824</v>
          </cell>
        </row>
        <row r="119">
          <cell r="AX119">
            <v>640155930813.86169</v>
          </cell>
        </row>
        <row r="120">
          <cell r="AX120">
            <v>674712374078.58301</v>
          </cell>
        </row>
        <row r="121">
          <cell r="AX121">
            <v>710188670633.40869</v>
          </cell>
        </row>
        <row r="122">
          <cell r="AX122">
            <v>747306597821.20972</v>
          </cell>
        </row>
        <row r="123">
          <cell r="AX123">
            <v>785787194569.05627</v>
          </cell>
        </row>
        <row r="124">
          <cell r="AX124">
            <v>825453337347.37939</v>
          </cell>
        </row>
        <row r="125">
          <cell r="AX125">
            <v>867088952319.15234</v>
          </cell>
        </row>
        <row r="126">
          <cell r="AX126">
            <v>910337495898.5802</v>
          </cell>
        </row>
        <row r="127">
          <cell r="AX127">
            <v>955174359575.32739</v>
          </cell>
        </row>
        <row r="128">
          <cell r="AX128">
            <v>1001404654275.749</v>
          </cell>
        </row>
        <row r="129">
          <cell r="AX129">
            <v>1050468740253.6467</v>
          </cell>
        </row>
        <row r="130">
          <cell r="AX130">
            <v>1101355884852.5198</v>
          </cell>
        </row>
        <row r="131">
          <cell r="AX131">
            <v>1154018176822.668</v>
          </cell>
        </row>
        <row r="132">
          <cell r="AX132">
            <v>1208072193027.051</v>
          </cell>
        </row>
        <row r="133">
          <cell r="AX133">
            <v>1266289824827.9836</v>
          </cell>
        </row>
        <row r="134">
          <cell r="AX134">
            <v>1325152932286.9204</v>
          </cell>
        </row>
        <row r="135">
          <cell r="AX135">
            <v>1387481930261.8821</v>
          </cell>
        </row>
        <row r="136">
          <cell r="AX136">
            <v>1452171037508.8965</v>
          </cell>
        </row>
        <row r="137">
          <cell r="AX137">
            <v>1522917106972.7498</v>
          </cell>
        </row>
        <row r="138">
          <cell r="AX138">
            <v>1599427963562.387</v>
          </cell>
        </row>
        <row r="139">
          <cell r="AX139">
            <v>1679905223902.5625</v>
          </cell>
        </row>
        <row r="140">
          <cell r="AX140">
            <v>1759533283899.9683</v>
          </cell>
        </row>
        <row r="141">
          <cell r="AX141">
            <v>1839115058717.0066</v>
          </cell>
        </row>
        <row r="142">
          <cell r="AX142">
            <v>1922325634141.8</v>
          </cell>
        </row>
        <row r="143">
          <cell r="AX143">
            <v>2008445324009.9375</v>
          </cell>
        </row>
        <row r="144">
          <cell r="AX144">
            <v>2100112351971.1765</v>
          </cell>
        </row>
        <row r="145">
          <cell r="AX145">
            <v>2200187723091.4355</v>
          </cell>
        </row>
        <row r="146">
          <cell r="AX146">
            <v>2304608010958.0796</v>
          </cell>
        </row>
        <row r="147">
          <cell r="AX147">
            <v>2409879522589.3599</v>
          </cell>
        </row>
        <row r="148">
          <cell r="AX148">
            <v>2521041837225.457</v>
          </cell>
        </row>
        <row r="149">
          <cell r="AX149">
            <v>2636659762223.0156</v>
          </cell>
        </row>
        <row r="150">
          <cell r="AX150">
            <v>2759432787104.0342</v>
          </cell>
        </row>
        <row r="151">
          <cell r="AX151">
            <v>2886113268149.5874</v>
          </cell>
        </row>
        <row r="152">
          <cell r="AX152">
            <v>3018557333804.2441</v>
          </cell>
        </row>
        <row r="153">
          <cell r="AX153">
            <v>3154023698891.8335</v>
          </cell>
        </row>
        <row r="154">
          <cell r="AX154">
            <v>3296766318164.2358</v>
          </cell>
        </row>
        <row r="155">
          <cell r="AX155">
            <v>3454174822952.9575</v>
          </cell>
        </row>
        <row r="156">
          <cell r="AX156">
            <v>3618628827733.4238</v>
          </cell>
        </row>
        <row r="157">
          <cell r="AX157">
            <v>3775991960596.4331</v>
          </cell>
        </row>
        <row r="158">
          <cell r="AX158">
            <v>3944112667939.1514</v>
          </cell>
        </row>
        <row r="159">
          <cell r="AX159">
            <v>4138393732473.4922</v>
          </cell>
        </row>
        <row r="160">
          <cell r="AX160">
            <v>4342554672351.6504</v>
          </cell>
        </row>
        <row r="161">
          <cell r="AX161">
            <v>4490237501770.1035</v>
          </cell>
        </row>
        <row r="162">
          <cell r="AX162">
            <v>4572292994518.8525</v>
          </cell>
        </row>
        <row r="163">
          <cell r="AX163">
            <v>4625404554863.9775</v>
          </cell>
        </row>
        <row r="164">
          <cell r="AX164">
            <v>4657131046244.4902</v>
          </cell>
        </row>
        <row r="165">
          <cell r="AX165">
            <v>4677382095989.4033</v>
          </cell>
        </row>
        <row r="166">
          <cell r="AX166">
            <v>4697675699954.3369</v>
          </cell>
        </row>
      </sheetData>
      <sheetData sheetId="16">
        <row r="7">
          <cell r="M7">
            <v>60</v>
          </cell>
          <cell r="AX7">
            <v>1995727.0854587499</v>
          </cell>
        </row>
        <row r="8">
          <cell r="AX8">
            <v>2945490.9605666641</v>
          </cell>
        </row>
        <row r="9">
          <cell r="AX9">
            <v>4153566.5379399406</v>
          </cell>
        </row>
        <row r="10">
          <cell r="AX10">
            <v>5710865.9837178001</v>
          </cell>
        </row>
        <row r="11">
          <cell r="AX11">
            <v>7687271.3775850534</v>
          </cell>
        </row>
        <row r="12">
          <cell r="AX12">
            <v>10162128.03399176</v>
          </cell>
        </row>
        <row r="13">
          <cell r="AX13">
            <v>13225073.66942478</v>
          </cell>
        </row>
        <row r="14">
          <cell r="AX14">
            <v>16866899.397146713</v>
          </cell>
        </row>
        <row r="15">
          <cell r="AX15">
            <v>21205161.282483764</v>
          </cell>
        </row>
        <row r="16">
          <cell r="AX16">
            <v>26373521.124304172</v>
          </cell>
        </row>
        <row r="17">
          <cell r="AX17">
            <v>32566551.614909273</v>
          </cell>
        </row>
        <row r="18">
          <cell r="AX18">
            <v>37418573.263074405</v>
          </cell>
        </row>
        <row r="19">
          <cell r="AX19">
            <v>43086793.44799538</v>
          </cell>
        </row>
        <row r="20">
          <cell r="AX20">
            <v>48799971.02478382</v>
          </cell>
        </row>
        <row r="21">
          <cell r="AX21">
            <v>55197627.999548808</v>
          </cell>
        </row>
        <row r="22">
          <cell r="AX22">
            <v>62111692.902501941</v>
          </cell>
        </row>
        <row r="23">
          <cell r="AX23">
            <v>70569634.452681288</v>
          </cell>
        </row>
        <row r="24">
          <cell r="AX24">
            <v>79405024.550750285</v>
          </cell>
        </row>
        <row r="25">
          <cell r="AX25">
            <v>88977392.757302627</v>
          </cell>
        </row>
        <row r="26">
          <cell r="AX26">
            <v>99180575.857180834</v>
          </cell>
        </row>
        <row r="27">
          <cell r="AX27">
            <v>110744436.96397291</v>
          </cell>
        </row>
        <row r="28">
          <cell r="AX28">
            <v>123131725.12310207</v>
          </cell>
        </row>
        <row r="29">
          <cell r="AX29">
            <v>136086068.48202023</v>
          </cell>
        </row>
        <row r="30">
          <cell r="AX30">
            <v>150381119.23093438</v>
          </cell>
        </row>
        <row r="31">
          <cell r="AX31">
            <v>166092927.84525216</v>
          </cell>
        </row>
        <row r="32">
          <cell r="AX32">
            <v>183375436.11443275</v>
          </cell>
        </row>
        <row r="33">
          <cell r="AX33">
            <v>201871823.2450071</v>
          </cell>
        </row>
        <row r="34">
          <cell r="AX34">
            <v>222710455.4446876</v>
          </cell>
        </row>
        <row r="35">
          <cell r="AX35">
            <v>249108739.69539982</v>
          </cell>
        </row>
        <row r="36">
          <cell r="AX36">
            <v>277666257.67629957</v>
          </cell>
        </row>
        <row r="37">
          <cell r="AX37">
            <v>311547116.51181543</v>
          </cell>
        </row>
        <row r="38">
          <cell r="AX38">
            <v>348533220.68813795</v>
          </cell>
        </row>
        <row r="39">
          <cell r="AX39">
            <v>389410991.71381104</v>
          </cell>
        </row>
        <row r="40">
          <cell r="AX40">
            <v>434121432.25197577</v>
          </cell>
        </row>
        <row r="41">
          <cell r="AX41">
            <v>479670685.18039167</v>
          </cell>
        </row>
        <row r="42">
          <cell r="AX42">
            <v>526888984.15644985</v>
          </cell>
        </row>
        <row r="43">
          <cell r="AX43">
            <v>578344137.13180578</v>
          </cell>
        </row>
        <row r="44">
          <cell r="AX44">
            <v>633033214.3642025</v>
          </cell>
        </row>
        <row r="45">
          <cell r="AX45">
            <v>692276870.32563639</v>
          </cell>
        </row>
        <row r="46">
          <cell r="AX46">
            <v>756075058.50552285</v>
          </cell>
        </row>
        <row r="47">
          <cell r="AX47">
            <v>817336922.75179219</v>
          </cell>
        </row>
        <row r="48">
          <cell r="AX48">
            <v>883152779.01665819</v>
          </cell>
        </row>
        <row r="49">
          <cell r="AX49">
            <v>952636511.21067476</v>
          </cell>
        </row>
        <row r="50">
          <cell r="AX50">
            <v>1029589961.6307379</v>
          </cell>
        </row>
        <row r="51">
          <cell r="AX51">
            <v>1113730346.6074643</v>
          </cell>
        </row>
        <row r="52">
          <cell r="AX52">
            <v>1207626540.1510324</v>
          </cell>
        </row>
        <row r="53">
          <cell r="AX53">
            <v>1303775250.5145502</v>
          </cell>
        </row>
        <row r="54">
          <cell r="AX54">
            <v>1405898062.5259638</v>
          </cell>
        </row>
        <row r="55">
          <cell r="AX55">
            <v>1513501028.1892266</v>
          </cell>
        </row>
        <row r="56">
          <cell r="AX56">
            <v>1660376288.3888054</v>
          </cell>
        </row>
        <row r="57">
          <cell r="AX57">
            <v>1854294475.8393641</v>
          </cell>
        </row>
        <row r="58">
          <cell r="AX58">
            <v>2064592426.4773889</v>
          </cell>
        </row>
        <row r="59">
          <cell r="AX59">
            <v>2294402165.0425568</v>
          </cell>
        </row>
        <row r="60">
          <cell r="AX60">
            <v>2483090552.4575992</v>
          </cell>
        </row>
        <row r="61">
          <cell r="AX61">
            <v>2673946925.0873251</v>
          </cell>
        </row>
        <row r="62">
          <cell r="AX62">
            <v>2876810249.2389178</v>
          </cell>
        </row>
        <row r="63">
          <cell r="AX63">
            <v>3094150521.8779392</v>
          </cell>
        </row>
        <row r="64">
          <cell r="AX64">
            <v>3328050476.9680128</v>
          </cell>
        </row>
        <row r="65">
          <cell r="AX65">
            <v>3578948720.5763855</v>
          </cell>
        </row>
        <row r="66">
          <cell r="AX66">
            <v>5039046866.839467</v>
          </cell>
        </row>
        <row r="67">
          <cell r="AX67">
            <v>5843393246.3865662</v>
          </cell>
        </row>
        <row r="68">
          <cell r="AX68">
            <v>6758950881.0902634</v>
          </cell>
        </row>
        <row r="69">
          <cell r="AX69">
            <v>7786654386.1914463</v>
          </cell>
        </row>
        <row r="70">
          <cell r="AX70">
            <v>8955251161.4805832</v>
          </cell>
        </row>
        <row r="71">
          <cell r="AX71">
            <v>10290327736.177586</v>
          </cell>
        </row>
        <row r="72">
          <cell r="AX72">
            <v>11764206866.094715</v>
          </cell>
        </row>
        <row r="73">
          <cell r="AX73">
            <v>13373012941.515739</v>
          </cell>
        </row>
        <row r="74">
          <cell r="AX74">
            <v>15150391957.796406</v>
          </cell>
        </row>
        <row r="75">
          <cell r="AX75">
            <v>17203653307.522675</v>
          </cell>
        </row>
        <row r="76">
          <cell r="AX76">
            <v>19477796651.897079</v>
          </cell>
        </row>
        <row r="77">
          <cell r="AX77">
            <v>21747943368.668564</v>
          </cell>
        </row>
        <row r="78">
          <cell r="AX78">
            <v>24240082586.290001</v>
          </cell>
        </row>
        <row r="79">
          <cell r="AX79">
            <v>27063107698.308067</v>
          </cell>
        </row>
        <row r="80">
          <cell r="AX80">
            <v>30255096000.951149</v>
          </cell>
        </row>
        <row r="81">
          <cell r="AX81">
            <v>33720030025.947792</v>
          </cell>
        </row>
        <row r="82">
          <cell r="AX82">
            <v>37720085824.813095</v>
          </cell>
        </row>
        <row r="83">
          <cell r="AX83">
            <v>42238630501.535271</v>
          </cell>
        </row>
        <row r="84">
          <cell r="AX84">
            <v>46929496346.398308</v>
          </cell>
        </row>
        <row r="85">
          <cell r="AX85">
            <v>51965569238.693115</v>
          </cell>
        </row>
        <row r="86">
          <cell r="AX86">
            <v>57338571723.873123</v>
          </cell>
        </row>
        <row r="87">
          <cell r="AX87">
            <v>63441649249.355057</v>
          </cell>
        </row>
        <row r="88">
          <cell r="AX88">
            <v>70121299156.460175</v>
          </cell>
        </row>
        <row r="89">
          <cell r="AX89">
            <v>77672513814.283112</v>
          </cell>
        </row>
        <row r="90">
          <cell r="AX90">
            <v>85929970682.205688</v>
          </cell>
        </row>
        <row r="91">
          <cell r="AX91">
            <v>95203044547.223007</v>
          </cell>
        </row>
        <row r="92">
          <cell r="AX92">
            <v>105542805823.74583</v>
          </cell>
        </row>
        <row r="93">
          <cell r="AX93">
            <v>117220575984.03427</v>
          </cell>
        </row>
        <row r="94">
          <cell r="AX94">
            <v>130026592521.57639</v>
          </cell>
        </row>
        <row r="95">
          <cell r="AX95">
            <v>143746198912.31732</v>
          </cell>
        </row>
        <row r="96">
          <cell r="AX96">
            <v>159517834382.52829</v>
          </cell>
        </row>
        <row r="97">
          <cell r="AX97">
            <v>175778792067.00403</v>
          </cell>
        </row>
        <row r="98">
          <cell r="AX98">
            <v>193526219983.84744</v>
          </cell>
        </row>
        <row r="99">
          <cell r="AX99">
            <v>213447209674.3862</v>
          </cell>
        </row>
        <row r="100">
          <cell r="AX100">
            <v>235319550693.3959</v>
          </cell>
        </row>
        <row r="101">
          <cell r="AX101">
            <v>257268509693.91446</v>
          </cell>
        </row>
        <row r="102">
          <cell r="AX102">
            <v>280015965368.94556</v>
          </cell>
        </row>
        <row r="103">
          <cell r="AX103">
            <v>302787073863.52527</v>
          </cell>
        </row>
        <row r="104">
          <cell r="AX104">
            <v>326347734195.08209</v>
          </cell>
        </row>
        <row r="105">
          <cell r="AX105">
            <v>351360402960.19489</v>
          </cell>
        </row>
        <row r="106">
          <cell r="AX106">
            <v>377814721010.01093</v>
          </cell>
        </row>
        <row r="107">
          <cell r="AX107">
            <v>399306608090.70111</v>
          </cell>
        </row>
        <row r="108">
          <cell r="AX108">
            <v>421449145617.04669</v>
          </cell>
        </row>
        <row r="109">
          <cell r="AX109">
            <v>445093155325.505</v>
          </cell>
        </row>
        <row r="110">
          <cell r="AX110">
            <v>470228244708.18384</v>
          </cell>
        </row>
        <row r="111">
          <cell r="AX111">
            <v>496920226526.54431</v>
          </cell>
        </row>
        <row r="112">
          <cell r="AX112">
            <v>524439393676.70398</v>
          </cell>
        </row>
        <row r="113">
          <cell r="AX113">
            <v>552248312425.71875</v>
          </cell>
        </row>
        <row r="114">
          <cell r="AX114">
            <v>580013159048.3075</v>
          </cell>
        </row>
        <row r="115">
          <cell r="AX115">
            <v>609461699772.57129</v>
          </cell>
        </row>
        <row r="116">
          <cell r="AX116">
            <v>640407496653.20959</v>
          </cell>
        </row>
        <row r="117">
          <cell r="AX117">
            <v>674046810862.16016</v>
          </cell>
        </row>
        <row r="118">
          <cell r="AX118">
            <v>710798584027.32031</v>
          </cell>
        </row>
        <row r="119">
          <cell r="AX119">
            <v>750352675691.31775</v>
          </cell>
        </row>
        <row r="120">
          <cell r="AX120">
            <v>791220817649.45728</v>
          </cell>
        </row>
        <row r="121">
          <cell r="AX121">
            <v>833654828338.3728</v>
          </cell>
        </row>
        <row r="122">
          <cell r="AX122">
            <v>878940311663.23877</v>
          </cell>
        </row>
        <row r="123">
          <cell r="AX123">
            <v>924606221494.61279</v>
          </cell>
        </row>
        <row r="124">
          <cell r="AX124">
            <v>972631387925.30457</v>
          </cell>
        </row>
        <row r="125">
          <cell r="AX125">
            <v>1022631077008.2977</v>
          </cell>
        </row>
        <row r="126">
          <cell r="AX126">
            <v>1075033319678.3188</v>
          </cell>
        </row>
        <row r="127">
          <cell r="AX127">
            <v>1126736099420.4482</v>
          </cell>
        </row>
        <row r="128">
          <cell r="AX128">
            <v>1181538880948.6853</v>
          </cell>
        </row>
        <row r="129">
          <cell r="AX129">
            <v>1238705825860.8804</v>
          </cell>
        </row>
        <row r="130">
          <cell r="AX130">
            <v>1298466508654.0234</v>
          </cell>
        </row>
        <row r="131">
          <cell r="AX131">
            <v>1361162298272.9363</v>
          </cell>
        </row>
        <row r="132">
          <cell r="AX132">
            <v>1426519647630.3289</v>
          </cell>
        </row>
        <row r="133">
          <cell r="AX133">
            <v>1497032806863.761</v>
          </cell>
        </row>
        <row r="134">
          <cell r="AX134">
            <v>1571783965990.9954</v>
          </cell>
        </row>
        <row r="135">
          <cell r="AX135">
            <v>1650908224404.5005</v>
          </cell>
        </row>
        <row r="136">
          <cell r="AX136">
            <v>1736631453021.2598</v>
          </cell>
        </row>
        <row r="137">
          <cell r="AX137">
            <v>1822229320368.0339</v>
          </cell>
        </row>
        <row r="138">
          <cell r="AX138">
            <v>1911678291384.0974</v>
          </cell>
        </row>
        <row r="139">
          <cell r="AX139">
            <v>2000529269813.9299</v>
          </cell>
        </row>
        <row r="140">
          <cell r="AX140">
            <v>2087560751862.8667</v>
          </cell>
        </row>
        <row r="141">
          <cell r="AX141">
            <v>2179252007642.437</v>
          </cell>
        </row>
        <row r="142">
          <cell r="AX142">
            <v>2274688201324.2524</v>
          </cell>
        </row>
        <row r="143">
          <cell r="AX143">
            <v>2374006370335.7061</v>
          </cell>
        </row>
        <row r="144">
          <cell r="AX144">
            <v>2476636120318.2549</v>
          </cell>
        </row>
        <row r="145">
          <cell r="AX145">
            <v>2583044796018.0415</v>
          </cell>
        </row>
        <row r="146">
          <cell r="AX146">
            <v>2690807238405.1846</v>
          </cell>
        </row>
        <row r="147">
          <cell r="AX147">
            <v>2803461574401.354</v>
          </cell>
        </row>
        <row r="148">
          <cell r="AX148">
            <v>2924221801537.6445</v>
          </cell>
        </row>
        <row r="149">
          <cell r="AX149">
            <v>3050789844952.4639</v>
          </cell>
        </row>
        <row r="150">
          <cell r="AX150">
            <v>3180862659414.8813</v>
          </cell>
        </row>
        <row r="151">
          <cell r="AX151">
            <v>3316637471485.501</v>
          </cell>
        </row>
        <row r="152">
          <cell r="AX152">
            <v>3454836463047.7646</v>
          </cell>
        </row>
        <row r="153">
          <cell r="AX153">
            <v>3597899934978.0518</v>
          </cell>
        </row>
        <row r="154">
          <cell r="AX154">
            <v>3756026188980.3281</v>
          </cell>
        </row>
        <row r="155">
          <cell r="AX155">
            <v>3927500229981.6685</v>
          </cell>
        </row>
        <row r="156">
          <cell r="AX156">
            <v>4105355847384.002</v>
          </cell>
        </row>
        <row r="157">
          <cell r="AX157">
            <v>4294096741542.231</v>
          </cell>
        </row>
        <row r="158">
          <cell r="AX158">
            <v>4517378928277.543</v>
          </cell>
        </row>
        <row r="159">
          <cell r="AX159">
            <v>4752410936506.4727</v>
          </cell>
        </row>
        <row r="160">
          <cell r="AX160">
            <v>4841769734014.873</v>
          </cell>
        </row>
        <row r="161">
          <cell r="AX161">
            <v>4891991299216.8789</v>
          </cell>
        </row>
        <row r="162">
          <cell r="AX162">
            <v>4908656196811.2959</v>
          </cell>
        </row>
        <row r="163">
          <cell r="AX163">
            <v>4919391005836.8125</v>
          </cell>
        </row>
        <row r="164">
          <cell r="AX164">
            <v>4930129232919.998</v>
          </cell>
        </row>
        <row r="165">
          <cell r="AX165">
            <v>4940870878939.749</v>
          </cell>
        </row>
        <row r="166">
          <cell r="AX166">
            <v>4951615107522.4131</v>
          </cell>
        </row>
      </sheetData>
      <sheetData sheetId="17">
        <row r="7">
          <cell r="M7">
            <v>60</v>
          </cell>
          <cell r="AX7">
            <v>2003470.4619825557</v>
          </cell>
        </row>
        <row r="8">
          <cell r="AX8">
            <v>3008606.1049083695</v>
          </cell>
        </row>
        <row r="9">
          <cell r="AX9">
            <v>4311006.1984153688</v>
          </cell>
        </row>
        <row r="10">
          <cell r="AX10">
            <v>6011947.0063710827</v>
          </cell>
        </row>
        <row r="11">
          <cell r="AX11">
            <v>8196152.5069805495</v>
          </cell>
        </row>
        <row r="12">
          <cell r="AX12">
            <v>10960561.311616849</v>
          </cell>
        </row>
        <row r="13">
          <cell r="AX13">
            <v>14392239.607335329</v>
          </cell>
        </row>
        <row r="14">
          <cell r="AX14">
            <v>18482490.565606982</v>
          </cell>
        </row>
        <row r="15">
          <cell r="AX15">
            <v>23433465.442571297</v>
          </cell>
        </row>
        <row r="16">
          <cell r="AX16">
            <v>29374177.681777243</v>
          </cell>
        </row>
        <row r="17">
          <cell r="AX17">
            <v>36481468.783015035</v>
          </cell>
        </row>
        <row r="18">
          <cell r="AX18">
            <v>42010912.297874138</v>
          </cell>
        </row>
        <row r="19">
          <cell r="AX19">
            <v>48012746.005835414</v>
          </cell>
        </row>
        <row r="20">
          <cell r="AX20">
            <v>54421423.970304772</v>
          </cell>
        </row>
        <row r="21">
          <cell r="AX21">
            <v>61435256.317821056</v>
          </cell>
        </row>
        <row r="22">
          <cell r="AX22">
            <v>70763115.154897079</v>
          </cell>
        </row>
        <row r="23">
          <cell r="AX23">
            <v>79577277.001195639</v>
          </cell>
        </row>
        <row r="24">
          <cell r="AX24">
            <v>89474324.743449271</v>
          </cell>
        </row>
        <row r="25">
          <cell r="AX25">
            <v>100096347.36574683</v>
          </cell>
        </row>
        <row r="26">
          <cell r="AX26">
            <v>111282014.55108708</v>
          </cell>
        </row>
        <row r="27">
          <cell r="AX27">
            <v>124278644.51290622</v>
          </cell>
        </row>
        <row r="28">
          <cell r="AX28">
            <v>138144242.48527884</v>
          </cell>
        </row>
        <row r="29">
          <cell r="AX29">
            <v>153260436.41157854</v>
          </cell>
        </row>
        <row r="30">
          <cell r="AX30">
            <v>170286342.95227095</v>
          </cell>
        </row>
        <row r="31">
          <cell r="AX31">
            <v>189026081.3061586</v>
          </cell>
        </row>
        <row r="32">
          <cell r="AX32">
            <v>208816487.02018437</v>
          </cell>
        </row>
        <row r="33">
          <cell r="AX33">
            <v>230493488.71513993</v>
          </cell>
        </row>
        <row r="34">
          <cell r="AX34">
            <v>258052186.89378297</v>
          </cell>
        </row>
        <row r="35">
          <cell r="AX35">
            <v>291132443.52560174</v>
          </cell>
        </row>
        <row r="36">
          <cell r="AX36">
            <v>326937448.50204504</v>
          </cell>
        </row>
        <row r="37">
          <cell r="AX37">
            <v>369596026.23368347</v>
          </cell>
        </row>
        <row r="38">
          <cell r="AX38">
            <v>416770003.88537288</v>
          </cell>
        </row>
        <row r="39">
          <cell r="AX39">
            <v>468711722.82009113</v>
          </cell>
        </row>
        <row r="40">
          <cell r="AX40">
            <v>523938992.22186315</v>
          </cell>
        </row>
        <row r="41">
          <cell r="AX41">
            <v>578887414.84822762</v>
          </cell>
        </row>
        <row r="42">
          <cell r="AX42">
            <v>638324392.39970505</v>
          </cell>
        </row>
        <row r="43">
          <cell r="AX43">
            <v>701337837.04973114</v>
          </cell>
        </row>
        <row r="44">
          <cell r="AX44">
            <v>770196850.16889846</v>
          </cell>
        </row>
        <row r="45">
          <cell r="AX45">
            <v>843788201.9452219</v>
          </cell>
        </row>
        <row r="46">
          <cell r="AX46">
            <v>924577967.3391844</v>
          </cell>
        </row>
        <row r="47">
          <cell r="AX47">
            <v>1003002469.5428874</v>
          </cell>
        </row>
        <row r="48">
          <cell r="AX48">
            <v>1089398435.5910165</v>
          </cell>
        </row>
        <row r="49">
          <cell r="AX49">
            <v>1181776931.0059052</v>
          </cell>
        </row>
        <row r="50">
          <cell r="AX50">
            <v>1283818056.4057682</v>
          </cell>
        </row>
        <row r="51">
          <cell r="AX51">
            <v>1392218901.0158558</v>
          </cell>
        </row>
        <row r="52">
          <cell r="AX52">
            <v>1502334962.630271</v>
          </cell>
        </row>
        <row r="53">
          <cell r="AX53">
            <v>1620512005.0580328</v>
          </cell>
        </row>
        <row r="54">
          <cell r="AX54">
            <v>1743485074.0360317</v>
          </cell>
        </row>
        <row r="55">
          <cell r="AX55">
            <v>1911275069.8621345</v>
          </cell>
        </row>
        <row r="56">
          <cell r="AX56">
            <v>2054954829.7733097</v>
          </cell>
        </row>
        <row r="57">
          <cell r="AX57">
            <v>2255758646.3290892</v>
          </cell>
        </row>
        <row r="58">
          <cell r="AX58">
            <v>2474642298.2443209</v>
          </cell>
        </row>
        <row r="59">
          <cell r="AX59">
            <v>2711767150.5750475</v>
          </cell>
        </row>
        <row r="60">
          <cell r="AX60">
            <v>2980277187.6284723</v>
          </cell>
        </row>
        <row r="61">
          <cell r="AX61">
            <v>3266482302.2161212</v>
          </cell>
        </row>
        <row r="62">
          <cell r="AX62">
            <v>3577352793.5334167</v>
          </cell>
        </row>
        <row r="63">
          <cell r="AX63">
            <v>3912411308.295661</v>
          </cell>
        </row>
        <row r="64">
          <cell r="AX64">
            <v>4278884827.2308407</v>
          </cell>
        </row>
        <row r="65">
          <cell r="AX65">
            <v>5752582423.2392025</v>
          </cell>
        </row>
        <row r="66">
          <cell r="AX66">
            <v>6993697277.5540581</v>
          </cell>
        </row>
        <row r="67">
          <cell r="AX67">
            <v>8087888241.2241411</v>
          </cell>
        </row>
        <row r="68">
          <cell r="AX68">
            <v>9323152944.73032</v>
          </cell>
        </row>
        <row r="69">
          <cell r="AX69">
            <v>10721664618.063229</v>
          </cell>
        </row>
        <row r="70">
          <cell r="AX70">
            <v>12291423191.665916</v>
          </cell>
        </row>
        <row r="71">
          <cell r="AX71">
            <v>14050795188.800955</v>
          </cell>
        </row>
        <row r="72">
          <cell r="AX72">
            <v>15961189690.667736</v>
          </cell>
        </row>
        <row r="73">
          <cell r="AX73">
            <v>18123385691.14579</v>
          </cell>
        </row>
        <row r="74">
          <cell r="AX74">
            <v>20628171465.72987</v>
          </cell>
        </row>
        <row r="75">
          <cell r="AX75">
            <v>23432520316.098701</v>
          </cell>
        </row>
        <row r="76">
          <cell r="AX76">
            <v>26494256187.259918</v>
          </cell>
        </row>
        <row r="77">
          <cell r="AX77">
            <v>29698673072.495827</v>
          </cell>
        </row>
        <row r="78">
          <cell r="AX78">
            <v>33259129340.840683</v>
          </cell>
        </row>
        <row r="79">
          <cell r="AX79">
            <v>37524718816.028229</v>
          </cell>
        </row>
        <row r="80">
          <cell r="AX80">
            <v>42330649052.463867</v>
          </cell>
        </row>
        <row r="81">
          <cell r="AX81">
            <v>47563377079.307747</v>
          </cell>
        </row>
        <row r="82">
          <cell r="AX82">
            <v>53394758483.363968</v>
          </cell>
        </row>
        <row r="83">
          <cell r="AX83">
            <v>59734743302.911598</v>
          </cell>
        </row>
        <row r="84">
          <cell r="AX84">
            <v>66680740519.044212</v>
          </cell>
        </row>
        <row r="85">
          <cell r="AX85">
            <v>74180250766.312744</v>
          </cell>
        </row>
        <row r="86">
          <cell r="AX86">
            <v>82355005344.142365</v>
          </cell>
        </row>
        <row r="87">
          <cell r="AX87">
            <v>92876517472.119446</v>
          </cell>
        </row>
        <row r="88">
          <cell r="AX88">
            <v>104511401269.08717</v>
          </cell>
        </row>
        <row r="89">
          <cell r="AX89">
            <v>116650080213.84865</v>
          </cell>
        </row>
        <row r="90">
          <cell r="AX90">
            <v>129795937532.49579</v>
          </cell>
        </row>
        <row r="91">
          <cell r="AX91">
            <v>143351215419.96603</v>
          </cell>
        </row>
        <row r="92">
          <cell r="AX92">
            <v>158416820295.50946</v>
          </cell>
        </row>
        <row r="93">
          <cell r="AX93">
            <v>174334969068.47284</v>
          </cell>
        </row>
        <row r="94">
          <cell r="AX94">
            <v>191101086000.17426</v>
          </cell>
        </row>
        <row r="95">
          <cell r="AX95">
            <v>209125089117.1539</v>
          </cell>
        </row>
        <row r="96">
          <cell r="AX96">
            <v>227992701641.53934</v>
          </cell>
        </row>
        <row r="97">
          <cell r="AX97">
            <v>247579636641.13623</v>
          </cell>
        </row>
        <row r="98">
          <cell r="AX98">
            <v>269619126917.40039</v>
          </cell>
        </row>
        <row r="99">
          <cell r="AX99">
            <v>293892423930.47644</v>
          </cell>
        </row>
        <row r="100">
          <cell r="AX100">
            <v>319583791220.32373</v>
          </cell>
        </row>
        <row r="101">
          <cell r="AX101">
            <v>344414357512.31604</v>
          </cell>
        </row>
        <row r="102">
          <cell r="AX102">
            <v>368348863251.40692</v>
          </cell>
        </row>
        <row r="103">
          <cell r="AX103">
            <v>393423301195.08521</v>
          </cell>
        </row>
        <row r="104">
          <cell r="AX104">
            <v>419650107388.60156</v>
          </cell>
        </row>
        <row r="105">
          <cell r="AX105">
            <v>447164294913.68994</v>
          </cell>
        </row>
        <row r="106">
          <cell r="AX106">
            <v>475650224447.97675</v>
          </cell>
        </row>
        <row r="107">
          <cell r="AX107">
            <v>499405354833.98877</v>
          </cell>
        </row>
        <row r="108">
          <cell r="AX108">
            <v>524324197766.55872</v>
          </cell>
        </row>
        <row r="109">
          <cell r="AX109">
            <v>550609382947.63147</v>
          </cell>
        </row>
        <row r="110">
          <cell r="AX110">
            <v>578863720210.52429</v>
          </cell>
        </row>
        <row r="111">
          <cell r="AX111">
            <v>607945560701.31189</v>
          </cell>
        </row>
        <row r="112">
          <cell r="AX112">
            <v>638774273368.24756</v>
          </cell>
        </row>
        <row r="113">
          <cell r="AX113">
            <v>669509313873.18347</v>
          </cell>
        </row>
        <row r="114">
          <cell r="AX114">
            <v>700389667139.10474</v>
          </cell>
        </row>
        <row r="115">
          <cell r="AX115">
            <v>732293564160.21252</v>
          </cell>
        </row>
        <row r="116">
          <cell r="AX116">
            <v>766219179801.56299</v>
          </cell>
        </row>
        <row r="117">
          <cell r="AX117">
            <v>802185303117.61841</v>
          </cell>
        </row>
        <row r="118">
          <cell r="AX118">
            <v>840475884077.82959</v>
          </cell>
        </row>
        <row r="119">
          <cell r="AX119">
            <v>879784762886.11743</v>
          </cell>
        </row>
        <row r="120">
          <cell r="AX120">
            <v>920547635299.12646</v>
          </cell>
        </row>
        <row r="121">
          <cell r="AX121">
            <v>963493629334.58521</v>
          </cell>
        </row>
        <row r="122">
          <cell r="AX122">
            <v>1009854681752.2068</v>
          </cell>
        </row>
        <row r="123">
          <cell r="AX123">
            <v>1056891204589.5354</v>
          </cell>
        </row>
        <row r="124">
          <cell r="AX124">
            <v>1105696671598.5994</v>
          </cell>
        </row>
        <row r="125">
          <cell r="AX125">
            <v>1156696659564.6118</v>
          </cell>
        </row>
        <row r="126">
          <cell r="AX126">
            <v>1208517489273.6765</v>
          </cell>
        </row>
        <row r="127">
          <cell r="AX127">
            <v>1262966538480.3169</v>
          </cell>
        </row>
        <row r="128">
          <cell r="AX128">
            <v>1319316986724.415</v>
          </cell>
        </row>
        <row r="129">
          <cell r="AX129">
            <v>1378934506858.9631</v>
          </cell>
        </row>
        <row r="130">
          <cell r="AX130">
            <v>1441078192734.5171</v>
          </cell>
        </row>
        <row r="131">
          <cell r="AX131">
            <v>1505962037631.6406</v>
          </cell>
        </row>
        <row r="132">
          <cell r="AX132">
            <v>1575436091460.9175</v>
          </cell>
        </row>
        <row r="133">
          <cell r="AX133">
            <v>1648641344099.6006</v>
          </cell>
        </row>
        <row r="134">
          <cell r="AX134">
            <v>1724960438430.96</v>
          </cell>
        </row>
        <row r="135">
          <cell r="AX135">
            <v>1808709464673.5767</v>
          </cell>
        </row>
        <row r="136">
          <cell r="AX136">
            <v>1898918577168.3394</v>
          </cell>
        </row>
        <row r="137">
          <cell r="AX137">
            <v>1992717258174.5901</v>
          </cell>
        </row>
        <row r="138">
          <cell r="AX138">
            <v>2086580449186.4199</v>
          </cell>
        </row>
        <row r="139">
          <cell r="AX139">
            <v>2177795216137.1606</v>
          </cell>
        </row>
        <row r="140">
          <cell r="AX140">
            <v>2273106998973.248</v>
          </cell>
        </row>
        <row r="141">
          <cell r="AX141">
            <v>2372027948392.1147</v>
          </cell>
        </row>
        <row r="142">
          <cell r="AX142">
            <v>2476086515687.1431</v>
          </cell>
        </row>
        <row r="143">
          <cell r="AX143">
            <v>2580334036721.1646</v>
          </cell>
        </row>
        <row r="144">
          <cell r="AX144">
            <v>2688220704581.0034</v>
          </cell>
        </row>
        <row r="145">
          <cell r="AX145">
            <v>2797089662513.4541</v>
          </cell>
        </row>
        <row r="146">
          <cell r="AX146">
            <v>2910875106888.1235</v>
          </cell>
        </row>
        <row r="147">
          <cell r="AX147">
            <v>3032600908858.6978</v>
          </cell>
        </row>
        <row r="148">
          <cell r="AX148">
            <v>3161441947300.2197</v>
          </cell>
        </row>
        <row r="149">
          <cell r="AX149">
            <v>3294233235635.5488</v>
          </cell>
        </row>
        <row r="150">
          <cell r="AX150">
            <v>3432265456772.2158</v>
          </cell>
        </row>
        <row r="151">
          <cell r="AX151">
            <v>3573166677173.6094</v>
          </cell>
        </row>
        <row r="152">
          <cell r="AX152">
            <v>3717963194547.1064</v>
          </cell>
        </row>
        <row r="153">
          <cell r="AX153">
            <v>3874678135552.0161</v>
          </cell>
        </row>
        <row r="154">
          <cell r="AX154">
            <v>4048579103143.8257</v>
          </cell>
        </row>
        <row r="155">
          <cell r="AX155">
            <v>4228989669526.9038</v>
          </cell>
        </row>
        <row r="156">
          <cell r="AX156">
            <v>4431987381438.6904</v>
          </cell>
        </row>
        <row r="157">
          <cell r="AX157">
            <v>4673933632239.0547</v>
          </cell>
        </row>
        <row r="158">
          <cell r="AX158">
            <v>4927158912071.9082</v>
          </cell>
        </row>
        <row r="159">
          <cell r="AX159">
            <v>5021018540161.877</v>
          </cell>
        </row>
        <row r="160">
          <cell r="AX160">
            <v>5074065517864.9629</v>
          </cell>
        </row>
        <row r="161">
          <cell r="AX161">
            <v>5091169174029.1367</v>
          </cell>
        </row>
        <row r="162">
          <cell r="AX162">
            <v>5103060321154.084</v>
          </cell>
        </row>
        <row r="163">
          <cell r="AX163">
            <v>5114955237514.9707</v>
          </cell>
        </row>
        <row r="164">
          <cell r="AX164">
            <v>5126853924128.3799</v>
          </cell>
        </row>
        <row r="165">
          <cell r="AX165">
            <v>5138756382007.791</v>
          </cell>
        </row>
        <row r="166">
          <cell r="AX166">
            <v>5150661745807.8359</v>
          </cell>
        </row>
      </sheetData>
      <sheetData sheetId="18">
        <row r="7">
          <cell r="M7">
            <v>60</v>
          </cell>
          <cell r="AX7">
            <v>2009985.6574360463</v>
          </cell>
        </row>
        <row r="8">
          <cell r="AX8">
            <v>3052793.3315950474</v>
          </cell>
        </row>
        <row r="9">
          <cell r="AX9">
            <v>4421513.7773314482</v>
          </cell>
        </row>
        <row r="10">
          <cell r="AX10">
            <v>6224607.6638133451</v>
          </cell>
        </row>
        <row r="11">
          <cell r="AX11">
            <v>8558177.0175547004</v>
          </cell>
        </row>
        <row r="12">
          <cell r="AX12">
            <v>11532812.466033181</v>
          </cell>
        </row>
        <row r="13">
          <cell r="AX13">
            <v>15184705.238808958</v>
          </cell>
        </row>
        <row r="14">
          <cell r="AX14">
            <v>19614744.749590784</v>
          </cell>
        </row>
        <row r="15">
          <cell r="AX15">
            <v>25003834.915125467</v>
          </cell>
        </row>
        <row r="16">
          <cell r="AX16">
            <v>31500332.755835284</v>
          </cell>
        </row>
        <row r="17">
          <cell r="AX17">
            <v>39219054.85769292</v>
          </cell>
        </row>
        <row r="18">
          <cell r="AX18">
            <v>45349756.055496685</v>
          </cell>
        </row>
        <row r="19">
          <cell r="AX19">
            <v>52114388.830019981</v>
          </cell>
        </row>
        <row r="20">
          <cell r="AX20">
            <v>59146964.107325412</v>
          </cell>
        </row>
        <row r="21">
          <cell r="AX21">
            <v>68316827.784260049</v>
          </cell>
        </row>
        <row r="22">
          <cell r="AX22">
            <v>77709412.892825067</v>
          </cell>
        </row>
        <row r="23">
          <cell r="AX23">
            <v>87440282.833815038</v>
          </cell>
        </row>
        <row r="24">
          <cell r="AX24">
            <v>98461495.42792806</v>
          </cell>
        </row>
        <row r="25">
          <cell r="AX25">
            <v>110331396.50102574</v>
          </cell>
        </row>
        <row r="26">
          <cell r="AX26">
            <v>122473333.89186373</v>
          </cell>
        </row>
        <row r="27">
          <cell r="AX27">
            <v>136792616.36776751</v>
          </cell>
        </row>
        <row r="28">
          <cell r="AX28">
            <v>153590426.6802361</v>
          </cell>
        </row>
        <row r="29">
          <cell r="AX29">
            <v>171052446.05711669</v>
          </cell>
        </row>
        <row r="30">
          <cell r="AX30">
            <v>190638938.64964494</v>
          </cell>
        </row>
        <row r="31">
          <cell r="AX31">
            <v>211341393.12338993</v>
          </cell>
        </row>
        <row r="32">
          <cell r="AX32">
            <v>234119934.40146869</v>
          </cell>
        </row>
        <row r="33">
          <cell r="AX33">
            <v>258521815.86337632</v>
          </cell>
        </row>
        <row r="34">
          <cell r="AX34">
            <v>291623343.10111439</v>
          </cell>
        </row>
        <row r="35">
          <cell r="AX35">
            <v>328950465.79802597</v>
          </cell>
        </row>
        <row r="36">
          <cell r="AX36">
            <v>370351927.91353691</v>
          </cell>
        </row>
        <row r="37">
          <cell r="AX37">
            <v>418735509.71450478</v>
          </cell>
        </row>
        <row r="38">
          <cell r="AX38">
            <v>472687214.23579001</v>
          </cell>
        </row>
        <row r="39">
          <cell r="AX39">
            <v>531349560.93649924</v>
          </cell>
        </row>
        <row r="40">
          <cell r="AX40">
            <v>591891174.15998161</v>
          </cell>
        </row>
        <row r="41">
          <cell r="AX41">
            <v>653257774.76946127</v>
          </cell>
        </row>
        <row r="42">
          <cell r="AX42">
            <v>718812704.26970792</v>
          </cell>
        </row>
        <row r="43">
          <cell r="AX43">
            <v>790249482.90771818</v>
          </cell>
        </row>
        <row r="44">
          <cell r="AX44">
            <v>866899461.7611165</v>
          </cell>
        </row>
        <row r="45">
          <cell r="AX45">
            <v>950545107.49113107</v>
          </cell>
        </row>
        <row r="46">
          <cell r="AX46">
            <v>1041618476.5281919</v>
          </cell>
        </row>
        <row r="47">
          <cell r="AX47">
            <v>1133953253.036747</v>
          </cell>
        </row>
        <row r="48">
          <cell r="AX48">
            <v>1231667512.2980688</v>
          </cell>
        </row>
        <row r="49">
          <cell r="AX49">
            <v>1338403169.1864228</v>
          </cell>
        </row>
        <row r="50">
          <cell r="AX50">
            <v>1447803413.0340416</v>
          </cell>
        </row>
        <row r="51">
          <cell r="AX51">
            <v>1564505455.0353341</v>
          </cell>
        </row>
        <row r="52">
          <cell r="AX52">
            <v>1687010774.8324852</v>
          </cell>
        </row>
        <row r="53">
          <cell r="AX53">
            <v>1817791254.5658979</v>
          </cell>
        </row>
        <row r="54">
          <cell r="AX54">
            <v>1958000940.2683187</v>
          </cell>
        </row>
        <row r="55">
          <cell r="AX55">
            <v>2105064177.5935898</v>
          </cell>
        </row>
        <row r="56">
          <cell r="AX56">
            <v>2262635347.7205353</v>
          </cell>
        </row>
        <row r="57">
          <cell r="AX57">
            <v>2493489034.888485</v>
          </cell>
        </row>
        <row r="58">
          <cell r="AX58">
            <v>2745545351.4303408</v>
          </cell>
        </row>
        <row r="59">
          <cell r="AX59">
            <v>3017503172.232655</v>
          </cell>
        </row>
        <row r="60">
          <cell r="AX60">
            <v>3310446791.192174</v>
          </cell>
        </row>
        <row r="61">
          <cell r="AX61">
            <v>3628111886.983882</v>
          </cell>
        </row>
        <row r="62">
          <cell r="AX62">
            <v>3969493687.7438173</v>
          </cell>
        </row>
        <row r="63">
          <cell r="AX63">
            <v>5273733610.3859329</v>
          </cell>
        </row>
        <row r="64">
          <cell r="AX64">
            <v>6148095152.032505</v>
          </cell>
        </row>
        <row r="65">
          <cell r="AX65">
            <v>6903214286.9179821</v>
          </cell>
        </row>
        <row r="66">
          <cell r="AX66">
            <v>8672889647.1223488</v>
          </cell>
        </row>
        <row r="67">
          <cell r="AX67">
            <v>9951636501.6005096</v>
          </cell>
        </row>
        <row r="68">
          <cell r="AX68">
            <v>11391926867.875488</v>
          </cell>
        </row>
        <row r="69">
          <cell r="AX69">
            <v>12996981103.528809</v>
          </cell>
        </row>
        <row r="70">
          <cell r="AX70">
            <v>14763748674.90593</v>
          </cell>
        </row>
        <row r="71">
          <cell r="AX71">
            <v>16700288901.685383</v>
          </cell>
        </row>
        <row r="72">
          <cell r="AX72">
            <v>18904618084.98473</v>
          </cell>
        </row>
        <row r="73">
          <cell r="AX73">
            <v>21403567649.754875</v>
          </cell>
        </row>
        <row r="74">
          <cell r="AX74">
            <v>24217216074.649273</v>
          </cell>
        </row>
        <row r="75">
          <cell r="AX75">
            <v>27341264135.784657</v>
          </cell>
        </row>
        <row r="76">
          <cell r="AX76">
            <v>30858684803.552589</v>
          </cell>
        </row>
        <row r="77">
          <cell r="AX77">
            <v>34551873313.170982</v>
          </cell>
        </row>
        <row r="78">
          <cell r="AX78">
            <v>38724550862.289612</v>
          </cell>
        </row>
        <row r="79">
          <cell r="AX79">
            <v>43527236761.643127</v>
          </cell>
        </row>
        <row r="80">
          <cell r="AX80">
            <v>49186440273.838684</v>
          </cell>
        </row>
        <row r="81">
          <cell r="AX81">
            <v>55487338928.37265</v>
          </cell>
        </row>
        <row r="82">
          <cell r="AX82">
            <v>63053327385.611023</v>
          </cell>
        </row>
        <row r="83">
          <cell r="AX83">
            <v>71288907948.899857</v>
          </cell>
        </row>
        <row r="84">
          <cell r="AX84">
            <v>79880971905.875946</v>
          </cell>
        </row>
        <row r="85">
          <cell r="AX85">
            <v>89368530016.357651</v>
          </cell>
        </row>
        <row r="86">
          <cell r="AX86">
            <v>99898867984.325928</v>
          </cell>
        </row>
        <row r="87">
          <cell r="AX87">
            <v>112775222811.22351</v>
          </cell>
        </row>
        <row r="88">
          <cell r="AX88">
            <v>126746074583.83415</v>
          </cell>
        </row>
        <row r="89">
          <cell r="AX89">
            <v>140478835060.28995</v>
          </cell>
        </row>
        <row r="90">
          <cell r="AX90">
            <v>155425326871.19971</v>
          </cell>
        </row>
        <row r="91">
          <cell r="AX91">
            <v>171565512236.54388</v>
          </cell>
        </row>
        <row r="92">
          <cell r="AX92">
            <v>186916537150.94754</v>
          </cell>
        </row>
        <row r="93">
          <cell r="AX93">
            <v>203858516657.01196</v>
          </cell>
        </row>
        <row r="94">
          <cell r="AX94">
            <v>221330207120.96945</v>
          </cell>
        </row>
        <row r="95">
          <cell r="AX95">
            <v>239487626470.68137</v>
          </cell>
        </row>
        <row r="96">
          <cell r="AX96">
            <v>259314613305.74915</v>
          </cell>
        </row>
        <row r="97">
          <cell r="AX97">
            <v>280959789556.9342</v>
          </cell>
        </row>
        <row r="98">
          <cell r="AX98">
            <v>303780623800.20251</v>
          </cell>
        </row>
        <row r="99">
          <cell r="AX99">
            <v>327780685998.3006</v>
          </cell>
        </row>
        <row r="100">
          <cell r="AX100">
            <v>353306461048.40088</v>
          </cell>
        </row>
        <row r="101">
          <cell r="AX101">
            <v>375720049453.43774</v>
          </cell>
        </row>
        <row r="102">
          <cell r="AX102">
            <v>399129171679.41742</v>
          </cell>
        </row>
        <row r="103">
          <cell r="AX103">
            <v>424411611937.42181</v>
          </cell>
        </row>
        <row r="104">
          <cell r="AX104">
            <v>451129632004.68066</v>
          </cell>
        </row>
        <row r="105">
          <cell r="AX105">
            <v>478523345884.13989</v>
          </cell>
        </row>
        <row r="106">
          <cell r="AX106">
            <v>507249464096.19263</v>
          </cell>
        </row>
        <row r="107">
          <cell r="AX107">
            <v>531608840509.50952</v>
          </cell>
        </row>
        <row r="108">
          <cell r="AX108">
            <v>557011132287.35217</v>
          </cell>
        </row>
        <row r="109">
          <cell r="AX109">
            <v>584453129833.91772</v>
          </cell>
        </row>
        <row r="110">
          <cell r="AX110">
            <v>614500057781.45459</v>
          </cell>
        </row>
        <row r="111">
          <cell r="AX111">
            <v>646348802970.16528</v>
          </cell>
        </row>
        <row r="112">
          <cell r="AX112">
            <v>677257835889.12524</v>
          </cell>
        </row>
        <row r="113">
          <cell r="AX113">
            <v>709204774398.91821</v>
          </cell>
        </row>
        <row r="114">
          <cell r="AX114">
            <v>742156840890.13074</v>
          </cell>
        </row>
        <row r="115">
          <cell r="AX115">
            <v>776866118226.96741</v>
          </cell>
        </row>
        <row r="116">
          <cell r="AX116">
            <v>815603058745.61194</v>
          </cell>
        </row>
        <row r="117">
          <cell r="AX117">
            <v>857137990587.49878</v>
          </cell>
        </row>
        <row r="118">
          <cell r="AX118">
            <v>899424390006.63379</v>
          </cell>
        </row>
        <row r="119">
          <cell r="AX119">
            <v>943700937527.21387</v>
          </cell>
        </row>
        <row r="120">
          <cell r="AX120">
            <v>990022223686.47498</v>
          </cell>
        </row>
        <row r="121">
          <cell r="AX121">
            <v>1038564507533.8043</v>
          </cell>
        </row>
        <row r="122">
          <cell r="AX122">
            <v>1089797390590.9016</v>
          </cell>
        </row>
        <row r="123">
          <cell r="AX123">
            <v>1142091823198.7893</v>
          </cell>
        </row>
        <row r="124">
          <cell r="AX124">
            <v>1196197010868.2861</v>
          </cell>
        </row>
        <row r="125">
          <cell r="AX125">
            <v>1251581642175.6353</v>
          </cell>
        </row>
        <row r="126">
          <cell r="AX126">
            <v>1309666754834.0461</v>
          </cell>
        </row>
        <row r="127">
          <cell r="AX127">
            <v>1369764602013.563</v>
          </cell>
        </row>
        <row r="128">
          <cell r="AX128">
            <v>1432403827325.3123</v>
          </cell>
        </row>
        <row r="129">
          <cell r="AX129">
            <v>1499420371419.8062</v>
          </cell>
        </row>
        <row r="130">
          <cell r="AX130">
            <v>1569281009577.3247</v>
          </cell>
        </row>
        <row r="131">
          <cell r="AX131">
            <v>1644042272363.0347</v>
          </cell>
        </row>
        <row r="132">
          <cell r="AX132">
            <v>1722972819576.6387</v>
          </cell>
        </row>
        <row r="133">
          <cell r="AX133">
            <v>1805136368199.0264</v>
          </cell>
        </row>
        <row r="134">
          <cell r="AX134">
            <v>1894303307068.9307</v>
          </cell>
        </row>
        <row r="135">
          <cell r="AX135">
            <v>1991152332640.0613</v>
          </cell>
        </row>
        <row r="136">
          <cell r="AX136">
            <v>2092333679639.688</v>
          </cell>
        </row>
        <row r="137">
          <cell r="AX137">
            <v>2193421888393.3118</v>
          </cell>
        </row>
        <row r="138">
          <cell r="AX138">
            <v>2292430982961.9844</v>
          </cell>
        </row>
        <row r="139">
          <cell r="AX139">
            <v>2395258929825.8594</v>
          </cell>
        </row>
        <row r="140">
          <cell r="AX140">
            <v>2501441151095.3701</v>
          </cell>
        </row>
        <row r="141">
          <cell r="AX141">
            <v>2612586737990.5024</v>
          </cell>
        </row>
        <row r="142">
          <cell r="AX142">
            <v>2715411527856.001</v>
          </cell>
        </row>
        <row r="143">
          <cell r="AX143">
            <v>2821603302590.5273</v>
          </cell>
        </row>
        <row r="144">
          <cell r="AX144">
            <v>2928189956162.1646</v>
          </cell>
        </row>
        <row r="145">
          <cell r="AX145">
            <v>3039717437215.3813</v>
          </cell>
        </row>
        <row r="146">
          <cell r="AX146">
            <v>3158338488147.0605</v>
          </cell>
        </row>
        <row r="147">
          <cell r="AX147">
            <v>3283261806171.2666</v>
          </cell>
        </row>
        <row r="148">
          <cell r="AX148">
            <v>3412916025997.8862</v>
          </cell>
        </row>
        <row r="149">
          <cell r="AX149">
            <v>3547716067505.9019</v>
          </cell>
        </row>
        <row r="150">
          <cell r="AX150">
            <v>3684387388787.6924</v>
          </cell>
        </row>
        <row r="151">
          <cell r="AX151">
            <v>3824390727398.6602</v>
          </cell>
        </row>
        <row r="152">
          <cell r="AX152">
            <v>3970285253311.8232</v>
          </cell>
        </row>
        <row r="153">
          <cell r="AX153">
            <v>4123946990163.3638</v>
          </cell>
        </row>
        <row r="154">
          <cell r="AX154">
            <v>4283339348564.501</v>
          </cell>
        </row>
        <row r="155">
          <cell r="AX155">
            <v>4461873295251.6416</v>
          </cell>
        </row>
        <row r="156">
          <cell r="AX156">
            <v>4696958896058.0732</v>
          </cell>
        </row>
        <row r="157">
          <cell r="AX157">
            <v>4940086837159.6279</v>
          </cell>
        </row>
        <row r="158">
          <cell r="AX158">
            <v>5026829610846.874</v>
          </cell>
        </row>
        <row r="159">
          <cell r="AX159">
            <v>5080128071565.2432</v>
          </cell>
        </row>
        <row r="160">
          <cell r="AX160">
            <v>5095484708056.6289</v>
          </cell>
        </row>
        <row r="161">
          <cell r="AX161">
            <v>5107479896169.7354</v>
          </cell>
        </row>
        <row r="162">
          <cell r="AX162">
            <v>5119478886768.6592</v>
          </cell>
        </row>
        <row r="163">
          <cell r="AX163">
            <v>5131481680886.3027</v>
          </cell>
        </row>
        <row r="164">
          <cell r="AX164">
            <v>5143488279552.4023</v>
          </cell>
        </row>
        <row r="165">
          <cell r="AX165">
            <v>5155498683793.5342</v>
          </cell>
        </row>
        <row r="166">
          <cell r="AX166">
            <v>5167512025443.127</v>
          </cell>
        </row>
      </sheetData>
      <sheetData sheetId="19"/>
      <sheetData sheetId="20"/>
      <sheetData sheetId="21"/>
      <sheetData sheetId="22"/>
      <sheetData sheetId="23"/>
      <sheetData sheetId="24"/>
      <sheetData sheetId="25">
        <row r="125">
          <cell r="Z125">
            <v>1.7383910001993121</v>
          </cell>
        </row>
      </sheetData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B1:BG363"/>
  <sheetViews>
    <sheetView workbookViewId="0">
      <selection activeCell="AC93" sqref="AC93:AH93"/>
    </sheetView>
  </sheetViews>
  <sheetFormatPr defaultColWidth="6.625" defaultRowHeight="11.25" x14ac:dyDescent="0.15"/>
  <cols>
    <col min="1" max="12" width="6.625" style="6"/>
    <col min="13" max="13" width="6.625" style="3"/>
    <col min="14" max="35" width="6.625" style="6"/>
    <col min="36" max="36" width="6.625" style="3"/>
    <col min="37" max="43" width="6.625" style="6"/>
    <col min="44" max="44" width="6.625" style="4"/>
    <col min="45" max="50" width="6.625" style="6"/>
    <col min="51" max="51" width="6.625" style="4"/>
    <col min="52" max="58" width="6.625" style="6"/>
    <col min="59" max="59" width="6.625" style="3"/>
    <col min="60" max="16384" width="6.625" style="6"/>
  </cols>
  <sheetData>
    <row r="1" spans="2:57" x14ac:dyDescent="0.15">
      <c r="F1" s="48" t="s">
        <v>136</v>
      </c>
      <c r="G1" s="48" t="s">
        <v>124</v>
      </c>
      <c r="H1" s="7"/>
      <c r="I1" s="48" t="s">
        <v>120</v>
      </c>
      <c r="J1" s="48" t="s">
        <v>124</v>
      </c>
      <c r="K1" s="48" t="s">
        <v>125</v>
      </c>
      <c r="P1" s="6" t="s">
        <v>135</v>
      </c>
      <c r="AM1" s="6">
        <v>1</v>
      </c>
      <c r="AN1" s="6">
        <v>0.8</v>
      </c>
      <c r="AO1" s="6">
        <v>0.6</v>
      </c>
      <c r="AP1" s="6">
        <v>0.4</v>
      </c>
      <c r="AQ1" s="6">
        <v>0.2</v>
      </c>
    </row>
    <row r="2" spans="2:57" x14ac:dyDescent="0.15">
      <c r="F2" s="48"/>
      <c r="G2" s="48"/>
      <c r="H2" s="7"/>
      <c r="I2" s="48"/>
      <c r="J2" s="48"/>
      <c r="K2" s="48"/>
      <c r="P2" s="47" t="s">
        <v>137</v>
      </c>
      <c r="Q2" s="47"/>
      <c r="R2" s="47"/>
      <c r="S2" s="47"/>
      <c r="T2" s="47"/>
      <c r="W2" s="47" t="s">
        <v>138</v>
      </c>
      <c r="X2" s="47"/>
      <c r="Y2" s="47"/>
      <c r="Z2" s="47"/>
      <c r="AA2" s="47"/>
      <c r="AD2" s="47" t="s">
        <v>139</v>
      </c>
      <c r="AE2" s="47"/>
      <c r="AF2" s="47"/>
      <c r="AG2" s="47"/>
      <c r="AH2" s="47"/>
      <c r="AM2" s="47" t="s">
        <v>121</v>
      </c>
      <c r="AN2" s="47"/>
      <c r="AO2" s="47"/>
      <c r="AP2" s="47"/>
      <c r="AQ2" s="47"/>
      <c r="AT2" s="47" t="s">
        <v>122</v>
      </c>
      <c r="AU2" s="47"/>
      <c r="AV2" s="47"/>
      <c r="AW2" s="47"/>
      <c r="AX2" s="47"/>
      <c r="BA2" s="47" t="s">
        <v>126</v>
      </c>
      <c r="BB2" s="47"/>
      <c r="BC2" s="47"/>
      <c r="BD2" s="47"/>
      <c r="BE2" s="47"/>
    </row>
    <row r="3" spans="2:57" x14ac:dyDescent="0.15">
      <c r="F3" s="6">
        <f>[1]节奏总纲!F3</f>
        <v>1</v>
      </c>
      <c r="G3" s="6">
        <f>[1]节奏总纲!G3</f>
        <v>7.1773462536293131E-2</v>
      </c>
      <c r="I3" s="6">
        <f>[1]节奏总纲!I3</f>
        <v>1</v>
      </c>
      <c r="J3" s="6">
        <f>[1]节奏总纲!J3</f>
        <v>7.4349177498517554E-3</v>
      </c>
      <c r="K3" s="6">
        <f>[1]节奏总纲!K3</f>
        <v>0.1</v>
      </c>
      <c r="N3" s="6" t="str">
        <f>[1]节奏总纲!N3</f>
        <v>对应玩家等级</v>
      </c>
      <c r="O3" s="6" t="s">
        <v>136</v>
      </c>
      <c r="P3" s="6" t="s">
        <v>127</v>
      </c>
      <c r="Q3" s="6" t="s">
        <v>128</v>
      </c>
      <c r="R3" s="6" t="s">
        <v>129</v>
      </c>
      <c r="S3" s="6" t="s">
        <v>130</v>
      </c>
      <c r="T3" s="6" t="s">
        <v>131</v>
      </c>
      <c r="V3" s="6" t="s">
        <v>136</v>
      </c>
      <c r="W3" s="6" t="s">
        <v>127</v>
      </c>
      <c r="X3" s="6" t="s">
        <v>128</v>
      </c>
      <c r="Y3" s="6" t="s">
        <v>129</v>
      </c>
      <c r="Z3" s="6" t="s">
        <v>130</v>
      </c>
      <c r="AA3" s="6" t="s">
        <v>131</v>
      </c>
      <c r="AC3" s="6" t="s">
        <v>132</v>
      </c>
      <c r="AD3" s="6" t="s">
        <v>127</v>
      </c>
      <c r="AE3" s="6" t="s">
        <v>128</v>
      </c>
      <c r="AF3" s="6" t="s">
        <v>129</v>
      </c>
      <c r="AG3" s="6" t="s">
        <v>130</v>
      </c>
      <c r="AH3" s="6" t="s">
        <v>131</v>
      </c>
      <c r="AL3" s="6" t="s">
        <v>120</v>
      </c>
      <c r="AM3" s="6" t="s">
        <v>127</v>
      </c>
      <c r="AN3" s="6" t="s">
        <v>128</v>
      </c>
      <c r="AO3" s="6" t="s">
        <v>129</v>
      </c>
      <c r="AP3" s="6" t="s">
        <v>130</v>
      </c>
      <c r="AQ3" s="6" t="s">
        <v>131</v>
      </c>
      <c r="AS3" s="6" t="s">
        <v>120</v>
      </c>
      <c r="AT3" s="6" t="s">
        <v>127</v>
      </c>
      <c r="AU3" s="6" t="s">
        <v>128</v>
      </c>
      <c r="AV3" s="6" t="s">
        <v>129</v>
      </c>
      <c r="AW3" s="6" t="s">
        <v>130</v>
      </c>
      <c r="AX3" s="6" t="s">
        <v>131</v>
      </c>
      <c r="AZ3" s="6" t="s">
        <v>132</v>
      </c>
      <c r="BA3" s="6" t="s">
        <v>127</v>
      </c>
      <c r="BB3" s="6" t="s">
        <v>128</v>
      </c>
      <c r="BC3" s="6" t="s">
        <v>129</v>
      </c>
      <c r="BD3" s="6" t="s">
        <v>130</v>
      </c>
      <c r="BE3" s="6" t="s">
        <v>131</v>
      </c>
    </row>
    <row r="4" spans="2:57" x14ac:dyDescent="0.15">
      <c r="F4" s="6">
        <f>[1]节奏总纲!F4</f>
        <v>2</v>
      </c>
      <c r="G4" s="6">
        <f>[1]节奏总纲!G4</f>
        <v>0.1486983549970351</v>
      </c>
      <c r="I4" s="6">
        <f>[1]节奏总纲!I4</f>
        <v>2</v>
      </c>
      <c r="J4" s="6">
        <f>[1]节奏总纲!J4</f>
        <v>2.3963093307967063E-2</v>
      </c>
      <c r="K4" s="6">
        <f>[1]节奏总纲!K4</f>
        <v>0.15</v>
      </c>
      <c r="N4" s="6">
        <f>[1]节奏总纲!N4</f>
        <v>2</v>
      </c>
      <c r="O4" s="6">
        <v>1</v>
      </c>
      <c r="P4" s="6">
        <f>[1]节奏总纲!P4</f>
        <v>7.1773462536293131E-2</v>
      </c>
      <c r="Q4" s="6">
        <f>[1]节奏总纲!Q4</f>
        <v>5.9787294292732177E-2</v>
      </c>
      <c r="R4" s="6">
        <f>[1]节奏总纲!R4</f>
        <v>4.677476553490223E-2</v>
      </c>
      <c r="S4" s="6">
        <f>[1]节奏总纲!S4</f>
        <v>3.2585151991477081E-2</v>
      </c>
      <c r="T4" s="6">
        <f>[1]节奏总纲!T4</f>
        <v>1.7039020006115988E-2</v>
      </c>
      <c r="V4" s="6">
        <v>1</v>
      </c>
      <c r="W4" s="6">
        <f>[1]节奏总纲!W4</f>
        <v>7.1773462536293131E-2</v>
      </c>
      <c r="X4" s="6">
        <f>[1]节奏总纲!X4</f>
        <v>5.9787294292732177E-2</v>
      </c>
      <c r="Y4" s="6">
        <f>[1]节奏总纲!Y4</f>
        <v>4.677476553490223E-2</v>
      </c>
      <c r="Z4" s="6">
        <f>[1]节奏总纲!Z4</f>
        <v>3.2585151991477081E-2</v>
      </c>
      <c r="AA4" s="6">
        <f>[1]节奏总纲!AA4</f>
        <v>1.7039020006115988E-2</v>
      </c>
      <c r="AC4" s="6">
        <v>1</v>
      </c>
      <c r="AD4" s="6">
        <f>[1]节奏总纲!AD4</f>
        <v>10</v>
      </c>
      <c r="AE4" s="6">
        <f>[1]节奏总纲!AE4</f>
        <v>11.148446722089302</v>
      </c>
      <c r="AF4" s="6">
        <f>[1]节奏总纲!AF4</f>
        <v>12.761737853656415</v>
      </c>
      <c r="AG4" s="6">
        <f>[1]节奏总纲!AG4</f>
        <v>15.452231935206081</v>
      </c>
      <c r="AH4" s="6">
        <f>[1]节奏总纲!AH4</f>
        <v>21.291911942729964</v>
      </c>
      <c r="AL4" s="6">
        <v>1</v>
      </c>
      <c r="AM4" s="6">
        <f>[1]节奏总纲!AM4</f>
        <v>7.4349177498517554E-3</v>
      </c>
      <c r="AN4" s="6">
        <f>[1]节奏总纲!AN4</f>
        <v>5.947934199881405E-3</v>
      </c>
      <c r="AO4" s="6">
        <f>[1]节奏总纲!AO4</f>
        <v>4.4609506499110529E-3</v>
      </c>
      <c r="AP4" s="6">
        <f>[1]节奏总纲!AP4</f>
        <v>2.9739670999407025E-3</v>
      </c>
      <c r="AQ4" s="6">
        <f>[1]节奏总纲!AQ4</f>
        <v>1.4869835499703513E-3</v>
      </c>
      <c r="AS4" s="6">
        <v>1</v>
      </c>
      <c r="AT4" s="6">
        <f>[1]节奏总纲!AT4</f>
        <v>7.4349177498517554E-3</v>
      </c>
      <c r="AU4" s="6">
        <f>[1]节奏总纲!AU4</f>
        <v>5.947934199881405E-3</v>
      </c>
      <c r="AV4" s="6">
        <f>[1]节奏总纲!AV4</f>
        <v>4.4609506499110529E-3</v>
      </c>
      <c r="AW4" s="6">
        <f>[1]节奏总纲!AW4</f>
        <v>2.9739670999407025E-3</v>
      </c>
      <c r="AX4" s="6">
        <f>[1]节奏总纲!AX4</f>
        <v>1.4869835499703513E-3</v>
      </c>
      <c r="AY4" s="6"/>
      <c r="AZ4" s="6">
        <v>1</v>
      </c>
      <c r="BA4" s="6">
        <f>[1]节奏总纲!BA4</f>
        <v>11.296493250964016</v>
      </c>
      <c r="BB4" s="6">
        <f>[1]节奏总纲!BB4</f>
        <v>12.361596792946616</v>
      </c>
      <c r="BC4" s="6">
        <f>[1]节奏总纲!BC4</f>
        <v>13.798091195443488</v>
      </c>
      <c r="BD4" s="6">
        <f>[1]节奏总纲!BD4</f>
        <v>15.911635365458322</v>
      </c>
      <c r="BE4" s="6">
        <f>[1]节奏总纲!BE4</f>
        <v>19.707330185578734</v>
      </c>
    </row>
    <row r="5" spans="2:57" x14ac:dyDescent="0.15">
      <c r="F5" s="6">
        <f>[1]节奏总纲!F5</f>
        <v>3</v>
      </c>
      <c r="G5" s="6">
        <f>[1]节奏总纲!G5</f>
        <v>0.23114441334491631</v>
      </c>
      <c r="I5" s="6">
        <f>[1]节奏总纲!I5</f>
        <v>3</v>
      </c>
      <c r="J5" s="6">
        <f>[1]节奏总纲!J5</f>
        <v>5.1571656651039799E-2</v>
      </c>
      <c r="K5" s="6">
        <f>[1]节奏总纲!K5</f>
        <v>0.2</v>
      </c>
      <c r="N5" s="6">
        <f>[1]节奏总纲!N5</f>
        <v>4</v>
      </c>
      <c r="O5" s="6">
        <v>2</v>
      </c>
      <c r="P5" s="6">
        <f>[1]节奏总纲!P5</f>
        <v>0.1486983549970351</v>
      </c>
      <c r="Q5" s="6">
        <f>[1]节奏总纲!Q5</f>
        <v>0.12505531655250651</v>
      </c>
      <c r="R5" s="6">
        <f>[1]节奏总纲!R5</f>
        <v>9.883979656652922E-2</v>
      </c>
      <c r="S5" s="6">
        <f>[1]节奏总纲!S5</f>
        <v>6.9828747506607683E-2</v>
      </c>
      <c r="T5" s="6">
        <f>[1]节奏总纲!T5</f>
        <v>3.7085369736260552E-2</v>
      </c>
      <c r="V5" s="6">
        <v>2</v>
      </c>
      <c r="W5" s="6">
        <f>[1]节奏总纲!W5</f>
        <v>7.6924892460741967E-2</v>
      </c>
      <c r="X5" s="6">
        <f>[1]节奏总纲!X5</f>
        <v>6.5268022259774336E-2</v>
      </c>
      <c r="Y5" s="6">
        <f>[1]节奏总纲!Y5</f>
        <v>5.206503103162699E-2</v>
      </c>
      <c r="Z5" s="6">
        <f>[1]节奏总纲!Z5</f>
        <v>3.7243595515130602E-2</v>
      </c>
      <c r="AA5" s="6">
        <f>[1]节奏总纲!AA5</f>
        <v>2.0046349730144564E-2</v>
      </c>
      <c r="AC5" s="6">
        <v>2</v>
      </c>
      <c r="AD5" s="6">
        <f>[1]节奏总纲!AD5</f>
        <v>15.845161563010114</v>
      </c>
      <c r="AE5" s="6">
        <f>[1]节奏总纲!AE5</f>
        <v>17.271997130667014</v>
      </c>
      <c r="AF5" s="6">
        <f>[1]节奏总纲!AF5</f>
        <v>19.263096801323076</v>
      </c>
      <c r="AG5" s="6">
        <f>[1]节奏总纲!AG5</f>
        <v>22.536681597650272</v>
      </c>
      <c r="AH5" s="6">
        <f>[1]节奏总纲!AH5</f>
        <v>29.386000042029625</v>
      </c>
      <c r="AL5" s="6">
        <v>2</v>
      </c>
      <c r="AM5" s="6">
        <f>[1]节奏总纲!AM5</f>
        <v>2.3963093307967063E-2</v>
      </c>
      <c r="AN5" s="6">
        <f>[1]节奏总纲!AN5</f>
        <v>1.9170474646373652E-2</v>
      </c>
      <c r="AO5" s="6">
        <f>[1]节奏总纲!AO5</f>
        <v>1.4377855984780237E-2</v>
      </c>
      <c r="AP5" s="6">
        <f>[1]节奏总纲!AP5</f>
        <v>9.5852373231868262E-3</v>
      </c>
      <c r="AQ5" s="6">
        <f>[1]节奏总纲!AQ5</f>
        <v>4.7926186615934131E-3</v>
      </c>
      <c r="AS5" s="6">
        <v>2</v>
      </c>
      <c r="AT5" s="6">
        <f>[1]节奏总纲!AT5</f>
        <v>1.6528175558115307E-2</v>
      </c>
      <c r="AU5" s="6">
        <f>[1]节奏总纲!AU5</f>
        <v>1.3222540446492247E-2</v>
      </c>
      <c r="AV5" s="6">
        <f>[1]节奏总纲!AV5</f>
        <v>9.9169053348691846E-3</v>
      </c>
      <c r="AW5" s="6">
        <f>[1]节奏总纲!AW5</f>
        <v>6.6112702232461237E-3</v>
      </c>
      <c r="AX5" s="6">
        <f>[1]节奏总纲!AX5</f>
        <v>3.3056351116230618E-3</v>
      </c>
      <c r="AY5" s="6"/>
      <c r="AZ5" s="6">
        <v>2</v>
      </c>
      <c r="BA5" s="6">
        <f>[1]节奏总纲!BA5</f>
        <v>14.729965238833779</v>
      </c>
      <c r="BB5" s="6">
        <f>[1]节奏总纲!BB5</f>
        <v>15.911635365458322</v>
      </c>
      <c r="BC5" s="6">
        <f>[1]节奏总纲!BC5</f>
        <v>17.448850811924295</v>
      </c>
      <c r="BD5" s="6">
        <f>[1]节奏总纲!BD5</f>
        <v>19.707330185578734</v>
      </c>
      <c r="BE5" s="6">
        <f>[1]节奏总纲!BE5</f>
        <v>23.710496742673982</v>
      </c>
    </row>
    <row r="6" spans="2:57" x14ac:dyDescent="0.15">
      <c r="B6" s="47" t="s">
        <v>140</v>
      </c>
      <c r="C6" s="47"/>
      <c r="D6" s="47"/>
      <c r="F6" s="6">
        <f>[1]节奏总纲!F6</f>
        <v>4</v>
      </c>
      <c r="G6" s="6">
        <f>[1]节奏总纲!G6</f>
        <v>0.3195079107728942</v>
      </c>
      <c r="I6" s="6">
        <f>[1]节奏总纲!I6</f>
        <v>4</v>
      </c>
      <c r="J6" s="6">
        <f>[1]节奏总纲!J6</f>
        <v>9.2637640824031031E-2</v>
      </c>
      <c r="K6" s="6">
        <f>[1]节奏总纲!K6</f>
        <v>0.25</v>
      </c>
      <c r="N6" s="6">
        <f>[1]节奏总纲!N6</f>
        <v>6</v>
      </c>
      <c r="O6" s="6">
        <v>3</v>
      </c>
      <c r="P6" s="6">
        <f>[1]节奏总纲!P6</f>
        <v>0.23114441334491631</v>
      </c>
      <c r="Q6" s="6">
        <f>[1]节奏总纲!Q6</f>
        <v>0.19582554698581309</v>
      </c>
      <c r="R6" s="6">
        <f>[1]节奏总纲!R6</f>
        <v>0.15616116565582547</v>
      </c>
      <c r="S6" s="6">
        <f>[1]节奏总纲!S6</f>
        <v>0.11120357726023924</v>
      </c>
      <c r="T6" s="6">
        <f>[1]节奏总纲!T6</f>
        <v>5.9380999788309005E-2</v>
      </c>
      <c r="V6" s="6">
        <v>3</v>
      </c>
      <c r="W6" s="6">
        <f>[1]节奏总纲!W6</f>
        <v>8.2446058347881213E-2</v>
      </c>
      <c r="X6" s="6">
        <f>[1]节奏总纲!X6</f>
        <v>7.0770230433306575E-2</v>
      </c>
      <c r="Y6" s="6">
        <f>[1]节奏总纲!Y6</f>
        <v>5.7321369089296248E-2</v>
      </c>
      <c r="Z6" s="6">
        <f>[1]节奏总纲!Z6</f>
        <v>4.1374829753631562E-2</v>
      </c>
      <c r="AA6" s="6">
        <f>[1]节奏总纲!AA6</f>
        <v>2.2295630052048453E-2</v>
      </c>
      <c r="AC6" s="6">
        <v>3</v>
      </c>
      <c r="AD6" s="6">
        <f>[1]节奏总纲!AD6</f>
        <v>20</v>
      </c>
      <c r="AE6" s="6">
        <f>[1]节奏总纲!AE6</f>
        <v>21.543844702365945</v>
      </c>
      <c r="AF6" s="6">
        <f>[1]节奏总纲!AF6</f>
        <v>23.734615677065324</v>
      </c>
      <c r="AG6" s="6">
        <f>[1]节奏总纲!AG6</f>
        <v>27.324610510337703</v>
      </c>
      <c r="AH6" s="6">
        <f>[1]节奏总纲!AH6</f>
        <v>34.517938607173015</v>
      </c>
      <c r="AL6" s="6">
        <v>3</v>
      </c>
      <c r="AM6" s="6">
        <f>[1]节奏总纲!AM6</f>
        <v>5.1571656651039799E-2</v>
      </c>
      <c r="AN6" s="6">
        <f>[1]节奏总纲!AN6</f>
        <v>4.1257325320831845E-2</v>
      </c>
      <c r="AO6" s="6">
        <f>[1]节奏总纲!AO6</f>
        <v>3.0942993990623877E-2</v>
      </c>
      <c r="AP6" s="6">
        <f>[1]节奏总纲!AP6</f>
        <v>2.0628662660415922E-2</v>
      </c>
      <c r="AQ6" s="6">
        <f>[1]节奏总纲!AQ6</f>
        <v>1.0314331330207961E-2</v>
      </c>
      <c r="AS6" s="6">
        <v>3</v>
      </c>
      <c r="AT6" s="6">
        <f>[1]节奏总纲!AT6</f>
        <v>2.7608563343072736E-2</v>
      </c>
      <c r="AU6" s="6">
        <f>[1]节奏总纲!AU6</f>
        <v>2.2086850674458192E-2</v>
      </c>
      <c r="AV6" s="6">
        <f>[1]节奏总纲!AV6</f>
        <v>1.6565138005843638E-2</v>
      </c>
      <c r="AW6" s="6">
        <f>[1]节奏总纲!AW6</f>
        <v>1.1043425337229096E-2</v>
      </c>
      <c r="AX6" s="6">
        <f>[1]节奏总纲!AX6</f>
        <v>5.5217126686145481E-3</v>
      </c>
      <c r="AY6" s="6"/>
      <c r="AZ6" s="6">
        <v>3</v>
      </c>
      <c r="BA6" s="6">
        <f>[1]节奏总纲!BA6</f>
        <v>16.888397947066121</v>
      </c>
      <c r="BB6" s="6">
        <f>[1]节奏总纲!BB6</f>
        <v>18.108391417375849</v>
      </c>
      <c r="BC6" s="6">
        <f>[1]节奏总纲!BC6</f>
        <v>19.707330185578734</v>
      </c>
      <c r="BD6" s="6">
        <f>[1]节奏总纲!BD6</f>
        <v>22.041972908628715</v>
      </c>
      <c r="BE6" s="6">
        <f>[1]节奏总纲!BE6</f>
        <v>26.127796402772656</v>
      </c>
    </row>
    <row r="7" spans="2:57" x14ac:dyDescent="0.15">
      <c r="B7" s="6" t="s">
        <v>136</v>
      </c>
      <c r="C7" s="6" t="s">
        <v>133</v>
      </c>
      <c r="D7" s="6" t="s">
        <v>134</v>
      </c>
      <c r="F7" s="6">
        <f>[1]节奏总纲!F7</f>
        <v>5</v>
      </c>
      <c r="G7" s="6">
        <f>[1]节奏总纲!G7</f>
        <v>0.41421356237309515</v>
      </c>
      <c r="I7" s="6">
        <f>[1]节奏总纲!I7</f>
        <v>5</v>
      </c>
      <c r="J7" s="6">
        <f>[1]节奏总纲!J7</f>
        <v>0.15</v>
      </c>
      <c r="K7" s="6">
        <f>[1]节奏总纲!K7</f>
        <v>0.3</v>
      </c>
      <c r="N7" s="6">
        <f>[1]节奏总纲!N7</f>
        <v>8</v>
      </c>
      <c r="O7" s="6">
        <v>4</v>
      </c>
      <c r="P7" s="6">
        <f>[1]节奏总纲!P7</f>
        <v>0.3195079107728942</v>
      </c>
      <c r="Q7" s="6">
        <f>[1]节奏总纲!Q7</f>
        <v>0.2719651336498875</v>
      </c>
      <c r="R7" s="6">
        <f>[1]节奏总纲!R7</f>
        <v>0.21816000147573214</v>
      </c>
      <c r="S7" s="6">
        <f>[1]节奏总纲!S7</f>
        <v>0.15607961441255883</v>
      </c>
      <c r="T7" s="6">
        <f>[1]节奏总纲!T7</f>
        <v>8.4062531324348461E-2</v>
      </c>
      <c r="V7" s="6">
        <v>4</v>
      </c>
      <c r="W7" s="6">
        <f>[1]节奏总纲!W7</f>
        <v>8.8363497427977888E-2</v>
      </c>
      <c r="X7" s="6">
        <f>[1]节奏总纲!X7</f>
        <v>7.6139586664074416E-2</v>
      </c>
      <c r="Y7" s="6">
        <f>[1]节奏总纲!Y7</f>
        <v>6.1998835819906672E-2</v>
      </c>
      <c r="Z7" s="6">
        <f>[1]节奏总纲!Z7</f>
        <v>4.4876037152319581E-2</v>
      </c>
      <c r="AA7" s="6">
        <f>[1]节奏总纲!AA7</f>
        <v>2.4681531536039455E-2</v>
      </c>
      <c r="AC7" s="6">
        <v>4</v>
      </c>
      <c r="AD7" s="6">
        <f>[1]节奏总纲!AD7</f>
        <v>23.213386604241784</v>
      </c>
      <c r="AE7" s="6">
        <f>[1]节奏总纲!AE7</f>
        <v>24.836966034810484</v>
      </c>
      <c r="AF7" s="6">
        <f>[1]节奏总纲!AF7</f>
        <v>27.155717181399513</v>
      </c>
      <c r="AG7" s="6">
        <f>[1]节奏总纲!AG7</f>
        <v>30.831257561377125</v>
      </c>
      <c r="AH7" s="6">
        <f>[1]节奏总纲!AH7</f>
        <v>38.431365705145346</v>
      </c>
      <c r="AL7" s="6">
        <v>4</v>
      </c>
      <c r="AM7" s="6">
        <f>[1]节奏总纲!AM7</f>
        <v>9.2637640824031031E-2</v>
      </c>
      <c r="AN7" s="6">
        <f>[1]节奏总纲!AN7</f>
        <v>7.4110112659224833E-2</v>
      </c>
      <c r="AO7" s="6">
        <f>[1]节奏总纲!AO7</f>
        <v>5.5582584494418615E-2</v>
      </c>
      <c r="AP7" s="6">
        <f>[1]节奏总纲!AP7</f>
        <v>3.7055056329612417E-2</v>
      </c>
      <c r="AQ7" s="6">
        <f>[1]节奏总纲!AQ7</f>
        <v>1.8527528164806208E-2</v>
      </c>
      <c r="AS7" s="6">
        <v>4</v>
      </c>
      <c r="AT7" s="6">
        <f>[1]节奏总纲!AT7</f>
        <v>4.1065984172991232E-2</v>
      </c>
      <c r="AU7" s="6">
        <f>[1]节奏总纲!AU7</f>
        <v>3.2852787338392989E-2</v>
      </c>
      <c r="AV7" s="6">
        <f>[1]节奏总纲!AV7</f>
        <v>2.4639590503794738E-2</v>
      </c>
      <c r="AW7" s="6">
        <f>[1]节奏总纲!AW7</f>
        <v>1.6426393669196494E-2</v>
      </c>
      <c r="AX7" s="6">
        <f>[1]节奏总纲!AX7</f>
        <v>8.2131968345982471E-3</v>
      </c>
      <c r="AY7" s="6"/>
      <c r="AZ7" s="6">
        <v>4</v>
      </c>
      <c r="BA7" s="6">
        <f>[1]节奏总纲!BA7</f>
        <v>18.453550676044042</v>
      </c>
      <c r="BB7" s="6">
        <f>[1]节奏总纲!BB7</f>
        <v>19.707330185578734</v>
      </c>
      <c r="BC7" s="6">
        <f>[1]节奏总纲!BC7</f>
        <v>21.34613466141565</v>
      </c>
      <c r="BD7" s="6">
        <f>[1]节奏总纲!BD7</f>
        <v>23.710496742673982</v>
      </c>
      <c r="BE7" s="6">
        <f>[1]节奏总纲!BE7</f>
        <v>27.863030247590562</v>
      </c>
    </row>
    <row r="8" spans="2:57" x14ac:dyDescent="0.15">
      <c r="B8" s="6">
        <f>[1]节奏总纲!B8</f>
        <v>10</v>
      </c>
      <c r="C8" s="6">
        <f>[1]节奏总纲!C8</f>
        <v>1</v>
      </c>
      <c r="D8" s="6">
        <f>[1]节奏总纲!D8</f>
        <v>1</v>
      </c>
      <c r="F8" s="6">
        <f>[1]节奏总纲!F8</f>
        <v>6</v>
      </c>
      <c r="G8" s="6">
        <f>[1]节奏总纲!G8</f>
        <v>0.51571656651039799</v>
      </c>
      <c r="I8" s="6">
        <f>[1]节奏总纲!I8</f>
        <v>6</v>
      </c>
      <c r="J8" s="6">
        <f>[1]节奏总纲!J8</f>
        <v>0.22055744069899194</v>
      </c>
      <c r="K8" s="6">
        <f>[1]节奏总纲!K8</f>
        <v>0.34</v>
      </c>
      <c r="N8" s="6">
        <f>[1]节奏总纲!N8</f>
        <v>10</v>
      </c>
      <c r="O8" s="6">
        <v>5</v>
      </c>
      <c r="P8" s="6">
        <f>[1]节奏总纲!P8</f>
        <v>0.41421356237309515</v>
      </c>
      <c r="Q8" s="6">
        <f>[1]节奏总纲!Q8</f>
        <v>0.35241289886702937</v>
      </c>
      <c r="R8" s="6">
        <f>[1]节奏总纲!R8</f>
        <v>0.28315639123824782</v>
      </c>
      <c r="S8" s="6">
        <f>[1]节奏总纲!S8</f>
        <v>0.20296464556281663</v>
      </c>
      <c r="T8" s="6">
        <f>[1]节奏总纲!T8</f>
        <v>0.10951806589144637</v>
      </c>
      <c r="V8" s="6">
        <v>5</v>
      </c>
      <c r="W8" s="6">
        <f>[1]节奏总纲!W8</f>
        <v>9.4705651600200946E-2</v>
      </c>
      <c r="X8" s="6">
        <f>[1]节奏总纲!X8</f>
        <v>8.0447765217141864E-2</v>
      </c>
      <c r="Y8" s="6">
        <f>[1]节奏总纲!Y8</f>
        <v>6.4996389762515677E-2</v>
      </c>
      <c r="Z8" s="6">
        <f>[1]节奏总纲!Z8</f>
        <v>4.68850311502578E-2</v>
      </c>
      <c r="AA8" s="6">
        <f>[1]节奏总纲!AA8</f>
        <v>2.5455534567097912E-2</v>
      </c>
      <c r="AC8" s="6">
        <v>5</v>
      </c>
      <c r="AD8" s="6">
        <f>[1]节奏总纲!AD8</f>
        <v>25.845161563010112</v>
      </c>
      <c r="AE8" s="6">
        <f>[1]节奏总纲!AE8</f>
        <v>27.525245270311611</v>
      </c>
      <c r="AF8" s="6">
        <f>[1]节奏总纲!AF8</f>
        <v>29.892344464157688</v>
      </c>
      <c r="AG8" s="6">
        <f>[1]节奏总纲!AG8</f>
        <v>33.672145166817529</v>
      </c>
      <c r="AH8" s="6">
        <f>[1]节奏总纲!AH8</f>
        <v>41.359260538726978</v>
      </c>
      <c r="AL8" s="6">
        <v>5</v>
      </c>
      <c r="AM8" s="6">
        <f>[1]节奏总纲!AM8</f>
        <v>0.15</v>
      </c>
      <c r="AN8" s="6">
        <f>[1]节奏总纲!AN8</f>
        <v>0.12</v>
      </c>
      <c r="AO8" s="6">
        <f>[1]节奏总纲!AO8</f>
        <v>0.09</v>
      </c>
      <c r="AP8" s="6">
        <f>[1]节奏总纲!AP8</f>
        <v>0.06</v>
      </c>
      <c r="AQ8" s="6">
        <f>[1]节奏总纲!AQ8</f>
        <v>0.03</v>
      </c>
      <c r="AS8" s="6">
        <v>5</v>
      </c>
      <c r="AT8" s="6">
        <f>[1]节奏总纲!AT8</f>
        <v>5.7362359175968963E-2</v>
      </c>
      <c r="AU8" s="6">
        <f>[1]节奏总纲!AU8</f>
        <v>4.5889887340775162E-2</v>
      </c>
      <c r="AV8" s="6">
        <f>[1]节奏总纲!AV8</f>
        <v>3.4417415505581382E-2</v>
      </c>
      <c r="AW8" s="6">
        <f>[1]节奏总纲!AW8</f>
        <v>2.2944943670387581E-2</v>
      </c>
      <c r="AX8" s="6">
        <f>[1]节奏总纲!AX8</f>
        <v>1.1472471835193791E-2</v>
      </c>
      <c r="AY8" s="6"/>
      <c r="AZ8" s="6">
        <v>5</v>
      </c>
      <c r="BA8" s="6">
        <f>[1]节奏总纲!BA8</f>
        <v>19.707330185578734</v>
      </c>
      <c r="BB8" s="6">
        <f>[1]节奏总纲!BB8</f>
        <v>20.993539484876777</v>
      </c>
      <c r="BC8" s="6">
        <f>[1]节奏总纲!BC8</f>
        <v>22.639743033177162</v>
      </c>
      <c r="BD8" s="6">
        <f>[1]节奏总纲!BD8</f>
        <v>25.044229735272328</v>
      </c>
      <c r="BE8" s="6">
        <f>[1]节奏总纲!BE8</f>
        <v>29.216428548527322</v>
      </c>
    </row>
    <row r="9" spans="2:57" x14ac:dyDescent="0.15">
      <c r="B9" s="6">
        <f>[1]节奏总纲!B9</f>
        <v>20</v>
      </c>
      <c r="C9" s="6">
        <f>[1]节奏总纲!C9</f>
        <v>3</v>
      </c>
      <c r="D9" s="6">
        <f>[1]节奏总纲!D9</f>
        <v>2</v>
      </c>
      <c r="F9" s="6">
        <f>[1]节奏总纲!F9</f>
        <v>7</v>
      </c>
      <c r="G9" s="6">
        <f>[1]节奏总纲!G9</f>
        <v>0.62450479271247095</v>
      </c>
      <c r="I9" s="6">
        <f>[1]节奏总纲!I9</f>
        <v>7</v>
      </c>
      <c r="J9" s="6">
        <f>[1]节奏总纲!J9</f>
        <v>0.31141300609369982</v>
      </c>
      <c r="K9" s="6">
        <f>[1]节奏总纲!K9</f>
        <v>0.38</v>
      </c>
      <c r="N9" s="6">
        <f>[1]节奏总纲!N9</f>
        <v>12</v>
      </c>
      <c r="O9" s="6">
        <v>6</v>
      </c>
      <c r="P9" s="6">
        <f>[1]节奏总纲!P9</f>
        <v>0.51571656651039799</v>
      </c>
      <c r="Q9" s="6">
        <f>[1]节奏总纲!Q9</f>
        <v>0.43939051466685908</v>
      </c>
      <c r="R9" s="6">
        <f>[1]节奏总纲!R9</f>
        <v>0.35336899137292471</v>
      </c>
      <c r="S9" s="6">
        <f>[1]节奏总纲!S9</f>
        <v>0.25440298225957936</v>
      </c>
      <c r="T9" s="6">
        <f>[1]节奏总纲!T9</f>
        <v>0.13836675479473978</v>
      </c>
      <c r="V9" s="6">
        <v>6</v>
      </c>
      <c r="W9" s="6">
        <f>[1]节奏总纲!W9</f>
        <v>0.10150300413730284</v>
      </c>
      <c r="X9" s="6">
        <f>[1]节奏总纲!X9</f>
        <v>8.6977615799829711E-2</v>
      </c>
      <c r="Y9" s="6">
        <f>[1]节奏总纲!Y9</f>
        <v>7.0212600134676895E-2</v>
      </c>
      <c r="Z9" s="6">
        <f>[1]节奏总纲!Z9</f>
        <v>5.1438336696762732E-2</v>
      </c>
      <c r="AA9" s="6">
        <f>[1]节奏总纲!AA9</f>
        <v>2.884868890329341E-2</v>
      </c>
      <c r="AC9" s="6">
        <v>6</v>
      </c>
      <c r="AD9" s="6">
        <f>[1]节奏总纲!AD9</f>
        <v>28.071211008105138</v>
      </c>
      <c r="AE9" s="6">
        <f>[1]节奏总纲!AE9</f>
        <v>29.78183527117605</v>
      </c>
      <c r="AF9" s="6">
        <f>[1]节奏总纲!AF9</f>
        <v>32.202183458664891</v>
      </c>
      <c r="AG9" s="6">
        <f>[1]节奏总纲!AG9</f>
        <v>36.067019846099676</v>
      </c>
      <c r="AH9" s="6">
        <f>[1]节奏总纲!AH9</f>
        <v>43.870275262019007</v>
      </c>
      <c r="AL9" s="6">
        <v>6</v>
      </c>
      <c r="AM9" s="6">
        <f>[1]节奏总纲!AM9</f>
        <v>0.22055744069899194</v>
      </c>
      <c r="AN9" s="6">
        <f>[1]节奏总纲!AN9</f>
        <v>0.17644595255919357</v>
      </c>
      <c r="AO9" s="6">
        <f>[1]节奏总纲!AO9</f>
        <v>0.13233446441939517</v>
      </c>
      <c r="AP9" s="6">
        <f>[1]节奏总纲!AP9</f>
        <v>8.8222976279596785E-2</v>
      </c>
      <c r="AQ9" s="6">
        <f>[1]节奏总纲!AQ9</f>
        <v>4.4111488139798392E-2</v>
      </c>
      <c r="AS9" s="6">
        <v>6</v>
      </c>
      <c r="AT9" s="6">
        <f>[1]节奏总纲!AT9</f>
        <v>7.0557440698991947E-2</v>
      </c>
      <c r="AU9" s="6">
        <f>[1]节奏总纲!AU9</f>
        <v>5.6445952559193574E-2</v>
      </c>
      <c r="AV9" s="6">
        <f>[1]节奏总纲!AV9</f>
        <v>4.2334464419395174E-2</v>
      </c>
      <c r="AW9" s="6">
        <f>[1]节奏总纲!AW9</f>
        <v>2.8222976279596787E-2</v>
      </c>
      <c r="AX9" s="6">
        <f>[1]节奏总纲!AX9</f>
        <v>1.4111488139798394E-2</v>
      </c>
      <c r="AY9" s="6"/>
      <c r="AZ9" s="6">
        <v>6</v>
      </c>
      <c r="BA9" s="6">
        <f>[1]节奏总纲!BA9</f>
        <v>20.745154613657583</v>
      </c>
      <c r="BB9" s="6">
        <f>[1]节奏总纲!BB9</f>
        <v>22.041972908628715</v>
      </c>
      <c r="BC9" s="6">
        <f>[1]节奏总纲!BC9</f>
        <v>23.710496742673982</v>
      </c>
      <c r="BD9" s="6">
        <f>[1]节奏总纲!BD9</f>
        <v>26.127796402772656</v>
      </c>
      <c r="BE9" s="6">
        <f>[1]节奏总纲!BE9</f>
        <v>30.329493925593439</v>
      </c>
    </row>
    <row r="10" spans="2:57" x14ac:dyDescent="0.15">
      <c r="B10" s="6">
        <f>[1]节奏总纲!B10</f>
        <v>30</v>
      </c>
      <c r="C10" s="6">
        <f>[1]节奏总纲!C10</f>
        <v>7</v>
      </c>
      <c r="D10" s="6">
        <f>[1]节奏总纲!D10</f>
        <v>4</v>
      </c>
      <c r="F10" s="6">
        <f>[1]节奏总纲!F10</f>
        <v>8</v>
      </c>
      <c r="G10" s="6">
        <f>[1]节奏总纲!G10</f>
        <v>0.74110112659224825</v>
      </c>
      <c r="I10" s="6">
        <f>[1]节奏总纲!I10</f>
        <v>8</v>
      </c>
      <c r="J10" s="6">
        <f>[1]节奏总纲!J10</f>
        <v>0.42660095793436714</v>
      </c>
      <c r="K10" s="6">
        <f>[1]节奏总纲!K10</f>
        <v>0.42</v>
      </c>
      <c r="N10" s="6">
        <f>[1]节奏总纲!N10</f>
        <v>14</v>
      </c>
      <c r="O10" s="6">
        <v>7</v>
      </c>
      <c r="P10" s="6">
        <f>[1]节奏总纲!P10</f>
        <v>0.62450479271247095</v>
      </c>
      <c r="Q10" s="6">
        <f>[1]节奏总纲!Q10</f>
        <v>0.53413894920697635</v>
      </c>
      <c r="R10" s="6">
        <f>[1]节奏总纲!R10</f>
        <v>0.43072095553379119</v>
      </c>
      <c r="S10" s="6">
        <f>[1]节奏总纲!S10</f>
        <v>0.30950457526830061</v>
      </c>
      <c r="T10" s="6">
        <f>[1]节奏总纲!T10</f>
        <v>0.16699258157131475</v>
      </c>
      <c r="V10" s="6">
        <v>7</v>
      </c>
      <c r="W10" s="6">
        <f>[1]节奏总纲!W10</f>
        <v>0.10878822620207296</v>
      </c>
      <c r="X10" s="6">
        <f>[1]节奏总纲!X10</f>
        <v>9.4748434540117277E-2</v>
      </c>
      <c r="Y10" s="6">
        <f>[1]节奏总纲!Y10</f>
        <v>7.7351964160866482E-2</v>
      </c>
      <c r="Z10" s="6">
        <f>[1]节奏总纲!Z10</f>
        <v>5.510159300872125E-2</v>
      </c>
      <c r="AA10" s="6">
        <f>[1]节奏总纲!AA10</f>
        <v>2.8625826776574964E-2</v>
      </c>
      <c r="AC10" s="6">
        <v>7</v>
      </c>
      <c r="AD10" s="6">
        <f>[1]节奏总纲!AD10</f>
        <v>30</v>
      </c>
      <c r="AE10" s="6">
        <f>[1]节奏总纲!AE10</f>
        <v>31.718819483847451</v>
      </c>
      <c r="AF10" s="6">
        <f>[1]节奏总纲!AF10</f>
        <v>34.192155176139416</v>
      </c>
      <c r="AG10" s="6">
        <f>[1]节奏总纲!AG10</f>
        <v>38.19822972207853</v>
      </c>
      <c r="AH10" s="6">
        <f>[1]节奏总纲!AH10</f>
        <v>46.093186357957826</v>
      </c>
      <c r="AL10" s="6">
        <v>7</v>
      </c>
      <c r="AM10" s="6">
        <f>[1]节奏总纲!AM10</f>
        <v>0.31141300609369982</v>
      </c>
      <c r="AN10" s="6">
        <f>[1]节奏总纲!AN10</f>
        <v>0.24913040487495985</v>
      </c>
      <c r="AO10" s="6">
        <f>[1]节奏总纲!AO10</f>
        <v>0.18684780365621989</v>
      </c>
      <c r="AP10" s="6">
        <f>[1]节奏总纲!AP10</f>
        <v>0.12456520243747993</v>
      </c>
      <c r="AQ10" s="6">
        <f>[1]节奏总纲!AQ10</f>
        <v>6.2282601218739964E-2</v>
      </c>
      <c r="AS10" s="6">
        <v>7</v>
      </c>
      <c r="AT10" s="6">
        <f>[1]节奏总纲!AT10</f>
        <v>9.0855565394707877E-2</v>
      </c>
      <c r="AU10" s="6">
        <f>[1]节奏总纲!AU10</f>
        <v>7.2684452315766285E-2</v>
      </c>
      <c r="AV10" s="6">
        <f>[1]节奏总纲!AV10</f>
        <v>5.451333923682472E-2</v>
      </c>
      <c r="AW10" s="6">
        <f>[1]节奏总纲!AW10</f>
        <v>3.6342226157883142E-2</v>
      </c>
      <c r="AX10" s="6">
        <f>[1]节奏总纲!AX10</f>
        <v>1.8171113078941571E-2</v>
      </c>
      <c r="AY10" s="6"/>
      <c r="AZ10" s="6">
        <v>7</v>
      </c>
      <c r="BA10" s="6">
        <f>[1]节奏总纲!BA10</f>
        <v>21.627432338833255</v>
      </c>
      <c r="BB10" s="6">
        <f>[1]节奏总纲!BB10</f>
        <v>22.938628095451385</v>
      </c>
      <c r="BC10" s="6">
        <f>[1]节奏总纲!BC10</f>
        <v>24.619152272059132</v>
      </c>
      <c r="BD10" s="6">
        <f>[1]节奏总纲!BD10</f>
        <v>27.059707353051884</v>
      </c>
      <c r="BE10" s="6">
        <f>[1]节奏总纲!BE10</f>
        <v>31.280110398778046</v>
      </c>
    </row>
    <row r="11" spans="2:57" x14ac:dyDescent="0.15">
      <c r="B11" s="6">
        <f>[1]节奏总纲!B11</f>
        <v>40</v>
      </c>
      <c r="C11" s="6">
        <f>[1]节奏总纲!C11</f>
        <v>15</v>
      </c>
      <c r="D11" s="6">
        <f>[1]节奏总纲!D11</f>
        <v>8</v>
      </c>
      <c r="F11" s="6">
        <f>[1]节奏总纲!F11</f>
        <v>9</v>
      </c>
      <c r="G11" s="6">
        <f>[1]节奏总纲!G11</f>
        <v>0.86606598307361482</v>
      </c>
      <c r="I11" s="6">
        <f>[1]节奏总纲!I11</f>
        <v>9</v>
      </c>
      <c r="J11" s="6">
        <f>[1]节奏总纲!J11</f>
        <v>0.57090651823243421</v>
      </c>
      <c r="K11" s="6">
        <f>[1]节奏总纲!K11</f>
        <v>0.46</v>
      </c>
      <c r="N11" s="6">
        <f>[1]节奏总纲!N11</f>
        <v>16</v>
      </c>
      <c r="O11" s="6">
        <v>8</v>
      </c>
      <c r="P11" s="6">
        <f>[1]节奏总纲!P11</f>
        <v>0.74110112659224825</v>
      </c>
      <c r="Q11" s="6">
        <f>[1]节奏总纲!Q11</f>
        <v>0.63089938906798093</v>
      </c>
      <c r="R11" s="6">
        <f>[1]节奏总纲!R11</f>
        <v>0.50550507844857251</v>
      </c>
      <c r="S11" s="6">
        <f>[1]节奏总纲!S11</f>
        <v>0.36195379022765406</v>
      </c>
      <c r="T11" s="6">
        <f>[1]节奏总纲!T11</f>
        <v>0.19579891764567198</v>
      </c>
      <c r="V11" s="6">
        <v>8</v>
      </c>
      <c r="W11" s="6">
        <f>[1]节奏总纲!W11</f>
        <v>0.1165963338797773</v>
      </c>
      <c r="X11" s="6">
        <f>[1]节奏总纲!X11</f>
        <v>9.6760439861004577E-2</v>
      </c>
      <c r="Y11" s="6">
        <f>[1]节奏总纲!Y11</f>
        <v>7.4784122914781315E-2</v>
      </c>
      <c r="Z11" s="6">
        <f>[1]节奏总纲!Z11</f>
        <v>5.2449214959353452E-2</v>
      </c>
      <c r="AA11" s="6">
        <f>[1]节奏总纲!AA11</f>
        <v>2.8806336074357231E-2</v>
      </c>
      <c r="AC11" s="6">
        <v>8</v>
      </c>
      <c r="AD11" s="6">
        <f>[1]节奏总纲!AD11</f>
        <v>31.691928656135214</v>
      </c>
      <c r="AE11" s="6">
        <f>[1]节奏总纲!AE11</f>
        <v>33.465251056098396</v>
      </c>
      <c r="AF11" s="6">
        <f>[1]节奏总纲!AF11</f>
        <v>35.930751746472978</v>
      </c>
      <c r="AG11" s="6">
        <f>[1]节奏总纲!AG11</f>
        <v>39.998279638578282</v>
      </c>
      <c r="AH11" s="6">
        <f>[1]节奏总纲!AH11</f>
        <v>48.067140183443534</v>
      </c>
      <c r="AL11" s="6">
        <v>8</v>
      </c>
      <c r="AM11" s="6">
        <f>[1]节奏总纲!AM11</f>
        <v>0.42660095793436714</v>
      </c>
      <c r="AN11" s="6">
        <f>[1]节奏总纲!AN11</f>
        <v>0.34128076634749371</v>
      </c>
      <c r="AO11" s="6">
        <f>[1]节奏总纲!AO11</f>
        <v>0.25596057476062029</v>
      </c>
      <c r="AP11" s="6">
        <f>[1]节奏总纲!AP11</f>
        <v>0.17064038317374686</v>
      </c>
      <c r="AQ11" s="6">
        <f>[1]节奏总纲!AQ11</f>
        <v>8.5320191586873428E-2</v>
      </c>
      <c r="AS11" s="6">
        <v>8</v>
      </c>
      <c r="AT11" s="6">
        <f>[1]节奏总纲!AT11</f>
        <v>0.11518795184066732</v>
      </c>
      <c r="AU11" s="6">
        <f>[1]节奏总纲!AU11</f>
        <v>9.2150361472533859E-2</v>
      </c>
      <c r="AV11" s="6">
        <f>[1]节奏总纲!AV11</f>
        <v>6.9112771104400395E-2</v>
      </c>
      <c r="AW11" s="6">
        <f>[1]节奏总纲!AW11</f>
        <v>4.607518073626693E-2</v>
      </c>
      <c r="AX11" s="6">
        <f>[1]节奏总纲!AX11</f>
        <v>2.3037590368133465E-2</v>
      </c>
      <c r="AY11" s="6"/>
      <c r="AZ11" s="6">
        <v>8</v>
      </c>
      <c r="BA11" s="6">
        <f>[1]节奏总纲!BA11</f>
        <v>22.400634983357783</v>
      </c>
      <c r="BB11" s="6">
        <f>[1]节奏总纲!BB11</f>
        <v>23.710496742673982</v>
      </c>
      <c r="BC11" s="6">
        <f>[1]节奏总纲!BC11</f>
        <v>25.412810862541733</v>
      </c>
      <c r="BD11" s="6">
        <f>[1]节奏总纲!BD11</f>
        <v>27.863030247590562</v>
      </c>
      <c r="BE11" s="6">
        <f>[1]节奏总纲!BE11</f>
        <v>32.113552950216736</v>
      </c>
    </row>
    <row r="12" spans="2:57" x14ac:dyDescent="0.15">
      <c r="B12" s="6">
        <f>[1]节奏总纲!B12</f>
        <v>50</v>
      </c>
      <c r="C12" s="6">
        <f>[1]节奏总纲!C12</f>
        <v>31</v>
      </c>
      <c r="D12" s="6">
        <f>[1]节奏总纲!D12</f>
        <v>16</v>
      </c>
      <c r="F12" s="6">
        <f>[1]节奏总纲!F12</f>
        <v>10</v>
      </c>
      <c r="G12" s="6">
        <f>[1]节奏总纲!G12</f>
        <v>1</v>
      </c>
      <c r="I12" s="6">
        <f>[1]节奏总纲!I12</f>
        <v>10</v>
      </c>
      <c r="J12" s="6">
        <f>[1]节奏总纲!J12</f>
        <v>0.75</v>
      </c>
      <c r="K12" s="6">
        <f>[1]节奏总纲!K12</f>
        <v>0.5</v>
      </c>
      <c r="N12" s="6">
        <f>[1]节奏总纲!N12</f>
        <v>18</v>
      </c>
      <c r="O12" s="6">
        <v>9</v>
      </c>
      <c r="P12" s="6">
        <f>[1]节奏总纲!P12</f>
        <v>0.86606598307361482</v>
      </c>
      <c r="Q12" s="6">
        <f>[1]节奏总纲!Q12</f>
        <v>0.73702215159564621</v>
      </c>
      <c r="R12" s="6">
        <f>[1]节奏总纲!R12</f>
        <v>0.59282216541388932</v>
      </c>
      <c r="S12" s="6">
        <f>[1]节奏总纲!S12</f>
        <v>0.42766338244175101</v>
      </c>
      <c r="T12" s="6">
        <f>[1]节奏总纲!T12</f>
        <v>0.23193247026711403</v>
      </c>
      <c r="V12" s="6">
        <v>9</v>
      </c>
      <c r="W12" s="6">
        <f>[1]节奏总纲!W12</f>
        <v>0.12496485648136657</v>
      </c>
      <c r="X12" s="6">
        <f>[1]节奏总纲!X12</f>
        <v>0.10612276252766528</v>
      </c>
      <c r="Y12" s="6">
        <f>[1]节奏总纲!Y12</f>
        <v>8.7317086965316815E-2</v>
      </c>
      <c r="Z12" s="6">
        <f>[1]节奏总纲!Z12</f>
        <v>6.5709592214096946E-2</v>
      </c>
      <c r="AA12" s="6">
        <f>[1]节奏总纲!AA12</f>
        <v>3.613355262144205E-2</v>
      </c>
      <c r="AC12" s="6">
        <v>9</v>
      </c>
      <c r="AD12" s="6">
        <f>[1]节奏总纲!AD12</f>
        <v>33.213386604241784</v>
      </c>
      <c r="AE12" s="6">
        <f>[1]节奏总纲!AE12</f>
        <v>34.992730785174565</v>
      </c>
      <c r="AF12" s="6">
        <f>[1]节奏总纲!AF12</f>
        <v>37.510565846691456</v>
      </c>
      <c r="AG12" s="6">
        <f>[1]节奏总纲!AG12</f>
        <v>41.534743419557365</v>
      </c>
      <c r="AH12" s="6">
        <f>[1]节奏总纲!AH12</f>
        <v>49.706056771838036</v>
      </c>
      <c r="AL12" s="6">
        <v>9</v>
      </c>
      <c r="AM12" s="6">
        <f>[1]节奏总纲!AM12</f>
        <v>0.57090651823243421</v>
      </c>
      <c r="AN12" s="6">
        <f>[1]节奏总纲!AN12</f>
        <v>0.45672521458594739</v>
      </c>
      <c r="AO12" s="6">
        <f>[1]节奏总纲!AO12</f>
        <v>0.34254391093946052</v>
      </c>
      <c r="AP12" s="6">
        <f>[1]节奏总纲!AP12</f>
        <v>0.2283626072929737</v>
      </c>
      <c r="AQ12" s="6">
        <f>[1]节奏总纲!AQ12</f>
        <v>0.11418130364648685</v>
      </c>
      <c r="AS12" s="6">
        <v>9</v>
      </c>
      <c r="AT12" s="6">
        <f>[1]节奏总纲!AT12</f>
        <v>0.14430556029806707</v>
      </c>
      <c r="AU12" s="6">
        <f>[1]节奏总纲!AU12</f>
        <v>0.11544444823845368</v>
      </c>
      <c r="AV12" s="6">
        <f>[1]节奏总纲!AV12</f>
        <v>8.6583336178840231E-2</v>
      </c>
      <c r="AW12" s="6">
        <f>[1]节奏总纲!AW12</f>
        <v>5.7722224119226839E-2</v>
      </c>
      <c r="AX12" s="6">
        <f>[1]节奏总纲!AX12</f>
        <v>2.886111205961342E-2</v>
      </c>
      <c r="AY12" s="6"/>
      <c r="AZ12" s="6">
        <v>9</v>
      </c>
      <c r="BA12" s="6">
        <f>[1]节奏总纲!BA12</f>
        <v>23.100336713798686</v>
      </c>
      <c r="BB12" s="6">
        <f>[1]节奏总纲!BB12</f>
        <v>24.402761517547276</v>
      </c>
      <c r="BC12" s="6">
        <f>[1]节奏总纲!BC12</f>
        <v>26.127796402772656</v>
      </c>
      <c r="BD12" s="6">
        <f>[1]节奏总纲!BD12</f>
        <v>28.568390277483555</v>
      </c>
      <c r="BE12" s="6">
        <f>[1]节奏总纲!BE12</f>
        <v>32.842201900114915</v>
      </c>
    </row>
    <row r="13" spans="2:57" x14ac:dyDescent="0.15">
      <c r="B13" s="6">
        <f>[1]节奏总纲!B13</f>
        <v>60</v>
      </c>
      <c r="C13" s="6">
        <f>[1]节奏总纲!C13</f>
        <v>63</v>
      </c>
      <c r="D13" s="6">
        <f>[1]节奏总纲!D13</f>
        <v>32</v>
      </c>
      <c r="F13" s="6">
        <f>[1]节奏总纲!F13</f>
        <v>11</v>
      </c>
      <c r="G13" s="6">
        <f>[1]节奏总纲!G13</f>
        <v>1.1435469250725863</v>
      </c>
      <c r="I13" s="6">
        <f>[1]节奏总纲!I13</f>
        <v>11</v>
      </c>
      <c r="J13" s="6">
        <f>[1]节奏总纲!J13</f>
        <v>0.93464628919691628</v>
      </c>
      <c r="K13" s="6">
        <f>[1]节奏总纲!K13</f>
        <v>0.52</v>
      </c>
      <c r="N13" s="6">
        <f>[1]节奏总纲!N13</f>
        <v>20</v>
      </c>
      <c r="O13" s="6">
        <v>10</v>
      </c>
      <c r="P13" s="6">
        <f>[1]节奏总纲!P13</f>
        <v>1</v>
      </c>
      <c r="Q13" s="6">
        <f>[1]节奏总纲!Q13</f>
        <v>0.8548</v>
      </c>
      <c r="R13" s="6">
        <f>[1]节奏总纲!R13</f>
        <v>0.6895</v>
      </c>
      <c r="S13" s="6">
        <f>[1]节奏总纲!S13</f>
        <v>0.49980000000000002</v>
      </c>
      <c r="T13" s="6">
        <f>[1]节奏总纲!T13</f>
        <v>0.2732</v>
      </c>
      <c r="V13" s="6">
        <v>10</v>
      </c>
      <c r="W13" s="6">
        <f>[1]节奏总纲!W13</f>
        <v>0.13393401692638518</v>
      </c>
      <c r="X13" s="6">
        <f>[1]节奏总纲!X13</f>
        <v>0.11777784840435379</v>
      </c>
      <c r="Y13" s="6">
        <f>[1]节奏总纲!Y13</f>
        <v>9.6677834586110678E-2</v>
      </c>
      <c r="Z13" s="6">
        <f>[1]节奏总纲!Z13</f>
        <v>7.2136617558249017E-2</v>
      </c>
      <c r="AA13" s="6">
        <f>[1]节奏总纲!AA13</f>
        <v>4.1267529732885971E-2</v>
      </c>
      <c r="AC13" s="6">
        <v>10</v>
      </c>
      <c r="AD13" s="6">
        <f>[1]节奏总纲!AD13</f>
        <v>34.585942742481357</v>
      </c>
      <c r="AE13" s="6">
        <f>[1]节奏总纲!AE13</f>
        <v>36.36169634498642</v>
      </c>
      <c r="AF13" s="6">
        <f>[1]节奏总纲!AF13</f>
        <v>38.977035507933373</v>
      </c>
      <c r="AG13" s="6">
        <f>[1]节奏总纲!AG13</f>
        <v>42.970748198558951</v>
      </c>
      <c r="AH13" s="6">
        <f>[1]节奏总纲!AH13</f>
        <v>51.212821897464167</v>
      </c>
      <c r="AL13" s="6">
        <v>10</v>
      </c>
      <c r="AM13" s="6">
        <f>[1]节奏总纲!AM13</f>
        <v>0.75</v>
      </c>
      <c r="AN13" s="6">
        <f>[1]节奏总纲!AN13</f>
        <v>0.60000000000000009</v>
      </c>
      <c r="AO13" s="6">
        <f>[1]节奏总纲!AO13</f>
        <v>0.44999999999999996</v>
      </c>
      <c r="AP13" s="6">
        <f>[1]节奏总纲!AP13</f>
        <v>0.30000000000000004</v>
      </c>
      <c r="AQ13" s="6">
        <f>[1]节奏总纲!AQ13</f>
        <v>0.15000000000000002</v>
      </c>
      <c r="AS13" s="6">
        <v>10</v>
      </c>
      <c r="AT13" s="6">
        <f>[1]节奏总纲!AT13</f>
        <v>0.17909348176756579</v>
      </c>
      <c r="AU13" s="6">
        <f>[1]节奏总纲!AU13</f>
        <v>0.1432747854140527</v>
      </c>
      <c r="AV13" s="6">
        <f>[1]节奏总纲!AV13</f>
        <v>0.10745608906053944</v>
      </c>
      <c r="AW13" s="6">
        <f>[1]节奏总纲!AW13</f>
        <v>7.1637392707026348E-2</v>
      </c>
      <c r="AX13" s="6">
        <f>[1]节奏总纲!AX13</f>
        <v>3.5818696353513174E-2</v>
      </c>
      <c r="AY13" s="6"/>
      <c r="AZ13" s="6">
        <v>10</v>
      </c>
      <c r="BA13" s="6">
        <f>[1]节奏总纲!BA13</f>
        <v>23.710496742673982</v>
      </c>
      <c r="BB13" s="6">
        <f>[1]节奏总纲!BB13</f>
        <v>25.044229735272328</v>
      </c>
      <c r="BC13" s="6">
        <f>[1]节奏总纲!BC13</f>
        <v>26.755953543357073</v>
      </c>
      <c r="BD13" s="6">
        <f>[1]节奏总纲!BD13</f>
        <v>29.216428548527322</v>
      </c>
      <c r="BE13" s="6">
        <f>[1]节奏总纲!BE13</f>
        <v>33.487933395889513</v>
      </c>
    </row>
    <row r="14" spans="2:57" x14ac:dyDescent="0.15">
      <c r="B14" s="6">
        <f>[1]节奏总纲!B14</f>
        <v>70</v>
      </c>
      <c r="C14" s="6">
        <f>[1]节奏总纲!C14</f>
        <v>127</v>
      </c>
      <c r="D14" s="6">
        <f>[1]节奏总纲!D14</f>
        <v>64</v>
      </c>
      <c r="F14" s="6">
        <f>[1]节奏总纲!F14</f>
        <v>12</v>
      </c>
      <c r="G14" s="6">
        <f>[1]节奏总纲!G14</f>
        <v>1.2973967099940702</v>
      </c>
      <c r="I14" s="6">
        <f>[1]节奏总纲!I14</f>
        <v>12</v>
      </c>
      <c r="J14" s="6">
        <f>[1]节奏总纲!J14</f>
        <v>1.1550685436347259</v>
      </c>
      <c r="K14" s="6">
        <f>[1]节奏总纲!K14</f>
        <v>0.54</v>
      </c>
      <c r="N14" s="6">
        <f>[1]节奏总纲!N14</f>
        <v>21</v>
      </c>
      <c r="O14" s="6">
        <v>11</v>
      </c>
      <c r="P14" s="6">
        <f>[1]节奏总纲!P14</f>
        <v>1.1435469250725863</v>
      </c>
      <c r="Q14" s="6">
        <f>[1]节奏总纲!Q14</f>
        <v>0.98036277886472811</v>
      </c>
      <c r="R14" s="6">
        <f>[1]节奏总纲!R14</f>
        <v>0.79453640354043287</v>
      </c>
      <c r="S14" s="6">
        <f>[1]节奏总纲!S14</f>
        <v>0.57577587677404707</v>
      </c>
      <c r="T14" s="6">
        <f>[1]节奏总纲!T14</f>
        <v>0.31767733578516444</v>
      </c>
      <c r="V14" s="6">
        <v>11</v>
      </c>
      <c r="W14" s="6">
        <f>[1]节奏总纲!W14</f>
        <v>0.14354692507258626</v>
      </c>
      <c r="X14" s="6">
        <f>[1]节奏总纲!X14</f>
        <v>0.12556277886472811</v>
      </c>
      <c r="Y14" s="6">
        <f>[1]节奏总纲!Y14</f>
        <v>0.10503640354043287</v>
      </c>
      <c r="Z14" s="6">
        <f>[1]节奏总纲!Z14</f>
        <v>7.5975876774047046E-2</v>
      </c>
      <c r="AA14" s="6">
        <f>[1]节奏总纲!AA14</f>
        <v>4.447733578516444E-2</v>
      </c>
      <c r="AC14" s="6">
        <v>11</v>
      </c>
      <c r="AD14" s="6">
        <f>[1]节奏总纲!AD14</f>
        <v>35.845161563010116</v>
      </c>
      <c r="AE14" s="6">
        <f>[1]节奏总纲!AE14</f>
        <v>37.6388925299823</v>
      </c>
      <c r="AF14" s="6">
        <f>[1]节奏总纲!AF14</f>
        <v>40.259528204263837</v>
      </c>
      <c r="AG14" s="6">
        <f>[1]节奏总纲!AG14</f>
        <v>44.288230531994081</v>
      </c>
      <c r="AH14" s="6">
        <f>[1]节奏总纲!AH14</f>
        <v>52.559419343629337</v>
      </c>
      <c r="AL14" s="6">
        <v>11</v>
      </c>
      <c r="AM14" s="6">
        <f>[1]节奏总纲!AM14</f>
        <v>0.93464628919691628</v>
      </c>
      <c r="AN14" s="6">
        <f>[1]节奏总纲!AN14</f>
        <v>0.74771703135753309</v>
      </c>
      <c r="AO14" s="6">
        <f>[1]节奏总纲!AO14</f>
        <v>0.56078777351814979</v>
      </c>
      <c r="AP14" s="6">
        <f>[1]节奏总纲!AP14</f>
        <v>0.37385851567876655</v>
      </c>
      <c r="AQ14" s="6">
        <f>[1]节奏总纲!AQ14</f>
        <v>0.18692925783938327</v>
      </c>
      <c r="AS14" s="6">
        <v>11</v>
      </c>
      <c r="AT14" s="6">
        <f>[1]节奏总纲!AT14</f>
        <v>0.18464628919691628</v>
      </c>
      <c r="AU14" s="6">
        <f>[1]节奏总纲!AU14</f>
        <v>0.147717031357533</v>
      </c>
      <c r="AV14" s="6">
        <f>[1]节奏总纲!AV14</f>
        <v>0.11078777351814983</v>
      </c>
      <c r="AW14" s="6">
        <f>[1]节奏总纲!AW14</f>
        <v>7.3858515678766501E-2</v>
      </c>
      <c r="AX14" s="6">
        <f>[1]节奏总纲!AX14</f>
        <v>3.692925783938325E-2</v>
      </c>
      <c r="AY14" s="6"/>
      <c r="AZ14" s="6">
        <v>11</v>
      </c>
      <c r="BA14" s="6">
        <f>[1]节奏总纲!BA14</f>
        <v>24.272927064840161</v>
      </c>
      <c r="BB14" s="6">
        <f>[1]节奏总纲!BB14</f>
        <v>25.597101426176433</v>
      </c>
      <c r="BC14" s="6">
        <f>[1]节奏总纲!BC14</f>
        <v>27.327481651231444</v>
      </c>
      <c r="BD14" s="6">
        <f>[1]节奏总纲!BD14</f>
        <v>29.80118336305917</v>
      </c>
      <c r="BE14" s="6">
        <f>[1]节奏总纲!BE14</f>
        <v>34.09469189131628</v>
      </c>
    </row>
    <row r="15" spans="2:57" x14ac:dyDescent="0.15">
      <c r="B15" s="6">
        <f>[1]节奏总纲!B15</f>
        <v>80</v>
      </c>
      <c r="C15" s="6">
        <f>[1]节奏总纲!C15</f>
        <v>255</v>
      </c>
      <c r="D15" s="6">
        <f>[1]节奏总纲!D15</f>
        <v>128</v>
      </c>
      <c r="F15" s="6">
        <f>[1]节奏总纲!F15</f>
        <v>13</v>
      </c>
      <c r="G15" s="6">
        <f>[1]节奏总纲!G15</f>
        <v>1.4622888266898326</v>
      </c>
      <c r="I15" s="6">
        <f>[1]节奏总纲!I15</f>
        <v>13</v>
      </c>
      <c r="J15" s="6">
        <f>[1]节奏总纲!J15</f>
        <v>1.417602554491646</v>
      </c>
      <c r="K15" s="6">
        <f>[1]节奏总纲!K15</f>
        <v>0.56000000000000005</v>
      </c>
      <c r="N15" s="6">
        <f>[1]节奏总纲!N15</f>
        <v>22</v>
      </c>
      <c r="O15" s="6">
        <v>12</v>
      </c>
      <c r="P15" s="6">
        <f>[1]节奏总纲!P15</f>
        <v>1.2973967099940702</v>
      </c>
      <c r="Q15" s="6">
        <f>[1]节奏总纲!Q15</f>
        <v>1.1126474184909145</v>
      </c>
      <c r="R15" s="6">
        <f>[1]节奏总纲!R15</f>
        <v>0.9058423829178599</v>
      </c>
      <c r="S15" s="6">
        <f>[1]节奏总纲!S15</f>
        <v>0.66219128078097333</v>
      </c>
      <c r="T15" s="6">
        <f>[1]节奏总纲!T15</f>
        <v>0.36560639287632896</v>
      </c>
      <c r="V15" s="6">
        <v>12</v>
      </c>
      <c r="W15" s="6">
        <f>[1]节奏总纲!W15</f>
        <v>0.15384978492148393</v>
      </c>
      <c r="X15" s="6">
        <f>[1]节奏总纲!X15</f>
        <v>0.13228463962618642</v>
      </c>
      <c r="Y15" s="6">
        <f>[1]节奏总纲!Y15</f>
        <v>0.11130597937742703</v>
      </c>
      <c r="Z15" s="6">
        <f>[1]节奏总纲!Z15</f>
        <v>8.6415404006926266E-2</v>
      </c>
      <c r="AA15" s="6">
        <f>[1]节奏总纲!AA15</f>
        <v>4.7929057091164518E-2</v>
      </c>
      <c r="AC15" s="6">
        <v>12</v>
      </c>
      <c r="AD15" s="6">
        <f>[1]节奏总纲!AD15</f>
        <v>37.004247194324648</v>
      </c>
      <c r="AE15" s="6">
        <f>[1]节奏总纲!AE15</f>
        <v>38.827998824669805</v>
      </c>
      <c r="AF15" s="6">
        <f>[1]节奏总纲!AF15</f>
        <v>41.408320762540754</v>
      </c>
      <c r="AG15" s="6">
        <f>[1]节奏总纲!AG15</f>
        <v>45.500930067545958</v>
      </c>
      <c r="AH15" s="6">
        <f>[1]节奏总纲!AH15</f>
        <v>53.855547243088772</v>
      </c>
      <c r="AL15" s="6">
        <v>12</v>
      </c>
      <c r="AM15" s="6">
        <f>[1]节奏总纲!AM15</f>
        <v>1.1550685436347259</v>
      </c>
      <c r="AN15" s="6">
        <f>[1]节奏总纲!AN15</f>
        <v>0.92405483490778073</v>
      </c>
      <c r="AO15" s="6">
        <f>[1]节奏总纲!AO15</f>
        <v>0.69304112618083547</v>
      </c>
      <c r="AP15" s="6">
        <f>[1]节奏总纲!AP15</f>
        <v>0.46202741745389037</v>
      </c>
      <c r="AQ15" s="6">
        <f>[1]节奏总纲!AQ15</f>
        <v>0.23101370872694518</v>
      </c>
      <c r="AS15" s="6">
        <v>12</v>
      </c>
      <c r="AT15" s="6">
        <f>[1]节奏总纲!AT15</f>
        <v>0.22042225443780961</v>
      </c>
      <c r="AU15" s="6">
        <f>[1]节奏总纲!AU15</f>
        <v>0.17633780355024764</v>
      </c>
      <c r="AV15" s="6">
        <f>[1]节奏总纲!AV15</f>
        <v>0.13225335266268567</v>
      </c>
      <c r="AW15" s="6">
        <f>[1]节奏总纲!AW15</f>
        <v>8.816890177512382E-2</v>
      </c>
      <c r="AX15" s="6">
        <f>[1]节奏总纲!AX15</f>
        <v>4.408445088756191E-2</v>
      </c>
      <c r="AY15" s="6"/>
      <c r="AZ15" s="6">
        <v>12</v>
      </c>
      <c r="BA15" s="6">
        <f>[1]节奏总纲!BA15</f>
        <v>24.792264875668618</v>
      </c>
      <c r="BB15" s="6">
        <f>[1]节奏总纲!BB15</f>
        <v>26.127796402772656</v>
      </c>
      <c r="BC15" s="6">
        <f>[1]节奏总纲!BC15</f>
        <v>27.863030247590562</v>
      </c>
      <c r="BD15" s="6">
        <f>[1]节奏总纲!BD15</f>
        <v>30.329493925593439</v>
      </c>
      <c r="BE15" s="6">
        <f>[1]节奏总纲!BE15</f>
        <v>34.627226072894942</v>
      </c>
    </row>
    <row r="16" spans="2:57" x14ac:dyDescent="0.15">
      <c r="B16" s="6">
        <f>[1]节奏总纲!B16</f>
        <v>90</v>
      </c>
      <c r="C16" s="6">
        <f>[1]节奏总纲!C16</f>
        <v>511</v>
      </c>
      <c r="D16" s="6">
        <f>[1]节奏总纲!D16</f>
        <v>256</v>
      </c>
      <c r="F16" s="6">
        <f>[1]节奏总纲!F16</f>
        <v>14</v>
      </c>
      <c r="G16" s="6">
        <f>[1]节奏总纲!G16</f>
        <v>1.6390158215457884</v>
      </c>
      <c r="I16" s="6">
        <f>[1]节奏总纲!I16</f>
        <v>14</v>
      </c>
      <c r="J16" s="6">
        <f>[1]节奏总纲!J16</f>
        <v>1.7296773068470075</v>
      </c>
      <c r="K16" s="6">
        <f>[1]节奏总纲!K16</f>
        <v>0.57999999999999996</v>
      </c>
      <c r="N16" s="6">
        <f>[1]节奏总纲!N16</f>
        <v>23</v>
      </c>
      <c r="O16" s="6">
        <v>13</v>
      </c>
      <c r="P16" s="6">
        <f>[1]节奏总纲!P16</f>
        <v>1.4622888266898326</v>
      </c>
      <c r="Q16" s="6">
        <f>[1]节奏总纲!Q16</f>
        <v>1.2628326307293396</v>
      </c>
      <c r="R16" s="6">
        <f>[1]节奏总纲!R16</f>
        <v>1.0294513339896421</v>
      </c>
      <c r="S16" s="6">
        <f>[1]节奏总纲!S16</f>
        <v>0.75556463675063656</v>
      </c>
      <c r="T16" s="6">
        <f>[1]节奏总纲!T16</f>
        <v>0.41865329108129906</v>
      </c>
      <c r="V16" s="6">
        <v>13</v>
      </c>
      <c r="W16" s="6">
        <f>[1]节奏总纲!W16</f>
        <v>0.16489211669576243</v>
      </c>
      <c r="X16" s="6">
        <f>[1]节奏总纲!X16</f>
        <v>0.15018521223842507</v>
      </c>
      <c r="Y16" s="6">
        <f>[1]节奏总纲!Y16</f>
        <v>0.12360895107178216</v>
      </c>
      <c r="Z16" s="6">
        <f>[1]节奏总纲!Z16</f>
        <v>9.337335596966323E-2</v>
      </c>
      <c r="AA16" s="6">
        <f>[1]节奏总纲!AA16</f>
        <v>5.3046898204970105E-2</v>
      </c>
      <c r="AC16" s="6">
        <v>13</v>
      </c>
      <c r="AD16" s="6">
        <f>[1]节奏总纲!AD16</f>
        <v>38.071211008105138</v>
      </c>
      <c r="AE16" s="6">
        <f>[1]节奏总纲!AE16</f>
        <v>39.935302111946527</v>
      </c>
      <c r="AF16" s="6">
        <f>[1]节奏总纲!AF16</f>
        <v>42.470214785133983</v>
      </c>
      <c r="AG16" s="6">
        <f>[1]节奏总纲!AG16</f>
        <v>46.631096344914496</v>
      </c>
      <c r="AH16" s="6">
        <f>[1]节奏总纲!AH16</f>
        <v>55.062101953238496</v>
      </c>
      <c r="AL16" s="6">
        <v>13</v>
      </c>
      <c r="AM16" s="6">
        <f>[1]节奏总纲!AM16</f>
        <v>1.417602554491646</v>
      </c>
      <c r="AN16" s="6">
        <f>[1]节奏总纲!AN16</f>
        <v>1.1340820435933168</v>
      </c>
      <c r="AO16" s="6">
        <f>[1]节奏总纲!AO16</f>
        <v>0.85056153269498758</v>
      </c>
      <c r="AP16" s="6">
        <f>[1]节奏总纲!AP16</f>
        <v>0.56704102179665838</v>
      </c>
      <c r="AQ16" s="6">
        <f>[1]节奏总纲!AQ16</f>
        <v>0.28352051089832919</v>
      </c>
      <c r="AS16" s="6">
        <v>13</v>
      </c>
      <c r="AT16" s="6">
        <f>[1]节奏总纲!AT16</f>
        <v>0.26253401085692007</v>
      </c>
      <c r="AU16" s="6">
        <f>[1]节奏总纲!AU16</f>
        <v>0.21002720868553604</v>
      </c>
      <c r="AV16" s="6">
        <f>[1]节奏总纲!AV16</f>
        <v>0.15752040651415211</v>
      </c>
      <c r="AW16" s="6">
        <f>[1]节奏总纲!AW16</f>
        <v>0.10501360434276802</v>
      </c>
      <c r="AX16" s="6">
        <f>[1]节奏总纲!AX16</f>
        <v>5.2506802171384009E-2</v>
      </c>
      <c r="AY16" s="6"/>
      <c r="AZ16" s="6">
        <v>13</v>
      </c>
      <c r="BA16" s="6">
        <f>[1]节奏总纲!BA16</f>
        <v>25.265378411633971</v>
      </c>
      <c r="BB16" s="6">
        <f>[1]节奏总纲!BB16</f>
        <v>26.598914258210968</v>
      </c>
      <c r="BC16" s="6">
        <f>[1]节奏总纲!BC16</f>
        <v>28.339982398803929</v>
      </c>
      <c r="BD16" s="6">
        <f>[1]节奏总纲!BD16</f>
        <v>30.828727146189561</v>
      </c>
      <c r="BE16" s="6">
        <f>[1]节奏总纲!BE16</f>
        <v>35.146386283795508</v>
      </c>
    </row>
    <row r="17" spans="2:57" x14ac:dyDescent="0.15">
      <c r="B17" s="6">
        <f>[1]节奏总纲!B17</f>
        <v>100</v>
      </c>
      <c r="C17" s="6">
        <f>[1]节奏总纲!C17</f>
        <v>1023</v>
      </c>
      <c r="D17" s="6">
        <f>[1]节奏总纲!D17</f>
        <v>512</v>
      </c>
      <c r="F17" s="6">
        <f>[1]节奏总纲!F17</f>
        <v>15</v>
      </c>
      <c r="G17" s="6">
        <f>[1]节奏总纲!G17</f>
        <v>1.8284271247461898</v>
      </c>
      <c r="I17" s="6">
        <f>[1]节奏总纲!I17</f>
        <v>15</v>
      </c>
      <c r="J17" s="6">
        <f>[1]节奏总纲!J17</f>
        <v>2.1</v>
      </c>
      <c r="K17" s="6">
        <f>[1]节奏总纲!K17</f>
        <v>0.6</v>
      </c>
      <c r="N17" s="6">
        <f>[1]节奏总纲!N17</f>
        <v>24</v>
      </c>
      <c r="O17" s="6">
        <v>14</v>
      </c>
      <c r="P17" s="6">
        <f>[1]节奏总纲!P17</f>
        <v>1.6390158215457884</v>
      </c>
      <c r="Q17" s="6">
        <f>[1]节奏总纲!Q17</f>
        <v>1.4136511460832426</v>
      </c>
      <c r="R17" s="6">
        <f>[1]节奏总纲!R17</f>
        <v>1.1545227446968533</v>
      </c>
      <c r="S17" s="6">
        <f>[1]节奏总纲!S17</f>
        <v>0.84605996708193598</v>
      </c>
      <c r="T17" s="6">
        <f>[1]节奏总纲!T17</f>
        <v>0.46810291863347719</v>
      </c>
      <c r="V17" s="6">
        <v>14</v>
      </c>
      <c r="W17" s="6">
        <f>[1]节奏总纲!W17</f>
        <v>0.17672699485595578</v>
      </c>
      <c r="X17" s="6">
        <f>[1]节奏总纲!X17</f>
        <v>0.150818515353903</v>
      </c>
      <c r="Y17" s="6">
        <f>[1]节奏总纲!Y17</f>
        <v>0.12507141070721128</v>
      </c>
      <c r="Z17" s="6">
        <f>[1]节奏总纲!Z17</f>
        <v>9.0495330331299417E-2</v>
      </c>
      <c r="AA17" s="6">
        <f>[1]节奏总纲!AA17</f>
        <v>4.9449627552178133E-2</v>
      </c>
      <c r="AC17" s="6">
        <v>14</v>
      </c>
      <c r="AD17" s="6">
        <f>[1]节奏总纲!AD17</f>
        <v>39.066704614192943</v>
      </c>
      <c r="AE17" s="6">
        <f>[1]节奏总纲!AE17</f>
        <v>40.935169244165145</v>
      </c>
      <c r="AF17" s="6">
        <f>[1]节奏总纲!AF17</f>
        <v>43.484929789964411</v>
      </c>
      <c r="AG17" s="6">
        <f>[1]节奏总纲!AG17</f>
        <v>47.711408234944486</v>
      </c>
      <c r="AH17" s="6">
        <f>[1]节奏总纲!AH17</f>
        <v>56.165983112651688</v>
      </c>
      <c r="AL17" s="6">
        <v>14</v>
      </c>
      <c r="AM17" s="6">
        <f>[1]节奏总纲!AM17</f>
        <v>1.7296773068470075</v>
      </c>
      <c r="AN17" s="6">
        <f>[1]节奏总纲!AN17</f>
        <v>1.383741845477606</v>
      </c>
      <c r="AO17" s="6">
        <f>[1]节奏总纲!AO17</f>
        <v>1.0378063841082044</v>
      </c>
      <c r="AP17" s="6">
        <f>[1]节奏总纲!AP17</f>
        <v>0.69187092273880302</v>
      </c>
      <c r="AQ17" s="6">
        <f>[1]节奏总纲!AQ17</f>
        <v>0.34593546136940151</v>
      </c>
      <c r="AS17" s="6">
        <v>14</v>
      </c>
      <c r="AT17" s="6">
        <f>[1]节奏总纲!AT17</f>
        <v>0.31207475235536153</v>
      </c>
      <c r="AU17" s="6">
        <f>[1]节奏总纲!AU17</f>
        <v>0.24965980188428927</v>
      </c>
      <c r="AV17" s="6">
        <f>[1]节奏总纲!AV17</f>
        <v>0.18724485141321678</v>
      </c>
      <c r="AW17" s="6">
        <f>[1]节奏总纲!AW17</f>
        <v>0.12482990094214463</v>
      </c>
      <c r="AX17" s="6">
        <f>[1]节奏总纲!AX17</f>
        <v>6.2414950471072317E-2</v>
      </c>
      <c r="AY17" s="6"/>
      <c r="AZ17" s="6">
        <v>14</v>
      </c>
      <c r="BA17" s="6">
        <f>[1]节奏总纲!BA17</f>
        <v>25.707675764357255</v>
      </c>
      <c r="BB17" s="6">
        <f>[1]节奏总纲!BB17</f>
        <v>27.059707353051884</v>
      </c>
      <c r="BC17" s="6">
        <f>[1]节奏总纲!BC17</f>
        <v>28.796798156163181</v>
      </c>
      <c r="BD17" s="6">
        <f>[1]节奏总纲!BD17</f>
        <v>31.280110398778046</v>
      </c>
      <c r="BE17" s="6">
        <f>[1]节奏总纲!BE17</f>
        <v>35.634340563113874</v>
      </c>
    </row>
    <row r="18" spans="2:57" x14ac:dyDescent="0.15">
      <c r="F18" s="6">
        <f>[1]节奏总纲!F18</f>
        <v>16</v>
      </c>
      <c r="G18" s="6">
        <f>[1]节奏总纲!G18</f>
        <v>2.031433133020796</v>
      </c>
      <c r="I18" s="6">
        <f>[1]节奏总纲!I18</f>
        <v>16</v>
      </c>
      <c r="J18" s="6">
        <f>[1]节奏总纲!J18</f>
        <v>2.5387719203926467</v>
      </c>
      <c r="K18" s="6">
        <f>[1]节奏总纲!K18</f>
        <v>0.62</v>
      </c>
      <c r="N18" s="6">
        <f>[1]节奏总纲!N18</f>
        <v>25</v>
      </c>
      <c r="O18" s="6">
        <v>15</v>
      </c>
      <c r="P18" s="6">
        <f>[1]节奏总纲!P18</f>
        <v>1.8284271247461898</v>
      </c>
      <c r="Q18" s="6">
        <f>[1]节奏总纲!Q18</f>
        <v>1.5793953503557587</v>
      </c>
      <c r="R18" s="6">
        <f>[1]节奏总纲!R18</f>
        <v>1.2928808199080308</v>
      </c>
      <c r="S18" s="6">
        <f>[1]节奏总纲!S18</f>
        <v>0.94895367774327255</v>
      </c>
      <c r="T18" s="6">
        <f>[1]节奏总纲!T18</f>
        <v>0.5271355400643265</v>
      </c>
      <c r="V18" s="6">
        <v>15</v>
      </c>
      <c r="W18" s="6">
        <f>[1]节奏总纲!W18</f>
        <v>0.18941130320040145</v>
      </c>
      <c r="X18" s="6">
        <f>[1]节奏总纲!X18</f>
        <v>0.16574420427251613</v>
      </c>
      <c r="Y18" s="6">
        <f>[1]节奏总纲!Y18</f>
        <v>0.13835807521117749</v>
      </c>
      <c r="Z18" s="6">
        <f>[1]节奏总纲!Z18</f>
        <v>0.10289371066133657</v>
      </c>
      <c r="AA18" s="6">
        <f>[1]节奏总纲!AA18</f>
        <v>5.9032621430849308E-2</v>
      </c>
      <c r="AC18" s="6">
        <v>15</v>
      </c>
      <c r="AD18" s="6">
        <f>[1]节奏总纲!AD18</f>
        <v>40</v>
      </c>
      <c r="AE18" s="6">
        <f>[1]节奏总纲!AE18</f>
        <v>41.83669503626701</v>
      </c>
      <c r="AF18" s="6">
        <f>[1]节奏总纲!AF18</f>
        <v>44.442238853326032</v>
      </c>
      <c r="AG18" s="6">
        <f>[1]节奏总纲!AG18</f>
        <v>48.731413734867289</v>
      </c>
      <c r="AH18" s="6">
        <f>[1]节奏总纲!AH18</f>
        <v>57.176846218996921</v>
      </c>
      <c r="AL18" s="6">
        <v>15</v>
      </c>
      <c r="AM18" s="6">
        <f>[1]节奏总纲!AM18</f>
        <v>2.1</v>
      </c>
      <c r="AN18" s="6">
        <f>[1]节奏总纲!AN18</f>
        <v>1.6800000000000002</v>
      </c>
      <c r="AO18" s="6">
        <f>[1]节奏总纲!AO18</f>
        <v>1.26</v>
      </c>
      <c r="AP18" s="6">
        <f>[1]节奏总纲!AP18</f>
        <v>0.84000000000000008</v>
      </c>
      <c r="AQ18" s="6">
        <f>[1]节奏总纲!AQ18</f>
        <v>0.42000000000000004</v>
      </c>
      <c r="AS18" s="6">
        <v>15</v>
      </c>
      <c r="AT18" s="6">
        <f>[1]节奏总纲!AT18</f>
        <v>0.3703226931529926</v>
      </c>
      <c r="AU18" s="6">
        <f>[1]节奏总纲!AU18</f>
        <v>0.29625815452239412</v>
      </c>
      <c r="AV18" s="6">
        <f>[1]节奏总纲!AV18</f>
        <v>0.22219361589179565</v>
      </c>
      <c r="AW18" s="6">
        <f>[1]节奏总纲!AW18</f>
        <v>0.14812907726119706</v>
      </c>
      <c r="AX18" s="6">
        <f>[1]节奏总纲!AX18</f>
        <v>7.4064538630598531E-2</v>
      </c>
      <c r="AY18" s="6"/>
      <c r="AZ18" s="6">
        <v>15</v>
      </c>
      <c r="BA18" s="6">
        <f>[1]节奏总纲!BA18</f>
        <v>26.127796402772656</v>
      </c>
      <c r="BB18" s="6">
        <f>[1]节奏总纲!BB18</f>
        <v>27.461368800321225</v>
      </c>
      <c r="BC18" s="6">
        <f>[1]节奏总纲!BC18</f>
        <v>29.216428548527322</v>
      </c>
      <c r="BD18" s="6">
        <f>[1]节奏总纲!BD18</f>
        <v>31.706504654507764</v>
      </c>
      <c r="BE18" s="6">
        <f>[1]节奏总纲!BE18</f>
        <v>36.105477566569242</v>
      </c>
    </row>
    <row r="19" spans="2:57" x14ac:dyDescent="0.15">
      <c r="F19" s="6">
        <f>[1]节奏总纲!F19</f>
        <v>17</v>
      </c>
      <c r="G19" s="6">
        <f>[1]节奏总纲!G19</f>
        <v>2.2490095854249419</v>
      </c>
      <c r="I19" s="6">
        <f>[1]节奏总纲!I19</f>
        <v>17</v>
      </c>
      <c r="J19" s="6">
        <f>[1]节奏总纲!J19</f>
        <v>3.0579402515786085</v>
      </c>
      <c r="K19" s="6">
        <f>[1]节奏总纲!K19</f>
        <v>0.64</v>
      </c>
      <c r="N19" s="6">
        <f>[1]节奏总纲!N19</f>
        <v>26</v>
      </c>
      <c r="O19" s="6">
        <v>16</v>
      </c>
      <c r="P19" s="6">
        <f>[1]节奏总纲!P19</f>
        <v>2.031433133020796</v>
      </c>
      <c r="Q19" s="6">
        <f>[1]节奏总纲!Q19</f>
        <v>1.7586116632561031</v>
      </c>
      <c r="R19" s="6">
        <f>[1]节奏总纲!R19</f>
        <v>1.4398798046851402</v>
      </c>
      <c r="S19" s="6">
        <f>[1]节奏总纲!S19</f>
        <v>1.0618300986299702</v>
      </c>
      <c r="T19" s="6">
        <f>[1]节奏总纲!T19</f>
        <v>0.59460047803518701</v>
      </c>
      <c r="V19" s="6">
        <v>16</v>
      </c>
      <c r="W19" s="6">
        <f>[1]节奏总纲!W19</f>
        <v>0.20300600827460613</v>
      </c>
      <c r="X19" s="6">
        <f>[1]节奏总纲!X19</f>
        <v>0.17921631290034434</v>
      </c>
      <c r="Y19" s="6">
        <f>[1]节奏总纲!Y19</f>
        <v>0.14699898477710938</v>
      </c>
      <c r="Z19" s="6">
        <f>[1]节奏总纲!Z19</f>
        <v>0.11287642088669769</v>
      </c>
      <c r="AA19" s="6">
        <f>[1]节奏总纲!AA19</f>
        <v>6.7464937970860506E-2</v>
      </c>
      <c r="AC19" s="6">
        <v>16</v>
      </c>
      <c r="AD19" s="6">
        <f>[1]节奏总纲!AD19</f>
        <v>40.870795385807064</v>
      </c>
      <c r="AE19" s="6">
        <f>[1]节奏总纲!AE19</f>
        <v>42.707142308553742</v>
      </c>
      <c r="AF19" s="6">
        <f>[1]节奏总纲!AF19</f>
        <v>45.343250058486468</v>
      </c>
      <c r="AG19" s="6">
        <f>[1]节奏总纲!AG19</f>
        <v>49.654306534727205</v>
      </c>
      <c r="AH19" s="6">
        <f>[1]节奏总纲!AH19</f>
        <v>58.12511610143563</v>
      </c>
      <c r="AL19" s="6">
        <v>16</v>
      </c>
      <c r="AM19" s="6">
        <f>[1]节奏总纲!AM19</f>
        <v>2.5387719203926467</v>
      </c>
      <c r="AN19" s="6">
        <f>[1]节奏总纲!AN19</f>
        <v>2.0310175363141174</v>
      </c>
      <c r="AO19" s="6">
        <f>[1]节奏总纲!AO19</f>
        <v>1.5232631522355879</v>
      </c>
      <c r="AP19" s="6">
        <f>[1]节奏总纲!AP19</f>
        <v>1.0155087681570587</v>
      </c>
      <c r="AQ19" s="6">
        <f>[1]节奏总纲!AQ19</f>
        <v>0.50775438407852935</v>
      </c>
      <c r="AS19" s="6">
        <v>16</v>
      </c>
      <c r="AT19" s="6">
        <f>[1]节奏总纲!AT19</f>
        <v>0.43877192039264656</v>
      </c>
      <c r="AU19" s="6">
        <f>[1]节奏总纲!AU19</f>
        <v>0.35101753631411725</v>
      </c>
      <c r="AV19" s="6">
        <f>[1]节奏总纲!AV19</f>
        <v>0.26326315223558794</v>
      </c>
      <c r="AW19" s="6">
        <f>[1]节奏总纲!AW19</f>
        <v>0.17550876815705863</v>
      </c>
      <c r="AX19" s="6">
        <f>[1]节奏总纲!AX19</f>
        <v>8.7754384078529313E-2</v>
      </c>
      <c r="AY19" s="6"/>
      <c r="AZ19" s="6">
        <v>16</v>
      </c>
      <c r="BA19" s="6">
        <f>[1]节奏总纲!BA19</f>
        <v>26.504690687123308</v>
      </c>
      <c r="BB19" s="6">
        <f>[1]节奏总纲!BB19</f>
        <v>27.863030247590562</v>
      </c>
      <c r="BC19" s="6">
        <f>[1]节奏总纲!BC19</f>
        <v>29.606265091548554</v>
      </c>
      <c r="BD19" s="6">
        <f>[1]节奏总纲!BD19</f>
        <v>32.113552950216736</v>
      </c>
      <c r="BE19" s="6">
        <f>[1]节奏总纲!BE19</f>
        <v>36.526331209747774</v>
      </c>
    </row>
    <row r="20" spans="2:57" x14ac:dyDescent="0.15">
      <c r="F20" s="6">
        <f>[1]节奏总纲!F20</f>
        <v>18</v>
      </c>
      <c r="G20" s="6">
        <f>[1]节奏总纲!G20</f>
        <v>2.4822022531844965</v>
      </c>
      <c r="I20" s="6">
        <f>[1]节奏总纲!I20</f>
        <v>18</v>
      </c>
      <c r="J20" s="6">
        <f>[1]节奏总纲!J20</f>
        <v>3.671491735587451</v>
      </c>
      <c r="K20" s="6">
        <f>[1]节奏总纲!K20</f>
        <v>0.66</v>
      </c>
      <c r="N20" s="6">
        <f>[1]节奏总纲!N20</f>
        <v>27</v>
      </c>
      <c r="O20" s="6">
        <v>17</v>
      </c>
      <c r="P20" s="6">
        <f>[1]节奏总纲!P20</f>
        <v>2.2490095854249419</v>
      </c>
      <c r="Q20" s="6">
        <f>[1]节奏总纲!Q20</f>
        <v>1.9433691827656923</v>
      </c>
      <c r="R20" s="6">
        <f>[1]节奏总纲!R20</f>
        <v>1.5904995788125189</v>
      </c>
      <c r="S20" s="6">
        <f>[1]节奏总纲!S20</f>
        <v>1.1742079045503622</v>
      </c>
      <c r="T20" s="6">
        <f>[1]节奏总纲!T20</f>
        <v>0.65311238360740309</v>
      </c>
      <c r="V20" s="6">
        <v>17</v>
      </c>
      <c r="W20" s="6">
        <f>[1]节奏总纲!W20</f>
        <v>0.21757645240414591</v>
      </c>
      <c r="X20" s="6">
        <f>[1]节奏总纲!X20</f>
        <v>0.18475751950958919</v>
      </c>
      <c r="Y20" s="6">
        <f>[1]节奏总纲!Y20</f>
        <v>0.1506197741273787</v>
      </c>
      <c r="Z20" s="6">
        <f>[1]节奏总纲!Z20</f>
        <v>0.11237780592039193</v>
      </c>
      <c r="AA20" s="6">
        <f>[1]节奏总纲!AA20</f>
        <v>5.8511905572216083E-2</v>
      </c>
      <c r="AC20" s="6">
        <v>17</v>
      </c>
      <c r="AD20" s="6">
        <f>[1]节奏总纲!AD20</f>
        <v>41.691928656135218</v>
      </c>
      <c r="AE20" s="6">
        <f>[1]节奏总纲!AE20</f>
        <v>43.535389560453282</v>
      </c>
      <c r="AF20" s="6">
        <f>[1]节奏总纲!AF20</f>
        <v>46.195785611164197</v>
      </c>
      <c r="AG20" s="6">
        <f>[1]节奏总纲!AG20</f>
        <v>50.510850036206186</v>
      </c>
      <c r="AH20" s="6">
        <f>[1]节奏总纲!AH20</f>
        <v>58.996855914896834</v>
      </c>
      <c r="AL20" s="6">
        <v>17</v>
      </c>
      <c r="AM20" s="6">
        <f>[1]节奏总纲!AM20</f>
        <v>3.0579402515786085</v>
      </c>
      <c r="AN20" s="6">
        <f>[1]节奏总纲!AN20</f>
        <v>2.4463522012628869</v>
      </c>
      <c r="AO20" s="6">
        <f>[1]节奏总纲!AO20</f>
        <v>1.8347641509471651</v>
      </c>
      <c r="AP20" s="6">
        <f>[1]节奏总纲!AP20</f>
        <v>1.2231761006314434</v>
      </c>
      <c r="AQ20" s="6">
        <f>[1]节奏总纲!AQ20</f>
        <v>0.61158805031572172</v>
      </c>
      <c r="AS20" s="6">
        <v>17</v>
      </c>
      <c r="AT20" s="6">
        <f>[1]节奏总纲!AT20</f>
        <v>0.51916833118596184</v>
      </c>
      <c r="AU20" s="6">
        <f>[1]节奏总纲!AU20</f>
        <v>0.41533466494876947</v>
      </c>
      <c r="AV20" s="6">
        <f>[1]节奏总纲!AV20</f>
        <v>0.3115009987115771</v>
      </c>
      <c r="AW20" s="6">
        <f>[1]节奏总纲!AW20</f>
        <v>0.20766733247438474</v>
      </c>
      <c r="AX20" s="6">
        <f>[1]节奏总纲!AX20</f>
        <v>0.10383366623719237</v>
      </c>
      <c r="AY20" s="6"/>
      <c r="AZ20" s="6">
        <v>17</v>
      </c>
      <c r="BA20" s="6">
        <f>[1]节奏总纲!BA20</f>
        <v>26.881584971473956</v>
      </c>
      <c r="BB20" s="6">
        <f>[1]节奏总纲!BB20</f>
        <v>28.225778459464117</v>
      </c>
      <c r="BC20" s="6">
        <f>[1]节奏总纲!BC20</f>
        <v>29.996101634569786</v>
      </c>
      <c r="BD20" s="6">
        <f>[1]节奏总纲!BD20</f>
        <v>32.477877425165822</v>
      </c>
      <c r="BE20" s="6">
        <f>[1]节奏总纲!BE20</f>
        <v>36.947184852926306</v>
      </c>
    </row>
    <row r="21" spans="2:57" x14ac:dyDescent="0.15">
      <c r="F21" s="6">
        <f>[1]节奏总纲!F21</f>
        <v>19</v>
      </c>
      <c r="G21" s="6">
        <f>[1]节奏总纲!G21</f>
        <v>2.7321319661472296</v>
      </c>
      <c r="I21" s="6">
        <f>[1]节奏总纲!I21</f>
        <v>19</v>
      </c>
      <c r="J21" s="6">
        <f>[1]节奏总纲!J21</f>
        <v>4.3957950643309154</v>
      </c>
      <c r="K21" s="6">
        <f>[1]节奏总纲!K21</f>
        <v>0.68</v>
      </c>
      <c r="N21" s="6">
        <f>[1]节奏总纲!N21</f>
        <v>28</v>
      </c>
      <c r="O21" s="6">
        <v>18</v>
      </c>
      <c r="P21" s="6">
        <f>[1]节奏总纲!P21</f>
        <v>2.4822022531844965</v>
      </c>
      <c r="Q21" s="6">
        <f>[1]节奏总纲!Q21</f>
        <v>2.1515729130603214</v>
      </c>
      <c r="R21" s="6">
        <f>[1]节奏总纲!R21</f>
        <v>1.7690655458445907</v>
      </c>
      <c r="S21" s="6">
        <f>[1]节奏总纲!S21</f>
        <v>1.3066312660763189</v>
      </c>
      <c r="T21" s="6">
        <f>[1]节奏总纲!T21</f>
        <v>0.72554771860582834</v>
      </c>
      <c r="V21" s="6">
        <v>18</v>
      </c>
      <c r="W21" s="6">
        <f>[1]节奏总纲!W21</f>
        <v>0.23319266775955461</v>
      </c>
      <c r="X21" s="6">
        <f>[1]节奏总纲!X21</f>
        <v>0.20820373029462913</v>
      </c>
      <c r="Y21" s="6">
        <f>[1]节奏总纲!Y21</f>
        <v>0.17856596703207184</v>
      </c>
      <c r="Z21" s="6">
        <f>[1]节奏总纲!Z21</f>
        <v>0.13242336152595668</v>
      </c>
      <c r="AA21" s="6">
        <f>[1]节奏总纲!AA21</f>
        <v>7.2435334998425249E-2</v>
      </c>
      <c r="AC21" s="6">
        <v>18</v>
      </c>
      <c r="AD21" s="6">
        <f>[1]节奏总纲!AD21</f>
        <v>42.470630686057078</v>
      </c>
      <c r="AE21" s="6">
        <f>[1]节奏总纲!AE21</f>
        <v>44.32123076997032</v>
      </c>
      <c r="AF21" s="6">
        <f>[1]节奏总纲!AF21</f>
        <v>47.002405448181747</v>
      </c>
      <c r="AG21" s="6">
        <f>[1]节奏总纲!AG21</f>
        <v>51.307235833425089</v>
      </c>
      <c r="AH21" s="6">
        <f>[1]节奏总纲!AH21</f>
        <v>59.782901351568675</v>
      </c>
      <c r="AL21" s="6">
        <v>18</v>
      </c>
      <c r="AM21" s="6">
        <f>[1]节奏总纲!AM21</f>
        <v>3.671491735587451</v>
      </c>
      <c r="AN21" s="6">
        <f>[1]节奏总纲!AN21</f>
        <v>2.9371933884699608</v>
      </c>
      <c r="AO21" s="6">
        <f>[1]节奏总纲!AO21</f>
        <v>2.2028950413524706</v>
      </c>
      <c r="AP21" s="6">
        <f>[1]节奏总纲!AP21</f>
        <v>1.4685966942349804</v>
      </c>
      <c r="AQ21" s="6">
        <f>[1]节奏总纲!AQ21</f>
        <v>0.7342983471174902</v>
      </c>
      <c r="AS21" s="6">
        <v>18</v>
      </c>
      <c r="AT21" s="6">
        <f>[1]节奏总纲!AT21</f>
        <v>0.61355148400884252</v>
      </c>
      <c r="AU21" s="6">
        <f>[1]节奏总纲!AU21</f>
        <v>0.49084118720707393</v>
      </c>
      <c r="AV21" s="6">
        <f>[1]节奏总纲!AV21</f>
        <v>0.36813089040530556</v>
      </c>
      <c r="AW21" s="6">
        <f>[1]节奏总纲!AW21</f>
        <v>0.24542059360353696</v>
      </c>
      <c r="AX21" s="6">
        <f>[1]节奏总纲!AX21</f>
        <v>0.12271029680176848</v>
      </c>
      <c r="AY21" s="6"/>
      <c r="AZ21" s="6">
        <v>18</v>
      </c>
      <c r="BA21" s="6">
        <f>[1]节奏总纲!BA21</f>
        <v>27.220371931959619</v>
      </c>
      <c r="BB21" s="6">
        <f>[1]节奏总纲!BB21</f>
        <v>28.568390277483555</v>
      </c>
      <c r="BC21" s="6">
        <f>[1]节奏总纲!BC21</f>
        <v>30.329493925593439</v>
      </c>
      <c r="BD21" s="6">
        <f>[1]节奏总纲!BD21</f>
        <v>32.842201900114915</v>
      </c>
      <c r="BE21" s="6">
        <f>[1]节奏总纲!BE21</f>
        <v>37.317457773889828</v>
      </c>
    </row>
    <row r="22" spans="2:57" x14ac:dyDescent="0.15">
      <c r="B22" s="47" t="s">
        <v>123</v>
      </c>
      <c r="C22" s="47"/>
      <c r="D22" s="47"/>
      <c r="F22" s="6">
        <f>[1]节奏总纲!F22</f>
        <v>20</v>
      </c>
      <c r="G22" s="6">
        <f>[1]节奏总纲!G22</f>
        <v>3</v>
      </c>
      <c r="I22" s="6">
        <f>[1]节奏总纲!I22</f>
        <v>20</v>
      </c>
      <c r="J22" s="6">
        <f>[1]节奏总纲!J22</f>
        <v>5.25</v>
      </c>
      <c r="K22" s="6">
        <f>[1]节奏总纲!K22</f>
        <v>0.7</v>
      </c>
      <c r="N22" s="6">
        <f>[1]节奏总纲!N22</f>
        <v>29</v>
      </c>
      <c r="O22" s="6">
        <v>19</v>
      </c>
      <c r="P22" s="6">
        <f>[1]节奏总纲!P22</f>
        <v>2.7321319661472296</v>
      </c>
      <c r="Q22" s="6">
        <f>[1]节奏总纲!Q22</f>
        <v>2.3734030389920986</v>
      </c>
      <c r="R22" s="6">
        <f>[1]节奏总纲!R22</f>
        <v>1.9510154370257367</v>
      </c>
      <c r="S22" s="6">
        <f>[1]节奏总纲!S22</f>
        <v>1.4395603329629754</v>
      </c>
      <c r="T22" s="6">
        <f>[1]节奏总纲!T22</f>
        <v>0.80270037165405606</v>
      </c>
      <c r="V22" s="6">
        <v>19</v>
      </c>
      <c r="W22" s="6">
        <f>[1]节奏总纲!W22</f>
        <v>0.24992971296273314</v>
      </c>
      <c r="X22" s="6">
        <f>[1]节奏总纲!X22</f>
        <v>0.2218301259317772</v>
      </c>
      <c r="Y22" s="6">
        <f>[1]节奏总纲!Y22</f>
        <v>0.18194989118114591</v>
      </c>
      <c r="Z22" s="6">
        <f>[1]节奏总纲!Z22</f>
        <v>0.13292906688665651</v>
      </c>
      <c r="AA22" s="6">
        <f>[1]节奏总纲!AA22</f>
        <v>7.7152653048227715E-2</v>
      </c>
      <c r="AC22" s="6">
        <v>19</v>
      </c>
      <c r="AD22" s="6">
        <f>[1]节奏总纲!AD22</f>
        <v>43.213386604241784</v>
      </c>
      <c r="AE22" s="6">
        <f>[1]节奏总纲!AE22</f>
        <v>45.070782602372333</v>
      </c>
      <c r="AF22" s="6">
        <f>[1]节奏总纲!AF22</f>
        <v>47.752799438858894</v>
      </c>
      <c r="AG22" s="6">
        <f>[1]节奏总纲!AG22</f>
        <v>52.050057424983954</v>
      </c>
      <c r="AH22" s="6">
        <f>[1]节奏总纲!AH22</f>
        <v>60.54585273688761</v>
      </c>
      <c r="AL22" s="6">
        <v>19</v>
      </c>
      <c r="AM22" s="6">
        <f>[1]节奏总纲!AM22</f>
        <v>4.3957950643309154</v>
      </c>
      <c r="AN22" s="6">
        <f>[1]节奏总纲!AN22</f>
        <v>3.5166360514647326</v>
      </c>
      <c r="AO22" s="6">
        <f>[1]节奏总纲!AO22</f>
        <v>2.6374770385985493</v>
      </c>
      <c r="AP22" s="6">
        <f>[1]节奏总纲!AP22</f>
        <v>1.7583180257323663</v>
      </c>
      <c r="AQ22" s="6">
        <f>[1]节奏总纲!AQ22</f>
        <v>0.87915901286618314</v>
      </c>
      <c r="AS22" s="6">
        <v>19</v>
      </c>
      <c r="AT22" s="6">
        <f>[1]节奏总纲!AT22</f>
        <v>0.72430332874346437</v>
      </c>
      <c r="AU22" s="6">
        <f>[1]节奏总纲!AU22</f>
        <v>0.57944266299477176</v>
      </c>
      <c r="AV22" s="6">
        <f>[1]节奏总纲!AV22</f>
        <v>0.43458199724607871</v>
      </c>
      <c r="AW22" s="6">
        <f>[1]节奏总纲!AW22</f>
        <v>0.28972133149738588</v>
      </c>
      <c r="AX22" s="6">
        <f>[1]节奏总纲!AX22</f>
        <v>0.14486066574869294</v>
      </c>
      <c r="AY22" s="6"/>
      <c r="AZ22" s="6">
        <v>19</v>
      </c>
      <c r="BA22" s="6">
        <f>[1]节奏总纲!BA22</f>
        <v>27.541701089775092</v>
      </c>
      <c r="BB22" s="6">
        <f>[1]节奏总纲!BB22</f>
        <v>28.911002095502997</v>
      </c>
      <c r="BC22" s="6">
        <f>[1]节奏总纲!BC22</f>
        <v>30.662316072657521</v>
      </c>
      <c r="BD22" s="6">
        <f>[1]节奏总纲!BD22</f>
        <v>33.176527924103851</v>
      </c>
      <c r="BE22" s="6">
        <f>[1]节奏总纲!BE22</f>
        <v>37.680472138177471</v>
      </c>
    </row>
    <row r="23" spans="2:57" x14ac:dyDescent="0.15">
      <c r="B23" s="6" t="s">
        <v>136</v>
      </c>
      <c r="C23" s="6" t="s">
        <v>133</v>
      </c>
      <c r="D23" s="6" t="s">
        <v>134</v>
      </c>
      <c r="F23" s="6">
        <f>[1]节奏总纲!F23</f>
        <v>21</v>
      </c>
      <c r="G23" s="6">
        <f>[1]节奏总纲!G23</f>
        <v>3.2870938501451725</v>
      </c>
      <c r="I23" s="6">
        <f>[1]节奏总纲!I23</f>
        <v>21</v>
      </c>
      <c r="J23" s="6">
        <f>[1]节奏总纲!J23</f>
        <v>6.2565025247829205</v>
      </c>
      <c r="K23" s="6">
        <f>[1]节奏总纲!K23</f>
        <v>0.72</v>
      </c>
      <c r="N23" s="6">
        <f>[1]节奏总纲!N23</f>
        <v>30</v>
      </c>
      <c r="O23" s="6">
        <v>20</v>
      </c>
      <c r="P23" s="6">
        <f>[1]节奏总纲!P23</f>
        <v>3</v>
      </c>
      <c r="Q23" s="6">
        <f>[1]节奏总纲!Q23</f>
        <v>2.6036999999999999</v>
      </c>
      <c r="R23" s="6">
        <f>[1]节奏总纲!R23</f>
        <v>2.1372</v>
      </c>
      <c r="S23" s="6">
        <f>[1]节奏总纲!S23</f>
        <v>1.5800999999999998</v>
      </c>
      <c r="T23" s="6">
        <f>[1]节奏总纲!T23</f>
        <v>0.87990000000000002</v>
      </c>
      <c r="V23" s="6">
        <v>20</v>
      </c>
      <c r="W23" s="6">
        <f>[1]节奏总纲!W23</f>
        <v>0.26786803385277036</v>
      </c>
      <c r="X23" s="6">
        <f>[1]节奏总纲!X23</f>
        <v>0.23029696100790131</v>
      </c>
      <c r="Y23" s="6">
        <f>[1]节奏总纲!Y23</f>
        <v>0.18618456297426333</v>
      </c>
      <c r="Z23" s="6">
        <f>[1]节奏总纲!Z23</f>
        <v>0.14053966703702447</v>
      </c>
      <c r="AA23" s="6">
        <f>[1]节奏总纲!AA23</f>
        <v>7.719962834594396E-2</v>
      </c>
      <c r="AC23" s="6">
        <v>20</v>
      </c>
      <c r="AD23" s="6">
        <f>[1]节奏总纲!AD23</f>
        <v>43.920692243099523</v>
      </c>
      <c r="AE23" s="6">
        <f>[1]节奏总纲!AE23</f>
        <v>45.780025086357675</v>
      </c>
      <c r="AF23" s="6">
        <f>[1]节奏总纲!AF23</f>
        <v>48.482447528152484</v>
      </c>
      <c r="AG23" s="6">
        <f>[1]节奏总纲!AG23</f>
        <v>52.769987980532711</v>
      </c>
      <c r="AH23" s="6">
        <f>[1]节奏总纲!AH23</f>
        <v>61.261422558944936</v>
      </c>
      <c r="AL23" s="6">
        <v>20</v>
      </c>
      <c r="AM23" s="6">
        <f>[1]节奏总纲!AM23</f>
        <v>5.25</v>
      </c>
      <c r="AN23" s="6">
        <f>[1]节奏总纲!AN23</f>
        <v>4.2</v>
      </c>
      <c r="AO23" s="6">
        <f>[1]节奏总纲!AO23</f>
        <v>3.15</v>
      </c>
      <c r="AP23" s="6">
        <f>[1]节奏总纲!AP23</f>
        <v>2.1</v>
      </c>
      <c r="AQ23" s="6">
        <f>[1]节奏总纲!AQ23</f>
        <v>1.05</v>
      </c>
      <c r="AS23" s="6">
        <v>20</v>
      </c>
      <c r="AT23" s="6">
        <f>[1]节奏总纲!AT23</f>
        <v>0.85420493566908462</v>
      </c>
      <c r="AU23" s="6">
        <f>[1]节奏总纲!AU23</f>
        <v>0.68336394853526761</v>
      </c>
      <c r="AV23" s="6">
        <f>[1]节奏总纲!AV23</f>
        <v>0.51252296140145059</v>
      </c>
      <c r="AW23" s="6">
        <f>[1]节奏总纲!AW23</f>
        <v>0.3416819742676338</v>
      </c>
      <c r="AX23" s="6">
        <f>[1]节奏总纲!AX23</f>
        <v>0.1708409871338169</v>
      </c>
      <c r="AY23" s="6"/>
      <c r="AZ23" s="6">
        <v>20</v>
      </c>
      <c r="BA23" s="6">
        <f>[1]节奏总纲!BA23</f>
        <v>27.863030247590562</v>
      </c>
      <c r="BB23" s="6">
        <f>[1]节奏总纲!BB23</f>
        <v>29.216428548527322</v>
      </c>
      <c r="BC23" s="6">
        <f>[1]节奏总纲!BC23</f>
        <v>30.995138219721603</v>
      </c>
      <c r="BD23" s="6">
        <f>[1]节奏总纲!BD23</f>
        <v>33.487933395889513</v>
      </c>
      <c r="BE23" s="6">
        <f>[1]节奏总纲!BE23</f>
        <v>38.037513426486328</v>
      </c>
    </row>
    <row r="24" spans="2:57" x14ac:dyDescent="0.15">
      <c r="B24" s="6">
        <f>[1]节奏总纲!B24</f>
        <v>5</v>
      </c>
      <c r="C24" s="6">
        <f>[1]节奏总纲!C24</f>
        <v>0.5</v>
      </c>
      <c r="D24" s="6">
        <f>[1]节奏总纲!D24</f>
        <v>0.5</v>
      </c>
      <c r="F24" s="6">
        <f>[1]节奏总纲!F24</f>
        <v>22</v>
      </c>
      <c r="G24" s="6">
        <f>[1]节奏总纲!G24</f>
        <v>3.5947934199881395</v>
      </c>
      <c r="I24" s="6">
        <f>[1]节奏总纲!I24</f>
        <v>22</v>
      </c>
      <c r="J24" s="6">
        <f>[1]节奏总纲!J24</f>
        <v>7.4414868317755332</v>
      </c>
      <c r="K24" s="6">
        <f>[1]节奏总纲!K24</f>
        <v>0.74</v>
      </c>
      <c r="N24" s="6">
        <f>[1]节奏总纲!N24</f>
        <v>31</v>
      </c>
      <c r="O24" s="6">
        <v>21</v>
      </c>
      <c r="P24" s="6">
        <f>[1]节奏总纲!P24</f>
        <v>3.2870938501451725</v>
      </c>
      <c r="Q24" s="6">
        <f>[1]节奏总纲!Q24</f>
        <v>2.8518826243859516</v>
      </c>
      <c r="R24" s="6">
        <f>[1]节奏总纲!R24</f>
        <v>2.3466562996186386</v>
      </c>
      <c r="S24" s="6">
        <f>[1]节奏总纲!S24</f>
        <v>1.7365716810316947</v>
      </c>
      <c r="T24" s="6">
        <f>[1]节奏总纲!T24</f>
        <v>0.97166494210291288</v>
      </c>
      <c r="V24" s="6">
        <v>21</v>
      </c>
      <c r="W24" s="6">
        <f>[1]节奏总纲!W24</f>
        <v>0.28709385014517252</v>
      </c>
      <c r="X24" s="6">
        <f>[1]节奏总纲!X24</f>
        <v>0.24818262438595173</v>
      </c>
      <c r="Y24" s="6">
        <f>[1]节奏总纲!Y24</f>
        <v>0.20945629961863865</v>
      </c>
      <c r="Z24" s="6">
        <f>[1]节奏总纲!Z24</f>
        <v>0.15647168103169484</v>
      </c>
      <c r="AA24" s="6">
        <f>[1]节奏总纲!AA24</f>
        <v>9.1764942102912861E-2</v>
      </c>
      <c r="AC24" s="6">
        <v>21</v>
      </c>
      <c r="AD24" s="6">
        <f>[1]节奏总纲!AD24</f>
        <v>44.585942742481357</v>
      </c>
      <c r="AE24" s="6">
        <f>[1]节奏总纲!AE24</f>
        <v>46.455967430551723</v>
      </c>
      <c r="AF24" s="6">
        <f>[1]节奏总纲!AF24</f>
        <v>49.18886033229559</v>
      </c>
      <c r="AG24" s="6">
        <f>[1]节奏总纲!AG24</f>
        <v>53.471660769826336</v>
      </c>
      <c r="AH24" s="6">
        <f>[1]节奏总纲!AH24</f>
        <v>61.918453772109508</v>
      </c>
      <c r="AL24" s="6">
        <v>21</v>
      </c>
      <c r="AM24" s="6">
        <f>[1]节奏总纲!AM24</f>
        <v>6.2565025247829205</v>
      </c>
      <c r="AN24" s="6">
        <f>[1]节奏总纲!AN24</f>
        <v>5.0052020198263367</v>
      </c>
      <c r="AO24" s="6">
        <f>[1]节奏总纲!AO24</f>
        <v>3.7539015148697521</v>
      </c>
      <c r="AP24" s="6">
        <f>[1]节奏总纲!AP24</f>
        <v>2.5026010099131684</v>
      </c>
      <c r="AQ24" s="6">
        <f>[1]节奏总纲!AQ24</f>
        <v>1.2513005049565842</v>
      </c>
      <c r="AS24" s="6">
        <v>21</v>
      </c>
      <c r="AT24" s="6">
        <f>[1]节奏总纲!AT24</f>
        <v>1.0065025247829205</v>
      </c>
      <c r="AU24" s="6">
        <f>[1]节奏总纲!AU24</f>
        <v>0.80520201982633655</v>
      </c>
      <c r="AV24" s="6">
        <f>[1]节奏总纲!AV24</f>
        <v>0.60390151486975219</v>
      </c>
      <c r="AW24" s="6">
        <f>[1]节奏总纲!AW24</f>
        <v>0.40260100991316827</v>
      </c>
      <c r="AX24" s="6">
        <f>[1]节奏总纲!AX24</f>
        <v>0.20130050495658414</v>
      </c>
      <c r="AY24" s="6"/>
      <c r="AZ24" s="6">
        <v>21</v>
      </c>
      <c r="BA24" s="6">
        <f>[1]节奏总纲!BA24</f>
        <v>28.157256095860227</v>
      </c>
      <c r="BB24" s="6">
        <f>[1]节奏总纲!BB24</f>
        <v>29.508805955793246</v>
      </c>
      <c r="BC24" s="6">
        <f>[1]节奏总纲!BC24</f>
        <v>31.280110398778046</v>
      </c>
      <c r="BD24" s="6">
        <f>[1]节奏总纲!BD24</f>
        <v>33.799338867675175</v>
      </c>
      <c r="BE24" s="6">
        <f>[1]节奏总纲!BE24</f>
        <v>38.35066605767593</v>
      </c>
    </row>
    <row r="25" spans="2:57" x14ac:dyDescent="0.15">
      <c r="B25" s="6">
        <f>[1]节奏总纲!B25</f>
        <v>10</v>
      </c>
      <c r="C25" s="6">
        <f>[1]节奏总纲!C25</f>
        <v>1.5</v>
      </c>
      <c r="D25" s="6">
        <f>[1]节奏总纲!D25</f>
        <v>1</v>
      </c>
      <c r="F25" s="6">
        <f>[1]节奏总纲!F25</f>
        <v>23</v>
      </c>
      <c r="G25" s="6">
        <f>[1]节奏总纲!G25</f>
        <v>3.9245776533796644</v>
      </c>
      <c r="I25" s="6">
        <f>[1]节奏总纲!I25</f>
        <v>23</v>
      </c>
      <c r="J25" s="6">
        <f>[1]节奏总纲!J25</f>
        <v>8.8355567243832152</v>
      </c>
      <c r="K25" s="6">
        <f>[1]节奏总纲!K25</f>
        <v>0.76</v>
      </c>
      <c r="N25" s="6">
        <f>[1]节奏总纲!N25</f>
        <v>32</v>
      </c>
      <c r="O25" s="6">
        <v>22</v>
      </c>
      <c r="P25" s="6">
        <f>[1]节奏总纲!P25</f>
        <v>3.5947934199881395</v>
      </c>
      <c r="Q25" s="6">
        <f>[1]节奏总纲!Q25</f>
        <v>3.124234961311692</v>
      </c>
      <c r="R25" s="6">
        <f>[1]节奏总纲!R25</f>
        <v>2.5749505267375046</v>
      </c>
      <c r="S25" s="6">
        <f>[1]节奏总纲!S25</f>
        <v>1.9077568679877055</v>
      </c>
      <c r="T25" s="6">
        <f>[1]节奏总纲!T25</f>
        <v>1.0687320837624739</v>
      </c>
      <c r="V25" s="6">
        <v>22</v>
      </c>
      <c r="W25" s="6">
        <f>[1]节奏总纲!W25</f>
        <v>0.30769956984296698</v>
      </c>
      <c r="X25" s="6">
        <f>[1]节奏总纲!X25</f>
        <v>0.27235233692574035</v>
      </c>
      <c r="Y25" s="6">
        <f>[1]节奏总纲!Y25</f>
        <v>0.22829422711886593</v>
      </c>
      <c r="Z25" s="6">
        <f>[1]节奏总纲!Z25</f>
        <v>0.17118518695601082</v>
      </c>
      <c r="AA25" s="6">
        <f>[1]节奏总纲!AA25</f>
        <v>9.7067141659560985E-2</v>
      </c>
      <c r="AC25" s="6">
        <v>22</v>
      </c>
      <c r="AD25" s="6">
        <f>[1]节奏总纲!AD25</f>
        <v>45.229416240679988</v>
      </c>
      <c r="AE25" s="6">
        <f>[1]节奏总纲!AE25</f>
        <v>47.110426931480873</v>
      </c>
      <c r="AF25" s="6">
        <f>[1]节奏总纲!AF25</f>
        <v>49.861837738505173</v>
      </c>
      <c r="AG25" s="6">
        <f>[1]节奏总纲!AG25</f>
        <v>54.15637358335789</v>
      </c>
      <c r="AH25" s="6">
        <f>[1]节奏总纲!AH25</f>
        <v>62.555781631668886</v>
      </c>
      <c r="AL25" s="6">
        <v>22</v>
      </c>
      <c r="AM25" s="6">
        <f>[1]节奏总纲!AM25</f>
        <v>7.4414868317755332</v>
      </c>
      <c r="AN25" s="6">
        <f>[1]节奏总纲!AN25</f>
        <v>5.9531894654204267</v>
      </c>
      <c r="AO25" s="6">
        <f>[1]节奏总纲!AO25</f>
        <v>4.4648920990653194</v>
      </c>
      <c r="AP25" s="6">
        <f>[1]节奏总纲!AP25</f>
        <v>2.9765947327102134</v>
      </c>
      <c r="AQ25" s="6">
        <f>[1]节奏总纲!AQ25</f>
        <v>1.4882973663551067</v>
      </c>
      <c r="AS25" s="6">
        <v>22</v>
      </c>
      <c r="AT25" s="6">
        <f>[1]节奏总纲!AT25</f>
        <v>1.1849843069926127</v>
      </c>
      <c r="AU25" s="6">
        <f>[1]节奏总纲!AU25</f>
        <v>0.94798744559408998</v>
      </c>
      <c r="AV25" s="6">
        <f>[1]节奏总纲!AV25</f>
        <v>0.71099058419556727</v>
      </c>
      <c r="AW25" s="6">
        <f>[1]节奏总纲!AW25</f>
        <v>0.47399372279704499</v>
      </c>
      <c r="AX25" s="6">
        <f>[1]节奏总纲!AX25</f>
        <v>0.2369968613985225</v>
      </c>
      <c r="AY25" s="6"/>
      <c r="AZ25" s="6">
        <v>22</v>
      </c>
      <c r="BA25" s="6">
        <f>[1]节奏总纲!BA25</f>
        <v>28.431345550275779</v>
      </c>
      <c r="BB25" s="6">
        <f>[1]节奏总纲!BB25</f>
        <v>29.80118336305917</v>
      </c>
      <c r="BC25" s="6">
        <f>[1]节奏总纲!BC25</f>
        <v>31.564373235931193</v>
      </c>
      <c r="BD25" s="6">
        <f>[1]节奏总纲!BD25</f>
        <v>34.09469189131628</v>
      </c>
      <c r="BE25" s="6">
        <f>[1]节奏总纲!BE25</f>
        <v>38.663818688865533</v>
      </c>
    </row>
    <row r="26" spans="2:57" x14ac:dyDescent="0.15">
      <c r="B26" s="6">
        <f>[1]节奏总纲!B26</f>
        <v>15</v>
      </c>
      <c r="C26" s="6">
        <f>[1]节奏总纲!C26</f>
        <v>3.5</v>
      </c>
      <c r="D26" s="6">
        <f>[1]节奏总纲!D26</f>
        <v>2</v>
      </c>
      <c r="F26" s="6">
        <f>[1]节奏总纲!F26</f>
        <v>24</v>
      </c>
      <c r="G26" s="6">
        <f>[1]节奏总纲!G26</f>
        <v>4.2780316430915768</v>
      </c>
      <c r="I26" s="6">
        <f>[1]节奏总纲!I26</f>
        <v>24</v>
      </c>
      <c r="J26" s="6">
        <f>[1]节奏总纲!J26</f>
        <v>10.47447102993563</v>
      </c>
      <c r="K26" s="6">
        <f>[1]节奏总纲!K26</f>
        <v>0.78</v>
      </c>
      <c r="N26" s="6">
        <f>[1]节奏总纲!N26</f>
        <v>33</v>
      </c>
      <c r="O26" s="6">
        <v>23</v>
      </c>
      <c r="P26" s="6">
        <f>[1]节奏总纲!P26</f>
        <v>3.9245776533796644</v>
      </c>
      <c r="Q26" s="6">
        <f>[1]节奏总纲!Q26</f>
        <v>3.4081032341949005</v>
      </c>
      <c r="R26" s="6">
        <f>[1]节奏总纲!R26</f>
        <v>2.8064654799317976</v>
      </c>
      <c r="S26" s="6">
        <f>[1]节奏总纲!S26</f>
        <v>2.0796336985258841</v>
      </c>
      <c r="T26" s="6">
        <f>[1]节奏总纲!T26</f>
        <v>1.1608900698697047</v>
      </c>
      <c r="V26" s="6">
        <v>23</v>
      </c>
      <c r="W26" s="6">
        <f>[1]节奏总纲!W26</f>
        <v>0.32978423339152485</v>
      </c>
      <c r="X26" s="6">
        <f>[1]节奏总纲!X26</f>
        <v>0.28386827288320848</v>
      </c>
      <c r="Y26" s="6">
        <f>[1]节奏总纲!Y26</f>
        <v>0.23151495319429305</v>
      </c>
      <c r="Z26" s="6">
        <f>[1]节奏总纲!Z26</f>
        <v>0.17187683053817859</v>
      </c>
      <c r="AA26" s="6">
        <f>[1]节奏总纲!AA26</f>
        <v>9.2157986107230805E-2</v>
      </c>
      <c r="AC26" s="6">
        <v>23</v>
      </c>
      <c r="AD26" s="6">
        <f>[1]节奏总纲!AD26</f>
        <v>45.845161563010116</v>
      </c>
      <c r="AE26" s="6">
        <f>[1]节奏总纲!AE26</f>
        <v>47.734594805743399</v>
      </c>
      <c r="AF26" s="6">
        <f>[1]节奏总纲!AF26</f>
        <v>50.503430607741265</v>
      </c>
      <c r="AG26" s="6">
        <f>[1]节奏总纲!AG26</f>
        <v>54.814188287451351</v>
      </c>
      <c r="AH26" s="6">
        <f>[1]节奏总纲!AH26</f>
        <v>63.182677965405439</v>
      </c>
      <c r="AL26" s="6">
        <v>23</v>
      </c>
      <c r="AM26" s="6">
        <f>[1]节奏总纲!AM26</f>
        <v>8.8355567243832152</v>
      </c>
      <c r="AN26" s="6">
        <f>[1]节奏总纲!AN26</f>
        <v>7.0684453795065725</v>
      </c>
      <c r="AO26" s="6">
        <f>[1]节奏总纲!AO26</f>
        <v>5.3013340346299289</v>
      </c>
      <c r="AP26" s="6">
        <f>[1]节奏总纲!AP26</f>
        <v>3.5342226897532862</v>
      </c>
      <c r="AQ26" s="6">
        <f>[1]节奏总纲!AQ26</f>
        <v>1.7671113448766431</v>
      </c>
      <c r="AS26" s="6">
        <v>23</v>
      </c>
      <c r="AT26" s="6">
        <f>[1]节奏总纲!AT26</f>
        <v>1.394069892607682</v>
      </c>
      <c r="AU26" s="6">
        <f>[1]节奏总纲!AU26</f>
        <v>1.1152559140861458</v>
      </c>
      <c r="AV26" s="6">
        <f>[1]节奏总纲!AV26</f>
        <v>0.83644193556460955</v>
      </c>
      <c r="AW26" s="6">
        <f>[1]节奏总纲!AW26</f>
        <v>0.55762795704307289</v>
      </c>
      <c r="AX26" s="6">
        <f>[1]节奏总纲!AX26</f>
        <v>0.27881397852153644</v>
      </c>
      <c r="AY26" s="6"/>
      <c r="AZ26" s="6">
        <v>23</v>
      </c>
      <c r="BA26" s="6">
        <f>[1]节奏总纲!BA26</f>
        <v>28.705435004691331</v>
      </c>
      <c r="BB26" s="6">
        <f>[1]节奏总纲!BB26</f>
        <v>30.079877315295377</v>
      </c>
      <c r="BC26" s="6">
        <f>[1]节奏总纲!BC26</f>
        <v>31.848636073084339</v>
      </c>
      <c r="BD26" s="6">
        <f>[1]节奏总纲!BD26</f>
        <v>34.360958982105608</v>
      </c>
      <c r="BE26" s="6">
        <f>[1]节奏总纲!BE26</f>
        <v>38.976971320055128</v>
      </c>
    </row>
    <row r="27" spans="2:57" x14ac:dyDescent="0.15">
      <c r="B27" s="6">
        <f>[1]节奏总纲!B27</f>
        <v>20</v>
      </c>
      <c r="C27" s="6">
        <f>[1]节奏总纲!C27</f>
        <v>7.5</v>
      </c>
      <c r="D27" s="6">
        <f>[1]节奏总纲!D27</f>
        <v>4</v>
      </c>
      <c r="F27" s="6">
        <f>[1]节奏总纲!F27</f>
        <v>25</v>
      </c>
      <c r="G27" s="6">
        <f>[1]节奏总纲!G27</f>
        <v>4.6568542494923806</v>
      </c>
      <c r="I27" s="6">
        <f>[1]节奏总纲!I27</f>
        <v>25</v>
      </c>
      <c r="J27" s="6">
        <f>[1]节奏总纲!J27</f>
        <v>12.4</v>
      </c>
      <c r="K27" s="6">
        <f>[1]节奏总纲!K27</f>
        <v>0.8</v>
      </c>
      <c r="N27" s="6">
        <f>[1]节奏总纲!N27</f>
        <v>34</v>
      </c>
      <c r="O27" s="6">
        <v>24</v>
      </c>
      <c r="P27" s="6">
        <f>[1]节奏总纲!P27</f>
        <v>4.2780316430915768</v>
      </c>
      <c r="Q27" s="6">
        <f>[1]节奏总纲!Q27</f>
        <v>3.7214597263253628</v>
      </c>
      <c r="R27" s="6">
        <f>[1]节奏总纲!R27</f>
        <v>3.0699155070825155</v>
      </c>
      <c r="S27" s="6">
        <f>[1]节奏总纲!S27</f>
        <v>2.2742016214674821</v>
      </c>
      <c r="T27" s="6">
        <f>[1]节奏总纲!T27</f>
        <v>1.2692919885052709</v>
      </c>
      <c r="V27" s="6">
        <v>24</v>
      </c>
      <c r="W27" s="6">
        <f>[1]节奏总纲!W27</f>
        <v>0.35345398971191244</v>
      </c>
      <c r="X27" s="6">
        <f>[1]节奏总纲!X27</f>
        <v>0.31335649213046235</v>
      </c>
      <c r="Y27" s="6">
        <f>[1]节奏总纲!Y27</f>
        <v>0.26345002715071786</v>
      </c>
      <c r="Z27" s="6">
        <f>[1]节奏总纲!Z27</f>
        <v>0.19456792294159797</v>
      </c>
      <c r="AA27" s="6">
        <f>[1]节奏总纲!AA27</f>
        <v>0.10840191863556625</v>
      </c>
      <c r="AC27" s="6">
        <v>24</v>
      </c>
      <c r="AD27" s="6">
        <f>[1]节奏总纲!AD27</f>
        <v>46.430041330048923</v>
      </c>
      <c r="AE27" s="6">
        <f>[1]节奏总纲!AE27</f>
        <v>48.330142263709867</v>
      </c>
      <c r="AF27" s="6">
        <f>[1]节奏总纲!AF27</f>
        <v>51.118578408701396</v>
      </c>
      <c r="AG27" s="6">
        <f>[1]节奏总纲!AG27</f>
        <v>55.44072585486321</v>
      </c>
      <c r="AH27" s="6">
        <f>[1]节奏总纲!AH27</f>
        <v>63.791742872142052</v>
      </c>
      <c r="AL27" s="6">
        <v>24</v>
      </c>
      <c r="AM27" s="6">
        <f>[1]节奏总纲!AM27</f>
        <v>10.47447102993563</v>
      </c>
      <c r="AN27" s="6">
        <f>[1]节奏总纲!AN27</f>
        <v>8.3795768239485042</v>
      </c>
      <c r="AO27" s="6">
        <f>[1]节奏总纲!AO27</f>
        <v>6.2846826179613782</v>
      </c>
      <c r="AP27" s="6">
        <f>[1]节奏总纲!AP27</f>
        <v>4.1897884119742521</v>
      </c>
      <c r="AQ27" s="6">
        <f>[1]节奏总纲!AQ27</f>
        <v>2.0948942059871261</v>
      </c>
      <c r="AS27" s="6">
        <v>24</v>
      </c>
      <c r="AT27" s="6">
        <f>[1]节奏总纲!AT27</f>
        <v>1.6389143055524151</v>
      </c>
      <c r="AU27" s="6">
        <f>[1]节奏总纲!AU27</f>
        <v>1.3111314444419317</v>
      </c>
      <c r="AV27" s="6">
        <f>[1]节奏总纲!AV27</f>
        <v>0.98334858333144926</v>
      </c>
      <c r="AW27" s="6">
        <f>[1]节奏总纲!AW27</f>
        <v>0.65556572222096587</v>
      </c>
      <c r="AX27" s="6">
        <f>[1]节奏总纲!AX27</f>
        <v>0.32778286111048294</v>
      </c>
      <c r="AY27" s="6"/>
      <c r="AZ27" s="6">
        <v>24</v>
      </c>
      <c r="BA27" s="6">
        <f>[1]节奏总纲!BA27</f>
        <v>28.979524459106884</v>
      </c>
      <c r="BB27" s="6">
        <f>[1]节奏总纲!BB27</f>
        <v>30.329493925593439</v>
      </c>
      <c r="BC27" s="6">
        <f>[1]节奏总纲!BC27</f>
        <v>32.113552950216736</v>
      </c>
      <c r="BD27" s="6">
        <f>[1]节奏总纲!BD27</f>
        <v>34.627226072894942</v>
      </c>
      <c r="BE27" s="6">
        <f>[1]节奏总纲!BE27</f>
        <v>39.250296194358178</v>
      </c>
    </row>
    <row r="28" spans="2:57" x14ac:dyDescent="0.15">
      <c r="B28" s="6">
        <f>[1]节奏总纲!B28</f>
        <v>25</v>
      </c>
      <c r="C28" s="6">
        <f>[1]节奏总纲!C28</f>
        <v>15.5</v>
      </c>
      <c r="D28" s="6">
        <f>[1]节奏总纲!D28</f>
        <v>8</v>
      </c>
      <c r="F28" s="6">
        <f>[1]节奏总纲!F28</f>
        <v>26</v>
      </c>
      <c r="G28" s="6">
        <f>[1]节奏总纲!G28</f>
        <v>5.062866266041592</v>
      </c>
      <c r="I28" s="6">
        <f>[1]节奏总纲!I28</f>
        <v>26</v>
      </c>
      <c r="J28" s="6">
        <f>[1]节奏总纲!J28</f>
        <v>14.6609224175611</v>
      </c>
      <c r="K28" s="6">
        <f>[1]节奏总纲!K28</f>
        <v>0.82</v>
      </c>
      <c r="N28" s="6">
        <f>[1]节奏总纲!N28</f>
        <v>35</v>
      </c>
      <c r="O28" s="6">
        <v>25</v>
      </c>
      <c r="P28" s="6">
        <f>[1]节奏总纲!P28</f>
        <v>4.6568542494923806</v>
      </c>
      <c r="Q28" s="6">
        <f>[1]节奏总纲!Q28</f>
        <v>4.054257309608067</v>
      </c>
      <c r="R28" s="6">
        <f>[1]节奏总纲!R28</f>
        <v>3.3445527219854276</v>
      </c>
      <c r="S28" s="6">
        <f>[1]节奏总纲!S28</f>
        <v>2.478377831579845</v>
      </c>
      <c r="T28" s="6">
        <f>[1]节奏总纲!T28</f>
        <v>1.3802915995495415</v>
      </c>
      <c r="V28" s="6">
        <v>25</v>
      </c>
      <c r="W28" s="6">
        <f>[1]节奏总纲!W28</f>
        <v>0.37882260640080379</v>
      </c>
      <c r="X28" s="6">
        <f>[1]节奏总纲!X28</f>
        <v>0.33279758328270415</v>
      </c>
      <c r="Y28" s="6">
        <f>[1]节奏总纲!Y28</f>
        <v>0.27463721490291215</v>
      </c>
      <c r="Z28" s="6">
        <f>[1]节奏总纲!Z28</f>
        <v>0.20417621011236298</v>
      </c>
      <c r="AA28" s="6">
        <f>[1]节奏总纲!AA28</f>
        <v>0.11099961104427059</v>
      </c>
      <c r="AC28" s="6">
        <v>25</v>
      </c>
      <c r="AD28" s="6">
        <f>[1]节奏总纲!AD28</f>
        <v>47.004247194324648</v>
      </c>
      <c r="AE28" s="6">
        <f>[1]节奏总纲!AE28</f>
        <v>48.904516930942819</v>
      </c>
      <c r="AF28" s="6">
        <f>[1]节奏总纲!AF28</f>
        <v>51.667220029142385</v>
      </c>
      <c r="AG28" s="6">
        <f>[1]节奏总纲!AG28</f>
        <v>56.05100027504308</v>
      </c>
      <c r="AH28" s="6">
        <f>[1]节奏总纲!AH28</f>
        <v>64.398425477456215</v>
      </c>
      <c r="AL28" s="6">
        <v>25</v>
      </c>
      <c r="AM28" s="6">
        <f>[1]节奏总纲!AM28</f>
        <v>12.4</v>
      </c>
      <c r="AN28" s="6">
        <f>[1]节奏总纲!AN28</f>
        <v>9.9200000000000017</v>
      </c>
      <c r="AO28" s="6">
        <f>[1]节奏总纲!AO28</f>
        <v>7.4399999999999995</v>
      </c>
      <c r="AP28" s="6">
        <f>[1]节奏总纲!AP28</f>
        <v>4.9600000000000009</v>
      </c>
      <c r="AQ28" s="6">
        <f>[1]节奏总纲!AQ28</f>
        <v>2.4800000000000004</v>
      </c>
      <c r="AS28" s="6">
        <v>25</v>
      </c>
      <c r="AT28" s="6">
        <f>[1]节奏总纲!AT28</f>
        <v>1.9255289700643701</v>
      </c>
      <c r="AU28" s="6">
        <f>[1]节奏总纲!AU28</f>
        <v>1.5404231760514975</v>
      </c>
      <c r="AV28" s="6">
        <f>[1]节奏总纲!AV28</f>
        <v>1.1553173820386213</v>
      </c>
      <c r="AW28" s="6">
        <f>[1]节奏总纲!AW28</f>
        <v>0.77021158802574874</v>
      </c>
      <c r="AX28" s="6">
        <f>[1]节奏总纲!AX28</f>
        <v>0.38510579401287437</v>
      </c>
      <c r="AY28" s="6"/>
      <c r="AZ28" s="6">
        <v>25</v>
      </c>
      <c r="BA28" s="6">
        <f>[1]节奏总纲!BA28</f>
        <v>29.216428548527322</v>
      </c>
      <c r="BB28" s="6">
        <f>[1]节奏总纲!BB28</f>
        <v>30.579110535891502</v>
      </c>
      <c r="BC28" s="6">
        <f>[1]节奏总纲!BC28</f>
        <v>32.356435933516131</v>
      </c>
      <c r="BD28" s="6">
        <f>[1]节奏总纲!BD28</f>
        <v>34.893493163684269</v>
      </c>
      <c r="BE28" s="6">
        <f>[1]节奏总纲!BE28</f>
        <v>39.520459727922798</v>
      </c>
    </row>
    <row r="29" spans="2:57" x14ac:dyDescent="0.15">
      <c r="B29" s="6">
        <f>[1]节奏总纲!B29</f>
        <v>30</v>
      </c>
      <c r="C29" s="6">
        <f>[1]节奏总纲!C29</f>
        <v>31.5</v>
      </c>
      <c r="D29" s="6">
        <f>[1]节奏总纲!D29</f>
        <v>16</v>
      </c>
      <c r="F29" s="6">
        <f>[1]节奏总纲!F29</f>
        <v>27</v>
      </c>
      <c r="G29" s="6">
        <f>[1]节奏总纲!G29</f>
        <v>5.4980191708498847</v>
      </c>
      <c r="I29" s="6">
        <f>[1]节奏总纲!I29</f>
        <v>27</v>
      </c>
      <c r="J29" s="6">
        <f>[1]节奏总纲!J29</f>
        <v>17.314186320787698</v>
      </c>
      <c r="K29" s="6">
        <f>[1]节奏总纲!K29</f>
        <v>0.84</v>
      </c>
      <c r="N29" s="6">
        <f>[1]节奏总纲!N29</f>
        <v>36</v>
      </c>
      <c r="O29" s="6">
        <v>26</v>
      </c>
      <c r="P29" s="6">
        <f>[1]节奏总纲!P29</f>
        <v>5.062866266041592</v>
      </c>
      <c r="Q29" s="6">
        <f>[1]节奏总纲!Q29</f>
        <v>4.408743944469018</v>
      </c>
      <c r="R29" s="6">
        <f>[1]节奏总纲!R29</f>
        <v>3.63716312552428</v>
      </c>
      <c r="S29" s="6">
        <f>[1]节奏总纲!S29</f>
        <v>2.6914197070277099</v>
      </c>
      <c r="T29" s="6">
        <f>[1]节奏总纲!T29</f>
        <v>1.4996209880015197</v>
      </c>
      <c r="V29" s="6">
        <v>26</v>
      </c>
      <c r="W29" s="6">
        <f>[1]节奏总纲!W29</f>
        <v>0.40601201654921137</v>
      </c>
      <c r="X29" s="6">
        <f>[1]节奏总纲!X29</f>
        <v>0.354486634860951</v>
      </c>
      <c r="Y29" s="6">
        <f>[1]节奏总纲!Y29</f>
        <v>0.29261040353885237</v>
      </c>
      <c r="Z29" s="6">
        <f>[1]节奏总纲!Z29</f>
        <v>0.2130418754478649</v>
      </c>
      <c r="AA29" s="6">
        <f>[1]节奏总纲!AA29</f>
        <v>0.11932938845197816</v>
      </c>
      <c r="AC29" s="6">
        <v>26</v>
      </c>
      <c r="AD29" s="6">
        <f>[1]节奏总纲!AD29</f>
        <v>47.540284631526092</v>
      </c>
      <c r="AE29" s="6">
        <f>[1]节奏总纲!AE29</f>
        <v>49.446133440059114</v>
      </c>
      <c r="AF29" s="6">
        <f>[1]节奏总纲!AF29</f>
        <v>52.199341027338768</v>
      </c>
      <c r="AG29" s="6">
        <f>[1]节奏总纲!AG29</f>
        <v>56.621068614050692</v>
      </c>
      <c r="AH29" s="6">
        <f>[1]节奏总纲!AH29</f>
        <v>65.00344105132713</v>
      </c>
      <c r="AL29" s="6">
        <v>26</v>
      </c>
      <c r="AM29" s="6">
        <f>[1]节奏总纲!AM29</f>
        <v>14.6609224175611</v>
      </c>
      <c r="AN29" s="6">
        <f>[1]节奏总纲!AN29</f>
        <v>11.72873793404888</v>
      </c>
      <c r="AO29" s="6">
        <f>[1]节奏总纲!AO29</f>
        <v>8.7965534505366598</v>
      </c>
      <c r="AP29" s="6">
        <f>[1]节奏总纲!AP29</f>
        <v>5.8643689670244399</v>
      </c>
      <c r="AQ29" s="6">
        <f>[1]节奏总纲!AQ29</f>
        <v>2.9321844835122199</v>
      </c>
      <c r="AS29" s="6">
        <v>26</v>
      </c>
      <c r="AT29" s="6">
        <f>[1]节奏总纲!AT29</f>
        <v>2.2609224175610994</v>
      </c>
      <c r="AU29" s="6">
        <f>[1]节奏总纲!AU29</f>
        <v>1.8087379340488781</v>
      </c>
      <c r="AV29" s="6">
        <f>[1]节奏总纲!AV29</f>
        <v>1.3565534505366603</v>
      </c>
      <c r="AW29" s="6">
        <f>[1]节奏总纲!AW29</f>
        <v>0.90436896702443903</v>
      </c>
      <c r="AX29" s="6">
        <f>[1]节奏总纲!AX29</f>
        <v>0.45218448351221951</v>
      </c>
      <c r="AY29" s="6"/>
      <c r="AZ29" s="6">
        <v>26</v>
      </c>
      <c r="BA29" s="6">
        <f>[1]节奏总纲!BA29</f>
        <v>29.45033047434006</v>
      </c>
      <c r="BB29" s="6">
        <f>[1]节奏总纲!BB29</f>
        <v>30.828727146189561</v>
      </c>
      <c r="BC29" s="6">
        <f>[1]节奏总纲!BC29</f>
        <v>32.59931891681552</v>
      </c>
      <c r="BD29" s="6">
        <f>[1]节奏总纲!BD29</f>
        <v>35.146386283795508</v>
      </c>
      <c r="BE29" s="6">
        <f>[1]节奏总纲!BE29</f>
        <v>39.790623261487418</v>
      </c>
    </row>
    <row r="30" spans="2:57" x14ac:dyDescent="0.15">
      <c r="B30" s="6">
        <f>[1]节奏总纲!B30</f>
        <v>35</v>
      </c>
      <c r="C30" s="6">
        <f>[1]节奏总纲!C30</f>
        <v>63.5</v>
      </c>
      <c r="D30" s="6">
        <f>[1]节奏总纲!D30</f>
        <v>32</v>
      </c>
      <c r="F30" s="6">
        <f>[1]节奏总纲!F30</f>
        <v>28</v>
      </c>
      <c r="G30" s="6">
        <f>[1]节奏总纲!G30</f>
        <v>5.9644045063689921</v>
      </c>
      <c r="I30" s="6">
        <f>[1]节奏总纲!I30</f>
        <v>28</v>
      </c>
      <c r="J30" s="6">
        <f>[1]节奏总纲!J30</f>
        <v>20.42625995518307</v>
      </c>
      <c r="K30" s="6">
        <f>[1]节奏总纲!K30</f>
        <v>0.86</v>
      </c>
      <c r="N30" s="6">
        <f>[1]节奏总纲!N30</f>
        <v>37</v>
      </c>
      <c r="O30" s="6">
        <v>27</v>
      </c>
      <c r="P30" s="6">
        <f>[1]节奏总纲!P30</f>
        <v>5.4980191708498847</v>
      </c>
      <c r="Q30" s="6">
        <f>[1]节奏总纲!Q30</f>
        <v>4.7882248958931646</v>
      </c>
      <c r="R30" s="6">
        <f>[1]节奏总纲!R30</f>
        <v>3.9492271704214725</v>
      </c>
      <c r="S30" s="6">
        <f>[1]节奏总纲!S30</f>
        <v>2.9205477835554587</v>
      </c>
      <c r="T30" s="6">
        <f>[1]节奏总纲!T30</f>
        <v>1.6290630803228208</v>
      </c>
      <c r="V30" s="6">
        <v>27</v>
      </c>
      <c r="W30" s="6">
        <f>[1]节奏总纲!W30</f>
        <v>0.43515290480829272</v>
      </c>
      <c r="X30" s="6">
        <f>[1]节奏总纲!X30</f>
        <v>0.37948095142414662</v>
      </c>
      <c r="Y30" s="6">
        <f>[1]节奏总纲!Y30</f>
        <v>0.31206404489719253</v>
      </c>
      <c r="Z30" s="6">
        <f>[1]节奏总纲!Z30</f>
        <v>0.2291280765277488</v>
      </c>
      <c r="AA30" s="6">
        <f>[1]节奏总纲!AA30</f>
        <v>0.12944209232130111</v>
      </c>
      <c r="AC30" s="6">
        <v>27</v>
      </c>
      <c r="AD30" s="6">
        <f>[1]节奏总纲!AD30</f>
        <v>48.071211008105138</v>
      </c>
      <c r="AE30" s="6">
        <f>[1]节奏总纲!AE30</f>
        <v>49.981218513907905</v>
      </c>
      <c r="AF30" s="6">
        <f>[1]节奏总纲!AF30</f>
        <v>52.705993248660157</v>
      </c>
      <c r="AG30" s="6">
        <f>[1]节奏总纲!AG30</f>
        <v>57.175765669822162</v>
      </c>
      <c r="AH30" s="6">
        <f>[1]节奏总纲!AH30</f>
        <v>65.541743280100334</v>
      </c>
      <c r="AL30" s="6">
        <v>27</v>
      </c>
      <c r="AM30" s="6">
        <f>[1]节奏总纲!AM30</f>
        <v>17.314186320787698</v>
      </c>
      <c r="AN30" s="6">
        <f>[1]节奏总纲!AN30</f>
        <v>13.851349056630159</v>
      </c>
      <c r="AO30" s="6">
        <f>[1]节奏总纲!AO30</f>
        <v>10.388511792472618</v>
      </c>
      <c r="AP30" s="6">
        <f>[1]节奏总纲!AP30</f>
        <v>6.9256745283150796</v>
      </c>
      <c r="AQ30" s="6">
        <f>[1]节奏总纲!AQ30</f>
        <v>3.4628372641575398</v>
      </c>
      <c r="AS30" s="6">
        <v>27</v>
      </c>
      <c r="AT30" s="6">
        <f>[1]节奏总纲!AT30</f>
        <v>2.6532639032265983</v>
      </c>
      <c r="AU30" s="6">
        <f>[1]节奏总纲!AU30</f>
        <v>2.1226111225812794</v>
      </c>
      <c r="AV30" s="6">
        <f>[1]节奏总纲!AV30</f>
        <v>1.5919583419359586</v>
      </c>
      <c r="AW30" s="6">
        <f>[1]节奏总纲!AW30</f>
        <v>1.0613055612906397</v>
      </c>
      <c r="AX30" s="6">
        <f>[1]节奏总纲!AX30</f>
        <v>0.53065278064531984</v>
      </c>
      <c r="AY30" s="6"/>
      <c r="AZ30" s="6">
        <v>27</v>
      </c>
      <c r="BA30" s="6">
        <f>[1]节奏总纲!BA30</f>
        <v>29.684232400152801</v>
      </c>
      <c r="BB30" s="6">
        <f>[1]节奏总纲!BB30</f>
        <v>31.066913270913183</v>
      </c>
      <c r="BC30" s="6">
        <f>[1]节奏总纲!BC30</f>
        <v>32.842201900114915</v>
      </c>
      <c r="BD30" s="6">
        <f>[1]节奏总纲!BD30</f>
        <v>35.390363423454687</v>
      </c>
      <c r="BE30" s="6">
        <f>[1]节奏总纲!BE30</f>
        <v>40.052446592012309</v>
      </c>
    </row>
    <row r="31" spans="2:57" x14ac:dyDescent="0.15">
      <c r="B31" s="6">
        <f>[1]节奏总纲!B31</f>
        <v>40</v>
      </c>
      <c r="C31" s="6">
        <f>[1]节奏总纲!C31</f>
        <v>127.5</v>
      </c>
      <c r="D31" s="6">
        <f>[1]节奏总纲!D31</f>
        <v>64</v>
      </c>
      <c r="F31" s="6">
        <f>[1]节奏总纲!F31</f>
        <v>29</v>
      </c>
      <c r="G31" s="6">
        <f>[1]节奏总纲!G31</f>
        <v>6.4642639322944575</v>
      </c>
      <c r="I31" s="6">
        <f>[1]节奏总纲!I31</f>
        <v>29</v>
      </c>
      <c r="J31" s="6">
        <f>[1]节奏总纲!J31</f>
        <v>24.074703862418847</v>
      </c>
      <c r="K31" s="6">
        <f>[1]节奏总纲!K31</f>
        <v>0.88</v>
      </c>
      <c r="N31" s="6">
        <f>[1]节奏总纲!N31</f>
        <v>38</v>
      </c>
      <c r="O31" s="6">
        <v>28</v>
      </c>
      <c r="P31" s="6">
        <f>[1]节奏总纲!P31</f>
        <v>5.9644045063689921</v>
      </c>
      <c r="Q31" s="6">
        <f>[1]节奏总纲!Q31</f>
        <v>5.1914176823435705</v>
      </c>
      <c r="R31" s="6">
        <f>[1]节奏总纲!R31</f>
        <v>4.2752851501652938</v>
      </c>
      <c r="S31" s="6">
        <f>[1]节奏总纲!S31</f>
        <v>3.1653094715300236</v>
      </c>
      <c r="T31" s="6">
        <f>[1]节奏总纲!T31</f>
        <v>1.7738139001941382</v>
      </c>
      <c r="V31" s="6">
        <v>28</v>
      </c>
      <c r="W31" s="6">
        <f>[1]节奏总纲!W31</f>
        <v>0.46638533551910744</v>
      </c>
      <c r="X31" s="6">
        <f>[1]节奏总纲!X31</f>
        <v>0.4031927864504059</v>
      </c>
      <c r="Y31" s="6">
        <f>[1]节奏总纲!Y31</f>
        <v>0.32605797974382122</v>
      </c>
      <c r="Z31" s="6">
        <f>[1]节奏总纲!Z31</f>
        <v>0.24476168797456488</v>
      </c>
      <c r="AA31" s="6">
        <f>[1]节奏总纲!AA31</f>
        <v>0.14475081987131744</v>
      </c>
      <c r="AC31" s="6">
        <v>28</v>
      </c>
      <c r="AD31" s="6">
        <f>[1]节奏总纲!AD31</f>
        <v>48.571351621712928</v>
      </c>
      <c r="AE31" s="6">
        <f>[1]节奏总纲!AE31</f>
        <v>50.509688493127967</v>
      </c>
      <c r="AF31" s="6">
        <f>[1]节奏总纲!AF31</f>
        <v>53.212684955585161</v>
      </c>
      <c r="AG31" s="6">
        <f>[1]节奏总纲!AG31</f>
        <v>57.699988965458331</v>
      </c>
      <c r="AH31" s="6">
        <f>[1]节奏总纲!AH31</f>
        <v>66.076345334947405</v>
      </c>
      <c r="AL31" s="6">
        <v>28</v>
      </c>
      <c r="AM31" s="6">
        <f>[1]节奏总纲!AM31</f>
        <v>20.42625995518307</v>
      </c>
      <c r="AN31" s="6">
        <f>[1]节奏总纲!AN31</f>
        <v>16.341007964146456</v>
      </c>
      <c r="AO31" s="6">
        <f>[1]节奏总纲!AO31</f>
        <v>12.255755973109842</v>
      </c>
      <c r="AP31" s="6">
        <f>[1]节奏总纲!AP31</f>
        <v>8.1705039820732281</v>
      </c>
      <c r="AQ31" s="6">
        <f>[1]节奏总纲!AQ31</f>
        <v>4.0852519910366141</v>
      </c>
      <c r="AS31" s="6">
        <v>28</v>
      </c>
      <c r="AT31" s="6">
        <f>[1]节奏总纲!AT31</f>
        <v>3.1120736343953723</v>
      </c>
      <c r="AU31" s="6">
        <f>[1]节奏总纲!AU31</f>
        <v>2.4896589075162971</v>
      </c>
      <c r="AV31" s="6">
        <f>[1]节奏总纲!AV31</f>
        <v>1.8672441806372237</v>
      </c>
      <c r="AW31" s="6">
        <f>[1]节奏总纲!AW31</f>
        <v>1.2448294537581486</v>
      </c>
      <c r="AX31" s="6">
        <f>[1]节奏总纲!AX31</f>
        <v>0.62241472687907429</v>
      </c>
      <c r="AY31" s="6"/>
      <c r="AZ31" s="6">
        <v>28</v>
      </c>
      <c r="BA31" s="6">
        <f>[1]节奏总纲!BA31</f>
        <v>29.918134325965539</v>
      </c>
      <c r="BB31" s="6">
        <f>[1]节奏总纲!BB31</f>
        <v>31.280110398778046</v>
      </c>
      <c r="BC31" s="6">
        <f>[1]节奏总纲!BC31</f>
        <v>33.072726100175295</v>
      </c>
      <c r="BD31" s="6">
        <f>[1]节奏总纲!BD31</f>
        <v>35.634340563113874</v>
      </c>
      <c r="BE31" s="6">
        <f>[1]节奏总纲!BE31</f>
        <v>40.28554255651148</v>
      </c>
    </row>
    <row r="32" spans="2:57" x14ac:dyDescent="0.15">
      <c r="B32" s="6">
        <f>[1]节奏总纲!B32</f>
        <v>45</v>
      </c>
      <c r="C32" s="6">
        <f>[1]节奏总纲!C32</f>
        <v>255.5</v>
      </c>
      <c r="D32" s="6">
        <f>[1]节奏总纲!D32</f>
        <v>128</v>
      </c>
      <c r="F32" s="6">
        <f>[1]节奏总纲!F32</f>
        <v>30</v>
      </c>
      <c r="G32" s="6">
        <f>[1]节奏总纲!G32</f>
        <v>7</v>
      </c>
      <c r="I32" s="6">
        <f>[1]节奏总纲!I32</f>
        <v>30</v>
      </c>
      <c r="J32" s="6">
        <f>[1]节奏总纲!J32</f>
        <v>28.35</v>
      </c>
      <c r="K32" s="6">
        <f>[1]节奏总纲!K32</f>
        <v>0.9</v>
      </c>
      <c r="N32" s="6">
        <f>[1]节奏总纲!N32</f>
        <v>39</v>
      </c>
      <c r="O32" s="6">
        <v>29</v>
      </c>
      <c r="P32" s="6">
        <f>[1]节奏总纲!P32</f>
        <v>6.4642639322944575</v>
      </c>
      <c r="Q32" s="6">
        <f>[1]节奏总纲!Q32</f>
        <v>5.6323131642081607</v>
      </c>
      <c r="R32" s="6">
        <f>[1]节奏总纲!R32</f>
        <v>4.6510378992858623</v>
      </c>
      <c r="S32" s="6">
        <f>[1]节奏总纲!S32</f>
        <v>3.4532097926316991</v>
      </c>
      <c r="T32" s="6">
        <f>[1]节奏总纲!T32</f>
        <v>1.9366934741154194</v>
      </c>
      <c r="V32" s="6">
        <v>29</v>
      </c>
      <c r="W32" s="6">
        <f>[1]节奏总纲!W32</f>
        <v>0.49985942592546539</v>
      </c>
      <c r="X32" s="6">
        <f>[1]节奏总纲!X32</f>
        <v>0.44089548186459027</v>
      </c>
      <c r="Y32" s="6">
        <f>[1]节奏总纲!Y32</f>
        <v>0.37575274912056855</v>
      </c>
      <c r="Z32" s="6">
        <f>[1]节奏总纲!Z32</f>
        <v>0.28790032110167552</v>
      </c>
      <c r="AA32" s="6">
        <f>[1]节奏总纲!AA32</f>
        <v>0.16287957392128116</v>
      </c>
      <c r="AC32" s="6">
        <v>29</v>
      </c>
      <c r="AD32" s="6">
        <f>[1]节奏总纲!AD32</f>
        <v>49.066704614192936</v>
      </c>
      <c r="AE32" s="6">
        <f>[1]节奏总纲!AE32</f>
        <v>51.033341828534468</v>
      </c>
      <c r="AF32" s="6">
        <f>[1]节奏总纲!AF32</f>
        <v>53.719431255885922</v>
      </c>
      <c r="AG32" s="6">
        <f>[1]节奏总纲!AG32</f>
        <v>58.210135614815364</v>
      </c>
      <c r="AH32" s="6">
        <f>[1]节奏总纲!AH32</f>
        <v>66.589764070576265</v>
      </c>
      <c r="AL32" s="6">
        <v>29</v>
      </c>
      <c r="AM32" s="6">
        <f>[1]节奏总纲!AM32</f>
        <v>24.074703862418847</v>
      </c>
      <c r="AN32" s="6">
        <f>[1]节奏总纲!AN32</f>
        <v>19.259763089935078</v>
      </c>
      <c r="AO32" s="6">
        <f>[1]节奏总纲!AO32</f>
        <v>14.444822317451308</v>
      </c>
      <c r="AP32" s="6">
        <f>[1]节奏总纲!AP32</f>
        <v>9.6298815449675388</v>
      </c>
      <c r="AQ32" s="6">
        <f>[1]节奏总纲!AQ32</f>
        <v>4.8149407724837694</v>
      </c>
      <c r="AS32" s="6">
        <v>29</v>
      </c>
      <c r="AT32" s="6">
        <f>[1]节奏总纲!AT32</f>
        <v>3.6484439072357766</v>
      </c>
      <c r="AU32" s="6">
        <f>[1]节奏总纲!AU32</f>
        <v>2.9187551257886213</v>
      </c>
      <c r="AV32" s="6">
        <f>[1]节奏总纲!AV32</f>
        <v>2.189066344341466</v>
      </c>
      <c r="AW32" s="6">
        <f>[1]节奏总纲!AW32</f>
        <v>1.4593775628943106</v>
      </c>
      <c r="AX32" s="6">
        <f>[1]节奏总纲!AX32</f>
        <v>0.72968878144715532</v>
      </c>
      <c r="AY32" s="6"/>
      <c r="AZ32" s="6">
        <v>29</v>
      </c>
      <c r="BA32" s="6">
        <f>[1]节奏总纲!BA32</f>
        <v>30.12980063735499</v>
      </c>
      <c r="BB32" s="6">
        <f>[1]节奏总纲!BB32</f>
        <v>31.493307526642905</v>
      </c>
      <c r="BC32" s="6">
        <f>[1]节奏总纲!BC32</f>
        <v>33.280329748032408</v>
      </c>
      <c r="BD32" s="6">
        <f>[1]节奏总纲!BD32</f>
        <v>35.878317702773053</v>
      </c>
      <c r="BE32" s="6">
        <f>[1]节奏总纲!BE32</f>
        <v>40.518638521010644</v>
      </c>
    </row>
    <row r="33" spans="2:57" x14ac:dyDescent="0.15">
      <c r="B33" s="6">
        <f>[1]节奏总纲!B33</f>
        <v>50</v>
      </c>
      <c r="C33" s="6">
        <f>[1]节奏总纲!C33</f>
        <v>511.5</v>
      </c>
      <c r="D33" s="6">
        <f>[1]节奏总纲!D33</f>
        <v>256</v>
      </c>
      <c r="F33" s="6">
        <f>[1]节奏总纲!F33</f>
        <v>31</v>
      </c>
      <c r="G33" s="6">
        <f>[1]节奏总纲!G33</f>
        <v>7.5741877002903433</v>
      </c>
      <c r="I33" s="6">
        <f>[1]节奏总纲!I33</f>
        <v>31</v>
      </c>
      <c r="J33" s="6">
        <f>[1]节奏总纲!J33</f>
        <v>33.357679571112705</v>
      </c>
      <c r="K33" s="6">
        <f>[1]节奏总纲!K33</f>
        <v>0.92</v>
      </c>
      <c r="N33" s="6">
        <f>[1]节奏总纲!N33</f>
        <v>40</v>
      </c>
      <c r="O33" s="6">
        <v>30</v>
      </c>
      <c r="P33" s="6">
        <f>[1]节奏总纲!P33</f>
        <v>7</v>
      </c>
      <c r="Q33" s="6">
        <f>[1]节奏总纲!Q33</f>
        <v>6.1025999999999998</v>
      </c>
      <c r="R33" s="6">
        <f>[1]节奏总纲!R33</f>
        <v>5.0421000000000005</v>
      </c>
      <c r="S33" s="6">
        <f>[1]节奏总纲!S33</f>
        <v>3.7428999999999997</v>
      </c>
      <c r="T33" s="6">
        <f>[1]节奏总纲!T33</f>
        <v>2.1006999999999998</v>
      </c>
      <c r="V33" s="6">
        <v>30</v>
      </c>
      <c r="W33" s="6">
        <f>[1]节奏总纲!W33</f>
        <v>0.5357360677055425</v>
      </c>
      <c r="X33" s="6">
        <f>[1]节奏总纲!X33</f>
        <v>0.47028683579183905</v>
      </c>
      <c r="Y33" s="6">
        <f>[1]节奏总纲!Y33</f>
        <v>0.39106210071413816</v>
      </c>
      <c r="Z33" s="6">
        <f>[1]节奏总纲!Z33</f>
        <v>0.28969020736830053</v>
      </c>
      <c r="AA33" s="6">
        <f>[1]节奏总纲!AA33</f>
        <v>0.16400652588458042</v>
      </c>
      <c r="AC33" s="6">
        <v>30</v>
      </c>
      <c r="AD33" s="6">
        <f>[1]节奏总纲!AD33</f>
        <v>49.533352307096472</v>
      </c>
      <c r="AE33" s="6">
        <f>[1]节奏总纲!AE33</f>
        <v>51.497823295559343</v>
      </c>
      <c r="AF33" s="6">
        <f>[1]节奏总纲!AF33</f>
        <v>54.213705787583436</v>
      </c>
      <c r="AG33" s="6">
        <f>[1]节奏总纲!AG33</f>
        <v>58.701446767877648</v>
      </c>
      <c r="AH33" s="6">
        <f>[1]节奏总纲!AH33</f>
        <v>67.097551508592701</v>
      </c>
      <c r="AL33" s="6">
        <v>30</v>
      </c>
      <c r="AM33" s="6">
        <f>[1]节奏总纲!AM33</f>
        <v>28.35</v>
      </c>
      <c r="AN33" s="6">
        <f>[1]节奏总纲!AN33</f>
        <v>22.680000000000003</v>
      </c>
      <c r="AO33" s="6">
        <f>[1]节奏总纲!AO33</f>
        <v>17.010000000000002</v>
      </c>
      <c r="AP33" s="6">
        <f>[1]节奏总纲!AP33</f>
        <v>11.340000000000002</v>
      </c>
      <c r="AQ33" s="6">
        <f>[1]节奏总纲!AQ33</f>
        <v>5.6700000000000008</v>
      </c>
      <c r="AS33" s="6">
        <v>30</v>
      </c>
      <c r="AT33" s="6">
        <f>[1]节奏总纲!AT33</f>
        <v>4.2752961375811545</v>
      </c>
      <c r="AU33" s="6">
        <f>[1]节奏总纲!AU33</f>
        <v>3.4202369100649257</v>
      </c>
      <c r="AV33" s="6">
        <f>[1]节奏总纲!AV33</f>
        <v>2.5651776825486934</v>
      </c>
      <c r="AW33" s="6">
        <f>[1]节奏总纲!AW33</f>
        <v>1.7101184550324628</v>
      </c>
      <c r="AX33" s="6">
        <f>[1]节奏总纲!AX33</f>
        <v>0.85505922751623142</v>
      </c>
      <c r="AY33" s="6"/>
      <c r="AZ33" s="6">
        <v>30</v>
      </c>
      <c r="BA33" s="6">
        <f>[1]节奏总纲!BA33</f>
        <v>30.329493925593439</v>
      </c>
      <c r="BB33" s="6">
        <f>[1]节奏总纲!BB33</f>
        <v>31.706504654507764</v>
      </c>
      <c r="BC33" s="6">
        <f>[1]节奏总纲!BC33</f>
        <v>33.487933395889513</v>
      </c>
      <c r="BD33" s="6">
        <f>[1]节奏总纲!BD33</f>
        <v>36.105477566569242</v>
      </c>
      <c r="BE33" s="6">
        <f>[1]节奏总纲!BE33</f>
        <v>40.751734485509814</v>
      </c>
    </row>
    <row r="34" spans="2:57" x14ac:dyDescent="0.15">
      <c r="B34" s="6">
        <f>[1]节奏总纲!B34</f>
        <v>55</v>
      </c>
      <c r="C34" s="6">
        <f>[1]节奏总纲!C34</f>
        <v>1023.5</v>
      </c>
      <c r="D34" s="6">
        <f>[1]节奏总纲!D34</f>
        <v>512</v>
      </c>
      <c r="F34" s="6">
        <f>[1]节奏总纲!F34</f>
        <v>32</v>
      </c>
      <c r="G34" s="6">
        <f>[1]节奏总纲!G34</f>
        <v>8.189586839976279</v>
      </c>
      <c r="I34" s="6">
        <f>[1]节奏总纲!I34</f>
        <v>32</v>
      </c>
      <c r="J34" s="6">
        <f>[1]节奏总纲!J34</f>
        <v>39.220797956048642</v>
      </c>
      <c r="K34" s="6">
        <f>[1]节奏总纲!K34</f>
        <v>0.94</v>
      </c>
      <c r="N34" s="6">
        <f>[1]节奏总纲!N34</f>
        <v>41</v>
      </c>
      <c r="O34" s="6">
        <v>31</v>
      </c>
      <c r="P34" s="6">
        <f>[1]节奏总纲!P34</f>
        <v>7.5741877002903433</v>
      </c>
      <c r="Q34" s="6">
        <f>[1]节奏总纲!Q34</f>
        <v>6.6115084435834408</v>
      </c>
      <c r="R34" s="6">
        <f>[1]节奏总纲!R34</f>
        <v>5.4632615882194253</v>
      </c>
      <c r="S34" s="6">
        <f>[1]节奏总纲!S34</f>
        <v>4.052190419655334</v>
      </c>
      <c r="T34" s="6">
        <f>[1]节奏总纲!T34</f>
        <v>2.2783156602473356</v>
      </c>
      <c r="V34" s="6">
        <v>31</v>
      </c>
      <c r="W34" s="6">
        <f>[1]节奏总纲!W34</f>
        <v>0.57418770029034327</v>
      </c>
      <c r="X34" s="6">
        <f>[1]节奏总纲!X34</f>
        <v>0.50890844358344101</v>
      </c>
      <c r="Y34" s="6">
        <f>[1]节奏总纲!Y34</f>
        <v>0.42116158821942484</v>
      </c>
      <c r="Z34" s="6">
        <f>[1]节奏总纲!Z34</f>
        <v>0.30929041965533433</v>
      </c>
      <c r="AA34" s="6">
        <f>[1]节奏总纲!AA34</f>
        <v>0.17761566024733577</v>
      </c>
      <c r="AC34" s="6">
        <v>31</v>
      </c>
      <c r="AD34" s="6">
        <f>[1]节奏总纲!AD34</f>
        <v>50</v>
      </c>
      <c r="AE34" s="6">
        <f>[1]节奏总纲!AE34</f>
        <v>51.96230476258421</v>
      </c>
      <c r="AF34" s="6">
        <f>[1]节奏总纲!AF34</f>
        <v>54.692509339255828</v>
      </c>
      <c r="AG34" s="6">
        <f>[1]节奏总纲!AG34</f>
        <v>59.178112178215827</v>
      </c>
      <c r="AH34" s="6">
        <f>[1]节奏总纲!AH34</f>
        <v>67.582949939226467</v>
      </c>
      <c r="AL34" s="6">
        <v>31</v>
      </c>
      <c r="AM34" s="6">
        <f>[1]节奏总纲!AM34</f>
        <v>33.357679571112705</v>
      </c>
      <c r="AN34" s="6">
        <f>[1]节奏总纲!AN34</f>
        <v>26.686143656890167</v>
      </c>
      <c r="AO34" s="6">
        <f>[1]节奏总纲!AO34</f>
        <v>20.014607742667621</v>
      </c>
      <c r="AP34" s="6">
        <f>[1]节奏总纲!AP34</f>
        <v>13.343071828445083</v>
      </c>
      <c r="AQ34" s="6">
        <f>[1]节奏总纲!AQ34</f>
        <v>6.6715359142225417</v>
      </c>
      <c r="AS34" s="6">
        <v>31</v>
      </c>
      <c r="AT34" s="6">
        <f>[1]节奏总纲!AT34</f>
        <v>5.0076795711127033</v>
      </c>
      <c r="AU34" s="6">
        <f>[1]节奏总纲!AU34</f>
        <v>4.0061436568901634</v>
      </c>
      <c r="AV34" s="6">
        <f>[1]节奏总纲!AV34</f>
        <v>3.0046077426676199</v>
      </c>
      <c r="AW34" s="6">
        <f>[1]节奏总纲!AW34</f>
        <v>2.0030718284450817</v>
      </c>
      <c r="AX34" s="6">
        <f>[1]节奏总纲!AX34</f>
        <v>1.0015359142225408</v>
      </c>
      <c r="AY34" s="6"/>
      <c r="AZ34" s="6">
        <v>31</v>
      </c>
      <c r="BA34" s="6">
        <f>[1]节奏总纲!BA34</f>
        <v>30.529187213831889</v>
      </c>
      <c r="BB34" s="6">
        <f>[1]节奏总纲!BB34</f>
        <v>31.919701782372627</v>
      </c>
      <c r="BC34" s="6">
        <f>[1]节奏总纲!BC34</f>
        <v>33.695537043746626</v>
      </c>
      <c r="BD34" s="6">
        <f>[1]节奏总纲!BD34</f>
        <v>36.315904388158508</v>
      </c>
      <c r="BE34" s="6">
        <f>[1]节奏总纲!BE34</f>
        <v>40.984830450008978</v>
      </c>
    </row>
    <row r="35" spans="2:57" x14ac:dyDescent="0.15">
      <c r="B35" s="6">
        <f>[1]节奏总纲!B35</f>
        <v>60</v>
      </c>
      <c r="C35" s="6">
        <f>[1]节奏总纲!C35</f>
        <v>2047.5</v>
      </c>
      <c r="D35" s="6">
        <f>[1]节奏总纲!D35</f>
        <v>1024</v>
      </c>
      <c r="F35" s="6">
        <f>[1]节奏总纲!F35</f>
        <v>33</v>
      </c>
      <c r="G35" s="6">
        <f>[1]节奏总纲!G35</f>
        <v>8.8491553067593287</v>
      </c>
      <c r="I35" s="6">
        <f>[1]节奏总纲!I35</f>
        <v>33</v>
      </c>
      <c r="J35" s="6">
        <f>[1]节奏总纲!J35</f>
        <v>46.082812923199413</v>
      </c>
      <c r="K35" s="6">
        <f>[1]节奏总纲!K35</f>
        <v>0.96</v>
      </c>
      <c r="N35" s="6">
        <f>[1]节奏总纲!N35</f>
        <v>42</v>
      </c>
      <c r="O35" s="6">
        <v>32</v>
      </c>
      <c r="P35" s="6">
        <f>[1]节奏总纲!P35</f>
        <v>8.189586839976279</v>
      </c>
      <c r="Q35" s="6">
        <f>[1]节奏总纲!Q35</f>
        <v>7.1519661873512845</v>
      </c>
      <c r="R35" s="6">
        <f>[1]节奏总纲!R35</f>
        <v>5.906330028990892</v>
      </c>
      <c r="S35" s="6">
        <f>[1]节奏总纲!S35</f>
        <v>4.3855237528072974</v>
      </c>
      <c r="T35" s="6">
        <f>[1]节奏总纲!T35</f>
        <v>2.46506563883286</v>
      </c>
      <c r="V35" s="6">
        <v>32</v>
      </c>
      <c r="W35" s="6">
        <f>[1]节奏总纲!W35</f>
        <v>0.61539913968593574</v>
      </c>
      <c r="X35" s="6">
        <f>[1]节奏总纲!X35</f>
        <v>0.54045774376784372</v>
      </c>
      <c r="Y35" s="6">
        <f>[1]节奏总纲!Y35</f>
        <v>0.44306844077146668</v>
      </c>
      <c r="Z35" s="6">
        <f>[1]节奏总纲!Z35</f>
        <v>0.33333333315196345</v>
      </c>
      <c r="AA35" s="6">
        <f>[1]节奏总纲!AA35</f>
        <v>0.18674997858552445</v>
      </c>
      <c r="AC35" s="6">
        <v>32</v>
      </c>
      <c r="AD35" s="6">
        <f>[1]节奏总纲!AD35</f>
        <v>50.435397692903535</v>
      </c>
      <c r="AE35" s="6">
        <f>[1]节奏总纲!AE35</f>
        <v>52.391506955233744</v>
      </c>
      <c r="AF35" s="6">
        <f>[1]节奏总纲!AF35</f>
        <v>55.159275389027101</v>
      </c>
      <c r="AG35" s="6">
        <f>[1]节奏总纲!AG35</f>
        <v>59.632093520341421</v>
      </c>
      <c r="AH35" s="6">
        <f>[1]节奏总纲!AH35</f>
        <v>68.063981730538742</v>
      </c>
      <c r="AL35" s="6">
        <v>32</v>
      </c>
      <c r="AM35" s="6">
        <f>[1]节奏总纲!AM35</f>
        <v>39.220797956048642</v>
      </c>
      <c r="AN35" s="6">
        <f>[1]节奏总纲!AN35</f>
        <v>31.376638364838914</v>
      </c>
      <c r="AO35" s="6">
        <f>[1]节奏总纲!AO35</f>
        <v>23.532478773629183</v>
      </c>
      <c r="AP35" s="6">
        <f>[1]节奏总纲!AP35</f>
        <v>15.688319182419457</v>
      </c>
      <c r="AQ35" s="6">
        <f>[1]节奏总纲!AQ35</f>
        <v>7.8441595912097286</v>
      </c>
      <c r="AS35" s="6">
        <v>32</v>
      </c>
      <c r="AT35" s="6">
        <f>[1]节奏总纲!AT35</f>
        <v>5.8631183849359374</v>
      </c>
      <c r="AU35" s="6">
        <f>[1]节奏总纲!AU35</f>
        <v>4.6904947079487478</v>
      </c>
      <c r="AV35" s="6">
        <f>[1]节奏总纲!AV35</f>
        <v>3.5178710309615617</v>
      </c>
      <c r="AW35" s="6">
        <f>[1]节奏总纲!AW35</f>
        <v>2.3452473539743739</v>
      </c>
      <c r="AX35" s="6">
        <f>[1]节奏总纲!AX35</f>
        <v>1.1726236769871869</v>
      </c>
      <c r="AY35" s="6"/>
      <c r="AZ35" s="6">
        <v>32</v>
      </c>
      <c r="BA35" s="6">
        <f>[1]节奏总纲!BA35</f>
        <v>30.728880502070336</v>
      </c>
      <c r="BB35" s="6">
        <f>[1]节奏总纲!BB35</f>
        <v>32.113552950216736</v>
      </c>
      <c r="BC35" s="6">
        <f>[1]节奏总纲!BC35</f>
        <v>33.903140691603731</v>
      </c>
      <c r="BD35" s="6">
        <f>[1]节奏总纲!BD35</f>
        <v>36.526331209747774</v>
      </c>
      <c r="BE35" s="6">
        <f>[1]节奏总纲!BE35</f>
        <v>41.188041754455355</v>
      </c>
    </row>
    <row r="36" spans="2:57" x14ac:dyDescent="0.15">
      <c r="F36" s="6">
        <f>[1]节奏总纲!F36</f>
        <v>34</v>
      </c>
      <c r="G36" s="6">
        <f>[1]节奏总纲!G36</f>
        <v>9.5560632861831518</v>
      </c>
      <c r="I36" s="6">
        <f>[1]节奏总纲!I36</f>
        <v>34</v>
      </c>
      <c r="J36" s="6">
        <f>[1]节奏总纲!J36</f>
        <v>54.110931329932889</v>
      </c>
      <c r="K36" s="6">
        <f>[1]节奏总纲!K36</f>
        <v>0.98</v>
      </c>
      <c r="N36" s="6">
        <f>[1]节奏总纲!N36</f>
        <v>43</v>
      </c>
      <c r="O36" s="6">
        <v>33</v>
      </c>
      <c r="P36" s="6">
        <f>[1]节奏总纲!P36</f>
        <v>8.8491553067593287</v>
      </c>
      <c r="Q36" s="6">
        <f>[1]节奏总纲!Q36</f>
        <v>7.7120388498407557</v>
      </c>
      <c r="R36" s="6">
        <f>[1]节奏总纲!R36</f>
        <v>6.3696219898053652</v>
      </c>
      <c r="S36" s="6">
        <f>[1]节奏总纲!S36</f>
        <v>4.736067920177593</v>
      </c>
      <c r="T36" s="6">
        <f>[1]节奏总纲!T36</f>
        <v>2.6627108318038819</v>
      </c>
      <c r="V36" s="6">
        <v>33</v>
      </c>
      <c r="W36" s="6">
        <f>[1]节奏总纲!W36</f>
        <v>0.6595684667830497</v>
      </c>
      <c r="X36" s="6">
        <f>[1]节奏总纲!X36</f>
        <v>0.56007266248947118</v>
      </c>
      <c r="Y36" s="6">
        <f>[1]节奏总纲!Y36</f>
        <v>0.46329196081447321</v>
      </c>
      <c r="Z36" s="6">
        <f>[1]节奏总纲!Z36</f>
        <v>0.35054416737029559</v>
      </c>
      <c r="AA36" s="6">
        <f>[1]节奏总纲!AA36</f>
        <v>0.1976451929710219</v>
      </c>
      <c r="AC36" s="6">
        <v>33</v>
      </c>
      <c r="AD36" s="6">
        <f>[1]节奏总纲!AD36</f>
        <v>50.870795385807064</v>
      </c>
      <c r="AE36" s="6">
        <f>[1]节奏总纲!AE36</f>
        <v>52.81759316022675</v>
      </c>
      <c r="AF36" s="6">
        <f>[1]节奏总纲!AF36</f>
        <v>55.604435245632025</v>
      </c>
      <c r="AG36" s="6">
        <f>[1]节奏总纲!AG36</f>
        <v>60.078368706270226</v>
      </c>
      <c r="AH36" s="6">
        <f>[1]节奏总纲!AH36</f>
        <v>68.518369035696878</v>
      </c>
      <c r="AL36" s="6">
        <v>33</v>
      </c>
      <c r="AM36" s="6">
        <f>[1]节奏总纲!AM36</f>
        <v>46.082812923199413</v>
      </c>
      <c r="AN36" s="6">
        <f>[1]节奏总纲!AN36</f>
        <v>36.866250338559531</v>
      </c>
      <c r="AO36" s="6">
        <f>[1]节奏总纲!AO36</f>
        <v>27.649687753919647</v>
      </c>
      <c r="AP36" s="6">
        <f>[1]节奏总纲!AP36</f>
        <v>18.433125169279766</v>
      </c>
      <c r="AQ36" s="6">
        <f>[1]节奏总纲!AQ36</f>
        <v>9.2165625846398829</v>
      </c>
      <c r="AS36" s="6">
        <v>33</v>
      </c>
      <c r="AT36" s="6">
        <f>[1]节奏总纲!AT36</f>
        <v>6.8620149671507704</v>
      </c>
      <c r="AU36" s="6">
        <f>[1]节奏总纲!AU36</f>
        <v>5.489611973720617</v>
      </c>
      <c r="AV36" s="6">
        <f>[1]节奏总纲!AV36</f>
        <v>4.1172089802904637</v>
      </c>
      <c r="AW36" s="6">
        <f>[1]节奏总纲!AW36</f>
        <v>2.7448059868603085</v>
      </c>
      <c r="AX36" s="6">
        <f>[1]节奏总纲!AX36</f>
        <v>1.3724029934301543</v>
      </c>
      <c r="AY36" s="6"/>
      <c r="AZ36" s="6">
        <v>33</v>
      </c>
      <c r="BA36" s="6">
        <f>[1]节奏总纲!BA36</f>
        <v>30.928573790308786</v>
      </c>
      <c r="BB36" s="6">
        <f>[1]节奏总纲!BB36</f>
        <v>32.295715187691279</v>
      </c>
      <c r="BC36" s="6">
        <f>[1]节奏总纲!BC36</f>
        <v>34.09469189131628</v>
      </c>
      <c r="BD36" s="6">
        <f>[1]节奏总纲!BD36</f>
        <v>36.73675803133704</v>
      </c>
      <c r="BE36" s="6">
        <f>[1]节奏总纲!BE36</f>
        <v>41.389172829914081</v>
      </c>
    </row>
    <row r="37" spans="2:57" x14ac:dyDescent="0.15">
      <c r="F37" s="6">
        <f>[1]节奏总纲!F37</f>
        <v>35</v>
      </c>
      <c r="G37" s="6">
        <f>[1]节奏总纲!G37</f>
        <v>10.313708498984759</v>
      </c>
      <c r="I37" s="6">
        <f>[1]节奏总纲!I37</f>
        <v>35</v>
      </c>
      <c r="J37" s="6">
        <f>[1]节奏总纲!J37</f>
        <v>63.5</v>
      </c>
      <c r="K37" s="6">
        <f>[1]节奏总纲!K37</f>
        <v>1</v>
      </c>
      <c r="N37" s="6">
        <f>[1]节奏总纲!N37</f>
        <v>44</v>
      </c>
      <c r="O37" s="6">
        <v>34</v>
      </c>
      <c r="P37" s="6">
        <f>[1]节奏总纲!P37</f>
        <v>9.5560632861831518</v>
      </c>
      <c r="Q37" s="6">
        <f>[1]节奏总纲!Q37</f>
        <v>8.3309759728944712</v>
      </c>
      <c r="R37" s="6">
        <f>[1]节奏总纲!R37</f>
        <v>6.8918328419952886</v>
      </c>
      <c r="S37" s="6">
        <f>[1]节奏总纲!S37</f>
        <v>5.1287391656944967</v>
      </c>
      <c r="T37" s="6">
        <f>[1]节奏总纲!T37</f>
        <v>2.8811530807842201</v>
      </c>
      <c r="V37" s="6">
        <v>34</v>
      </c>
      <c r="W37" s="6">
        <f>[1]节奏总纲!W37</f>
        <v>0.70690797942382311</v>
      </c>
      <c r="X37" s="6">
        <f>[1]节奏总纲!X37</f>
        <v>0.61893712305371551</v>
      </c>
      <c r="Y37" s="6">
        <f>[1]节奏总纲!Y37</f>
        <v>0.52221085218992336</v>
      </c>
      <c r="Z37" s="6">
        <f>[1]节奏总纲!Z37</f>
        <v>0.39267124551690369</v>
      </c>
      <c r="AA37" s="6">
        <f>[1]节奏总纲!AA37</f>
        <v>0.21844224898033815</v>
      </c>
      <c r="AC37" s="6">
        <v>34</v>
      </c>
      <c r="AD37" s="6">
        <f>[1]节奏总纲!AD37</f>
        <v>51.285688244217212</v>
      </c>
      <c r="AE37" s="6">
        <f>[1]节奏总纲!AE37</f>
        <v>53.226994578658328</v>
      </c>
      <c r="AF37" s="6">
        <f>[1]节奏总纲!AF37</f>
        <v>56.045896281048073</v>
      </c>
      <c r="AG37" s="6">
        <f>[1]节奏总纲!AG37</f>
        <v>60.491705764657482</v>
      </c>
      <c r="AH37" s="6">
        <f>[1]节奏总纲!AH37</f>
        <v>68.972756340855</v>
      </c>
      <c r="AL37" s="6">
        <v>34</v>
      </c>
      <c r="AM37" s="6">
        <f>[1]节奏总纲!AM37</f>
        <v>54.110931329932889</v>
      </c>
      <c r="AN37" s="6">
        <f>[1]节奏总纲!AN37</f>
        <v>43.288745063946315</v>
      </c>
      <c r="AO37" s="6">
        <f>[1]节奏总纲!AO37</f>
        <v>32.466558797959735</v>
      </c>
      <c r="AP37" s="6">
        <f>[1]节奏总纲!AP37</f>
        <v>21.644372531973158</v>
      </c>
      <c r="AQ37" s="6">
        <f>[1]节奏总纲!AQ37</f>
        <v>10.822186265986579</v>
      </c>
      <c r="AS37" s="6">
        <v>34</v>
      </c>
      <c r="AT37" s="6">
        <f>[1]节奏总纲!AT37</f>
        <v>8.0281184067334763</v>
      </c>
      <c r="AU37" s="6">
        <f>[1]节奏总纲!AU37</f>
        <v>6.4224947253867839</v>
      </c>
      <c r="AV37" s="6">
        <f>[1]节奏总纲!AV37</f>
        <v>4.8168710440400879</v>
      </c>
      <c r="AW37" s="6">
        <f>[1]节奏总纲!AW37</f>
        <v>3.2112473626933919</v>
      </c>
      <c r="AX37" s="6">
        <f>[1]节奏总纲!AX37</f>
        <v>1.605623681346696</v>
      </c>
      <c r="AY37" s="6"/>
      <c r="AZ37" s="6">
        <v>34</v>
      </c>
      <c r="BA37" s="6">
        <f>[1]节奏总纲!BA37</f>
        <v>31.109552696486158</v>
      </c>
      <c r="BB37" s="6">
        <f>[1]节奏总纲!BB37</f>
        <v>32.477877425165822</v>
      </c>
      <c r="BC37" s="6">
        <f>[1]节奏总纲!BC37</f>
        <v>34.272203285175834</v>
      </c>
      <c r="BD37" s="6">
        <f>[1]节奏总纲!BD37</f>
        <v>36.947184852926306</v>
      </c>
      <c r="BE37" s="6">
        <f>[1]节奏总纲!BE37</f>
        <v>41.590303905372799</v>
      </c>
    </row>
    <row r="38" spans="2:57" x14ac:dyDescent="0.15">
      <c r="F38" s="6">
        <f>[1]节奏总纲!F38</f>
        <v>36</v>
      </c>
      <c r="G38" s="6">
        <f>[1]节奏总纲!G38</f>
        <v>11.125732532083184</v>
      </c>
      <c r="I38" s="6">
        <f>[1]节奏总纲!I38</f>
        <v>36</v>
      </c>
      <c r="J38" s="6">
        <f>[1]节奏总纲!J38</f>
        <v>73.746861667008318</v>
      </c>
      <c r="K38" s="6">
        <f>[1]节奏总纲!K38</f>
        <v>1.01</v>
      </c>
      <c r="N38" s="6">
        <f>[1]节奏总纲!N38</f>
        <v>45</v>
      </c>
      <c r="O38" s="6">
        <v>35</v>
      </c>
      <c r="P38" s="6">
        <f>[1]节奏总纲!P38</f>
        <v>10.313708498984759</v>
      </c>
      <c r="Q38" s="6">
        <f>[1]节奏总纲!Q38</f>
        <v>9.0048988904635934</v>
      </c>
      <c r="R38" s="6">
        <f>[1]节奏总纲!R38</f>
        <v>7.4547485030661838</v>
      </c>
      <c r="S38" s="6">
        <f>[1]节奏总纲!S38</f>
        <v>5.5405242056546129</v>
      </c>
      <c r="T38" s="6">
        <f>[1]节奏总纲!T38</f>
        <v>3.1106144832938032</v>
      </c>
      <c r="V38" s="6">
        <v>35</v>
      </c>
      <c r="W38" s="6">
        <f>[1]节奏总纲!W38</f>
        <v>0.75764521280160757</v>
      </c>
      <c r="X38" s="6">
        <f>[1]节奏总纲!X38</f>
        <v>0.67392291756912215</v>
      </c>
      <c r="Y38" s="6">
        <f>[1]节奏总纲!Y38</f>
        <v>0.56291566107089519</v>
      </c>
      <c r="Z38" s="6">
        <f>[1]节奏总纲!Z38</f>
        <v>0.41178503996011617</v>
      </c>
      <c r="AA38" s="6">
        <f>[1]节奏总纲!AA38</f>
        <v>0.22946140250958313</v>
      </c>
      <c r="AC38" s="6">
        <v>35</v>
      </c>
      <c r="AD38" s="6">
        <f>[1]节奏总纲!AD38</f>
        <v>51.691928656135211</v>
      </c>
      <c r="AE38" s="6">
        <f>[1]节奏总纲!AE38</f>
        <v>53.623906555539456</v>
      </c>
      <c r="AF38" s="6">
        <f>[1]节奏总纲!AF38</f>
        <v>56.457855949816349</v>
      </c>
      <c r="AG38" s="6">
        <f>[1]节奏总纲!AG38</f>
        <v>60.905042823044738</v>
      </c>
      <c r="AH38" s="6">
        <f>[1]节奏总纲!AH38</f>
        <v>69.385288338144662</v>
      </c>
      <c r="AL38" s="6">
        <v>35</v>
      </c>
      <c r="AM38" s="6">
        <f>[1]节奏总纲!AM38</f>
        <v>63.5</v>
      </c>
      <c r="AN38" s="6">
        <f>[1]节奏总纲!AN38</f>
        <v>50.800000000000004</v>
      </c>
      <c r="AO38" s="6">
        <f>[1]节奏总纲!AO38</f>
        <v>38.1</v>
      </c>
      <c r="AP38" s="6">
        <f>[1]节奏总纲!AP38</f>
        <v>25.400000000000002</v>
      </c>
      <c r="AQ38" s="6">
        <f>[1]节奏总纲!AQ38</f>
        <v>12.700000000000001</v>
      </c>
      <c r="AS38" s="6">
        <v>35</v>
      </c>
      <c r="AT38" s="6">
        <f>[1]节奏总纲!AT38</f>
        <v>9.3890686700671111</v>
      </c>
      <c r="AU38" s="6">
        <f>[1]节奏总纲!AU38</f>
        <v>7.5112549360536889</v>
      </c>
      <c r="AV38" s="6">
        <f>[1]节奏总纲!AV38</f>
        <v>5.6334412020402667</v>
      </c>
      <c r="AW38" s="6">
        <f>[1]节奏总纲!AW38</f>
        <v>3.7556274680268444</v>
      </c>
      <c r="AX38" s="6">
        <f>[1]节奏总纲!AX38</f>
        <v>1.8778137340134222</v>
      </c>
      <c r="AY38" s="6"/>
      <c r="AZ38" s="6">
        <v>35</v>
      </c>
      <c r="BA38" s="6">
        <f>[1]节奏总纲!BA38</f>
        <v>31.280110398778046</v>
      </c>
      <c r="BB38" s="6">
        <f>[1]节奏总纲!BB38</f>
        <v>32.660039662640372</v>
      </c>
      <c r="BC38" s="6">
        <f>[1]节奏总纲!BC38</f>
        <v>34.449714679035388</v>
      </c>
      <c r="BD38" s="6">
        <f>[1]节奏总纲!BD38</f>
        <v>37.135950591746003</v>
      </c>
      <c r="BE38" s="6">
        <f>[1]节奏总纲!BE38</f>
        <v>41.791434980831518</v>
      </c>
    </row>
    <row r="39" spans="2:57" x14ac:dyDescent="0.15">
      <c r="F39" s="6">
        <f>[1]节奏总纲!F39</f>
        <v>37</v>
      </c>
      <c r="G39" s="6">
        <f>[1]节奏总纲!G39</f>
        <v>11.996038341699768</v>
      </c>
      <c r="I39" s="6">
        <f>[1]节奏总纲!I39</f>
        <v>37</v>
      </c>
      <c r="J39" s="6">
        <f>[1]节奏总纲!J39</f>
        <v>85.62747641525452</v>
      </c>
      <c r="K39" s="6">
        <f>[1]节奏总纲!K39</f>
        <v>1.02</v>
      </c>
      <c r="N39" s="6">
        <f>[1]节奏总纲!N39</f>
        <v>46</v>
      </c>
      <c r="O39" s="6">
        <v>36</v>
      </c>
      <c r="P39" s="6">
        <f>[1]节奏总纲!P39</f>
        <v>11.125732532083184</v>
      </c>
      <c r="Q39" s="6">
        <f>[1]节奏总纲!Q39</f>
        <v>9.7261153795471191</v>
      </c>
      <c r="R39" s="6">
        <f>[1]节奏总纲!R39</f>
        <v>8.0405669009365166</v>
      </c>
      <c r="S39" s="6">
        <f>[1]节奏总纲!S39</f>
        <v>5.9700680767158358</v>
      </c>
      <c r="T39" s="6">
        <f>[1]节奏总纲!T39</f>
        <v>3.3388323328781633</v>
      </c>
      <c r="V39" s="6">
        <v>36</v>
      </c>
      <c r="W39" s="6">
        <f>[1]节奏总纲!W39</f>
        <v>0.81202403309842452</v>
      </c>
      <c r="X39" s="6">
        <f>[1]节奏总纲!X39</f>
        <v>0.72121648908352576</v>
      </c>
      <c r="Y39" s="6">
        <f>[1]节奏总纲!Y39</f>
        <v>0.58581839787033285</v>
      </c>
      <c r="Z39" s="6">
        <f>[1]节奏总纲!Z39</f>
        <v>0.42954387106122294</v>
      </c>
      <c r="AA39" s="6">
        <f>[1]节奏总纲!AA39</f>
        <v>0.22821784958436009</v>
      </c>
      <c r="AC39" s="6">
        <v>36</v>
      </c>
      <c r="AD39" s="6">
        <f>[1]节奏总纲!AD39</f>
        <v>52.091594979242075</v>
      </c>
      <c r="AE39" s="6">
        <f>[1]节奏总纲!AE39</f>
        <v>54.020289560649204</v>
      </c>
      <c r="AF39" s="6">
        <f>[1]节奏总纲!AF39</f>
        <v>56.869815618584624</v>
      </c>
      <c r="AG39" s="6">
        <f>[1]节奏总纲!AG39</f>
        <v>61.294362422865476</v>
      </c>
      <c r="AH39" s="6">
        <f>[1]节奏总纲!AH39</f>
        <v>69.795150761037945</v>
      </c>
      <c r="AL39" s="6">
        <v>36</v>
      </c>
      <c r="AM39" s="6">
        <f>[1]节奏总纲!AM39</f>
        <v>73.746861667008318</v>
      </c>
      <c r="AN39" s="6">
        <f>[1]节奏总纲!AN39</f>
        <v>58.997489333606659</v>
      </c>
      <c r="AO39" s="6">
        <f>[1]节奏总纲!AO39</f>
        <v>44.248117000204992</v>
      </c>
      <c r="AP39" s="6">
        <f>[1]节奏总纲!AP39</f>
        <v>29.498744666803329</v>
      </c>
      <c r="AQ39" s="6">
        <f>[1]节奏总纲!AQ39</f>
        <v>14.749372333401665</v>
      </c>
      <c r="AS39" s="6">
        <v>36</v>
      </c>
      <c r="AT39" s="6">
        <f>[1]节奏总纲!AT39</f>
        <v>10.246861667008318</v>
      </c>
      <c r="AU39" s="6">
        <f>[1]节奏总纲!AU39</f>
        <v>8.1974893336066543</v>
      </c>
      <c r="AV39" s="6">
        <f>[1]节奏总纲!AV39</f>
        <v>6.1481170002049907</v>
      </c>
      <c r="AW39" s="6">
        <f>[1]节奏总纲!AW39</f>
        <v>4.0987446668033272</v>
      </c>
      <c r="AX39" s="6">
        <f>[1]节奏总纲!AX39</f>
        <v>2.0493723334016636</v>
      </c>
      <c r="AY39" s="6"/>
      <c r="AZ39" s="6">
        <v>36</v>
      </c>
      <c r="BA39" s="6">
        <f>[1]节奏总纲!BA39</f>
        <v>31.450668101069933</v>
      </c>
      <c r="BB39" s="6">
        <f>[1]节奏总纲!BB39</f>
        <v>32.842201900114915</v>
      </c>
      <c r="BC39" s="6">
        <f>[1]节奏总纲!BC39</f>
        <v>34.627226072894942</v>
      </c>
      <c r="BD39" s="6">
        <f>[1]节奏总纲!BD39</f>
        <v>37.317457773889828</v>
      </c>
      <c r="BE39" s="6">
        <f>[1]节奏总纲!BE39</f>
        <v>41.992566056290244</v>
      </c>
    </row>
    <row r="40" spans="2:57" x14ac:dyDescent="0.15">
      <c r="F40" s="6">
        <f>[1]节奏总纲!F40</f>
        <v>38</v>
      </c>
      <c r="G40" s="6">
        <f>[1]节奏总纲!G40</f>
        <v>12.928809012737984</v>
      </c>
      <c r="I40" s="6">
        <f>[1]节奏总纲!I40</f>
        <v>38</v>
      </c>
      <c r="J40" s="6">
        <f>[1]节奏总纲!J40</f>
        <v>99.401036064365428</v>
      </c>
      <c r="K40" s="6">
        <f>[1]节奏总纲!K40</f>
        <v>1.03</v>
      </c>
      <c r="N40" s="6">
        <f>[1]节奏总纲!N40</f>
        <v>47</v>
      </c>
      <c r="O40" s="6">
        <v>37</v>
      </c>
      <c r="P40" s="6">
        <f>[1]节奏总纲!P40</f>
        <v>11.996038341699768</v>
      </c>
      <c r="Q40" s="6">
        <f>[1]节奏总纲!Q40</f>
        <v>10.483337906811427</v>
      </c>
      <c r="R40" s="6">
        <f>[1]节奏总纲!R40</f>
        <v>8.6671377018780831</v>
      </c>
      <c r="S40" s="6">
        <f>[1]节奏总纲!S40</f>
        <v>6.4166809089752066</v>
      </c>
      <c r="T40" s="6">
        <f>[1]节奏总纲!T40</f>
        <v>3.6000111063441</v>
      </c>
      <c r="V40" s="6">
        <v>37</v>
      </c>
      <c r="W40" s="6">
        <f>[1]节奏总纲!W40</f>
        <v>0.87030580961658366</v>
      </c>
      <c r="X40" s="6">
        <f>[1]节奏总纲!X40</f>
        <v>0.75722252726430739</v>
      </c>
      <c r="Y40" s="6">
        <f>[1]节奏总纲!Y40</f>
        <v>0.62657080094156647</v>
      </c>
      <c r="Z40" s="6">
        <f>[1]节奏总纲!Z40</f>
        <v>0.44661283225937076</v>
      </c>
      <c r="AA40" s="6">
        <f>[1]节奏总纲!AA40</f>
        <v>0.26117877346593676</v>
      </c>
      <c r="AC40" s="6">
        <v>37</v>
      </c>
      <c r="AD40" s="6">
        <f>[1]节奏总纲!AD40</f>
        <v>52.470630686057078</v>
      </c>
      <c r="AE40" s="6">
        <f>[1]节奏总纲!AE40</f>
        <v>54.407116521581436</v>
      </c>
      <c r="AF40" s="6">
        <f>[1]节奏总纲!AF40</f>
        <v>57.263329041432932</v>
      </c>
      <c r="AG40" s="6">
        <f>[1]节奏总纲!AG40</f>
        <v>61.676518787205197</v>
      </c>
      <c r="AH40" s="6">
        <f>[1]节奏总纲!AH40</f>
        <v>70.190427169053478</v>
      </c>
      <c r="AL40" s="6">
        <v>37</v>
      </c>
      <c r="AM40" s="6">
        <f>[1]节奏总纲!AM40</f>
        <v>85.62747641525452</v>
      </c>
      <c r="AN40" s="6">
        <f>[1]节奏总纲!AN40</f>
        <v>68.501981132203625</v>
      </c>
      <c r="AO40" s="6">
        <f>[1]节奏总纲!AO40</f>
        <v>51.376485849152708</v>
      </c>
      <c r="AP40" s="6">
        <f>[1]节奏总纲!AP40</f>
        <v>34.250990566101812</v>
      </c>
      <c r="AQ40" s="6">
        <f>[1]节奏总纲!AQ40</f>
        <v>17.125495283050906</v>
      </c>
      <c r="AS40" s="6">
        <v>37</v>
      </c>
      <c r="AT40" s="6">
        <f>[1]节奏总纲!AT40</f>
        <v>11.880614748246202</v>
      </c>
      <c r="AU40" s="6">
        <f>[1]节奏总纲!AU40</f>
        <v>9.5044917985969661</v>
      </c>
      <c r="AV40" s="6">
        <f>[1]节奏总纲!AV40</f>
        <v>7.1283688489477157</v>
      </c>
      <c r="AW40" s="6">
        <f>[1]节奏总纲!AW40</f>
        <v>4.7522458992984831</v>
      </c>
      <c r="AX40" s="6">
        <f>[1]节奏总纲!AX40</f>
        <v>2.3761229496492415</v>
      </c>
      <c r="AY40" s="6"/>
      <c r="AZ40" s="6">
        <v>37</v>
      </c>
      <c r="BA40" s="6">
        <f>[1]节奏总纲!BA40</f>
        <v>31.621225803361821</v>
      </c>
      <c r="BB40" s="6">
        <f>[1]节奏总纲!BB40</f>
        <v>33.02082518821102</v>
      </c>
      <c r="BC40" s="6">
        <f>[1]节奏总纲!BC40</f>
        <v>34.804737466754489</v>
      </c>
      <c r="BD40" s="6">
        <f>[1]节奏总纲!BD40</f>
        <v>37.498964956033646</v>
      </c>
      <c r="BE40" s="6">
        <f>[1]节奏总纲!BE40</f>
        <v>42.167148737437564</v>
      </c>
    </row>
    <row r="41" spans="2:57" x14ac:dyDescent="0.15">
      <c r="F41" s="6">
        <f>[1]节奏总纲!F41</f>
        <v>39</v>
      </c>
      <c r="G41" s="6">
        <f>[1]节奏总纲!G41</f>
        <v>13.928527864588917</v>
      </c>
      <c r="I41" s="6">
        <f>[1]节奏总纲!I41</f>
        <v>39</v>
      </c>
      <c r="J41" s="6">
        <f>[1]节奏总纲!J41</f>
        <v>115.36769098598003</v>
      </c>
      <c r="K41" s="6">
        <f>[1]节奏总纲!K41</f>
        <v>1.04</v>
      </c>
      <c r="N41" s="6">
        <f>[1]节奏总纲!N41</f>
        <v>48</v>
      </c>
      <c r="O41" s="6">
        <v>38</v>
      </c>
      <c r="P41" s="6">
        <f>[1]节奏总纲!P41</f>
        <v>12.928809012737984</v>
      </c>
      <c r="Q41" s="6">
        <f>[1]节奏总纲!Q41</f>
        <v>11.292021791725356</v>
      </c>
      <c r="R41" s="6">
        <f>[1]节奏总纲!R41</f>
        <v>9.3190855363815395</v>
      </c>
      <c r="S41" s="6">
        <f>[1]节奏总纲!S41</f>
        <v>6.8962267273944402</v>
      </c>
      <c r="T41" s="6">
        <f>[1]节奏总纲!T41</f>
        <v>3.8708854184137524</v>
      </c>
      <c r="V41" s="6">
        <v>38</v>
      </c>
      <c r="W41" s="6">
        <f>[1]节奏总纲!W41</f>
        <v>0.93277067103821665</v>
      </c>
      <c r="X41" s="6">
        <f>[1]节奏总纲!X41</f>
        <v>0.80868388491392906</v>
      </c>
      <c r="Y41" s="6">
        <f>[1]节奏总纲!Y41</f>
        <v>0.65194783450345639</v>
      </c>
      <c r="Z41" s="6">
        <f>[1]节奏总纲!Z41</f>
        <v>0.4795458184192336</v>
      </c>
      <c r="AA41" s="6">
        <f>[1]节奏总纲!AA41</f>
        <v>0.2708743120696524</v>
      </c>
      <c r="AC41" s="6">
        <v>38</v>
      </c>
      <c r="AD41" s="6">
        <f>[1]节奏总纲!AD41</f>
        <v>52.849666392872081</v>
      </c>
      <c r="AE41" s="6">
        <f>[1]节奏总纲!AE41</f>
        <v>54.793943482513676</v>
      </c>
      <c r="AF41" s="6">
        <f>[1]节奏总纲!AF41</f>
        <v>57.64832002380362</v>
      </c>
      <c r="AG41" s="6">
        <f>[1]节奏总纲!AG41</f>
        <v>62.054222259937362</v>
      </c>
      <c r="AH41" s="6">
        <f>[1]节奏总纲!AH41</f>
        <v>70.571129226337533</v>
      </c>
      <c r="AL41" s="6">
        <v>38</v>
      </c>
      <c r="AM41" s="6">
        <f>[1]节奏总纲!AM41</f>
        <v>99.401036064365428</v>
      </c>
      <c r="AN41" s="6">
        <f>[1]节奏总纲!AN41</f>
        <v>79.520828851492354</v>
      </c>
      <c r="AO41" s="6">
        <f>[1]节奏总纲!AO41</f>
        <v>59.640621638619251</v>
      </c>
      <c r="AP41" s="6">
        <f>[1]节奏总纲!AP41</f>
        <v>39.760414425746177</v>
      </c>
      <c r="AQ41" s="6">
        <f>[1]节奏总纲!AQ41</f>
        <v>19.880207212873088</v>
      </c>
      <c r="AS41" s="6">
        <v>38</v>
      </c>
      <c r="AT41" s="6">
        <f>[1]节奏总纲!AT41</f>
        <v>13.773559649110908</v>
      </c>
      <c r="AU41" s="6">
        <f>[1]节奏总纲!AU41</f>
        <v>11.018847719288729</v>
      </c>
      <c r="AV41" s="6">
        <f>[1]节奏总纲!AV41</f>
        <v>8.2641357894665433</v>
      </c>
      <c r="AW41" s="6">
        <f>[1]节奏总纲!AW41</f>
        <v>5.5094238596443645</v>
      </c>
      <c r="AX41" s="6">
        <f>[1]节奏总纲!AX41</f>
        <v>2.7547119298221823</v>
      </c>
      <c r="AY41" s="6"/>
      <c r="AZ41" s="6">
        <v>38</v>
      </c>
      <c r="BA41" s="6">
        <f>[1]节奏总纲!BA41</f>
        <v>31.791783505653711</v>
      </c>
      <c r="BB41" s="6">
        <f>[1]节奏总纲!BB41</f>
        <v>33.176527924103851</v>
      </c>
      <c r="BC41" s="6">
        <f>[1]节奏总纲!BC41</f>
        <v>34.982248860614042</v>
      </c>
      <c r="BD41" s="6">
        <f>[1]节奏总纲!BD41</f>
        <v>37.680472138177471</v>
      </c>
      <c r="BE41" s="6">
        <f>[1]节奏总纲!BE41</f>
        <v>42.340712512072891</v>
      </c>
    </row>
    <row r="42" spans="2:57" x14ac:dyDescent="0.15">
      <c r="F42" s="6">
        <f>[1]节奏总纲!F42</f>
        <v>40</v>
      </c>
      <c r="G42" s="6">
        <f>[1]节奏总纲!G42</f>
        <v>15</v>
      </c>
      <c r="I42" s="6">
        <f>[1]节奏总纲!I42</f>
        <v>40</v>
      </c>
      <c r="J42" s="6">
        <f>[1]节奏总纲!J42</f>
        <v>133.875</v>
      </c>
      <c r="K42" s="6">
        <f>[1]节奏总纲!K42</f>
        <v>1.05</v>
      </c>
      <c r="N42" s="6">
        <f>[1]节奏总纲!N42</f>
        <v>49</v>
      </c>
      <c r="O42" s="6">
        <v>39</v>
      </c>
      <c r="P42" s="6">
        <f>[1]节奏总纲!P42</f>
        <v>13.928527864588917</v>
      </c>
      <c r="Q42" s="6">
        <f>[1]节奏总纲!Q42</f>
        <v>12.147069150707994</v>
      </c>
      <c r="R42" s="6">
        <f>[1]节奏总纲!R42</f>
        <v>10.016004387425889</v>
      </c>
      <c r="S42" s="6">
        <f>[1]节奏总纲!S42</f>
        <v>7.4197267934665154</v>
      </c>
      <c r="T42" s="6">
        <f>[1]节奏总纲!T42</f>
        <v>4.1702012426579218</v>
      </c>
      <c r="V42" s="6">
        <v>39</v>
      </c>
      <c r="W42" s="6">
        <f>[1]节奏总纲!W42</f>
        <v>0.99971885185093257</v>
      </c>
      <c r="X42" s="6">
        <f>[1]节奏总纲!X42</f>
        <v>0.85504735898263817</v>
      </c>
      <c r="Y42" s="6">
        <f>[1]节奏总纲!Y42</f>
        <v>0.69691885104434981</v>
      </c>
      <c r="Z42" s="6">
        <f>[1]节奏总纲!Z42</f>
        <v>0.52350006607207522</v>
      </c>
      <c r="AA42" s="6">
        <f>[1]节奏总纲!AA42</f>
        <v>0.29931582424416936</v>
      </c>
      <c r="AC42" s="6">
        <v>39</v>
      </c>
      <c r="AD42" s="6">
        <f>[1]节奏总纲!AD42</f>
        <v>53.213386604241784</v>
      </c>
      <c r="AE42" s="6">
        <f>[1]节奏总纲!AE42</f>
        <v>55.170390866416149</v>
      </c>
      <c r="AF42" s="6">
        <f>[1]节奏总纲!AF42</f>
        <v>58.030740707238266</v>
      </c>
      <c r="AG42" s="6">
        <f>[1]节奏总纲!AG42</f>
        <v>62.407376554018477</v>
      </c>
      <c r="AH42" s="6">
        <f>[1]节奏总纲!AH42</f>
        <v>70.951831283621587</v>
      </c>
      <c r="AL42" s="6">
        <v>39</v>
      </c>
      <c r="AM42" s="6">
        <f>[1]节奏总纲!AM42</f>
        <v>115.36769098598003</v>
      </c>
      <c r="AN42" s="6">
        <f>[1]节奏总纲!AN42</f>
        <v>92.294152788784032</v>
      </c>
      <c r="AO42" s="6">
        <f>[1]节奏总纲!AO42</f>
        <v>69.220614591588017</v>
      </c>
      <c r="AP42" s="6">
        <f>[1]节奏总纲!AP42</f>
        <v>46.147076394392016</v>
      </c>
      <c r="AQ42" s="6">
        <f>[1]节奏总纲!AQ42</f>
        <v>23.073538197196008</v>
      </c>
      <c r="AS42" s="6">
        <v>39</v>
      </c>
      <c r="AT42" s="6">
        <f>[1]节奏总纲!AT42</f>
        <v>15.966654921614605</v>
      </c>
      <c r="AU42" s="6">
        <f>[1]节奏总纲!AU42</f>
        <v>12.773323937291678</v>
      </c>
      <c r="AV42" s="6">
        <f>[1]节奏总纲!AV42</f>
        <v>9.579992952968766</v>
      </c>
      <c r="AW42" s="6">
        <f>[1]节奏总纲!AW42</f>
        <v>6.3866619686458392</v>
      </c>
      <c r="AX42" s="6">
        <f>[1]节奏总纲!AX42</f>
        <v>3.1933309843229196</v>
      </c>
      <c r="AY42" s="6"/>
      <c r="AZ42" s="6">
        <v>39</v>
      </c>
      <c r="BA42" s="6">
        <f>[1]节奏总纲!BA42</f>
        <v>31.962341207945599</v>
      </c>
      <c r="BB42" s="6">
        <f>[1]节奏总纲!BB42</f>
        <v>33.332230659996682</v>
      </c>
      <c r="BC42" s="6">
        <f>[1]节奏总纲!BC42</f>
        <v>35.146386283795508</v>
      </c>
      <c r="BD42" s="6">
        <f>[1]节奏总纲!BD42</f>
        <v>37.861979320321296</v>
      </c>
      <c r="BE42" s="6">
        <f>[1]节奏总纲!BE42</f>
        <v>42.51427628670821</v>
      </c>
    </row>
    <row r="43" spans="2:57" x14ac:dyDescent="0.15">
      <c r="F43" s="6">
        <f>[1]节奏总纲!F43</f>
        <v>41</v>
      </c>
      <c r="G43" s="6">
        <f>[1]节奏总纲!G43</f>
        <v>16.148375400580683</v>
      </c>
      <c r="I43" s="6">
        <f>[1]节奏总纲!I43</f>
        <v>41</v>
      </c>
      <c r="J43" s="6">
        <f>[1]节奏总纲!J43</f>
        <v>155.32539280599755</v>
      </c>
      <c r="K43" s="6">
        <f>[1]节奏总纲!K43</f>
        <v>1.06</v>
      </c>
      <c r="N43" s="6">
        <f>[1]节奏总纲!N43</f>
        <v>50</v>
      </c>
      <c r="O43" s="6">
        <v>40</v>
      </c>
      <c r="P43" s="6">
        <f>[1]节奏总纲!P43</f>
        <v>15</v>
      </c>
      <c r="Q43" s="6">
        <f>[1]节奏总纲!Q43</f>
        <v>13.059000000000001</v>
      </c>
      <c r="R43" s="6">
        <f>[1]节奏总纲!R43</f>
        <v>10.782</v>
      </c>
      <c r="S43" s="6">
        <f>[1]节奏总纲!S43</f>
        <v>8.0009999999999994</v>
      </c>
      <c r="T43" s="6">
        <f>[1]节奏总纲!T43</f>
        <v>4.5</v>
      </c>
      <c r="V43" s="6">
        <v>40</v>
      </c>
      <c r="W43" s="6">
        <f>[1]节奏总纲!W43</f>
        <v>1.0714721354110832</v>
      </c>
      <c r="X43" s="6">
        <f>[1]节奏总纲!X43</f>
        <v>0.9119308492920073</v>
      </c>
      <c r="Y43" s="6">
        <f>[1]节奏总纲!Y43</f>
        <v>0.76599561257411075</v>
      </c>
      <c r="Z43" s="6">
        <f>[1]节奏总纲!Z43</f>
        <v>0.58127320653348402</v>
      </c>
      <c r="AA43" s="6">
        <f>[1]节奏总纲!AA43</f>
        <v>0.3297987573420782</v>
      </c>
      <c r="AC43" s="6">
        <v>40</v>
      </c>
      <c r="AD43" s="6">
        <f>[1]节奏总纲!AD43</f>
        <v>53.567039423670657</v>
      </c>
      <c r="AE43" s="6">
        <f>[1]节奏总纲!AE43</f>
        <v>55.535006783542492</v>
      </c>
      <c r="AF43" s="6">
        <f>[1]节奏总纲!AF43</f>
        <v>58.38602553461638</v>
      </c>
      <c r="AG43" s="6">
        <f>[1]节奏总纲!AG43</f>
        <v>62.760530848099599</v>
      </c>
      <c r="AH43" s="6">
        <f>[1]节奏总纲!AH43</f>
        <v>71.315281959371688</v>
      </c>
      <c r="AL43" s="6">
        <v>40</v>
      </c>
      <c r="AM43" s="6">
        <f>[1]节奏总纲!AM43</f>
        <v>133.875</v>
      </c>
      <c r="AN43" s="6">
        <f>[1]节奏总纲!AN43</f>
        <v>107.10000000000001</v>
      </c>
      <c r="AO43" s="6">
        <f>[1]节奏总纲!AO43</f>
        <v>80.325000000000003</v>
      </c>
      <c r="AP43" s="6">
        <f>[1]节奏总纲!AP43</f>
        <v>53.550000000000004</v>
      </c>
      <c r="AQ43" s="6">
        <f>[1]节奏总纲!AQ43</f>
        <v>26.775000000000002</v>
      </c>
      <c r="AS43" s="6">
        <v>40</v>
      </c>
      <c r="AT43" s="6">
        <f>[1]节奏总纲!AT43</f>
        <v>18.507309014019967</v>
      </c>
      <c r="AU43" s="6">
        <f>[1]节奏总纲!AU43</f>
        <v>14.805847211215976</v>
      </c>
      <c r="AV43" s="6">
        <f>[1]节奏总纲!AV43</f>
        <v>11.104385408411986</v>
      </c>
      <c r="AW43" s="6">
        <f>[1]节奏总纲!AW43</f>
        <v>7.4029236056079881</v>
      </c>
      <c r="AX43" s="6">
        <f>[1]节奏总纲!AX43</f>
        <v>3.7014618028039941</v>
      </c>
      <c r="AY43" s="6"/>
      <c r="AZ43" s="6">
        <v>40</v>
      </c>
      <c r="BA43" s="6">
        <f>[1]节奏总纲!BA43</f>
        <v>32.113552950216736</v>
      </c>
      <c r="BB43" s="6">
        <f>[1]节奏总纲!BB43</f>
        <v>33.487933395889513</v>
      </c>
      <c r="BC43" s="6">
        <f>[1]节奏总纲!BC43</f>
        <v>35.309037710234961</v>
      </c>
      <c r="BD43" s="6">
        <f>[1]节奏总纲!BD43</f>
        <v>38.037513426486328</v>
      </c>
      <c r="BE43" s="6">
        <f>[1]节奏总纲!BE43</f>
        <v>42.687840061343536</v>
      </c>
    </row>
    <row r="44" spans="2:57" x14ac:dyDescent="0.15">
      <c r="F44" s="6">
        <f>[1]节奏总纲!F44</f>
        <v>42</v>
      </c>
      <c r="G44" s="6">
        <f>[1]节奏总纲!G44</f>
        <v>17.379173679952558</v>
      </c>
      <c r="I44" s="6">
        <f>[1]节奏总纲!I44</f>
        <v>42</v>
      </c>
      <c r="J44" s="6">
        <f>[1]节奏总纲!J44</f>
        <v>180.18480345945557</v>
      </c>
      <c r="K44" s="6">
        <f>[1]节奏总纲!K44</f>
        <v>1.07</v>
      </c>
      <c r="N44" s="6">
        <f>[1]节奏总纲!N44</f>
        <v>51</v>
      </c>
      <c r="O44" s="6">
        <v>41</v>
      </c>
      <c r="P44" s="6">
        <f>[1]节奏总纲!P44</f>
        <v>16.148375400580683</v>
      </c>
      <c r="Q44" s="6">
        <f>[1]节奏总纲!Q44</f>
        <v>14.065234973905774</v>
      </c>
      <c r="R44" s="6">
        <f>[1]节奏总纲!R44</f>
        <v>11.621985775797917</v>
      </c>
      <c r="S44" s="6">
        <f>[1]节奏总纲!S44</f>
        <v>8.6296918140703163</v>
      </c>
      <c r="T44" s="6">
        <f>[1]节奏总纲!T44</f>
        <v>4.8606609955747855</v>
      </c>
      <c r="V44" s="6">
        <v>41</v>
      </c>
      <c r="W44" s="6">
        <f>[1]节奏总纲!W44</f>
        <v>1.148375400580683</v>
      </c>
      <c r="X44" s="6">
        <f>[1]节奏总纲!X44</f>
        <v>1.006234973905773</v>
      </c>
      <c r="Y44" s="6">
        <f>[1]节奏总纲!Y44</f>
        <v>0.839985775797917</v>
      </c>
      <c r="Z44" s="6">
        <f>[1]节奏总纲!Z44</f>
        <v>0.62869181407031682</v>
      </c>
      <c r="AA44" s="6">
        <f>[1]节奏总纲!AA44</f>
        <v>0.36066099557478548</v>
      </c>
      <c r="AC44" s="6">
        <v>41</v>
      </c>
      <c r="AD44" s="6">
        <f>[1]节奏总纲!AD44</f>
        <v>53.920692243099523</v>
      </c>
      <c r="AE44" s="6">
        <f>[1]节奏总纲!AE44</f>
        <v>55.899622700668843</v>
      </c>
      <c r="AF44" s="6">
        <f>[1]节奏总纲!AF44</f>
        <v>58.741310361994486</v>
      </c>
      <c r="AG44" s="6">
        <f>[1]节奏总纲!AG44</f>
        <v>63.10587219844583</v>
      </c>
      <c r="AH44" s="6">
        <f>[1]节奏总纲!AH44</f>
        <v>71.676233707038421</v>
      </c>
      <c r="AL44" s="6">
        <v>41</v>
      </c>
      <c r="AM44" s="6">
        <f>[1]节奏总纲!AM44</f>
        <v>155.32539280599755</v>
      </c>
      <c r="AN44" s="6">
        <f>[1]节奏总纲!AN44</f>
        <v>124.26031424479805</v>
      </c>
      <c r="AO44" s="6">
        <f>[1]节奏总纲!AO44</f>
        <v>93.195235683598526</v>
      </c>
      <c r="AP44" s="6">
        <f>[1]节奏总纲!AP44</f>
        <v>62.130157122399027</v>
      </c>
      <c r="AQ44" s="6">
        <f>[1]节奏总纲!AQ44</f>
        <v>31.065078561199513</v>
      </c>
      <c r="AS44" s="6">
        <v>41</v>
      </c>
      <c r="AT44" s="6">
        <f>[1]节奏总纲!AT44</f>
        <v>21.450392805997552</v>
      </c>
      <c r="AU44" s="6">
        <f>[1]节奏总纲!AU44</f>
        <v>17.160314244798045</v>
      </c>
      <c r="AV44" s="6">
        <f>[1]节奏总纲!AV44</f>
        <v>12.870235683598523</v>
      </c>
      <c r="AW44" s="6">
        <f>[1]节奏总纲!AW44</f>
        <v>8.5801571223990223</v>
      </c>
      <c r="AX44" s="6">
        <f>[1]节奏总纲!AX44</f>
        <v>4.2900785611995111</v>
      </c>
      <c r="AY44" s="6"/>
      <c r="AZ44" s="6">
        <v>41</v>
      </c>
      <c r="BA44" s="6">
        <f>[1]节奏总纲!BA44</f>
        <v>32.259282740196369</v>
      </c>
      <c r="BB44" s="6">
        <f>[1]节奏总纲!BB44</f>
        <v>33.643636131782344</v>
      </c>
      <c r="BC44" s="6">
        <f>[1]节奏总纲!BC44</f>
        <v>35.471689136674414</v>
      </c>
      <c r="BD44" s="6">
        <f>[1]节奏总纲!BD44</f>
        <v>38.194089742081125</v>
      </c>
      <c r="BE44" s="6">
        <f>[1]节奏总纲!BE44</f>
        <v>42.861403835978855</v>
      </c>
    </row>
    <row r="45" spans="2:57" x14ac:dyDescent="0.15">
      <c r="F45" s="6">
        <f>[1]节奏总纲!F45</f>
        <v>43</v>
      </c>
      <c r="G45" s="6">
        <f>[1]节奏总纲!G45</f>
        <v>18.698310613518661</v>
      </c>
      <c r="I45" s="6">
        <f>[1]节奏总纲!I45</f>
        <v>43</v>
      </c>
      <c r="J45" s="6">
        <f>[1]节奏总纲!J45</f>
        <v>208.99265815439742</v>
      </c>
      <c r="K45" s="6">
        <f>[1]节奏总纲!K45</f>
        <v>1.08</v>
      </c>
      <c r="N45" s="6">
        <f>[1]节奏总纲!N45</f>
        <v>52</v>
      </c>
      <c r="O45" s="6">
        <v>42</v>
      </c>
      <c r="P45" s="6">
        <f>[1]节奏总纲!P45</f>
        <v>17.379173679952558</v>
      </c>
      <c r="Q45" s="6">
        <f>[1]节奏总纲!Q45</f>
        <v>15.182446126806555</v>
      </c>
      <c r="R45" s="6">
        <f>[1]节奏总纲!R45</f>
        <v>12.547763396925747</v>
      </c>
      <c r="S45" s="6">
        <f>[1]节奏总纲!S45</f>
        <v>9.3221887619265527</v>
      </c>
      <c r="T45" s="6">
        <f>[1]节奏总纲!T45</f>
        <v>5.2485104513456724</v>
      </c>
      <c r="V45" s="6">
        <v>42</v>
      </c>
      <c r="W45" s="6">
        <f>[1]节奏总纲!W45</f>
        <v>1.230798279371875</v>
      </c>
      <c r="X45" s="6">
        <f>[1]节奏总纲!X45</f>
        <v>1.1172111529007811</v>
      </c>
      <c r="Y45" s="6">
        <f>[1]节奏总纲!Y45</f>
        <v>0.92577762112783013</v>
      </c>
      <c r="Z45" s="6">
        <f>[1]节奏总纲!Z45</f>
        <v>0.69249694785623639</v>
      </c>
      <c r="AA45" s="6">
        <f>[1]节奏总纲!AA45</f>
        <v>0.38784945577088692</v>
      </c>
      <c r="AC45" s="6">
        <v>42</v>
      </c>
      <c r="AD45" s="6">
        <f>[1]节奏总纲!AD45</f>
        <v>54.255972994404218</v>
      </c>
      <c r="AE45" s="6">
        <f>[1]节奏总纲!AE45</f>
        <v>56.238779717153008</v>
      </c>
      <c r="AF45" s="6">
        <f>[1]节奏总纲!AF45</f>
        <v>59.09095196730258</v>
      </c>
      <c r="AG45" s="6">
        <f>[1]节奏总纲!AG45</f>
        <v>63.434756173851497</v>
      </c>
      <c r="AH45" s="6">
        <f>[1]节奏总纲!AH45</f>
        <v>72.034562459436771</v>
      </c>
      <c r="AL45" s="6">
        <v>42</v>
      </c>
      <c r="AM45" s="6">
        <f>[1]节奏总纲!AM45</f>
        <v>180.18480345945557</v>
      </c>
      <c r="AN45" s="6">
        <f>[1]节奏总纲!AN45</f>
        <v>144.14784276756447</v>
      </c>
      <c r="AO45" s="6">
        <f>[1]节奏总纲!AO45</f>
        <v>108.11088207567333</v>
      </c>
      <c r="AP45" s="6">
        <f>[1]节奏总纲!AP45</f>
        <v>72.073921383782235</v>
      </c>
      <c r="AQ45" s="6">
        <f>[1]节奏总纲!AQ45</f>
        <v>36.036960691891117</v>
      </c>
      <c r="AS45" s="6">
        <v>42</v>
      </c>
      <c r="AT45" s="6">
        <f>[1]节奏总纲!AT45</f>
        <v>24.859410653458013</v>
      </c>
      <c r="AU45" s="6">
        <f>[1]节奏总纲!AU45</f>
        <v>19.887528522766416</v>
      </c>
      <c r="AV45" s="6">
        <f>[1]节奏总纲!AV45</f>
        <v>14.915646392074805</v>
      </c>
      <c r="AW45" s="6">
        <f>[1]节奏总纲!AW45</f>
        <v>9.9437642613832082</v>
      </c>
      <c r="AX45" s="6">
        <f>[1]节奏总纲!AX45</f>
        <v>4.9718821306916041</v>
      </c>
      <c r="AY45" s="6"/>
      <c r="AZ45" s="6">
        <v>42</v>
      </c>
      <c r="BA45" s="6">
        <f>[1]节奏总纲!BA45</f>
        <v>32.405012530176009</v>
      </c>
      <c r="BB45" s="6">
        <f>[1]节奏总纲!BB45</f>
        <v>33.799338867675175</v>
      </c>
      <c r="BC45" s="6">
        <f>[1]节奏总纲!BC45</f>
        <v>35.634340563113874</v>
      </c>
      <c r="BD45" s="6">
        <f>[1]节奏总纲!BD45</f>
        <v>38.35066605767593</v>
      </c>
      <c r="BE45" s="6">
        <f>[1]节奏总纲!BE45</f>
        <v>43.030177309109042</v>
      </c>
    </row>
    <row r="46" spans="2:57" x14ac:dyDescent="0.15">
      <c r="F46" s="6">
        <f>[1]节奏总纲!F46</f>
        <v>44</v>
      </c>
      <c r="G46" s="6">
        <f>[1]节奏总纲!G46</f>
        <v>20.112126572366307</v>
      </c>
      <c r="I46" s="6">
        <f>[1]节奏总纲!I46</f>
        <v>44</v>
      </c>
      <c r="J46" s="6">
        <f>[1]节奏总纲!J46</f>
        <v>242.37342918215046</v>
      </c>
      <c r="K46" s="6">
        <f>[1]节奏总纲!K46</f>
        <v>1.0900000000000001</v>
      </c>
      <c r="N46" s="6">
        <f>[1]节奏总纲!N46</f>
        <v>53</v>
      </c>
      <c r="O46" s="6">
        <v>43</v>
      </c>
      <c r="P46" s="6">
        <f>[1]节奏总纲!P46</f>
        <v>18.698310613518661</v>
      </c>
      <c r="Q46" s="6">
        <f>[1]节奏总纲!Q46</f>
        <v>16.338583814092605</v>
      </c>
      <c r="R46" s="6">
        <f>[1]节奏总纲!R46</f>
        <v>13.509529418267233</v>
      </c>
      <c r="S46" s="6">
        <f>[1]节奏总纲!S46</f>
        <v>10.020424657784652</v>
      </c>
      <c r="T46" s="6">
        <f>[1]节奏总纲!T46</f>
        <v>5.6394104810372276</v>
      </c>
      <c r="V46" s="6">
        <v>43</v>
      </c>
      <c r="W46" s="6">
        <f>[1]节奏总纲!W46</f>
        <v>1.319136933566103</v>
      </c>
      <c r="X46" s="6">
        <f>[1]节奏总纲!X46</f>
        <v>1.1561376872860496</v>
      </c>
      <c r="Y46" s="6">
        <f>[1]节奏总纲!Y46</f>
        <v>0.96176602134148581</v>
      </c>
      <c r="Z46" s="6">
        <f>[1]节奏总纲!Z46</f>
        <v>0.6982358958580992</v>
      </c>
      <c r="AA46" s="6">
        <f>[1]节奏总纲!AA46</f>
        <v>0.39090002969155524</v>
      </c>
      <c r="AC46" s="6">
        <v>43</v>
      </c>
      <c r="AD46" s="6">
        <f>[1]节奏总纲!AD46</f>
        <v>54.585942742481357</v>
      </c>
      <c r="AE46" s="6">
        <f>[1]节奏总纲!AE46</f>
        <v>56.568265567054013</v>
      </c>
      <c r="AF46" s="6">
        <f>[1]节奏总纲!AF46</f>
        <v>59.425480572843689</v>
      </c>
      <c r="AG46" s="6">
        <f>[1]节奏总纲!AG46</f>
        <v>63.763640149257171</v>
      </c>
      <c r="AH46" s="6">
        <f>[1]节奏总纲!AH46</f>
        <v>72.370053318329937</v>
      </c>
      <c r="AL46" s="6">
        <v>43</v>
      </c>
      <c r="AM46" s="6">
        <f>[1]节奏总纲!AM46</f>
        <v>208.99265815439742</v>
      </c>
      <c r="AN46" s="6">
        <f>[1]节奏总纲!AN46</f>
        <v>167.19412652351795</v>
      </c>
      <c r="AO46" s="6">
        <f>[1]节奏总纲!AO46</f>
        <v>125.39559489263844</v>
      </c>
      <c r="AP46" s="6">
        <f>[1]节奏总纲!AP46</f>
        <v>83.597063261758976</v>
      </c>
      <c r="AQ46" s="6">
        <f>[1]节奏总纲!AQ46</f>
        <v>41.798531630879488</v>
      </c>
      <c r="AS46" s="6">
        <v>43</v>
      </c>
      <c r="AT46" s="6">
        <f>[1]节奏总纲!AT46</f>
        <v>28.807854694941852</v>
      </c>
      <c r="AU46" s="6">
        <f>[1]节奏总纲!AU46</f>
        <v>23.046283755953482</v>
      </c>
      <c r="AV46" s="6">
        <f>[1]节奏总纲!AV46</f>
        <v>17.284712816965111</v>
      </c>
      <c r="AW46" s="6">
        <f>[1]节奏总纲!AW46</f>
        <v>11.523141877976741</v>
      </c>
      <c r="AX46" s="6">
        <f>[1]节奏总纲!AX46</f>
        <v>5.7615709389883705</v>
      </c>
      <c r="AY46" s="6"/>
      <c r="AZ46" s="6">
        <v>43</v>
      </c>
      <c r="BA46" s="6">
        <f>[1]节奏总纲!BA46</f>
        <v>32.550742320155642</v>
      </c>
      <c r="BB46" s="6">
        <f>[1]节奏总纲!BB46</f>
        <v>33.955041603568006</v>
      </c>
      <c r="BC46" s="6">
        <f>[1]节奏总纲!BC46</f>
        <v>35.796991989553327</v>
      </c>
      <c r="BD46" s="6">
        <f>[1]节奏总纲!BD46</f>
        <v>38.507242373270728</v>
      </c>
      <c r="BE46" s="6">
        <f>[1]节奏总纲!BE46</f>
        <v>43.179964142847631</v>
      </c>
    </row>
    <row r="47" spans="2:57" x14ac:dyDescent="0.15">
      <c r="F47" s="6">
        <f>[1]节奏总纲!F47</f>
        <v>45</v>
      </c>
      <c r="G47" s="6">
        <f>[1]节奏总纲!G47</f>
        <v>21.627416997969519</v>
      </c>
      <c r="I47" s="6">
        <f>[1]节奏总纲!I47</f>
        <v>45</v>
      </c>
      <c r="J47" s="6">
        <f>[1]节奏总纲!J47</f>
        <v>281.05</v>
      </c>
      <c r="K47" s="6">
        <f>[1]节奏总纲!K47</f>
        <v>1.1000000000000001</v>
      </c>
      <c r="N47" s="6">
        <f>[1]节奏总纲!N47</f>
        <v>54</v>
      </c>
      <c r="O47" s="6">
        <v>44</v>
      </c>
      <c r="P47" s="6">
        <f>[1]节奏总纲!P47</f>
        <v>20.112126572366307</v>
      </c>
      <c r="Q47" s="6">
        <f>[1]节奏总纲!Q47</f>
        <v>17.573976198933678</v>
      </c>
      <c r="R47" s="6">
        <f>[1]节奏总纲!R47</f>
        <v>14.520955385248474</v>
      </c>
      <c r="S47" s="6">
        <f>[1]节奏总纲!S47</f>
        <v>10.768032566844921</v>
      </c>
      <c r="T47" s="6">
        <f>[1]节奏总纲!T47</f>
        <v>6.0537500982822579</v>
      </c>
      <c r="V47" s="6">
        <v>44</v>
      </c>
      <c r="W47" s="6">
        <f>[1]节奏总纲!W47</f>
        <v>1.4138159588476462</v>
      </c>
      <c r="X47" s="6">
        <f>[1]节奏总纲!X47</f>
        <v>1.2353923848410737</v>
      </c>
      <c r="Y47" s="6">
        <f>[1]节奏总纲!Y47</f>
        <v>1.0114259669812409</v>
      </c>
      <c r="Z47" s="6">
        <f>[1]节奏总纲!Z47</f>
        <v>0.74760790906026919</v>
      </c>
      <c r="AA47" s="6">
        <f>[1]节奏总纲!AA47</f>
        <v>0.41433961724503021</v>
      </c>
      <c r="AC47" s="6">
        <v>44</v>
      </c>
      <c r="AD47" s="6">
        <f>[1]节奏总纲!AD47</f>
        <v>54.915912490558505</v>
      </c>
      <c r="AE47" s="6">
        <f>[1]节奏总纲!AE47</f>
        <v>56.897751416955018</v>
      </c>
      <c r="AF47" s="6">
        <f>[1]节奏总纲!AF47</f>
        <v>59.760009178384806</v>
      </c>
      <c r="AG47" s="6">
        <f>[1]节奏总纲!AG47</f>
        <v>64.08760696397195</v>
      </c>
      <c r="AH47" s="6">
        <f>[1]节奏总纲!AH47</f>
        <v>72.705544177223089</v>
      </c>
      <c r="AL47" s="6">
        <v>44</v>
      </c>
      <c r="AM47" s="6">
        <f>[1]节奏总纲!AM47</f>
        <v>242.37342918215046</v>
      </c>
      <c r="AN47" s="6">
        <f>[1]节奏总纲!AN47</f>
        <v>193.89874334572039</v>
      </c>
      <c r="AO47" s="6">
        <f>[1]节奏总纲!AO47</f>
        <v>145.42405750929026</v>
      </c>
      <c r="AP47" s="6">
        <f>[1]节奏总纲!AP47</f>
        <v>96.949371672860195</v>
      </c>
      <c r="AQ47" s="6">
        <f>[1]节奏总纲!AQ47</f>
        <v>48.474685836430098</v>
      </c>
      <c r="AS47" s="6">
        <v>44</v>
      </c>
      <c r="AT47" s="6">
        <f>[1]节奏总纲!AT47</f>
        <v>33.380771027753042</v>
      </c>
      <c r="AU47" s="6">
        <f>[1]节奏总纲!AU47</f>
        <v>26.704616822202439</v>
      </c>
      <c r="AV47" s="6">
        <f>[1]节奏总纲!AV47</f>
        <v>20.028462616651822</v>
      </c>
      <c r="AW47" s="6">
        <f>[1]节奏总纲!AW47</f>
        <v>13.35230841110122</v>
      </c>
      <c r="AX47" s="6">
        <f>[1]节奏总纲!AX47</f>
        <v>6.6761542055506098</v>
      </c>
      <c r="AY47" s="6"/>
      <c r="AZ47" s="6">
        <v>44</v>
      </c>
      <c r="BA47" s="6">
        <f>[1]节奏总纲!BA47</f>
        <v>32.696472110135275</v>
      </c>
      <c r="BB47" s="6">
        <f>[1]节奏总纲!BB47</f>
        <v>34.09469189131628</v>
      </c>
      <c r="BC47" s="6">
        <f>[1]节奏总纲!BC47</f>
        <v>35.95964341599278</v>
      </c>
      <c r="BD47" s="6">
        <f>[1]节奏总纲!BD47</f>
        <v>38.663818688865533</v>
      </c>
      <c r="BE47" s="6">
        <f>[1]节奏总纲!BE47</f>
        <v>43.329750976586219</v>
      </c>
    </row>
    <row r="48" spans="2:57" x14ac:dyDescent="0.15">
      <c r="F48" s="6">
        <f>[1]节奏总纲!F48</f>
        <v>46</v>
      </c>
      <c r="G48" s="6">
        <f>[1]节奏总纲!G48</f>
        <v>23.251465064166357</v>
      </c>
      <c r="I48" s="6">
        <f>[1]节奏总纲!I48</f>
        <v>46</v>
      </c>
      <c r="J48" s="6">
        <f>[1]节奏总纲!J48</f>
        <v>325.85912455595718</v>
      </c>
      <c r="K48" s="6">
        <f>[1]节奏总纲!K48</f>
        <v>1.1100000000000001</v>
      </c>
      <c r="N48" s="6">
        <f>[1]节奏总纲!N48</f>
        <v>55</v>
      </c>
      <c r="O48" s="6">
        <v>45</v>
      </c>
      <c r="P48" s="6">
        <f>[1]节奏总纲!P48</f>
        <v>21.627416997969519</v>
      </c>
      <c r="Q48" s="6">
        <f>[1]节奏总纲!Q48</f>
        <v>18.900199714525563</v>
      </c>
      <c r="R48" s="6">
        <f>[1]节奏总纲!R48</f>
        <v>15.604181364035009</v>
      </c>
      <c r="S48" s="6">
        <f>[1]节奏总纲!S48</f>
        <v>11.572830835613489</v>
      </c>
      <c r="T48" s="6">
        <f>[1]节奏总纲!T48</f>
        <v>6.49903880788984</v>
      </c>
      <c r="V48" s="6">
        <v>45</v>
      </c>
      <c r="W48" s="6">
        <f>[1]节奏总纲!W48</f>
        <v>1.5152904256032116</v>
      </c>
      <c r="X48" s="6">
        <f>[1]节奏总纲!X48</f>
        <v>1.3262235155918844</v>
      </c>
      <c r="Y48" s="6">
        <f>[1]节奏总纲!Y48</f>
        <v>1.083225978786535</v>
      </c>
      <c r="Z48" s="6">
        <f>[1]节奏总纲!Z48</f>
        <v>0.80479826876856819</v>
      </c>
      <c r="AA48" s="6">
        <f>[1]节奏总纲!AA48</f>
        <v>0.44528870960758216</v>
      </c>
      <c r="AC48" s="6">
        <v>45</v>
      </c>
      <c r="AD48" s="6">
        <f>[1]节奏总纲!AD48</f>
        <v>55.229416240679981</v>
      </c>
      <c r="AE48" s="6">
        <f>[1]节奏总纲!AE48</f>
        <v>57.218966664386244</v>
      </c>
      <c r="AF48" s="6">
        <f>[1]节奏总纲!AF48</f>
        <v>60.086674688654931</v>
      </c>
      <c r="AG48" s="6">
        <f>[1]节奏总纲!AG48</f>
        <v>64.399012521055653</v>
      </c>
      <c r="AH48" s="6">
        <f>[1]节奏总纲!AH48</f>
        <v>73.037155126421851</v>
      </c>
      <c r="AL48" s="6">
        <v>45</v>
      </c>
      <c r="AM48" s="6">
        <f>[1]节奏总纲!AM48</f>
        <v>281.05</v>
      </c>
      <c r="AN48" s="6">
        <f>[1]节奏总纲!AN48</f>
        <v>224.84000000000003</v>
      </c>
      <c r="AO48" s="6">
        <f>[1]节奏总纲!AO48</f>
        <v>168.63</v>
      </c>
      <c r="AP48" s="6">
        <f>[1]节奏总纲!AP48</f>
        <v>112.42000000000002</v>
      </c>
      <c r="AQ48" s="6">
        <f>[1]节奏总纲!AQ48</f>
        <v>56.210000000000008</v>
      </c>
      <c r="AS48" s="6">
        <v>45</v>
      </c>
      <c r="AT48" s="6">
        <f>[1]节奏总纲!AT48</f>
        <v>38.676570817849552</v>
      </c>
      <c r="AU48" s="6">
        <f>[1]节奏总纲!AU48</f>
        <v>30.941256654279641</v>
      </c>
      <c r="AV48" s="6">
        <f>[1]节奏总纲!AV48</f>
        <v>23.205942490709731</v>
      </c>
      <c r="AW48" s="6">
        <f>[1]节奏总纲!AW48</f>
        <v>15.470628327139821</v>
      </c>
      <c r="AX48" s="6">
        <f>[1]节奏总纲!AX48</f>
        <v>7.7353141635699103</v>
      </c>
      <c r="AY48" s="6"/>
      <c r="AZ48" s="6">
        <v>45</v>
      </c>
      <c r="BA48" s="6">
        <f>[1]节奏总纲!BA48</f>
        <v>32.842201900114915</v>
      </c>
      <c r="BB48" s="6">
        <f>[1]节奏总纲!BB48</f>
        <v>34.227825436710944</v>
      </c>
      <c r="BC48" s="6">
        <f>[1]节奏总纲!BC48</f>
        <v>36.105477566569242</v>
      </c>
      <c r="BD48" s="6">
        <f>[1]节奏总纲!BD48</f>
        <v>38.82039500446033</v>
      </c>
      <c r="BE48" s="6">
        <f>[1]节奏总纲!BE48</f>
        <v>43.479537810324807</v>
      </c>
    </row>
    <row r="49" spans="6:57" x14ac:dyDescent="0.15">
      <c r="F49" s="6">
        <f>[1]节奏总纲!F49</f>
        <v>47</v>
      </c>
      <c r="G49" s="6">
        <f>[1]节奏总纲!G49</f>
        <v>24.992076683399535</v>
      </c>
      <c r="I49" s="6">
        <f>[1]节奏总纲!I49</f>
        <v>47</v>
      </c>
      <c r="J49" s="6">
        <f>[1]节奏总纲!J49</f>
        <v>377.76930817680426</v>
      </c>
      <c r="K49" s="6">
        <f>[1]节奏总纲!K49</f>
        <v>1.1200000000000001</v>
      </c>
      <c r="N49" s="6">
        <f>[1]节奏总纲!N49</f>
        <v>56</v>
      </c>
      <c r="O49" s="6">
        <v>46</v>
      </c>
      <c r="P49" s="6">
        <f>[1]节奏总纲!P49</f>
        <v>23.251465064166357</v>
      </c>
      <c r="Q49" s="6">
        <f>[1]节奏总纲!Q49</f>
        <v>20.310154733549314</v>
      </c>
      <c r="R49" s="6">
        <f>[1]节奏总纲!R49</f>
        <v>16.757330871744692</v>
      </c>
      <c r="S49" s="6">
        <f>[1]节奏总纲!S49</f>
        <v>12.425582930290501</v>
      </c>
      <c r="T49" s="6">
        <f>[1]节奏总纲!T49</f>
        <v>6.9545132006921566</v>
      </c>
      <c r="V49" s="6">
        <v>46</v>
      </c>
      <c r="W49" s="6">
        <f>[1]节奏总纲!W49</f>
        <v>1.6240480661968384</v>
      </c>
      <c r="X49" s="6">
        <f>[1]节奏总纲!X49</f>
        <v>1.4099550190237515</v>
      </c>
      <c r="Y49" s="6">
        <f>[1]节奏总纲!Y49</f>
        <v>1.1531495077096832</v>
      </c>
      <c r="Z49" s="6">
        <f>[1]节奏总纲!Z49</f>
        <v>0.85275209467701174</v>
      </c>
      <c r="AA49" s="6">
        <f>[1]节奏总纲!AA49</f>
        <v>0.45547439280231661</v>
      </c>
      <c r="AC49" s="6">
        <v>46</v>
      </c>
      <c r="AD49" s="6">
        <f>[1]节奏总纲!AD49</f>
        <v>55.537288901845052</v>
      </c>
      <c r="AE49" s="6">
        <f>[1]节奏总纲!AE49</f>
        <v>57.53646043868428</v>
      </c>
      <c r="AF49" s="6">
        <f>[1]节奏总纲!AF49</f>
        <v>60.393379177879737</v>
      </c>
      <c r="AG49" s="6">
        <f>[1]节奏总纲!AG49</f>
        <v>64.710418078139355</v>
      </c>
      <c r="AH49" s="6">
        <f>[1]节奏总纲!AH49</f>
        <v>73.340924940105893</v>
      </c>
      <c r="AL49" s="6">
        <v>46</v>
      </c>
      <c r="AM49" s="6">
        <f>[1]节奏总纲!AM49</f>
        <v>325.85912455595718</v>
      </c>
      <c r="AN49" s="6">
        <f>[1]节奏总纲!AN49</f>
        <v>260.68729964476574</v>
      </c>
      <c r="AO49" s="6">
        <f>[1]节奏总纲!AO49</f>
        <v>195.51547473357431</v>
      </c>
      <c r="AP49" s="6">
        <f>[1]节奏总纲!AP49</f>
        <v>130.34364982238287</v>
      </c>
      <c r="AQ49" s="6">
        <f>[1]节奏总纲!AQ49</f>
        <v>65.171824911191436</v>
      </c>
      <c r="AS49" s="6">
        <v>46</v>
      </c>
      <c r="AT49" s="6">
        <f>[1]节奏总纲!AT49</f>
        <v>44.809124555957169</v>
      </c>
      <c r="AU49" s="6">
        <f>[1]节奏总纲!AU49</f>
        <v>35.847299644765712</v>
      </c>
      <c r="AV49" s="6">
        <f>[1]节奏总纲!AV49</f>
        <v>26.885474733574313</v>
      </c>
      <c r="AW49" s="6">
        <f>[1]节奏总纲!AW49</f>
        <v>17.923649822382856</v>
      </c>
      <c r="AX49" s="6">
        <f>[1]节奏总纲!AX49</f>
        <v>8.9618249111914281</v>
      </c>
      <c r="AY49" s="6"/>
      <c r="AZ49" s="6">
        <v>46</v>
      </c>
      <c r="BA49" s="6">
        <f>[1]节奏总纲!BA49</f>
        <v>32.987931690094548</v>
      </c>
      <c r="BB49" s="6">
        <f>[1]节奏总纲!BB49</f>
        <v>34.360958982105608</v>
      </c>
      <c r="BC49" s="6">
        <f>[1]节奏总纲!BC49</f>
        <v>36.245762114295424</v>
      </c>
      <c r="BD49" s="6">
        <f>[1]节奏总纲!BD49</f>
        <v>38.976971320055128</v>
      </c>
      <c r="BE49" s="6">
        <f>[1]节奏总纲!BE49</f>
        <v>43.629324644063402</v>
      </c>
    </row>
    <row r="50" spans="6:57" x14ac:dyDescent="0.15">
      <c r="F50" s="6">
        <f>[1]节奏总纲!F50</f>
        <v>48</v>
      </c>
      <c r="G50" s="6">
        <f>[1]节奏总纲!G50</f>
        <v>26.857618025475972</v>
      </c>
      <c r="I50" s="6">
        <f>[1]节奏总纲!I50</f>
        <v>48</v>
      </c>
      <c r="J50" s="6">
        <f>[1]节奏总纲!J50</f>
        <v>437.90148836012787</v>
      </c>
      <c r="K50" s="6">
        <f>[1]节奏总纲!K50</f>
        <v>1.1299999999999999</v>
      </c>
      <c r="N50" s="6">
        <f>[1]节奏总纲!N50</f>
        <v>57</v>
      </c>
      <c r="O50" s="6">
        <v>47</v>
      </c>
      <c r="P50" s="6">
        <f>[1]节奏总纲!P50</f>
        <v>24.992076683399535</v>
      </c>
      <c r="Q50" s="6">
        <f>[1]节奏总纲!Q50</f>
        <v>21.823081359944474</v>
      </c>
      <c r="R50" s="6">
        <f>[1]节奏总纲!R50</f>
        <v>17.996794419716004</v>
      </c>
      <c r="S50" s="6">
        <f>[1]节奏总纲!S50</f>
        <v>13.335772118261991</v>
      </c>
      <c r="T50" s="6">
        <f>[1]节奏总纲!T50</f>
        <v>7.4426404363163821</v>
      </c>
      <c r="V50" s="6">
        <v>47</v>
      </c>
      <c r="W50" s="6">
        <f>[1]节奏总纲!W50</f>
        <v>1.740611619233178</v>
      </c>
      <c r="X50" s="6">
        <f>[1]节奏总纲!X50</f>
        <v>1.51292662639516</v>
      </c>
      <c r="Y50" s="6">
        <f>[1]节奏总纲!Y50</f>
        <v>1.2394635479713116</v>
      </c>
      <c r="Z50" s="6">
        <f>[1]节奏总纲!Z50</f>
        <v>0.91018918797148984</v>
      </c>
      <c r="AA50" s="6">
        <f>[1]节奏总纲!AA50</f>
        <v>0.48812723562422544</v>
      </c>
      <c r="AC50" s="6">
        <v>47</v>
      </c>
      <c r="AD50" s="6">
        <f>[1]节奏总纲!AD50</f>
        <v>55.845161563010116</v>
      </c>
      <c r="AE50" s="6">
        <f>[1]节奏总纲!AE50</f>
        <v>57.853954212982316</v>
      </c>
      <c r="AF50" s="6">
        <f>[1]节奏总纲!AF50</f>
        <v>60.700083667104536</v>
      </c>
      <c r="AG50" s="6">
        <f>[1]节奏总纲!AG50</f>
        <v>65.021675833900701</v>
      </c>
      <c r="AH50" s="6">
        <f>[1]节奏总纲!AH50</f>
        <v>73.644694753789935</v>
      </c>
      <c r="AL50" s="6">
        <v>47</v>
      </c>
      <c r="AM50" s="6">
        <f>[1]节奏总纲!AM50</f>
        <v>377.76930817680426</v>
      </c>
      <c r="AN50" s="6">
        <f>[1]节奏总纲!AN50</f>
        <v>302.21544654144344</v>
      </c>
      <c r="AO50" s="6">
        <f>[1]节奏总纲!AO50</f>
        <v>226.66158490608254</v>
      </c>
      <c r="AP50" s="6">
        <f>[1]节奏总纲!AP50</f>
        <v>151.10772327072172</v>
      </c>
      <c r="AQ50" s="6">
        <f>[1]节奏总纲!AQ50</f>
        <v>75.55386163536086</v>
      </c>
      <c r="AS50" s="6">
        <v>47</v>
      </c>
      <c r="AT50" s="6">
        <f>[1]节奏总纲!AT50</f>
        <v>51.910183620847079</v>
      </c>
      <c r="AU50" s="6">
        <f>[1]节奏总纲!AU50</f>
        <v>41.528146896677697</v>
      </c>
      <c r="AV50" s="6">
        <f>[1]节奏总纲!AV50</f>
        <v>31.14611017250823</v>
      </c>
      <c r="AW50" s="6">
        <f>[1]节奏总纲!AW50</f>
        <v>20.764073448338848</v>
      </c>
      <c r="AX50" s="6">
        <f>[1]节奏总纲!AX50</f>
        <v>10.382036724169424</v>
      </c>
      <c r="AY50" s="6"/>
      <c r="AZ50" s="6">
        <v>47</v>
      </c>
      <c r="BA50" s="6">
        <f>[1]节奏总纲!BA50</f>
        <v>33.114246829746719</v>
      </c>
      <c r="BB50" s="6">
        <f>[1]节奏总纲!BB50</f>
        <v>34.494092527500278</v>
      </c>
      <c r="BC50" s="6">
        <f>[1]节奏总纲!BC50</f>
        <v>36.386046662021599</v>
      </c>
      <c r="BD50" s="6">
        <f>[1]节奏总纲!BD50</f>
        <v>39.115214427575864</v>
      </c>
      <c r="BE50" s="6">
        <f>[1]节奏总纲!BE50</f>
        <v>43.77911147780199</v>
      </c>
    </row>
    <row r="51" spans="6:57" x14ac:dyDescent="0.15">
      <c r="F51" s="6">
        <f>[1]节奏总纲!F51</f>
        <v>49</v>
      </c>
      <c r="G51" s="6">
        <f>[1]节奏总纲!G51</f>
        <v>28.857055729177837</v>
      </c>
      <c r="I51" s="6">
        <f>[1]节奏总纲!I51</f>
        <v>49</v>
      </c>
      <c r="J51" s="6">
        <f>[1]节奏总纲!J51</f>
        <v>507.55295278468168</v>
      </c>
      <c r="K51" s="6">
        <f>[1]节奏总纲!K51</f>
        <v>1.1399999999999999</v>
      </c>
      <c r="N51" s="6">
        <f>[1]节奏总纲!N51</f>
        <v>58</v>
      </c>
      <c r="O51" s="6">
        <v>48</v>
      </c>
      <c r="P51" s="6">
        <f>[1]节奏总纲!P51</f>
        <v>26.857618025475972</v>
      </c>
      <c r="Q51" s="6">
        <f>[1]节奏总纲!Q51</f>
        <v>23.425214441820142</v>
      </c>
      <c r="R51" s="6">
        <f>[1]节奏总纲!R51</f>
        <v>19.329427692935056</v>
      </c>
      <c r="S51" s="6">
        <f>[1]节奏总纲!S51</f>
        <v>14.269452456935383</v>
      </c>
      <c r="T51" s="6">
        <f>[1]节奏总纲!T51</f>
        <v>7.9605979827510778</v>
      </c>
      <c r="V51" s="6">
        <v>48</v>
      </c>
      <c r="W51" s="6">
        <f>[1]节奏总纲!W51</f>
        <v>1.8655413420764368</v>
      </c>
      <c r="X51" s="6">
        <f>[1]节奏总纲!X51</f>
        <v>1.6021330818756674</v>
      </c>
      <c r="Y51" s="6">
        <f>[1]节奏总纲!Y51</f>
        <v>1.3326332732190522</v>
      </c>
      <c r="Z51" s="6">
        <f>[1]节奏总纲!Z51</f>
        <v>0.93368033867339228</v>
      </c>
      <c r="AA51" s="6">
        <f>[1]节奏总纲!AA51</f>
        <v>0.51795754643469571</v>
      </c>
      <c r="AC51" s="6">
        <v>48</v>
      </c>
      <c r="AD51" s="6">
        <f>[1]节奏总纲!AD51</f>
        <v>56.142785979989682</v>
      </c>
      <c r="AE51" s="6">
        <f>[1]节奏总纲!AE51</f>
        <v>58.155157256402767</v>
      </c>
      <c r="AF51" s="6">
        <f>[1]节奏总纲!AF51</f>
        <v>61.006268532239034</v>
      </c>
      <c r="AG51" s="6">
        <f>[1]节奏总纲!AG51</f>
        <v>65.330972386106993</v>
      </c>
      <c r="AH51" s="6">
        <f>[1]节奏总纲!AH51</f>
        <v>73.948464567473962</v>
      </c>
      <c r="AL51" s="6">
        <v>48</v>
      </c>
      <c r="AM51" s="6">
        <f>[1]节奏总纲!AM51</f>
        <v>437.90148836012787</v>
      </c>
      <c r="AN51" s="6">
        <f>[1]节奏总纲!AN51</f>
        <v>350.32119068810232</v>
      </c>
      <c r="AO51" s="6">
        <f>[1]节奏总纲!AO51</f>
        <v>262.74089301607671</v>
      </c>
      <c r="AP51" s="6">
        <f>[1]节奏总纲!AP51</f>
        <v>175.16059534405116</v>
      </c>
      <c r="AQ51" s="6">
        <f>[1]节奏总纲!AQ51</f>
        <v>87.58029767202558</v>
      </c>
      <c r="AS51" s="6">
        <v>48</v>
      </c>
      <c r="AT51" s="6">
        <f>[1]节奏总纲!AT51</f>
        <v>60.132180183323612</v>
      </c>
      <c r="AU51" s="6">
        <f>[1]节奏总纲!AU51</f>
        <v>48.105744146658878</v>
      </c>
      <c r="AV51" s="6">
        <f>[1]节奏总纲!AV51</f>
        <v>36.079308109994173</v>
      </c>
      <c r="AW51" s="6">
        <f>[1]节奏总纲!AW51</f>
        <v>24.052872073329439</v>
      </c>
      <c r="AX51" s="6">
        <f>[1]节奏总纲!AX51</f>
        <v>12.02643603666472</v>
      </c>
      <c r="AY51" s="6"/>
      <c r="AZ51" s="6">
        <v>48</v>
      </c>
      <c r="BA51" s="6">
        <f>[1]节奏总纲!BA51</f>
        <v>33.238809018460984</v>
      </c>
      <c r="BB51" s="6">
        <f>[1]节奏总纲!BB51</f>
        <v>34.627226072894942</v>
      </c>
      <c r="BC51" s="6">
        <f>[1]节奏总纲!BC51</f>
        <v>36.526331209747774</v>
      </c>
      <c r="BD51" s="6">
        <f>[1]节奏总纲!BD51</f>
        <v>39.250296194358178</v>
      </c>
      <c r="BE51" s="6">
        <f>[1]节奏总纲!BE51</f>
        <v>43.928898311540578</v>
      </c>
    </row>
    <row r="52" spans="6:57" x14ac:dyDescent="0.15">
      <c r="F52" s="6">
        <f>[1]节奏总纲!F52</f>
        <v>50</v>
      </c>
      <c r="G52" s="6">
        <f>[1]节奏总纲!G52</f>
        <v>31</v>
      </c>
      <c r="I52" s="6">
        <f>[1]节奏总纲!I52</f>
        <v>50</v>
      </c>
      <c r="J52" s="6">
        <f>[1]节奏总纲!J52</f>
        <v>588.22499999999991</v>
      </c>
      <c r="K52" s="6">
        <f>[1]节奏总纲!K52</f>
        <v>1.1499999999999999</v>
      </c>
      <c r="N52" s="6">
        <f>[1]节奏总纲!N52</f>
        <v>59</v>
      </c>
      <c r="O52" s="6">
        <v>49</v>
      </c>
      <c r="P52" s="6">
        <f>[1]节奏总纲!P52</f>
        <v>28.857055729177837</v>
      </c>
      <c r="Q52" s="6">
        <f>[1]节奏总纲!Q52</f>
        <v>25.166238301415991</v>
      </c>
      <c r="R52" s="6">
        <f>[1]节奏总纲!R52</f>
        <v>20.719366013549685</v>
      </c>
      <c r="S52" s="6">
        <f>[1]节奏总纲!S52</f>
        <v>15.268268186307994</v>
      </c>
      <c r="T52" s="6">
        <f>[1]节奏总纲!T52</f>
        <v>8.5474599069824766</v>
      </c>
      <c r="V52" s="6">
        <v>49</v>
      </c>
      <c r="W52" s="6">
        <f>[1]节奏总纲!W52</f>
        <v>1.9994377037018651</v>
      </c>
      <c r="X52" s="6">
        <f>[1]节奏总纲!X52</f>
        <v>1.7410238595958489</v>
      </c>
      <c r="Y52" s="6">
        <f>[1]节奏总纲!Y52</f>
        <v>1.389938320614629</v>
      </c>
      <c r="Z52" s="6">
        <f>[1]节奏总纲!Z52</f>
        <v>0.99881572937261076</v>
      </c>
      <c r="AA52" s="6">
        <f>[1]节奏总纲!AA52</f>
        <v>0.58686192423139882</v>
      </c>
      <c r="AC52" s="6">
        <v>49</v>
      </c>
      <c r="AD52" s="6">
        <f>[1]节奏总纲!AD52</f>
        <v>56.430041330048923</v>
      </c>
      <c r="AE52" s="6">
        <f>[1]节奏总纲!AE52</f>
        <v>58.442483247955479</v>
      </c>
      <c r="AF52" s="6">
        <f>[1]节奏总纲!AF52</f>
        <v>61.289495211956165</v>
      </c>
      <c r="AG52" s="6">
        <f>[1]节奏总纲!AG52</f>
        <v>65.640268938313284</v>
      </c>
      <c r="AH52" s="6">
        <f>[1]节奏总纲!AH52</f>
        <v>74.231558509323534</v>
      </c>
      <c r="AL52" s="6">
        <v>49</v>
      </c>
      <c r="AM52" s="6">
        <f>[1]节奏总纲!AM52</f>
        <v>507.55295278468168</v>
      </c>
      <c r="AN52" s="6">
        <f>[1]节奏总纲!AN52</f>
        <v>406.04236222774534</v>
      </c>
      <c r="AO52" s="6">
        <f>[1]节奏总纲!AO52</f>
        <v>304.53177167080901</v>
      </c>
      <c r="AP52" s="6">
        <f>[1]节奏总纲!AP52</f>
        <v>203.02118111387267</v>
      </c>
      <c r="AQ52" s="6">
        <f>[1]节奏总纲!AQ52</f>
        <v>101.51059055693634</v>
      </c>
      <c r="AS52" s="6">
        <v>49</v>
      </c>
      <c r="AT52" s="6">
        <f>[1]节奏总纲!AT52</f>
        <v>69.651464424553808</v>
      </c>
      <c r="AU52" s="6">
        <f>[1]节奏总纲!AU52</f>
        <v>55.721171539643024</v>
      </c>
      <c r="AV52" s="6">
        <f>[1]节奏总纲!AV52</f>
        <v>41.790878654732296</v>
      </c>
      <c r="AW52" s="6">
        <f>[1]节奏总纲!AW52</f>
        <v>27.860585769821512</v>
      </c>
      <c r="AX52" s="6">
        <f>[1]节奏总纲!AX52</f>
        <v>13.930292884910756</v>
      </c>
      <c r="AY52" s="6"/>
      <c r="AZ52" s="6">
        <v>49</v>
      </c>
      <c r="BA52" s="6">
        <f>[1]节奏总纲!BA52</f>
        <v>33.363371207175248</v>
      </c>
      <c r="BB52" s="6">
        <f>[1]节奏总纲!BB52</f>
        <v>34.760359618289606</v>
      </c>
      <c r="BC52" s="6">
        <f>[1]节奏总纲!BC52</f>
        <v>36.666615757473956</v>
      </c>
      <c r="BD52" s="6">
        <f>[1]节奏总纲!BD52</f>
        <v>39.385377961140485</v>
      </c>
      <c r="BE52" s="6">
        <f>[1]节奏总纲!BE52</f>
        <v>44.067911160744309</v>
      </c>
    </row>
    <row r="53" spans="6:57" x14ac:dyDescent="0.15">
      <c r="F53" s="6">
        <f>[1]节奏总纲!F53</f>
        <v>51</v>
      </c>
      <c r="G53" s="6">
        <f>[1]节奏总纲!G53</f>
        <v>33.296750801161366</v>
      </c>
      <c r="I53" s="6">
        <f>[1]节奏总纲!I53</f>
        <v>51</v>
      </c>
      <c r="J53" s="6">
        <f>[1]节奏总纲!J53</f>
        <v>681.65492699983838</v>
      </c>
      <c r="K53" s="6">
        <f>[1]节奏总纲!K53</f>
        <v>1.1599999999999999</v>
      </c>
      <c r="N53" s="6">
        <f>[1]节奏总纲!N53</f>
        <v>60</v>
      </c>
      <c r="O53" s="6">
        <v>50</v>
      </c>
      <c r="P53" s="6">
        <f>[1]节奏总纲!P53</f>
        <v>31</v>
      </c>
      <c r="Q53" s="6">
        <f>[1]节奏总纲!Q53</f>
        <v>27.0351</v>
      </c>
      <c r="R53" s="6">
        <f>[1]节奏总纲!R53</f>
        <v>22.205300000000001</v>
      </c>
      <c r="S53" s="6">
        <f>[1]节奏总纲!S53</f>
        <v>16.386599999999998</v>
      </c>
      <c r="T53" s="6">
        <f>[1]节奏总纲!T53</f>
        <v>9.1883999999999997</v>
      </c>
      <c r="V53" s="6">
        <v>50</v>
      </c>
      <c r="W53" s="6">
        <f>[1]节奏总纲!W53</f>
        <v>2.1429442708221629</v>
      </c>
      <c r="X53" s="6">
        <f>[1]节奏总纲!X53</f>
        <v>1.8688616985840092</v>
      </c>
      <c r="Y53" s="6">
        <f>[1]节奏总纲!Y53</f>
        <v>1.4859339864503163</v>
      </c>
      <c r="Z53" s="6">
        <f>[1]节奏总纲!Z53</f>
        <v>1.118331813692004</v>
      </c>
      <c r="AA53" s="6">
        <f>[1]节奏总纲!AA53</f>
        <v>0.64094009301752308</v>
      </c>
      <c r="AC53" s="6">
        <v>50</v>
      </c>
      <c r="AD53" s="6">
        <f>[1]节奏总纲!AD53</f>
        <v>56.717296680108156</v>
      </c>
      <c r="AE53" s="6">
        <f>[1]节奏总纲!AE53</f>
        <v>58.729809239508185</v>
      </c>
      <c r="AF53" s="6">
        <f>[1]节奏总纲!AF53</f>
        <v>61.572721891673297</v>
      </c>
      <c r="AG53" s="6">
        <f>[1]节奏总纲!AG53</f>
        <v>65.949565490519575</v>
      </c>
      <c r="AH53" s="6">
        <f>[1]节奏总纲!AH53</f>
        <v>74.51042804689898</v>
      </c>
      <c r="AL53" s="6">
        <v>50</v>
      </c>
      <c r="AM53" s="6">
        <f>[1]节奏总纲!AM53</f>
        <v>588.22499999999991</v>
      </c>
      <c r="AN53" s="6">
        <f>[1]节奏总纲!AN53</f>
        <v>470.57999999999993</v>
      </c>
      <c r="AO53" s="6">
        <f>[1]节奏总纲!AO53</f>
        <v>352.93499999999995</v>
      </c>
      <c r="AP53" s="6">
        <f>[1]节奏总纲!AP53</f>
        <v>235.28999999999996</v>
      </c>
      <c r="AQ53" s="6">
        <f>[1]节奏总纲!AQ53</f>
        <v>117.64499999999998</v>
      </c>
      <c r="AS53" s="6">
        <v>50</v>
      </c>
      <c r="AT53" s="6">
        <f>[1]节奏总纲!AT53</f>
        <v>80.67204721531823</v>
      </c>
      <c r="AU53" s="6">
        <f>[1]节奏总纲!AU53</f>
        <v>64.537637772254584</v>
      </c>
      <c r="AV53" s="6">
        <f>[1]节奏总纲!AV53</f>
        <v>48.403228329190938</v>
      </c>
      <c r="AW53" s="6">
        <f>[1]节奏总纲!AW53</f>
        <v>32.268818886127292</v>
      </c>
      <c r="AX53" s="6">
        <f>[1]节奏总纲!AX53</f>
        <v>16.134409443063646</v>
      </c>
      <c r="AY53" s="6"/>
      <c r="AZ53" s="6">
        <v>50</v>
      </c>
      <c r="BA53" s="6">
        <f>[1]节奏总纲!BA53</f>
        <v>33.487933395889513</v>
      </c>
      <c r="BB53" s="6">
        <f>[1]节奏总纲!BB53</f>
        <v>34.893493163684269</v>
      </c>
      <c r="BC53" s="6">
        <f>[1]节奏总纲!BC53</f>
        <v>36.806900305200131</v>
      </c>
      <c r="BD53" s="6">
        <f>[1]节奏总纲!BD53</f>
        <v>39.520459727922798</v>
      </c>
      <c r="BE53" s="6">
        <f>[1]节奏总纲!BE53</f>
        <v>44.197188392263818</v>
      </c>
    </row>
    <row r="54" spans="6:57" x14ac:dyDescent="0.15">
      <c r="F54" s="6">
        <f>[1]节奏总纲!F54</f>
        <v>52</v>
      </c>
      <c r="G54" s="6">
        <f>[1]节奏总纲!G54</f>
        <v>35.758347359905123</v>
      </c>
      <c r="I54" s="6">
        <f>[1]节奏总纲!I54</f>
        <v>52</v>
      </c>
      <c r="J54" s="6">
        <f>[1]节奏总纲!J54</f>
        <v>789.85301886939453</v>
      </c>
      <c r="K54" s="6">
        <f>[1]节奏总纲!K54</f>
        <v>1.17</v>
      </c>
      <c r="N54" s="6">
        <f>[1]节奏总纲!N54</f>
        <v>61</v>
      </c>
      <c r="O54" s="6">
        <v>51</v>
      </c>
      <c r="P54" s="6">
        <f>[1]节奏总纲!P54</f>
        <v>33.296750801161366</v>
      </c>
      <c r="Q54" s="6">
        <f>[1]节奏总纲!Q54</f>
        <v>28.928217096048996</v>
      </c>
      <c r="R54" s="6">
        <f>[1]节奏总纲!R54</f>
        <v>23.783869097269566</v>
      </c>
      <c r="S54" s="6">
        <f>[1]节奏总纲!S54</f>
        <v>17.587343773173433</v>
      </c>
      <c r="T54" s="6">
        <f>[1]节奏总纲!T54</f>
        <v>9.8458492119034169</v>
      </c>
      <c r="V54" s="6">
        <v>51</v>
      </c>
      <c r="W54" s="6">
        <f>[1]节奏总纲!W54</f>
        <v>2.296750801161366</v>
      </c>
      <c r="X54" s="6">
        <f>[1]节奏总纲!X54</f>
        <v>1.8931170960489965</v>
      </c>
      <c r="Y54" s="6">
        <f>[1]节奏总纲!Y54</f>
        <v>1.5785690972695647</v>
      </c>
      <c r="Z54" s="6">
        <f>[1]节奏总纲!Z54</f>
        <v>1.2007437731734356</v>
      </c>
      <c r="AA54" s="6">
        <f>[1]节奏总纲!AA54</f>
        <v>0.65744921190341721</v>
      </c>
      <c r="AC54" s="6">
        <v>51</v>
      </c>
      <c r="AD54" s="6">
        <f>[1]节奏总纲!AD54</f>
        <v>57.004247194324648</v>
      </c>
      <c r="AE54" s="6">
        <f>[1]节奏总纲!AE54</f>
        <v>59.016342740868758</v>
      </c>
      <c r="AF54" s="6">
        <f>[1]节奏总纲!AF54</f>
        <v>61.855948571390428</v>
      </c>
      <c r="AG54" s="6">
        <f>[1]节奏总纲!AG54</f>
        <v>66.241691764589476</v>
      </c>
      <c r="AH54" s="6">
        <f>[1]节奏总纲!AH54</f>
        <v>74.789297584474426</v>
      </c>
      <c r="AL54" s="6">
        <v>51</v>
      </c>
      <c r="AM54" s="6">
        <f>[1]节奏总纲!AM54</f>
        <v>681.65492699983838</v>
      </c>
      <c r="AN54" s="6">
        <f>[1]节奏总纲!AN54</f>
        <v>545.32394159987075</v>
      </c>
      <c r="AO54" s="6">
        <f>[1]节奏总纲!AO54</f>
        <v>408.99295619990301</v>
      </c>
      <c r="AP54" s="6">
        <f>[1]节奏总纲!AP54</f>
        <v>272.66197079993537</v>
      </c>
      <c r="AQ54" s="6">
        <f>[1]节奏总纲!AQ54</f>
        <v>136.33098539996769</v>
      </c>
      <c r="AS54" s="6">
        <v>51</v>
      </c>
      <c r="AT54" s="6">
        <f>[1]节奏总纲!AT54</f>
        <v>93.429926999838472</v>
      </c>
      <c r="AU54" s="6">
        <f>[1]节奏总纲!AU54</f>
        <v>74.743941599870823</v>
      </c>
      <c r="AV54" s="6">
        <f>[1]节奏总纲!AV54</f>
        <v>56.05795619990306</v>
      </c>
      <c r="AW54" s="6">
        <f>[1]节奏总纲!AW54</f>
        <v>37.371970799935411</v>
      </c>
      <c r="AX54" s="6">
        <f>[1]节奏总纲!AX54</f>
        <v>18.685985399967706</v>
      </c>
      <c r="AZ54" s="6">
        <v>51</v>
      </c>
      <c r="BA54" s="6">
        <v>33.612495584603778</v>
      </c>
      <c r="BB54" s="6">
        <v>35.024397713965918</v>
      </c>
      <c r="BC54" s="6">
        <v>36.947184852926306</v>
      </c>
      <c r="BD54" s="6">
        <v>39.655541494705105</v>
      </c>
      <c r="BE54" s="6">
        <v>44.326465623783335</v>
      </c>
    </row>
    <row r="55" spans="6:57" x14ac:dyDescent="0.15">
      <c r="F55" s="6">
        <f>[1]节奏总纲!F55</f>
        <v>53</v>
      </c>
      <c r="G55" s="6">
        <f>[1]节奏总纲!G55</f>
        <v>38.396621227037308</v>
      </c>
      <c r="I55" s="6">
        <f>[1]节奏总纲!I55</f>
        <v>53</v>
      </c>
      <c r="J55" s="6">
        <f>[1]节奏总纲!J55</f>
        <v>915.14532082292135</v>
      </c>
      <c r="K55" s="6">
        <f>[1]节奏总纲!K55</f>
        <v>1.18</v>
      </c>
      <c r="N55" s="6">
        <f>[1]节奏总纲!N55</f>
        <v>62</v>
      </c>
      <c r="O55" s="6">
        <v>52</v>
      </c>
      <c r="P55" s="6">
        <f>[1]节奏总纲!P55</f>
        <v>35.758347359905123</v>
      </c>
      <c r="Q55" s="6">
        <f>[1]节奏总纲!Q55</f>
        <v>31.081155525229534</v>
      </c>
      <c r="R55" s="6">
        <f>[1]节奏总纲!R55</f>
        <v>25.606552544428059</v>
      </c>
      <c r="S55" s="6">
        <f>[1]节奏总纲!S55</f>
        <v>18.930469092333773</v>
      </c>
      <c r="T55" s="6">
        <f>[1]节奏总纲!T55</f>
        <v>10.570167479587953</v>
      </c>
      <c r="V55" s="6">
        <v>52</v>
      </c>
      <c r="W55" s="6">
        <f>[1]节奏总纲!W55</f>
        <v>2.4615965587437572</v>
      </c>
      <c r="X55" s="6">
        <f>[1]节奏总纲!X55</f>
        <v>2.1529384291805371</v>
      </c>
      <c r="Y55" s="6">
        <f>[1]节奏总纲!Y55</f>
        <v>1.822683447158493</v>
      </c>
      <c r="Z55" s="6">
        <f>[1]节奏总纲!Z55</f>
        <v>1.3431253191603396</v>
      </c>
      <c r="AA55" s="6">
        <f>[1]节奏总纲!AA55</f>
        <v>0.72431826768453611</v>
      </c>
      <c r="AC55" s="6">
        <v>52</v>
      </c>
      <c r="AD55" s="6">
        <f>[1]节奏总纲!AD55</f>
        <v>57.27226591292537</v>
      </c>
      <c r="AE55" s="6">
        <f>[1]节奏总纲!AE55</f>
        <v>59.290380144164828</v>
      </c>
      <c r="AF55" s="6">
        <f>[1]节奏总纲!AF55</f>
        <v>62.130298748930763</v>
      </c>
      <c r="AG55" s="6">
        <f>[1]节奏总纲!AG55</f>
        <v>66.530472725664353</v>
      </c>
      <c r="AH55" s="6">
        <f>[1]节奏总纲!AH55</f>
        <v>75.062532510920803</v>
      </c>
      <c r="AL55" s="6">
        <v>52</v>
      </c>
      <c r="AM55" s="6">
        <f>[1]节奏总纲!AM55</f>
        <v>789.85301886939453</v>
      </c>
      <c r="AN55" s="6">
        <f>[1]节奏总纲!AN55</f>
        <v>631.88241509551563</v>
      </c>
      <c r="AO55" s="6">
        <f>[1]节奏总纲!AO55</f>
        <v>473.91181132163672</v>
      </c>
      <c r="AP55" s="6">
        <f>[1]节奏总纲!AP55</f>
        <v>315.94120754775781</v>
      </c>
      <c r="AQ55" s="6">
        <f>[1]节奏总纲!AQ55</f>
        <v>157.97060377387891</v>
      </c>
      <c r="AS55" s="6">
        <v>52</v>
      </c>
      <c r="AT55" s="6">
        <f>[1]节奏总纲!AT55</f>
        <v>108.19809186955615</v>
      </c>
      <c r="AU55" s="6">
        <f>[1]节奏总纲!AU55</f>
        <v>86.558473495644876</v>
      </c>
      <c r="AV55" s="6">
        <f>[1]节奏总纲!AV55</f>
        <v>64.918855121733714</v>
      </c>
      <c r="AW55" s="6">
        <f>[1]节奏总纲!AW55</f>
        <v>43.279236747822438</v>
      </c>
      <c r="AX55" s="6">
        <f>[1]节奏总纲!AX55</f>
        <v>21.639618373911219</v>
      </c>
      <c r="AZ55" s="6">
        <v>52</v>
      </c>
      <c r="BA55" s="6">
        <v>33.737057773318043</v>
      </c>
      <c r="BB55" s="6">
        <v>35.146386283795508</v>
      </c>
      <c r="BC55" s="6">
        <v>37.075448197698059</v>
      </c>
      <c r="BD55" s="6">
        <v>39.790623261487418</v>
      </c>
      <c r="BE55" s="6">
        <v>44.455742855302844</v>
      </c>
    </row>
    <row r="56" spans="6:57" x14ac:dyDescent="0.15">
      <c r="F56" s="6">
        <f>[1]节奏总纲!F56</f>
        <v>54</v>
      </c>
      <c r="G56" s="6">
        <f>[1]节奏总纲!G56</f>
        <v>41.224253144732614</v>
      </c>
      <c r="I56" s="6">
        <f>[1]节奏总纲!I56</f>
        <v>54</v>
      </c>
      <c r="J56" s="6">
        <f>[1]节奏总纲!J56</f>
        <v>1060.2230944101252</v>
      </c>
      <c r="K56" s="6">
        <f>[1]节奏总纲!K56</f>
        <v>1.19</v>
      </c>
      <c r="N56" s="6">
        <f>[1]节奏总纲!N56</f>
        <v>63</v>
      </c>
      <c r="O56" s="6">
        <v>53</v>
      </c>
      <c r="P56" s="6">
        <f>[1]节奏总纲!P56</f>
        <v>38.396621227037308</v>
      </c>
      <c r="Q56" s="6">
        <f>[1]节奏总纲!Q56</f>
        <v>33.42809844025868</v>
      </c>
      <c r="R56" s="6">
        <f>[1]节奏总纲!R56</f>
        <v>27.5802930273809</v>
      </c>
      <c r="S56" s="6">
        <f>[1]节奏总纲!S56</f>
        <v>20.319491953348145</v>
      </c>
      <c r="T56" s="6">
        <f>[1]节奏总纲!T56</f>
        <v>11.338522248344118</v>
      </c>
      <c r="V56" s="6">
        <v>53</v>
      </c>
      <c r="W56" s="6">
        <f>[1]节奏总纲!W56</f>
        <v>2.6382738671321846</v>
      </c>
      <c r="X56" s="6">
        <f>[1]节奏总纲!X56</f>
        <v>2.3469429150291461</v>
      </c>
      <c r="Y56" s="6">
        <f>[1]节奏总纲!Y56</f>
        <v>1.9737404829528415</v>
      </c>
      <c r="Z56" s="6">
        <f>[1]节奏总纲!Z56</f>
        <v>1.3890228610143716</v>
      </c>
      <c r="AA56" s="6">
        <f>[1]节奏总纲!AA56</f>
        <v>0.76835476875616493</v>
      </c>
      <c r="AC56" s="6">
        <v>53</v>
      </c>
      <c r="AD56" s="6">
        <f>[1]节奏总纲!AD56</f>
        <v>57.540284631526099</v>
      </c>
      <c r="AE56" s="6">
        <f>[1]节奏总纲!AE56</f>
        <v>59.564417547460899</v>
      </c>
      <c r="AF56" s="6">
        <f>[1]节奏总纲!AF56</f>
        <v>62.395461425033538</v>
      </c>
      <c r="AG56" s="6">
        <f>[1]节奏总纲!AG56</f>
        <v>66.819253686739231</v>
      </c>
      <c r="AH56" s="6">
        <f>[1]节奏总纲!AH56</f>
        <v>75.318351032805268</v>
      </c>
      <c r="AL56" s="6">
        <v>53</v>
      </c>
      <c r="AM56" s="6">
        <f>[1]节奏总纲!AM56</f>
        <v>915.14532082292135</v>
      </c>
      <c r="AN56" s="6">
        <f>[1]节奏总纲!AN56</f>
        <v>732.11625665833708</v>
      </c>
      <c r="AO56" s="6">
        <f>[1]节奏总纲!AO56</f>
        <v>549.08719249375281</v>
      </c>
      <c r="AP56" s="6">
        <f>[1]节奏总纲!AP56</f>
        <v>366.05812832916854</v>
      </c>
      <c r="AQ56" s="6">
        <f>[1]节奏总纲!AQ56</f>
        <v>183.02906416458427</v>
      </c>
      <c r="AS56" s="6">
        <v>53</v>
      </c>
      <c r="AT56" s="6">
        <f>[1]节奏总纲!AT56</f>
        <v>125.29230195352682</v>
      </c>
      <c r="AU56" s="6">
        <f>[1]节奏总纲!AU56</f>
        <v>100.23384156282145</v>
      </c>
      <c r="AV56" s="6">
        <f>[1]节奏总纲!AV56</f>
        <v>75.17538117211609</v>
      </c>
      <c r="AW56" s="6">
        <f>[1]节奏总纲!AW56</f>
        <v>50.116920781410727</v>
      </c>
      <c r="AX56" s="6">
        <f>[1]节奏总纲!AX56</f>
        <v>25.058460390705363</v>
      </c>
      <c r="AZ56" s="6">
        <v>53</v>
      </c>
      <c r="BA56" s="6">
        <v>33.861619962032307</v>
      </c>
      <c r="BB56" s="6">
        <v>35.268374853625097</v>
      </c>
      <c r="BC56" s="6">
        <v>37.196452985793947</v>
      </c>
      <c r="BD56" s="6">
        <v>39.925705028269732</v>
      </c>
      <c r="BE56" s="6">
        <v>44.585020086822361</v>
      </c>
    </row>
    <row r="57" spans="6:57" x14ac:dyDescent="0.15">
      <c r="F57" s="6">
        <f>[1]节奏总纲!F57</f>
        <v>55</v>
      </c>
      <c r="G57" s="6">
        <f>[1]节奏总纲!G57</f>
        <v>44.254833995939045</v>
      </c>
      <c r="I57" s="6">
        <f>[1]节奏总纲!I57</f>
        <v>55</v>
      </c>
      <c r="J57" s="6">
        <f>[1]节奏总纲!J57</f>
        <v>1228.2</v>
      </c>
      <c r="K57" s="6">
        <f>[1]节奏总纲!K57</f>
        <v>1.2</v>
      </c>
      <c r="N57" s="6">
        <f>[1]节奏总纲!N57</f>
        <v>64</v>
      </c>
      <c r="O57" s="6">
        <v>54</v>
      </c>
      <c r="P57" s="6">
        <f>[1]节奏总纲!P57</f>
        <v>41.224253144732614</v>
      </c>
      <c r="Q57" s="6">
        <f>[1]节奏总纲!Q57</f>
        <v>35.947548742206841</v>
      </c>
      <c r="R57" s="6">
        <f>[1]节奏总纲!R57</f>
        <v>29.553667079458812</v>
      </c>
      <c r="S57" s="6">
        <f>[1]节奏总纲!S57</f>
        <v>21.762283235104348</v>
      </c>
      <c r="T57" s="6">
        <f>[1]节奏总纲!T57</f>
        <v>12.111685573922442</v>
      </c>
      <c r="V57" s="6">
        <v>54</v>
      </c>
      <c r="W57" s="6">
        <f>[1]节奏总纲!W57</f>
        <v>2.8276319176953066</v>
      </c>
      <c r="X57" s="6">
        <f>[1]节奏总纲!X57</f>
        <v>2.5194503019481616</v>
      </c>
      <c r="Y57" s="6">
        <f>[1]节奏总纲!Y57</f>
        <v>1.9733740520779115</v>
      </c>
      <c r="Z57" s="6">
        <f>[1]节奏总纲!Z57</f>
        <v>1.4427912817562039</v>
      </c>
      <c r="AA57" s="6">
        <f>[1]节奏总纲!AA57</f>
        <v>0.77316332557832368</v>
      </c>
      <c r="AC57" s="6">
        <v>54</v>
      </c>
      <c r="AD57" s="6">
        <f>[1]节奏总纲!AD57</f>
        <v>57.80830335012682</v>
      </c>
      <c r="AE57" s="6">
        <f>[1]节奏总纲!AE57</f>
        <v>59.838454950756969</v>
      </c>
      <c r="AF57" s="6">
        <f>[1]节奏总纲!AF57</f>
        <v>62.660624101136307</v>
      </c>
      <c r="AG57" s="6">
        <f>[1]节奏总纲!AG57</f>
        <v>67.098789255934349</v>
      </c>
      <c r="AH57" s="6">
        <f>[1]节奏总纲!AH57</f>
        <v>75.574169554689718</v>
      </c>
      <c r="AL57" s="6">
        <v>54</v>
      </c>
      <c r="AM57" s="6">
        <f>[1]节奏总纲!AM57</f>
        <v>1060.2230944101252</v>
      </c>
      <c r="AN57" s="6">
        <f>[1]节奏总纲!AN57</f>
        <v>848.17847552810019</v>
      </c>
      <c r="AO57" s="6">
        <f>[1]节奏总纲!AO57</f>
        <v>636.13385664607506</v>
      </c>
      <c r="AP57" s="6">
        <f>[1]节奏总纲!AP57</f>
        <v>424.0892377640501</v>
      </c>
      <c r="AQ57" s="6">
        <f>[1]节奏总纲!AQ57</f>
        <v>212.04461888202505</v>
      </c>
      <c r="AS57" s="6">
        <v>54</v>
      </c>
      <c r="AT57" s="6">
        <f>[1]节奏总纲!AT57</f>
        <v>145.07777358720386</v>
      </c>
      <c r="AU57" s="6">
        <f>[1]节奏总纲!AU57</f>
        <v>116.06221886976311</v>
      </c>
      <c r="AV57" s="6">
        <f>[1]节奏总纲!AV57</f>
        <v>87.046664152322251</v>
      </c>
      <c r="AW57" s="6">
        <f>[1]节奏总纲!AW57</f>
        <v>58.031109434881557</v>
      </c>
      <c r="AX57" s="6">
        <f>[1]节奏总纲!AX57</f>
        <v>29.015554717440779</v>
      </c>
      <c r="AZ57" s="6">
        <v>54</v>
      </c>
      <c r="BA57" s="6">
        <v>33.986182150746572</v>
      </c>
      <c r="BB57" s="6">
        <v>35.390363423454687</v>
      </c>
      <c r="BC57" s="6">
        <v>37.317457773889828</v>
      </c>
      <c r="BD57" s="6">
        <v>40.052446592012309</v>
      </c>
      <c r="BE57" s="6">
        <v>44.71429731834187</v>
      </c>
    </row>
    <row r="58" spans="6:57" x14ac:dyDescent="0.15">
      <c r="F58" s="6">
        <f>[1]节奏总纲!F58</f>
        <v>56</v>
      </c>
      <c r="G58" s="6">
        <f>[1]节奏总纲!G58</f>
        <v>47.502930128332721</v>
      </c>
      <c r="I58" s="6">
        <f>[1]节奏总纲!I58</f>
        <v>56</v>
      </c>
      <c r="J58" s="6">
        <f>[1]节奏总纲!J58</f>
        <v>1422.6782097755249</v>
      </c>
      <c r="K58" s="6">
        <f>[1]节奏总纲!K58</f>
        <v>1.21</v>
      </c>
      <c r="N58" s="6">
        <f>[1]节奏总纲!N58</f>
        <v>65</v>
      </c>
      <c r="O58" s="6">
        <v>55</v>
      </c>
      <c r="P58" s="6">
        <f>[1]节奏总纲!P58</f>
        <v>44.254833995939045</v>
      </c>
      <c r="Q58" s="6">
        <f>[1]节奏总纲!Q58</f>
        <v>38.53268396026413</v>
      </c>
      <c r="R58" s="6">
        <f>[1]节奏总纲!R58</f>
        <v>31.642206307096416</v>
      </c>
      <c r="S58" s="6">
        <f>[1]节奏总纲!S58</f>
        <v>23.282468165263531</v>
      </c>
      <c r="T58" s="6">
        <f>[1]节奏总纲!T58</f>
        <v>12.944538943812169</v>
      </c>
      <c r="V58" s="6">
        <v>55</v>
      </c>
      <c r="W58" s="6">
        <f>[1]节奏总纲!W58</f>
        <v>3.0305808512064303</v>
      </c>
      <c r="X58" s="6">
        <f>[1]节奏总纲!X58</f>
        <v>2.5851352180572889</v>
      </c>
      <c r="Y58" s="6">
        <f>[1]节奏总纲!Y58</f>
        <v>2.0885392276376038</v>
      </c>
      <c r="Z58" s="6">
        <f>[1]节奏总纲!Z58</f>
        <v>1.5201849301591821</v>
      </c>
      <c r="AA58" s="6">
        <f>[1]节奏总纲!AA58</f>
        <v>0.8328533698897278</v>
      </c>
      <c r="AC58" s="6">
        <v>55</v>
      </c>
      <c r="AD58" s="6">
        <f>[1]节奏总纲!AD58</f>
        <v>58.071211008105138</v>
      </c>
      <c r="AE58" s="6">
        <f>[1]节奏总纲!AE58</f>
        <v>60.102437883401088</v>
      </c>
      <c r="AF58" s="6">
        <f>[1]节奏总纲!AF58</f>
        <v>62.925786777239075</v>
      </c>
      <c r="AG58" s="6">
        <f>[1]节奏总纲!AG58</f>
        <v>67.36285691246691</v>
      </c>
      <c r="AH58" s="6">
        <f>[1]节奏总纲!AH58</f>
        <v>75.829988076574182</v>
      </c>
      <c r="AL58" s="6">
        <v>55</v>
      </c>
      <c r="AM58" s="6">
        <f>[1]节奏总纲!AM58</f>
        <v>1228.2</v>
      </c>
      <c r="AN58" s="6">
        <f>[1]节奏总纲!AN58</f>
        <v>982.56000000000006</v>
      </c>
      <c r="AO58" s="6">
        <f>[1]节奏总纲!AO58</f>
        <v>736.92</v>
      </c>
      <c r="AP58" s="6">
        <f>[1]节奏总纲!AP58</f>
        <v>491.28000000000003</v>
      </c>
      <c r="AQ58" s="6">
        <f>[1]节奏总纲!AQ58</f>
        <v>245.64000000000001</v>
      </c>
      <c r="AS58" s="6">
        <v>55</v>
      </c>
      <c r="AT58" s="6">
        <f>[1]节奏总纲!AT58</f>
        <v>167.97690558987483</v>
      </c>
      <c r="AU58" s="6">
        <f>[1]节奏总纲!AU58</f>
        <v>134.38152447189987</v>
      </c>
      <c r="AV58" s="6">
        <f>[1]节奏总纲!AV58</f>
        <v>100.7861433539249</v>
      </c>
      <c r="AW58" s="6">
        <f>[1]节奏总纲!AW58</f>
        <v>67.190762235949933</v>
      </c>
      <c r="AX58" s="6">
        <f>[1]节奏总纲!AX58</f>
        <v>33.595381117974966</v>
      </c>
      <c r="AZ58" s="6">
        <v>55</v>
      </c>
      <c r="BA58" s="6">
        <v>34.09469189131628</v>
      </c>
      <c r="BB58" s="6">
        <v>35.512351993284277</v>
      </c>
      <c r="BC58" s="6">
        <v>37.438462561985709</v>
      </c>
      <c r="BD58" s="6">
        <v>40.168994574261895</v>
      </c>
      <c r="BE58" s="6">
        <v>44.843574549861387</v>
      </c>
    </row>
    <row r="59" spans="6:57" x14ac:dyDescent="0.15">
      <c r="F59" s="6">
        <f>[1]节奏总纲!F59</f>
        <v>57</v>
      </c>
      <c r="G59" s="6">
        <f>[1]节奏总纲!G59</f>
        <v>50.984153366799077</v>
      </c>
      <c r="I59" s="6">
        <f>[1]节奏总纲!I59</f>
        <v>57</v>
      </c>
      <c r="J59" s="6">
        <f>[1]节奏总纲!J59</f>
        <v>1647.8248427703616</v>
      </c>
      <c r="K59" s="6">
        <f>[1]节奏总纲!K59</f>
        <v>1.22</v>
      </c>
      <c r="N59" s="6">
        <f>[1]节奏总纲!N59</f>
        <v>66</v>
      </c>
      <c r="O59" s="6">
        <v>56</v>
      </c>
      <c r="P59" s="6">
        <f>[1]节奏总纲!P59</f>
        <v>47.502930128332721</v>
      </c>
      <c r="Q59" s="6">
        <f>[1]节奏总纲!Q59</f>
        <v>41.275295988508304</v>
      </c>
      <c r="R59" s="6">
        <f>[1]节奏总纲!R59</f>
        <v>33.888590353552566</v>
      </c>
      <c r="S59" s="6">
        <f>[1]节奏总纲!S59</f>
        <v>24.910536559297679</v>
      </c>
      <c r="T59" s="6">
        <f>[1]节奏总纲!T59</f>
        <v>13.837603546383322</v>
      </c>
      <c r="V59" s="6">
        <v>56</v>
      </c>
      <c r="W59" s="6">
        <f>[1]节奏总纲!W59</f>
        <v>3.2480961323936768</v>
      </c>
      <c r="X59" s="6">
        <f>[1]节奏总纲!X59</f>
        <v>2.7426120282441744</v>
      </c>
      <c r="Y59" s="6">
        <f>[1]节奏总纲!Y59</f>
        <v>2.24638404645615</v>
      </c>
      <c r="Z59" s="6">
        <f>[1]节奏总纲!Z59</f>
        <v>1.6280683940341483</v>
      </c>
      <c r="AA59" s="6">
        <f>[1]节奏总纲!AA59</f>
        <v>0.89306460257115283</v>
      </c>
      <c r="AC59" s="6">
        <v>56</v>
      </c>
      <c r="AD59" s="6">
        <f>[1]节奏总纲!AD59</f>
        <v>58.321281314909029</v>
      </c>
      <c r="AE59" s="6">
        <f>[1]节奏总纲!AE59</f>
        <v>60.351982057337977</v>
      </c>
      <c r="AF59" s="6">
        <f>[1]节奏总纲!AF59</f>
        <v>63.17626763611517</v>
      </c>
      <c r="AG59" s="6">
        <f>[1]节奏总纲!AG59</f>
        <v>67.626924568999456</v>
      </c>
      <c r="AH59" s="6">
        <f>[1]节奏总纲!AH59</f>
        <v>76.086647524934079</v>
      </c>
      <c r="AL59" s="6">
        <v>56</v>
      </c>
      <c r="AM59" s="6">
        <f>[1]节奏总纲!AM59</f>
        <v>1422.6782097755249</v>
      </c>
      <c r="AN59" s="6">
        <f>[1]节奏总纲!AN59</f>
        <v>1138.14256782042</v>
      </c>
      <c r="AO59" s="6">
        <f>[1]节奏总纲!AO59</f>
        <v>853.60692586531491</v>
      </c>
      <c r="AP59" s="6">
        <f>[1]节奏总纲!AP59</f>
        <v>569.07128391021001</v>
      </c>
      <c r="AQ59" s="6">
        <f>[1]节奏总纲!AQ59</f>
        <v>284.53564195510501</v>
      </c>
      <c r="AS59" s="6">
        <v>56</v>
      </c>
      <c r="AT59" s="6">
        <f>[1]节奏总纲!AT59</f>
        <v>194.47820977552487</v>
      </c>
      <c r="AU59" s="6">
        <f>[1]节奏总纲!AU59</f>
        <v>155.58256782041997</v>
      </c>
      <c r="AV59" s="6">
        <f>[1]节奏总纲!AV59</f>
        <v>116.68692586531495</v>
      </c>
      <c r="AW59" s="6">
        <f>[1]节奏总纲!AW59</f>
        <v>77.791283910209984</v>
      </c>
      <c r="AX59" s="6">
        <f>[1]节奏总纲!AX59</f>
        <v>38.895641955104992</v>
      </c>
      <c r="AZ59" s="6">
        <v>56</v>
      </c>
      <c r="BA59" s="6">
        <v>34.201198727632011</v>
      </c>
      <c r="BB59" s="6">
        <v>35.634340563113874</v>
      </c>
      <c r="BC59" s="6">
        <v>37.55946735008159</v>
      </c>
      <c r="BD59" s="6">
        <v>40.28554255651148</v>
      </c>
      <c r="BE59" s="6">
        <v>44.972851781380903</v>
      </c>
    </row>
    <row r="60" spans="6:57" x14ac:dyDescent="0.15">
      <c r="F60" s="6">
        <f>[1]节奏总纲!F60</f>
        <v>58</v>
      </c>
      <c r="G60" s="6">
        <f>[1]节奏总纲!G60</f>
        <v>54.715236050951923</v>
      </c>
      <c r="I60" s="6">
        <f>[1]节奏总纲!I60</f>
        <v>58</v>
      </c>
      <c r="J60" s="6">
        <f>[1]节奏总纲!J60</f>
        <v>1908.4603298511749</v>
      </c>
      <c r="K60" s="6">
        <f>[1]节奏总纲!K60</f>
        <v>1.23</v>
      </c>
      <c r="N60" s="6">
        <f>[1]节奏总纲!N60</f>
        <v>67</v>
      </c>
      <c r="O60" s="6">
        <v>57</v>
      </c>
      <c r="P60" s="6">
        <f>[1]节奏总纲!P60</f>
        <v>50.984153366799077</v>
      </c>
      <c r="Q60" s="6">
        <f>[1]节奏总纲!Q60</f>
        <v>44.310327691085078</v>
      </c>
      <c r="R60" s="6">
        <f>[1]节奏总纲!R60</f>
        <v>36.316012443170983</v>
      </c>
      <c r="S60" s="6">
        <f>[1]节奏总纲!S60</f>
        <v>26.664712210835919</v>
      </c>
      <c r="T60" s="6">
        <f>[1]节奏总纲!T60</f>
        <v>14.815994968391813</v>
      </c>
      <c r="V60" s="6">
        <v>57</v>
      </c>
      <c r="W60" s="6">
        <f>[1]节奏总纲!W60</f>
        <v>3.481223238466356</v>
      </c>
      <c r="X60" s="6">
        <f>[1]节奏总纲!X60</f>
        <v>3.0350317025767737</v>
      </c>
      <c r="Y60" s="6">
        <f>[1]节奏总纲!Y60</f>
        <v>2.4274220896184175</v>
      </c>
      <c r="Z60" s="6">
        <f>[1]节奏总纲!Z60</f>
        <v>1.7541756515382403</v>
      </c>
      <c r="AA60" s="6">
        <f>[1]节奏总纲!AA60</f>
        <v>0.97839142200849061</v>
      </c>
      <c r="AC60" s="6">
        <v>57</v>
      </c>
      <c r="AD60" s="6">
        <f>[1]节奏总纲!AD60</f>
        <v>58.571351621712921</v>
      </c>
      <c r="AE60" s="6">
        <f>[1]节奏总纲!AE60</f>
        <v>60.60152623127486</v>
      </c>
      <c r="AF60" s="6">
        <f>[1]节奏总纲!AF60</f>
        <v>63.421042351541736</v>
      </c>
      <c r="AG60" s="6">
        <f>[1]节奏总纲!AG60</f>
        <v>67.890992225532017</v>
      </c>
      <c r="AH60" s="6">
        <f>[1]节奏总纲!AH60</f>
        <v>76.344973133357612</v>
      </c>
      <c r="AL60" s="6">
        <v>57</v>
      </c>
      <c r="AM60" s="6">
        <f>[1]节奏总纲!AM60</f>
        <v>1647.8248427703616</v>
      </c>
      <c r="AN60" s="6">
        <f>[1]节奏总纲!AN60</f>
        <v>1318.2598742162893</v>
      </c>
      <c r="AO60" s="6">
        <f>[1]节奏总纲!AO60</f>
        <v>988.69490566221691</v>
      </c>
      <c r="AP60" s="6">
        <f>[1]节奏总纲!AP60</f>
        <v>659.12993710814465</v>
      </c>
      <c r="AQ60" s="6">
        <f>[1]节奏总纲!AQ60</f>
        <v>329.56496855407232</v>
      </c>
      <c r="AS60" s="6">
        <v>57</v>
      </c>
      <c r="AT60" s="6">
        <f>[1]节奏总纲!AT60</f>
        <v>225.14663299483664</v>
      </c>
      <c r="AU60" s="6">
        <f>[1]节奏总纲!AU60</f>
        <v>180.11730639586926</v>
      </c>
      <c r="AV60" s="6">
        <f>[1]节奏总纲!AV60</f>
        <v>135.087979796902</v>
      </c>
      <c r="AW60" s="6">
        <f>[1]节奏总纲!AW60</f>
        <v>90.058653197934632</v>
      </c>
      <c r="AX60" s="6">
        <f>[1]节奏总纲!AX60</f>
        <v>45.029326598967316</v>
      </c>
      <c r="AZ60" s="6">
        <v>57</v>
      </c>
      <c r="BA60" s="6">
        <v>34.307705563947749</v>
      </c>
      <c r="BB60" s="6">
        <v>35.756329132943463</v>
      </c>
      <c r="BC60" s="6">
        <v>37.680472138177478</v>
      </c>
      <c r="BD60" s="6">
        <v>40.402090538761065</v>
      </c>
      <c r="BE60" s="6">
        <v>45.088151688727308</v>
      </c>
    </row>
    <row r="61" spans="6:57" x14ac:dyDescent="0.15">
      <c r="F61" s="6">
        <f>[1]节奏总纲!F61</f>
        <v>59</v>
      </c>
      <c r="G61" s="6">
        <f>[1]节奏总纲!G61</f>
        <v>58.714111458355703</v>
      </c>
      <c r="I61" s="6">
        <f>[1]节奏总纲!I61</f>
        <v>59</v>
      </c>
      <c r="J61" s="6">
        <f>[1]节奏总纲!J61</f>
        <v>2210.1605665017755</v>
      </c>
      <c r="K61" s="6">
        <f>[1]节奏总纲!K61</f>
        <v>1.24</v>
      </c>
      <c r="N61" s="6">
        <f>[1]节奏总纲!N61</f>
        <v>68</v>
      </c>
      <c r="O61" s="6">
        <v>58</v>
      </c>
      <c r="P61" s="6">
        <f>[1]节奏总纲!P61</f>
        <v>54.715236050951923</v>
      </c>
      <c r="Q61" s="6">
        <f>[1]节奏总纲!Q61</f>
        <v>47.459995750595695</v>
      </c>
      <c r="R61" s="6">
        <f>[1]节奏总纲!R61</f>
        <v>38.913475879437009</v>
      </c>
      <c r="S61" s="6">
        <f>[1]节奏总纲!S61</f>
        <v>28.572296265807093</v>
      </c>
      <c r="T61" s="6">
        <f>[1]节奏总纲!T61</f>
        <v>15.856475407565867</v>
      </c>
      <c r="V61" s="6">
        <v>58</v>
      </c>
      <c r="W61" s="6">
        <f>[1]节奏总纲!W61</f>
        <v>3.7310826841528453</v>
      </c>
      <c r="X61" s="6">
        <f>[1]节奏总纲!X61</f>
        <v>3.149668059510617</v>
      </c>
      <c r="Y61" s="6">
        <f>[1]节奏总纲!Y61</f>
        <v>2.5974634362660254</v>
      </c>
      <c r="Z61" s="6">
        <f>[1]节奏总纲!Z61</f>
        <v>1.9075840549711742</v>
      </c>
      <c r="AA61" s="6">
        <f>[1]节奏总纲!AA61</f>
        <v>1.0404804391740541</v>
      </c>
      <c r="AC61" s="6">
        <v>58</v>
      </c>
      <c r="AD61" s="6">
        <f>[1]节奏总纲!AD61</f>
        <v>58.821421928516813</v>
      </c>
      <c r="AE61" s="6">
        <f>[1]节奏总纲!AE61</f>
        <v>60.851070405211743</v>
      </c>
      <c r="AF61" s="6">
        <f>[1]节奏总纲!AF61</f>
        <v>63.665817066968295</v>
      </c>
      <c r="AG61" s="6">
        <f>[1]节奏总纲!AG61</f>
        <v>68.142437172458173</v>
      </c>
      <c r="AH61" s="6">
        <f>[1]节奏总纲!AH61</f>
        <v>76.60329874178116</v>
      </c>
      <c r="AL61" s="6">
        <v>58</v>
      </c>
      <c r="AM61" s="6">
        <f>[1]节奏总纲!AM61</f>
        <v>1908.4603298511749</v>
      </c>
      <c r="AN61" s="6">
        <f>[1]节奏总纲!AN61</f>
        <v>1526.7682638809401</v>
      </c>
      <c r="AO61" s="6">
        <f>[1]节奏总纲!AO61</f>
        <v>1145.0761979107049</v>
      </c>
      <c r="AP61" s="6">
        <f>[1]节奏总纲!AP61</f>
        <v>763.38413194047007</v>
      </c>
      <c r="AQ61" s="6">
        <f>[1]节奏总纲!AQ61</f>
        <v>381.69206597023503</v>
      </c>
      <c r="AS61" s="6">
        <v>58</v>
      </c>
      <c r="AT61" s="6">
        <f>[1]节奏总纲!AT61</f>
        <v>260.63548708081339</v>
      </c>
      <c r="AU61" s="6">
        <f>[1]节奏总纲!AU61</f>
        <v>208.50838966465085</v>
      </c>
      <c r="AV61" s="6">
        <f>[1]节奏总纲!AV61</f>
        <v>156.38129224848797</v>
      </c>
      <c r="AW61" s="6">
        <f>[1]节奏总纲!AW61</f>
        <v>104.25419483232542</v>
      </c>
      <c r="AX61" s="6">
        <f>[1]节奏总纲!AX61</f>
        <v>52.127097416162712</v>
      </c>
      <c r="AZ61" s="6">
        <v>58</v>
      </c>
      <c r="BA61" s="6">
        <v>34.41421240026348</v>
      </c>
      <c r="BB61" s="6">
        <v>35.878317702773053</v>
      </c>
      <c r="BC61" s="6">
        <v>37.801476926273359</v>
      </c>
      <c r="BD61" s="6">
        <v>40.518638521010644</v>
      </c>
      <c r="BE61" s="6">
        <v>45.199736104837825</v>
      </c>
    </row>
    <row r="62" spans="6:57" x14ac:dyDescent="0.15">
      <c r="F62" s="6">
        <f>[1]节奏总纲!F62</f>
        <v>60</v>
      </c>
      <c r="G62" s="6">
        <f>[1]节奏总纲!G62</f>
        <v>63</v>
      </c>
      <c r="I62" s="6">
        <f>[1]节奏总纲!I62</f>
        <v>60</v>
      </c>
      <c r="J62" s="6">
        <f>[1]节奏总纲!J62</f>
        <v>2559.375</v>
      </c>
      <c r="K62" s="6">
        <f>[1]节奏总纲!K62</f>
        <v>1.25</v>
      </c>
      <c r="N62" s="6">
        <f>[1]节奏总纲!N62</f>
        <v>69</v>
      </c>
      <c r="O62" s="6">
        <v>59</v>
      </c>
      <c r="P62" s="6">
        <f>[1]节奏总纲!P62</f>
        <v>58.714111458355703</v>
      </c>
      <c r="Q62" s="6">
        <f>[1]节奏总纲!Q62</f>
        <v>50.940363101269412</v>
      </c>
      <c r="R62" s="6">
        <f>[1]节奏总纲!R62</f>
        <v>41.728119013453394</v>
      </c>
      <c r="S62" s="6">
        <f>[1]节奏总纲!S62</f>
        <v>30.607666303240826</v>
      </c>
      <c r="T62" s="6">
        <f>[1]节奏总纲!T62</f>
        <v>17.003606678339814</v>
      </c>
      <c r="V62" s="6">
        <v>59</v>
      </c>
      <c r="W62" s="6">
        <f>[1]节奏总纲!W62</f>
        <v>3.99887540740378</v>
      </c>
      <c r="X62" s="6">
        <f>[1]节奏总纲!X62</f>
        <v>3.4803673506737169</v>
      </c>
      <c r="Y62" s="6">
        <f>[1]节奏总纲!Y62</f>
        <v>2.8146431340163858</v>
      </c>
      <c r="Z62" s="6">
        <f>[1]节奏总纲!Z62</f>
        <v>2.0353700374337329</v>
      </c>
      <c r="AA62" s="6">
        <f>[1]节奏总纲!AA62</f>
        <v>1.1471312707739472</v>
      </c>
      <c r="AC62" s="6">
        <v>59</v>
      </c>
      <c r="AD62" s="6">
        <f>[1]节奏总纲!AD62</f>
        <v>59.066704614192936</v>
      </c>
      <c r="AE62" s="6">
        <f>[1]节奏总纲!AE62</f>
        <v>61.094954819415335</v>
      </c>
      <c r="AF62" s="6">
        <f>[1]节奏总纲!AF62</f>
        <v>63.91059178239486</v>
      </c>
      <c r="AG62" s="6">
        <f>[1]节奏总纲!AG62</f>
        <v>68.385008299388929</v>
      </c>
      <c r="AH62" s="6">
        <f>[1]节奏总纲!AH62</f>
        <v>76.861624350204693</v>
      </c>
      <c r="AL62" s="6">
        <v>59</v>
      </c>
      <c r="AM62" s="6">
        <f>[1]节奏总纲!AM62</f>
        <v>2210.1605665017755</v>
      </c>
      <c r="AN62" s="6">
        <f>[1]节奏总纲!AN62</f>
        <v>1768.1284532014206</v>
      </c>
      <c r="AO62" s="6">
        <f>[1]节奏总纲!AO62</f>
        <v>1326.0963399010652</v>
      </c>
      <c r="AP62" s="6">
        <f>[1]节奏总纲!AP62</f>
        <v>884.0642266007103</v>
      </c>
      <c r="AQ62" s="6">
        <f>[1]节奏总纲!AQ62</f>
        <v>442.03211330035515</v>
      </c>
      <c r="AS62" s="6">
        <v>59</v>
      </c>
      <c r="AT62" s="6">
        <f>[1]节奏总纲!AT62</f>
        <v>301.70023665060057</v>
      </c>
      <c r="AU62" s="6">
        <f>[1]节奏总纲!AU62</f>
        <v>241.36018932048046</v>
      </c>
      <c r="AV62" s="6">
        <f>[1]节奏总纲!AV62</f>
        <v>181.02014199036034</v>
      </c>
      <c r="AW62" s="6">
        <f>[1]节奏总纲!AW62</f>
        <v>120.68009466024023</v>
      </c>
      <c r="AX62" s="6">
        <f>[1]节奏总纲!AX62</f>
        <v>60.340047330120115</v>
      </c>
      <c r="AZ62" s="6">
        <v>59</v>
      </c>
      <c r="BA62" s="6">
        <v>34.520719236579211</v>
      </c>
      <c r="BB62" s="6">
        <v>36.000264155774609</v>
      </c>
      <c r="BC62" s="6">
        <v>37.922481714369241</v>
      </c>
      <c r="BD62" s="6">
        <v>40.635186503260229</v>
      </c>
      <c r="BE62" s="6">
        <v>45.31132052094835</v>
      </c>
    </row>
    <row r="63" spans="6:57" x14ac:dyDescent="0.15">
      <c r="F63" s="6">
        <f>[1]节奏总纲!F63</f>
        <v>61</v>
      </c>
      <c r="G63" s="6">
        <f>[1]节奏总纲!G63</f>
        <v>67.593501602322732</v>
      </c>
      <c r="I63" s="6">
        <f>[1]节奏总纲!I63</f>
        <v>61</v>
      </c>
      <c r="J63" s="6">
        <f>[1]节奏总纲!J63</f>
        <v>2963.5631311027469</v>
      </c>
      <c r="K63" s="6">
        <f>[1]节奏总纲!K63</f>
        <v>1.26</v>
      </c>
      <c r="N63" s="6">
        <f>[1]节奏总纲!N63</f>
        <v>70</v>
      </c>
      <c r="O63" s="6">
        <v>60</v>
      </c>
      <c r="P63" s="6">
        <f>[1]节奏总纲!P63</f>
        <v>63</v>
      </c>
      <c r="Q63" s="6">
        <f>[1]节奏总纲!Q63</f>
        <v>54.589500000000001</v>
      </c>
      <c r="R63" s="6">
        <f>[1]节奏总纲!R63</f>
        <v>44.717399999999998</v>
      </c>
      <c r="S63" s="6">
        <f>[1]节奏总纲!S63</f>
        <v>32.810400000000001</v>
      </c>
      <c r="T63" s="6">
        <f>[1]节奏总纲!T63</f>
        <v>18.276300000000003</v>
      </c>
      <c r="V63" s="6">
        <v>60</v>
      </c>
      <c r="W63" s="6">
        <f>[1]节奏总纲!W63</f>
        <v>4.2858885416442973</v>
      </c>
      <c r="X63" s="6">
        <f>[1]节奏总纲!X63</f>
        <v>3.649136898730589</v>
      </c>
      <c r="Y63" s="6">
        <f>[1]节奏总纲!Y63</f>
        <v>2.9892809865466035</v>
      </c>
      <c r="Z63" s="6">
        <f>[1]节奏总纲!Z63</f>
        <v>2.2027336967591751</v>
      </c>
      <c r="AA63" s="6">
        <f>[1]节奏总纲!AA63</f>
        <v>1.2726933216601886</v>
      </c>
      <c r="AC63" s="6">
        <v>60</v>
      </c>
      <c r="AD63" s="6">
        <f>[1]节奏总纲!AD63</f>
        <v>59.300028460644697</v>
      </c>
      <c r="AE63" s="6">
        <f>[1]节奏总纲!AE63</f>
        <v>61.330461663183208</v>
      </c>
      <c r="AF63" s="6">
        <f>[1]节奏总纲!AF63</f>
        <v>64.14304723627319</v>
      </c>
      <c r="AG63" s="6">
        <f>[1]节奏总纲!AG63</f>
        <v>68.627579426319684</v>
      </c>
      <c r="AH63" s="6">
        <f>[1]节奏总纲!AH63</f>
        <v>77.112805903056142</v>
      </c>
      <c r="AL63" s="6">
        <v>60</v>
      </c>
      <c r="AM63" s="6">
        <f>[1]节奏总纲!AM63</f>
        <v>2559.375</v>
      </c>
      <c r="AN63" s="6">
        <f>[1]节奏总纲!AN63</f>
        <v>2047.5</v>
      </c>
      <c r="AO63" s="6">
        <f>[1]节奏总纲!AO63</f>
        <v>1535.625</v>
      </c>
      <c r="AP63" s="6">
        <f>[1]节奏总纲!AP63</f>
        <v>1023.75</v>
      </c>
      <c r="AQ63" s="6">
        <f>[1]节奏总纲!AQ63</f>
        <v>511.875</v>
      </c>
      <c r="AS63" s="6">
        <v>60</v>
      </c>
      <c r="AT63" s="6">
        <f>[1]节奏总纲!AT63</f>
        <v>349.21443349822448</v>
      </c>
      <c r="AU63" s="6">
        <f>[1]节奏总纲!AU63</f>
        <v>279.3715467985794</v>
      </c>
      <c r="AV63" s="6">
        <f>[1]节奏总纲!AV63</f>
        <v>209.52866009893478</v>
      </c>
      <c r="AW63" s="6">
        <f>[1]节奏总纲!AW63</f>
        <v>139.6857733992897</v>
      </c>
      <c r="AX63" s="6">
        <f>[1]节奏总纲!AX63</f>
        <v>69.842886699644851</v>
      </c>
      <c r="AZ63" s="6">
        <v>60</v>
      </c>
      <c r="BA63" s="6">
        <v>34.627226072894942</v>
      </c>
      <c r="BB63" s="6">
        <v>36.105477566569242</v>
      </c>
      <c r="BC63" s="6">
        <v>38.037513426486328</v>
      </c>
      <c r="BD63" s="6">
        <v>40.751734485509814</v>
      </c>
      <c r="BE63" s="6">
        <v>45.422904937058867</v>
      </c>
    </row>
    <row r="64" spans="6:57" x14ac:dyDescent="0.15">
      <c r="F64" s="6">
        <f>[1]节奏总纲!F64</f>
        <v>62</v>
      </c>
      <c r="G64" s="6">
        <f>[1]节奏总纲!G64</f>
        <v>72.516694719810218</v>
      </c>
      <c r="I64" s="6">
        <f>[1]节奏总纲!I64</f>
        <v>62</v>
      </c>
      <c r="J64" s="6">
        <f>[1]节奏总纲!J64</f>
        <v>3431.3522956038646</v>
      </c>
      <c r="K64" s="6">
        <f>[1]节奏总纲!K64</f>
        <v>1.27</v>
      </c>
      <c r="N64" s="6">
        <f>[1]节奏总纲!N64</f>
        <v>71</v>
      </c>
      <c r="O64" s="6">
        <v>61</v>
      </c>
      <c r="P64" s="6">
        <f>[1]节奏总纲!P64</f>
        <v>67.593501602322732</v>
      </c>
      <c r="Q64" s="6">
        <f>[1]节奏总纲!Q64</f>
        <v>58.596806539053574</v>
      </c>
      <c r="R64" s="6">
        <f>[1]节奏总纲!R64</f>
        <v>47.977867437328676</v>
      </c>
      <c r="S64" s="6">
        <f>[1]节奏总纲!S64</f>
        <v>35.229733035130607</v>
      </c>
      <c r="T64" s="6">
        <f>[1]节奏总纲!T64</f>
        <v>19.602115464673592</v>
      </c>
      <c r="V64" s="6">
        <v>61</v>
      </c>
      <c r="W64" s="6">
        <f>[1]节奏总纲!W64</f>
        <v>4.593501602322732</v>
      </c>
      <c r="X64" s="6">
        <f>[1]节奏总纲!X64</f>
        <v>4.0073065390535731</v>
      </c>
      <c r="Y64" s="6">
        <f>[1]节奏总纲!Y64</f>
        <v>3.2604674373286784</v>
      </c>
      <c r="Z64" s="6">
        <f>[1]节奏总纲!Z64</f>
        <v>2.4193330351306059</v>
      </c>
      <c r="AA64" s="6">
        <f>[1]节奏总纲!AA64</f>
        <v>1.3258154646735889</v>
      </c>
      <c r="AC64" s="6">
        <v>61</v>
      </c>
      <c r="AD64" s="6">
        <f>[1]节奏总纲!AD64</f>
        <v>59.533352307096465</v>
      </c>
      <c r="AE64" s="6">
        <f>[1]节奏总纲!AE64</f>
        <v>61.56596850695108</v>
      </c>
      <c r="AF64" s="6">
        <f>[1]节奏总纲!AF64</f>
        <v>64.368413367596901</v>
      </c>
      <c r="AG64" s="6">
        <f>[1]节奏总纲!AG64</f>
        <v>68.870150553250454</v>
      </c>
      <c r="AH64" s="6">
        <f>[1]节奏总纲!AH64</f>
        <v>77.355745991356301</v>
      </c>
      <c r="AL64" s="6">
        <v>61</v>
      </c>
      <c r="AM64" s="6">
        <f>[1]节奏总纲!AM64</f>
        <v>2963.5631311027469</v>
      </c>
      <c r="AN64" s="6">
        <f>[1]节奏总纲!AN64</f>
        <v>2370.8505048821976</v>
      </c>
      <c r="AO64" s="6">
        <f>[1]节奏总纲!AO64</f>
        <v>1778.1378786616481</v>
      </c>
      <c r="AP64" s="6">
        <f>[1]节奏总纲!AP64</f>
        <v>1185.4252524410988</v>
      </c>
      <c r="AQ64" s="6">
        <f>[1]节奏总纲!AQ64</f>
        <v>592.7126262205494</v>
      </c>
      <c r="AS64" s="6">
        <v>61</v>
      </c>
      <c r="AT64" s="6">
        <f>[1]节奏总纲!AT64</f>
        <v>404.18813110274687</v>
      </c>
      <c r="AU64" s="6">
        <f>[1]节奏总纲!AU64</f>
        <v>323.35050488219758</v>
      </c>
      <c r="AV64" s="6">
        <f>[1]节奏总纲!AV64</f>
        <v>242.51287866164807</v>
      </c>
      <c r="AW64" s="6">
        <f>[1]节奏总纲!AW64</f>
        <v>161.67525244109879</v>
      </c>
      <c r="AX64" s="6">
        <f>[1]节奏总纲!AX64</f>
        <v>80.837626220549396</v>
      </c>
      <c r="AZ64" s="6">
        <v>61</v>
      </c>
      <c r="BA64" s="6">
        <v>34.733732909210673</v>
      </c>
      <c r="BB64" s="6">
        <v>36.210690977363875</v>
      </c>
      <c r="BC64" s="6">
        <v>38.14189763688286</v>
      </c>
      <c r="BD64" s="6">
        <v>40.8682824677594</v>
      </c>
      <c r="BE64" s="6">
        <v>45.534489353169384</v>
      </c>
    </row>
    <row r="65" spans="6:57" x14ac:dyDescent="0.15">
      <c r="F65" s="6">
        <f>[1]节奏总纲!F65</f>
        <v>63</v>
      </c>
      <c r="G65" s="6">
        <f>[1]节奏总纲!G65</f>
        <v>77.793242454074615</v>
      </c>
      <c r="I65" s="6">
        <f>[1]节奏总纲!I65</f>
        <v>63</v>
      </c>
      <c r="J65" s="6">
        <f>[1]节奏总纲!J65</f>
        <v>3972.7200361130153</v>
      </c>
      <c r="K65" s="6">
        <f>[1]节奏总纲!K65</f>
        <v>1.28</v>
      </c>
      <c r="N65" s="6">
        <f>[1]节奏总纲!N65</f>
        <v>72</v>
      </c>
      <c r="O65" s="6">
        <v>62</v>
      </c>
      <c r="P65" s="6">
        <f>[1]节奏总纲!P65</f>
        <v>72.516694719810218</v>
      </c>
      <c r="Q65" s="6">
        <f>[1]节奏总纲!Q65</f>
        <v>62.842967644187539</v>
      </c>
      <c r="R65" s="6">
        <f>[1]节奏总纲!R65</f>
        <v>51.5086082594812</v>
      </c>
      <c r="S65" s="6">
        <f>[1]节奏总纲!S65</f>
        <v>37.846462974268952</v>
      </c>
      <c r="T65" s="6">
        <f>[1]节奏总纲!T65</f>
        <v>21.124113171880715</v>
      </c>
      <c r="V65" s="6">
        <v>62</v>
      </c>
      <c r="W65" s="6">
        <f>[1]节奏总纲!W65</f>
        <v>4.9231931174874859</v>
      </c>
      <c r="X65" s="6">
        <f>[1]节奏总纲!X65</f>
        <v>4.2461611051339645</v>
      </c>
      <c r="Y65" s="6">
        <f>[1]节奏总纲!Y65</f>
        <v>3.5307408221525236</v>
      </c>
      <c r="Z65" s="6">
        <f>[1]节奏总纲!Z65</f>
        <v>2.6167299391383452</v>
      </c>
      <c r="AA65" s="6">
        <f>[1]节奏总纲!AA65</f>
        <v>1.5219977072071238</v>
      </c>
      <c r="AC65" s="6">
        <v>62</v>
      </c>
      <c r="AD65" s="6">
        <f>[1]节奏总纲!AD65</f>
        <v>59.766676153548232</v>
      </c>
      <c r="AE65" s="6">
        <f>[1]节奏总纲!AE65</f>
        <v>61.801475350718952</v>
      </c>
      <c r="AF65" s="6">
        <f>[1]节奏总纲!AF65</f>
        <v>64.593779498920611</v>
      </c>
      <c r="AG65" s="6">
        <f>[1]节奏总纲!AG65</f>
        <v>69.105843627521551</v>
      </c>
      <c r="AH65" s="6">
        <f>[1]节奏总纲!AH65</f>
        <v>77.59868607965646</v>
      </c>
      <c r="AL65" s="6">
        <v>62</v>
      </c>
      <c r="AM65" s="6">
        <f>[1]节奏总纲!AM65</f>
        <v>3431.3522956038646</v>
      </c>
      <c r="AN65" s="6">
        <f>[1]节奏总纲!AN65</f>
        <v>2745.081836483092</v>
      </c>
      <c r="AO65" s="6">
        <f>[1]节奏总纲!AO65</f>
        <v>2058.8113773623186</v>
      </c>
      <c r="AP65" s="6">
        <f>[1]节奏总纲!AP65</f>
        <v>1372.540918241546</v>
      </c>
      <c r="AQ65" s="6">
        <f>[1]节奏总纲!AQ65</f>
        <v>686.27045912077301</v>
      </c>
      <c r="AS65" s="6">
        <v>62</v>
      </c>
      <c r="AT65" s="6">
        <f>[1]节奏总纲!AT65</f>
        <v>467.78916450111774</v>
      </c>
      <c r="AU65" s="6">
        <f>[1]节奏总纲!AU65</f>
        <v>374.23133160089446</v>
      </c>
      <c r="AV65" s="6">
        <f>[1]节奏总纲!AV65</f>
        <v>280.67349870067051</v>
      </c>
      <c r="AW65" s="6">
        <f>[1]节奏总纲!AW65</f>
        <v>187.11566580044723</v>
      </c>
      <c r="AX65" s="6">
        <f>[1]节奏总纲!AX65</f>
        <v>93.557832900223616</v>
      </c>
      <c r="AZ65" s="6">
        <v>62</v>
      </c>
      <c r="BA65" s="6">
        <v>34.840239745526404</v>
      </c>
      <c r="BB65" s="6">
        <v>36.315904388158508</v>
      </c>
      <c r="BC65" s="6">
        <v>38.246281847279398</v>
      </c>
      <c r="BD65" s="6">
        <v>40.984830450008978</v>
      </c>
      <c r="BE65" s="6">
        <v>45.646073769279901</v>
      </c>
    </row>
    <row r="66" spans="6:57" x14ac:dyDescent="0.15">
      <c r="F66" s="6">
        <f>[1]节奏总纲!F66</f>
        <v>64</v>
      </c>
      <c r="G66" s="6">
        <f>[1]节奏总纲!G66</f>
        <v>83.4485062894652</v>
      </c>
      <c r="I66" s="6">
        <f>[1]节奏总纲!I66</f>
        <v>64</v>
      </c>
      <c r="J66" s="6">
        <f>[1]节奏总纲!J66</f>
        <v>4599.2048883665893</v>
      </c>
      <c r="K66" s="6">
        <f>[1]节奏总纲!K66</f>
        <v>1.29</v>
      </c>
      <c r="N66" s="6">
        <f>[1]节奏总纲!N66</f>
        <v>73</v>
      </c>
      <c r="O66" s="6">
        <v>63</v>
      </c>
      <c r="P66" s="6">
        <f>[1]节奏总纲!P66</f>
        <v>77.793242454074615</v>
      </c>
      <c r="Q66" s="6">
        <f>[1]节奏总纲!Q66</f>
        <v>67.470079180418907</v>
      </c>
      <c r="R66" s="6">
        <f>[1]节奏总纲!R66</f>
        <v>55.27987808786542</v>
      </c>
      <c r="S66" s="6">
        <f>[1]节奏总纲!S66</f>
        <v>40.678086479235617</v>
      </c>
      <c r="T66" s="6">
        <f>[1]节奏总纲!T66</f>
        <v>22.700068148098975</v>
      </c>
      <c r="V66" s="6">
        <v>63</v>
      </c>
      <c r="W66" s="6">
        <f>[1]节奏总纲!W66</f>
        <v>5.2765477342643976</v>
      </c>
      <c r="X66" s="6">
        <f>[1]节奏总纲!X66</f>
        <v>4.6271115362313679</v>
      </c>
      <c r="Y66" s="6">
        <f>[1]节奏总纲!Y66</f>
        <v>3.7712698283842201</v>
      </c>
      <c r="Z66" s="6">
        <f>[1]节奏总纲!Z66</f>
        <v>2.8316235049666645</v>
      </c>
      <c r="AA66" s="6">
        <f>[1]节奏总纲!AA66</f>
        <v>1.5759549762182594</v>
      </c>
      <c r="AC66" s="6">
        <v>63</v>
      </c>
      <c r="AD66" s="6">
        <f>[1]节奏总纲!AD66</f>
        <v>60</v>
      </c>
      <c r="AE66" s="6">
        <f>[1]节奏总纲!AE66</f>
        <v>62.033937447710706</v>
      </c>
      <c r="AF66" s="6">
        <f>[1]节奏总纲!AF66</f>
        <v>64.819145630244321</v>
      </c>
      <c r="AG66" s="6">
        <f>[1]节奏总纲!AG66</f>
        <v>69.333613546893503</v>
      </c>
      <c r="AH66" s="6">
        <f>[1]节奏总纲!AH66</f>
        <v>77.841626167956619</v>
      </c>
      <c r="AL66" s="6">
        <v>63</v>
      </c>
      <c r="AM66" s="6">
        <f>[1]节奏总纲!AM66</f>
        <v>3972.7200361130153</v>
      </c>
      <c r="AN66" s="6">
        <f>[1]节奏总纲!AN66</f>
        <v>3178.1760288904125</v>
      </c>
      <c r="AO66" s="6">
        <f>[1]节奏总纲!AO66</f>
        <v>2383.6320216678091</v>
      </c>
      <c r="AP66" s="6">
        <f>[1]节奏总纲!AP66</f>
        <v>1589.0880144452062</v>
      </c>
      <c r="AQ66" s="6">
        <f>[1]节奏总纲!AQ66</f>
        <v>794.54400722260311</v>
      </c>
      <c r="AS66" s="6">
        <v>63</v>
      </c>
      <c r="AT66" s="6">
        <f>[1]节奏总纲!AT66</f>
        <v>541.36774050915074</v>
      </c>
      <c r="AU66" s="6">
        <f>[1]节奏总纲!AU66</f>
        <v>433.09419240732041</v>
      </c>
      <c r="AV66" s="6">
        <f>[1]节奏总纲!AV66</f>
        <v>324.82064430549053</v>
      </c>
      <c r="AW66" s="6">
        <f>[1]节奏总纲!AW66</f>
        <v>216.5470962036602</v>
      </c>
      <c r="AX66" s="6">
        <f>[1]节奏总纲!AX66</f>
        <v>108.2735481018301</v>
      </c>
      <c r="AZ66" s="6">
        <v>63</v>
      </c>
      <c r="BA66" s="6">
        <v>34.946746581842135</v>
      </c>
      <c r="BB66" s="6">
        <v>36.421117798953141</v>
      </c>
      <c r="BC66" s="6">
        <v>38.35066605767593</v>
      </c>
      <c r="BD66" s="6">
        <v>41.087476216725996</v>
      </c>
      <c r="BE66" s="6">
        <v>45.757658185390426</v>
      </c>
    </row>
    <row r="67" spans="6:57" x14ac:dyDescent="0.15">
      <c r="F67" s="6">
        <f>[1]节奏总纲!F67</f>
        <v>65</v>
      </c>
      <c r="G67" s="6">
        <f>[1]节奏总纲!G67</f>
        <v>89.509667991878061</v>
      </c>
      <c r="I67" s="6">
        <f>[1]节奏总纲!I67</f>
        <v>65</v>
      </c>
      <c r="J67" s="6">
        <f>[1]节奏总纲!J67</f>
        <v>5324.1500000000005</v>
      </c>
      <c r="K67" s="6">
        <f>[1]节奏总纲!K67</f>
        <v>1.3</v>
      </c>
      <c r="N67" s="6">
        <f>[1]节奏总纲!N67</f>
        <v>74</v>
      </c>
      <c r="O67" s="6">
        <v>64</v>
      </c>
      <c r="P67" s="6">
        <f>[1]节奏总纲!P67</f>
        <v>83.4485062894652</v>
      </c>
      <c r="Q67" s="6">
        <f>[1]节奏总纲!Q67</f>
        <v>72.399924056740005</v>
      </c>
      <c r="R67" s="6">
        <f>[1]节奏总纲!R67</f>
        <v>59.365267374325548</v>
      </c>
      <c r="S67" s="6">
        <f>[1]节奏总纲!S67</f>
        <v>43.718672445050821</v>
      </c>
      <c r="T67" s="6">
        <f>[1]节奏总纲!T67</f>
        <v>24.341929284637001</v>
      </c>
      <c r="V67" s="6">
        <v>64</v>
      </c>
      <c r="W67" s="6">
        <f>[1]节奏总纲!W67</f>
        <v>5.6552638353905849</v>
      </c>
      <c r="X67" s="6">
        <f>[1]节奏总纲!X67</f>
        <v>4.9298448763210985</v>
      </c>
      <c r="Y67" s="6">
        <f>[1]节奏总纲!Y67</f>
        <v>4.0853892864601278</v>
      </c>
      <c r="Z67" s="6">
        <f>[1]节奏总纲!Z67</f>
        <v>3.0405859658152039</v>
      </c>
      <c r="AA67" s="6">
        <f>[1]节奏总纲!AA67</f>
        <v>1.6418611365380258</v>
      </c>
      <c r="AC67" s="6">
        <v>64</v>
      </c>
      <c r="AD67" s="6">
        <f>[1]节奏总纲!AD67</f>
        <v>60.217698846451768</v>
      </c>
      <c r="AE67" s="6">
        <f>[1]节奏总纲!AE67</f>
        <v>62.250054995811666</v>
      </c>
      <c r="AF67" s="6">
        <f>[1]节奏总纲!AF67</f>
        <v>65.042129882798193</v>
      </c>
      <c r="AG67" s="6">
        <f>[1]节奏总纲!AG67</f>
        <v>69.56138346626544</v>
      </c>
      <c r="AH67" s="6">
        <f>[1]节奏总纲!AH67</f>
        <v>78.077870469399883</v>
      </c>
      <c r="AL67" s="6">
        <v>64</v>
      </c>
      <c r="AM67" s="6">
        <f>[1]节奏总纲!AM67</f>
        <v>4599.2048883665893</v>
      </c>
      <c r="AN67" s="6">
        <f>[1]节奏总纲!AN67</f>
        <v>3679.3639106932715</v>
      </c>
      <c r="AO67" s="6">
        <f>[1]节奏总纲!AO67</f>
        <v>2759.5229330199536</v>
      </c>
      <c r="AP67" s="6">
        <f>[1]节奏总纲!AP67</f>
        <v>1839.6819553466357</v>
      </c>
      <c r="AQ67" s="6">
        <f>[1]节奏总纲!AQ67</f>
        <v>919.84097767331787</v>
      </c>
      <c r="AS67" s="6">
        <v>64</v>
      </c>
      <c r="AT67" s="6">
        <f>[1]节奏总纲!AT67</f>
        <v>626.48485225357399</v>
      </c>
      <c r="AU67" s="6">
        <f>[1]节奏总纲!AU67</f>
        <v>501.18788180285901</v>
      </c>
      <c r="AV67" s="6">
        <f>[1]节奏总纲!AV67</f>
        <v>375.89091135214449</v>
      </c>
      <c r="AW67" s="6">
        <f>[1]节奏总纲!AW67</f>
        <v>250.59394090142951</v>
      </c>
      <c r="AX67" s="6">
        <f>[1]节奏总纲!AX67</f>
        <v>125.29697045071475</v>
      </c>
      <c r="AZ67" s="6">
        <v>64</v>
      </c>
      <c r="BA67" s="6">
        <v>35.048795427931836</v>
      </c>
      <c r="BB67" s="6">
        <v>36.526331209747774</v>
      </c>
      <c r="BC67" s="6">
        <v>38.455050268072462</v>
      </c>
      <c r="BD67" s="6">
        <v>41.188041754455355</v>
      </c>
      <c r="BE67" s="6">
        <v>45.869242601500943</v>
      </c>
    </row>
    <row r="68" spans="6:57" x14ac:dyDescent="0.15">
      <c r="F68" s="6">
        <f>[1]节奏总纲!F68</f>
        <v>66</v>
      </c>
      <c r="G68" s="6">
        <f>[1]节奏总纲!G68</f>
        <v>96.005860256665443</v>
      </c>
      <c r="I68" s="6">
        <f>[1]节奏总纲!I68</f>
        <v>66</v>
      </c>
      <c r="J68" s="6">
        <f>[1]节奏总纲!J68</f>
        <v>6162.9846853088866</v>
      </c>
      <c r="K68" s="6">
        <f>[1]节奏总纲!K68</f>
        <v>1.31</v>
      </c>
      <c r="N68" s="6">
        <f>[1]节奏总纲!N68</f>
        <v>75</v>
      </c>
      <c r="O68" s="6">
        <v>65</v>
      </c>
      <c r="P68" s="6">
        <f>[1]节奏总纲!P68</f>
        <v>89.509667991878061</v>
      </c>
      <c r="Q68" s="6">
        <f>[1]节奏总纲!Q68</f>
        <v>77.64963698295422</v>
      </c>
      <c r="R68" s="6">
        <f>[1]节奏总纲!R68</f>
        <v>63.802491344610679</v>
      </c>
      <c r="S68" s="6">
        <f>[1]节奏总纲!S68</f>
        <v>46.929918928141667</v>
      </c>
      <c r="T68" s="6">
        <f>[1]节奏总纲!T68</f>
        <v>25.993607584841389</v>
      </c>
      <c r="V68" s="6">
        <v>65</v>
      </c>
      <c r="W68" s="6">
        <f>[1]节奏总纲!W68</f>
        <v>6.0611617024128606</v>
      </c>
      <c r="X68" s="6">
        <f>[1]节奏总纲!X68</f>
        <v>5.2497129262142153</v>
      </c>
      <c r="Y68" s="6">
        <f>[1]节奏总纲!Y68</f>
        <v>4.4372239702851317</v>
      </c>
      <c r="Z68" s="6">
        <f>[1]节奏总纲!Z68</f>
        <v>3.2112464830908465</v>
      </c>
      <c r="AA68" s="6">
        <f>[1]节奏总纲!AA68</f>
        <v>1.651678300204388</v>
      </c>
      <c r="AC68" s="6">
        <v>65</v>
      </c>
      <c r="AD68" s="6">
        <f>[1]节奏总纲!AD68</f>
        <v>60.435397692903535</v>
      </c>
      <c r="AE68" s="6">
        <f>[1]节奏总纲!AE68</f>
        <v>62.466172543912634</v>
      </c>
      <c r="AF68" s="6">
        <f>[1]节奏总纲!AF68</f>
        <v>65.255436396961542</v>
      </c>
      <c r="AG68" s="6">
        <f>[1]节奏总纲!AG68</f>
        <v>69.789153385637391</v>
      </c>
      <c r="AH68" s="6">
        <f>[1]节奏总纲!AH68</f>
        <v>78.301575047908599</v>
      </c>
      <c r="AL68" s="6">
        <v>65</v>
      </c>
      <c r="AM68" s="6">
        <f>[1]节奏总纲!AM68</f>
        <v>5324.1500000000005</v>
      </c>
      <c r="AN68" s="6">
        <f>[1]节奏总纲!AN68</f>
        <v>4259.3200000000006</v>
      </c>
      <c r="AO68" s="6">
        <f>[1]节奏总纲!AO68</f>
        <v>3194.4900000000002</v>
      </c>
      <c r="AP68" s="6">
        <f>[1]节奏总纲!AP68</f>
        <v>2129.6600000000003</v>
      </c>
      <c r="AQ68" s="6">
        <f>[1]节奏总纲!AQ68</f>
        <v>1064.8300000000002</v>
      </c>
      <c r="AS68" s="6">
        <v>65</v>
      </c>
      <c r="AT68" s="6">
        <f>[1]节奏总纲!AT68</f>
        <v>724.94511163341122</v>
      </c>
      <c r="AU68" s="6">
        <f>[1]节奏总纲!AU68</f>
        <v>579.95608930672915</v>
      </c>
      <c r="AV68" s="6">
        <f>[1]节奏总纲!AV68</f>
        <v>434.96706698004664</v>
      </c>
      <c r="AW68" s="6">
        <f>[1]节奏总纲!AW68</f>
        <v>289.97804465336458</v>
      </c>
      <c r="AX68" s="6">
        <f>[1]节奏总纲!AX68</f>
        <v>144.98902232668229</v>
      </c>
      <c r="AZ68" s="6">
        <v>65</v>
      </c>
      <c r="BA68" s="6">
        <v>35.146386283795508</v>
      </c>
      <c r="BB68" s="6">
        <v>36.631544620542407</v>
      </c>
      <c r="BC68" s="6">
        <v>38.559434478468994</v>
      </c>
      <c r="BD68" s="6">
        <v>41.288607292184714</v>
      </c>
      <c r="BE68" s="6">
        <v>45.98082701761146</v>
      </c>
    </row>
    <row r="69" spans="6:57" x14ac:dyDescent="0.15">
      <c r="F69" s="6">
        <f>[1]节奏总纲!F69</f>
        <v>67</v>
      </c>
      <c r="G69" s="6">
        <f>[1]节奏总纲!G69</f>
        <v>102.96830673359811</v>
      </c>
      <c r="I69" s="6">
        <f>[1]节奏总纲!I69</f>
        <v>67</v>
      </c>
      <c r="J69" s="6">
        <f>[1]节奏总纲!J69</f>
        <v>7133.5498113340191</v>
      </c>
      <c r="K69" s="6">
        <f>[1]节奏总纲!K69</f>
        <v>1.32</v>
      </c>
      <c r="N69" s="6">
        <f>[1]节奏总纲!N69</f>
        <v>76</v>
      </c>
      <c r="O69" s="6">
        <v>66</v>
      </c>
      <c r="P69" s="6">
        <f>[1]节奏总纲!P69</f>
        <v>96.005860256665443</v>
      </c>
      <c r="Q69" s="6">
        <f>[1]节奏总纲!Q69</f>
        <v>83.352287874836932</v>
      </c>
      <c r="R69" s="6">
        <f>[1]节奏总纲!R69</f>
        <v>68.490580707105124</v>
      </c>
      <c r="S69" s="6">
        <f>[1]节奏总纲!S69</f>
        <v>50.163061984107692</v>
      </c>
      <c r="T69" s="6">
        <f>[1]节奏总纲!T69</f>
        <v>27.851300060458648</v>
      </c>
      <c r="V69" s="6">
        <v>66</v>
      </c>
      <c r="W69" s="6">
        <f>[1]节奏总纲!W69</f>
        <v>6.496192264787382</v>
      </c>
      <c r="X69" s="6">
        <f>[1]节奏总纲!X69</f>
        <v>5.7026508918827119</v>
      </c>
      <c r="Y69" s="6">
        <f>[1]节奏总纲!Y69</f>
        <v>4.6880893624944449</v>
      </c>
      <c r="Z69" s="6">
        <f>[1]节奏总纲!Z69</f>
        <v>3.2331430559660248</v>
      </c>
      <c r="AA69" s="6">
        <f>[1]节奏总纲!AA69</f>
        <v>1.8576924756172595</v>
      </c>
      <c r="AC69" s="6">
        <v>66</v>
      </c>
      <c r="AD69" s="6">
        <f>[1]节奏总纲!AD69</f>
        <v>60.653096539355303</v>
      </c>
      <c r="AE69" s="6">
        <f>[1]节奏总纲!AE69</f>
        <v>62.682290092013595</v>
      </c>
      <c r="AF69" s="6">
        <f>[1]节奏总纲!AF69</f>
        <v>65.468742911124906</v>
      </c>
      <c r="AG69" s="6">
        <f>[1]节奏总纲!AG69</f>
        <v>70.015851474333999</v>
      </c>
      <c r="AH69" s="6">
        <f>[1]节奏总纲!AH69</f>
        <v>78.525279626417301</v>
      </c>
      <c r="AL69" s="6">
        <v>66</v>
      </c>
      <c r="AM69" s="6">
        <f>[1]节奏总纲!AM69</f>
        <v>6162.9846853088866</v>
      </c>
      <c r="AN69" s="6">
        <f>[1]节奏总纲!AN69</f>
        <v>4930.3877482471098</v>
      </c>
      <c r="AO69" s="6">
        <f>[1]节奏总纲!AO69</f>
        <v>3697.7908111853317</v>
      </c>
      <c r="AP69" s="6">
        <f>[1]节奏总纲!AP69</f>
        <v>2465.1938741235549</v>
      </c>
      <c r="AQ69" s="6">
        <f>[1]节奏总纲!AQ69</f>
        <v>1232.5969370617775</v>
      </c>
      <c r="AS69" s="6">
        <v>66</v>
      </c>
      <c r="AT69" s="6">
        <f>[1]节奏总纲!AT69</f>
        <v>838.83468530888604</v>
      </c>
      <c r="AU69" s="6">
        <f>[1]节奏总纲!AU69</f>
        <v>671.06774824710919</v>
      </c>
      <c r="AV69" s="6">
        <f>[1]节奏总纲!AV69</f>
        <v>503.30081118533144</v>
      </c>
      <c r="AW69" s="6">
        <f>[1]节奏总纲!AW69</f>
        <v>335.5338741235546</v>
      </c>
      <c r="AX69" s="6">
        <f>[1]节奏总纲!AX69</f>
        <v>167.7669370617773</v>
      </c>
      <c r="AZ69" s="6">
        <v>66</v>
      </c>
      <c r="BA69" s="6">
        <v>35.243977139659179</v>
      </c>
      <c r="BB69" s="6">
        <v>36.73675803133704</v>
      </c>
      <c r="BC69" s="6">
        <v>38.663818688865533</v>
      </c>
      <c r="BD69" s="6">
        <v>41.389172829914081</v>
      </c>
      <c r="BE69" s="6">
        <v>46.079770001861057</v>
      </c>
    </row>
    <row r="70" spans="6:57" x14ac:dyDescent="0.15">
      <c r="F70" s="6">
        <f>[1]节奏总纲!F70</f>
        <v>68</v>
      </c>
      <c r="G70" s="6">
        <f>[1]节奏总纲!G70</f>
        <v>110.43047210190386</v>
      </c>
      <c r="I70" s="6">
        <f>[1]节奏总纲!I70</f>
        <v>68</v>
      </c>
      <c r="J70" s="6">
        <f>[1]节奏总纲!J70</f>
        <v>8256.4738250473602</v>
      </c>
      <c r="K70" s="6">
        <f>[1]节奏总纲!K70</f>
        <v>1.33</v>
      </c>
      <c r="N70" s="6">
        <f>[1]节奏总纲!N70</f>
        <v>77</v>
      </c>
      <c r="O70" s="6">
        <v>67</v>
      </c>
      <c r="P70" s="6">
        <f>[1]节奏总纲!P70</f>
        <v>102.96830673359811</v>
      </c>
      <c r="Q70" s="6">
        <f>[1]节奏总纲!Q70</f>
        <v>89.469161720823394</v>
      </c>
      <c r="R70" s="6">
        <f>[1]节奏总纲!R70</f>
        <v>73.292840732975137</v>
      </c>
      <c r="S70" s="6">
        <f>[1]节奏总纲!S70</f>
        <v>53.625894146857902</v>
      </c>
      <c r="T70" s="6">
        <f>[1]节奏总纲!T70</f>
        <v>29.799027968703292</v>
      </c>
      <c r="V70" s="6">
        <v>67</v>
      </c>
      <c r="W70" s="6">
        <f>[1]节奏总纲!W70</f>
        <v>6.9624464769326693</v>
      </c>
      <c r="X70" s="6">
        <f>[1]节奏总纲!X70</f>
        <v>6.1168738459864613</v>
      </c>
      <c r="Y70" s="6">
        <f>[1]节奏总纲!Y70</f>
        <v>4.8022600258700123</v>
      </c>
      <c r="Z70" s="6">
        <f>[1]节奏总纲!Z70</f>
        <v>3.4628321627502103</v>
      </c>
      <c r="AA70" s="6">
        <f>[1]节奏总纲!AA70</f>
        <v>1.9477279082446444</v>
      </c>
      <c r="AC70" s="6">
        <v>67</v>
      </c>
      <c r="AD70" s="6">
        <f>[1]节奏总纲!AD70</f>
        <v>60.870795385807064</v>
      </c>
      <c r="AE70" s="6">
        <f>[1]节奏总纲!AE70</f>
        <v>62.898407640114556</v>
      </c>
      <c r="AF70" s="6">
        <f>[1]节奏总纲!AF70</f>
        <v>65.682049425288255</v>
      </c>
      <c r="AG70" s="6">
        <f>[1]节奏总纲!AG70</f>
        <v>70.229195678021767</v>
      </c>
      <c r="AH70" s="6">
        <f>[1]节奏总纲!AH70</f>
        <v>78.748984204926018</v>
      </c>
      <c r="AL70" s="6">
        <v>67</v>
      </c>
      <c r="AM70" s="6">
        <f>[1]节奏总纲!AM70</f>
        <v>7133.5498113340191</v>
      </c>
      <c r="AN70" s="6">
        <f>[1]节奏总纲!AN70</f>
        <v>5706.8398490672153</v>
      </c>
      <c r="AO70" s="6">
        <f>[1]节奏总纲!AO70</f>
        <v>4280.1298868004114</v>
      </c>
      <c r="AP70" s="6">
        <f>[1]节奏总纲!AP70</f>
        <v>2853.4199245336076</v>
      </c>
      <c r="AQ70" s="6">
        <f>[1]节奏总纲!AQ70</f>
        <v>1426.7099622668038</v>
      </c>
      <c r="AS70" s="6">
        <v>67</v>
      </c>
      <c r="AT70" s="6">
        <f>[1]节奏总纲!AT70</f>
        <v>970.56512602513249</v>
      </c>
      <c r="AU70" s="6">
        <f>[1]节奏总纲!AU70</f>
        <v>776.45210082010544</v>
      </c>
      <c r="AV70" s="6">
        <f>[1]节奏总纲!AV70</f>
        <v>582.33907561507976</v>
      </c>
      <c r="AW70" s="6">
        <f>[1]节奏总纲!AW70</f>
        <v>388.22605041005272</v>
      </c>
      <c r="AX70" s="6">
        <f>[1]节奏总纲!AX70</f>
        <v>194.11302520502636</v>
      </c>
      <c r="AZ70" s="6">
        <v>67</v>
      </c>
      <c r="BA70" s="6">
        <v>35.341567995522851</v>
      </c>
      <c r="BB70" s="6">
        <v>36.841971442131673</v>
      </c>
      <c r="BC70" s="6">
        <v>38.768202899262064</v>
      </c>
      <c r="BD70" s="6">
        <v>41.48973836764344</v>
      </c>
      <c r="BE70" s="6">
        <v>46.176090215954694</v>
      </c>
    </row>
    <row r="71" spans="6:57" x14ac:dyDescent="0.15">
      <c r="F71" s="6">
        <f>[1]节奏总纲!F71</f>
        <v>69</v>
      </c>
      <c r="G71" s="6">
        <f>[1]节奏总纲!G71</f>
        <v>118.42822291671132</v>
      </c>
      <c r="I71" s="6">
        <f>[1]节奏总纲!I71</f>
        <v>69</v>
      </c>
      <c r="J71" s="6">
        <f>[1]节奏总纲!J71</f>
        <v>9555.6072874592737</v>
      </c>
      <c r="K71" s="6">
        <f>[1]节奏总纲!K71</f>
        <v>1.34</v>
      </c>
      <c r="N71" s="6">
        <f>[1]节奏总纲!N71</f>
        <v>78</v>
      </c>
      <c r="O71" s="6">
        <v>68</v>
      </c>
      <c r="P71" s="6">
        <f>[1]节奏总纲!P71</f>
        <v>110.43047210190386</v>
      </c>
      <c r="Q71" s="6">
        <f>[1]节奏总纲!Q71</f>
        <v>95.831563690032169</v>
      </c>
      <c r="R71" s="6">
        <f>[1]节奏总纲!R71</f>
        <v>78.251032531409081</v>
      </c>
      <c r="S71" s="6">
        <f>[1]节奏总纲!S71</f>
        <v>57.412802445779818</v>
      </c>
      <c r="T71" s="6">
        <f>[1]节奏总纲!T71</f>
        <v>31.859191201399263</v>
      </c>
      <c r="V71" s="6">
        <v>68</v>
      </c>
      <c r="W71" s="6">
        <f>[1]节奏总纲!W71</f>
        <v>7.4621653683057474</v>
      </c>
      <c r="X71" s="6">
        <f>[1]节奏总纲!X71</f>
        <v>6.3624019692087757</v>
      </c>
      <c r="Y71" s="6">
        <f>[1]节奏总纲!Y71</f>
        <v>4.9581917984339441</v>
      </c>
      <c r="Z71" s="6">
        <f>[1]节奏总纲!Z71</f>
        <v>3.7869082989219152</v>
      </c>
      <c r="AA71" s="6">
        <f>[1]节奏总纲!AA71</f>
        <v>2.0601632326959702</v>
      </c>
      <c r="AC71" s="6">
        <v>68</v>
      </c>
      <c r="AD71" s="6">
        <f>[1]节奏总纲!AD71</f>
        <v>61.082568038258209</v>
      </c>
      <c r="AE71" s="6">
        <f>[1]节奏总纲!AE71</f>
        <v>63.107492392331935</v>
      </c>
      <c r="AF71" s="6">
        <f>[1]节奏总纲!AF71</f>
        <v>65.895355939451605</v>
      </c>
      <c r="AG71" s="6">
        <f>[1]节奏总纲!AG71</f>
        <v>70.442539881709536</v>
      </c>
      <c r="AH71" s="6">
        <f>[1]节奏总纲!AH71</f>
        <v>78.972688783434734</v>
      </c>
      <c r="AL71" s="6">
        <v>68</v>
      </c>
      <c r="AM71" s="6">
        <f>[1]节奏总纲!AM71</f>
        <v>8256.4738250473602</v>
      </c>
      <c r="AN71" s="6">
        <f>[1]节奏总纲!AN71</f>
        <v>6605.1790600378881</v>
      </c>
      <c r="AO71" s="6">
        <f>[1]节奏总纲!AO71</f>
        <v>4953.8842950284161</v>
      </c>
      <c r="AP71" s="6">
        <f>[1]节奏总纲!AP71</f>
        <v>3302.5895300189441</v>
      </c>
      <c r="AQ71" s="6">
        <f>[1]节奏总纲!AQ71</f>
        <v>1651.294765009472</v>
      </c>
      <c r="AS71" s="6">
        <v>68</v>
      </c>
      <c r="AT71" s="6">
        <f>[1]节奏总纲!AT71</f>
        <v>1122.9240137133411</v>
      </c>
      <c r="AU71" s="6">
        <f>[1]节奏总纲!AU71</f>
        <v>898.33921097067287</v>
      </c>
      <c r="AV71" s="6">
        <f>[1]节奏总纲!AV71</f>
        <v>673.75440822800465</v>
      </c>
      <c r="AW71" s="6">
        <f>[1]节奏总纲!AW71</f>
        <v>449.16960548533643</v>
      </c>
      <c r="AX71" s="6">
        <f>[1]节奏总纲!AX71</f>
        <v>224.58480274266822</v>
      </c>
      <c r="AZ71" s="6">
        <v>68</v>
      </c>
      <c r="BA71" s="6">
        <v>35.439158851386523</v>
      </c>
      <c r="BB71" s="6">
        <v>36.947184852926306</v>
      </c>
      <c r="BC71" s="6">
        <v>38.872587109658596</v>
      </c>
      <c r="BD71" s="6">
        <v>41.590303905372799</v>
      </c>
      <c r="BE71" s="6">
        <v>46.272410430048332</v>
      </c>
    </row>
    <row r="72" spans="6:57" x14ac:dyDescent="0.15">
      <c r="F72" s="6">
        <f>[1]节奏总纲!F72</f>
        <v>70</v>
      </c>
      <c r="G72" s="6">
        <f>[1]节奏总纲!G72</f>
        <v>127</v>
      </c>
      <c r="I72" s="6">
        <f>[1]节奏总纲!I72</f>
        <v>70</v>
      </c>
      <c r="J72" s="6">
        <f>[1]节奏总纲!J72</f>
        <v>11058.525000000001</v>
      </c>
      <c r="K72" s="6">
        <f>[1]节奏总纲!K72</f>
        <v>1.35</v>
      </c>
      <c r="N72" s="6">
        <f>[1]节奏总纲!N72</f>
        <v>79</v>
      </c>
      <c r="O72" s="6">
        <v>69</v>
      </c>
      <c r="P72" s="6">
        <f>[1]节奏总纲!P72</f>
        <v>118.42822291671132</v>
      </c>
      <c r="Q72" s="6">
        <f>[1]节奏总纲!Q72</f>
        <v>102.51146975670532</v>
      </c>
      <c r="R72" s="6">
        <f>[1]节奏总纲!R72</f>
        <v>83.894553114198303</v>
      </c>
      <c r="S72" s="6">
        <f>[1]节奏总纲!S72</f>
        <v>61.535304627523196</v>
      </c>
      <c r="T72" s="6">
        <f>[1]节奏总纲!T72</f>
        <v>34.059956910846175</v>
      </c>
      <c r="V72" s="6">
        <v>69</v>
      </c>
      <c r="W72" s="6">
        <f>[1]节奏总纲!W72</f>
        <v>7.9977508148074605</v>
      </c>
      <c r="X72" s="6">
        <f>[1]节奏总纲!X72</f>
        <v>6.6799060666731549</v>
      </c>
      <c r="Y72" s="6">
        <f>[1]节奏总纲!Y72</f>
        <v>5.6435205827892219</v>
      </c>
      <c r="Z72" s="6">
        <f>[1]节奏总纲!Z72</f>
        <v>4.1225021817433785</v>
      </c>
      <c r="AA72" s="6">
        <f>[1]节奏总纲!AA72</f>
        <v>2.2007657094469124</v>
      </c>
      <c r="AC72" s="6">
        <v>69</v>
      </c>
      <c r="AD72" s="6">
        <f>[1]节奏总纲!AD72</f>
        <v>61.285688244217212</v>
      </c>
      <c r="AE72" s="6">
        <f>[1]节奏总纲!AE72</f>
        <v>63.310338531528565</v>
      </c>
      <c r="AF72" s="6">
        <f>[1]节奏总纲!AF72</f>
        <v>66.106079073217742</v>
      </c>
      <c r="AG72" s="6">
        <f>[1]节奏总纲!AG72</f>
        <v>70.655884085397304</v>
      </c>
      <c r="AH72" s="6">
        <f>[1]节奏总纲!AH72</f>
        <v>79.188599387584361</v>
      </c>
      <c r="AL72" s="6">
        <v>69</v>
      </c>
      <c r="AM72" s="6">
        <f>[1]节奏总纲!AM72</f>
        <v>9555.6072874592737</v>
      </c>
      <c r="AN72" s="6">
        <f>[1]节奏总纲!AN72</f>
        <v>7644.4858299674197</v>
      </c>
      <c r="AO72" s="6">
        <f>[1]节奏总纲!AO72</f>
        <v>5733.3643724755639</v>
      </c>
      <c r="AP72" s="6">
        <f>[1]节奏总纲!AP72</f>
        <v>3822.2429149837099</v>
      </c>
      <c r="AQ72" s="6">
        <f>[1]节奏总纲!AQ72</f>
        <v>1911.1214574918549</v>
      </c>
      <c r="AS72" s="6">
        <v>69</v>
      </c>
      <c r="AT72" s="6">
        <f>[1]节奏总纲!AT72</f>
        <v>1299.1334624119136</v>
      </c>
      <c r="AU72" s="6">
        <f>[1]节奏总纲!AU72</f>
        <v>1039.3067699295316</v>
      </c>
      <c r="AV72" s="6">
        <f>[1]节奏总纲!AV72</f>
        <v>779.48007744714778</v>
      </c>
      <c r="AW72" s="6">
        <f>[1]节奏总纲!AW72</f>
        <v>519.65338496476579</v>
      </c>
      <c r="AX72" s="6">
        <f>[1]节奏总纲!AX72</f>
        <v>259.8266924823829</v>
      </c>
      <c r="AZ72" s="6">
        <v>69</v>
      </c>
      <c r="BA72" s="6">
        <v>35.536749707250202</v>
      </c>
      <c r="BB72" s="6">
        <v>37.045197000674086</v>
      </c>
      <c r="BC72" s="6">
        <v>38.976971320055128</v>
      </c>
      <c r="BD72" s="6">
        <v>41.690869443102159</v>
      </c>
      <c r="BE72" s="6">
        <v>46.368730644141969</v>
      </c>
    </row>
    <row r="73" spans="6:57" x14ac:dyDescent="0.15">
      <c r="F73" s="6">
        <f>[1]节奏总纲!F73</f>
        <v>71</v>
      </c>
      <c r="G73" s="6">
        <f>[1]节奏总纲!G73</f>
        <v>136.18700320464549</v>
      </c>
      <c r="I73" s="6">
        <f>[1]节奏总纲!I73</f>
        <v>71</v>
      </c>
      <c r="J73" s="6">
        <f>[1]节奏总纲!J73</f>
        <v>12797.106216824561</v>
      </c>
      <c r="K73" s="6">
        <f>[1]节奏总纲!K73</f>
        <v>1.36</v>
      </c>
      <c r="N73" s="6">
        <f>[1]节奏总纲!N73</f>
        <v>80</v>
      </c>
      <c r="O73" s="6">
        <v>70</v>
      </c>
      <c r="P73" s="6">
        <f>[1]节奏总纲!P73</f>
        <v>127</v>
      </c>
      <c r="Q73" s="6">
        <f>[1]节奏总纲!Q73</f>
        <v>109.9693</v>
      </c>
      <c r="R73" s="6">
        <f>[1]节奏总纲!R73</f>
        <v>90.106499999999997</v>
      </c>
      <c r="S73" s="6">
        <f>[1]节奏总纲!S73</f>
        <v>65.925700000000006</v>
      </c>
      <c r="T73" s="6">
        <f>[1]节奏总纲!T73</f>
        <v>36.4998</v>
      </c>
      <c r="V73" s="6">
        <v>70</v>
      </c>
      <c r="W73" s="6">
        <f>[1]节奏总纲!W73</f>
        <v>8.5717770832886799</v>
      </c>
      <c r="X73" s="6">
        <f>[1]节奏总纲!X73</f>
        <v>7.4578302432946799</v>
      </c>
      <c r="Y73" s="6">
        <f>[1]节奏总纲!Y73</f>
        <v>6.2119468858016944</v>
      </c>
      <c r="Z73" s="6">
        <f>[1]节奏总纲!Z73</f>
        <v>4.3903953724768101</v>
      </c>
      <c r="AA73" s="6">
        <f>[1]节奏总纲!AA73</f>
        <v>2.4398430891538254</v>
      </c>
      <c r="AC73" s="6">
        <v>70</v>
      </c>
      <c r="AD73" s="6">
        <f>[1]节奏总纲!AD73</f>
        <v>61.488808450176215</v>
      </c>
      <c r="AE73" s="6">
        <f>[1]节奏总纲!AE73</f>
        <v>63.513184670725188</v>
      </c>
      <c r="AF73" s="6">
        <f>[1]节奏总纲!AF73</f>
        <v>66.314314361313961</v>
      </c>
      <c r="AG73" s="6">
        <f>[1]节奏总纲!AG73</f>
        <v>70.869228289085072</v>
      </c>
      <c r="AH73" s="6">
        <f>[1]节奏总纲!AH73</f>
        <v>79.403426131671111</v>
      </c>
      <c r="AL73" s="6">
        <v>70</v>
      </c>
      <c r="AM73" s="6">
        <f>[1]节奏总纲!AM73</f>
        <v>11058.525000000001</v>
      </c>
      <c r="AN73" s="6">
        <f>[1]节奏总纲!AN73</f>
        <v>8846.8200000000015</v>
      </c>
      <c r="AO73" s="6">
        <f>[1]节奏总纲!AO73</f>
        <v>6635.1150000000007</v>
      </c>
      <c r="AP73" s="6">
        <f>[1]节奏总纲!AP73</f>
        <v>4423.4100000000008</v>
      </c>
      <c r="AQ73" s="6">
        <f>[1]节奏总纲!AQ73</f>
        <v>2211.7050000000004</v>
      </c>
      <c r="AS73" s="6">
        <v>70</v>
      </c>
      <c r="AT73" s="6">
        <f>[1]节奏总纲!AT73</f>
        <v>1502.9177125407277</v>
      </c>
      <c r="AU73" s="6">
        <f>[1]节奏总纲!AU73</f>
        <v>1202.3341700325818</v>
      </c>
      <c r="AV73" s="6">
        <f>[1]节奏总纲!AV73</f>
        <v>901.75062752443682</v>
      </c>
      <c r="AW73" s="6">
        <f>[1]节奏总纲!AW73</f>
        <v>601.16708501629091</v>
      </c>
      <c r="AX73" s="6">
        <f>[1]节奏总纲!AX73</f>
        <v>300.58354250814546</v>
      </c>
      <c r="AZ73" s="6">
        <v>70</v>
      </c>
      <c r="BA73" s="6">
        <v>35.634340563113874</v>
      </c>
      <c r="BB73" s="6">
        <v>37.135950591746003</v>
      </c>
      <c r="BC73" s="6">
        <v>39.070187171981765</v>
      </c>
      <c r="BD73" s="6">
        <v>41.791434980831518</v>
      </c>
      <c r="BE73" s="6">
        <v>46.465050858235607</v>
      </c>
    </row>
    <row r="74" spans="6:57" x14ac:dyDescent="0.15">
      <c r="F74" s="6">
        <f>[1]节奏总纲!F74</f>
        <v>72</v>
      </c>
      <c r="G74" s="6">
        <f>[1]节奏总纲!G74</f>
        <v>146.03338943962044</v>
      </c>
      <c r="I74" s="6">
        <f>[1]节奏总纲!I74</f>
        <v>72</v>
      </c>
      <c r="J74" s="6">
        <f>[1]节奏总纲!J74</f>
        <v>14808.205062920617</v>
      </c>
      <c r="K74" s="6">
        <f>[1]节奏总纲!K74</f>
        <v>1.37</v>
      </c>
      <c r="N74" s="6">
        <f>[1]节奏总纲!N74</f>
        <v>81</v>
      </c>
      <c r="O74" s="6">
        <v>71</v>
      </c>
      <c r="P74" s="6">
        <f>[1]节奏总纲!P74</f>
        <v>136.18700320464549</v>
      </c>
      <c r="Q74" s="6">
        <f>[1]节奏总纲!Q74</f>
        <v>118.03327567746625</v>
      </c>
      <c r="R74" s="6">
        <f>[1]节奏总纲!R74</f>
        <v>96.583822672734584</v>
      </c>
      <c r="S74" s="6">
        <f>[1]节奏总纲!S74</f>
        <v>70.612961161608681</v>
      </c>
      <c r="T74" s="6">
        <f>[1]节奏总纲!T74</f>
        <v>39.126526020694648</v>
      </c>
      <c r="V74" s="6">
        <v>71</v>
      </c>
      <c r="W74" s="6">
        <f>[1]节奏总纲!W74</f>
        <v>9.1870032046454924</v>
      </c>
      <c r="X74" s="6">
        <f>[1]节奏总纲!X74</f>
        <v>8.0639756774662459</v>
      </c>
      <c r="Y74" s="6">
        <f>[1]节奏总纲!Y74</f>
        <v>6.4773226727345872</v>
      </c>
      <c r="Z74" s="6">
        <f>[1]节奏总纲!Z74</f>
        <v>4.6872611616086743</v>
      </c>
      <c r="AA74" s="6">
        <f>[1]节奏总纲!AA74</f>
        <v>2.6267260206946474</v>
      </c>
      <c r="AC74" s="6">
        <v>71</v>
      </c>
      <c r="AD74" s="6">
        <f>[1]节奏总纲!AD74</f>
        <v>61.691928656135218</v>
      </c>
      <c r="AE74" s="6">
        <f>[1]节奏总纲!AE74</f>
        <v>63.716030809921811</v>
      </c>
      <c r="AF74" s="6">
        <f>[1]节奏总纲!AF74</f>
        <v>66.52254964941018</v>
      </c>
      <c r="AG74" s="6">
        <f>[1]节奏总纲!AG74</f>
        <v>71.07781362467729</v>
      </c>
      <c r="AH74" s="6">
        <f>[1]节奏总纲!AH74</f>
        <v>79.618252875757847</v>
      </c>
      <c r="AL74" s="6">
        <v>71</v>
      </c>
      <c r="AM74" s="6">
        <f>[1]节奏总纲!AM74</f>
        <v>12797.106216824561</v>
      </c>
      <c r="AN74" s="6">
        <f>[1]节奏总纲!AN74</f>
        <v>10237.684973459649</v>
      </c>
      <c r="AO74" s="6">
        <f>[1]节奏总纲!AO74</f>
        <v>7678.2637300947363</v>
      </c>
      <c r="AP74" s="6">
        <f>[1]节奏总纲!AP74</f>
        <v>5118.8424867298245</v>
      </c>
      <c r="AQ74" s="6">
        <f>[1]节奏总纲!AQ74</f>
        <v>2559.4212433649122</v>
      </c>
      <c r="AS74" s="6">
        <v>71</v>
      </c>
      <c r="AT74" s="6">
        <f>[1]节奏总纲!AT74</f>
        <v>1738.5812168245593</v>
      </c>
      <c r="AU74" s="6">
        <f>[1]节奏总纲!AU74</f>
        <v>1390.8649734596474</v>
      </c>
      <c r="AV74" s="6">
        <f>[1]节奏总纲!AV74</f>
        <v>1043.1487300947356</v>
      </c>
      <c r="AW74" s="6">
        <f>[1]节奏总纲!AW74</f>
        <v>695.43248672982372</v>
      </c>
      <c r="AX74" s="6">
        <f>[1]节奏总纲!AX74</f>
        <v>347.71624336491186</v>
      </c>
      <c r="AZ74" s="6">
        <v>71</v>
      </c>
      <c r="BA74" s="6">
        <v>35.731931418977545</v>
      </c>
      <c r="BB74" s="6">
        <v>37.226704182817912</v>
      </c>
      <c r="BC74" s="6">
        <v>39.160241683169971</v>
      </c>
      <c r="BD74" s="6">
        <v>41.892000518560877</v>
      </c>
      <c r="BE74" s="6">
        <v>46.561371072329244</v>
      </c>
    </row>
    <row r="75" spans="6:57" x14ac:dyDescent="0.15">
      <c r="F75" s="6">
        <f>[1]节奏总纲!F75</f>
        <v>73</v>
      </c>
      <c r="G75" s="6">
        <f>[1]节奏总纲!G75</f>
        <v>156.58648490814926</v>
      </c>
      <c r="I75" s="6">
        <f>[1]节奏总纲!I75</f>
        <v>73</v>
      </c>
      <c r="J75" s="6">
        <f>[1]节奏总纲!J75</f>
        <v>17134.425155737379</v>
      </c>
      <c r="K75" s="6">
        <f>[1]节奏总纲!K75</f>
        <v>1.38</v>
      </c>
      <c r="N75" s="6">
        <f>[1]节奏总纲!N75</f>
        <v>82</v>
      </c>
      <c r="O75" s="6">
        <v>72</v>
      </c>
      <c r="P75" s="6">
        <f>[1]节奏总纲!P75</f>
        <v>146.03338943962044</v>
      </c>
      <c r="Q75" s="6">
        <f>[1]节奏总纲!Q75</f>
        <v>126.581741966263</v>
      </c>
      <c r="R75" s="6">
        <f>[1]节奏总纲!R75</f>
        <v>103.31862302853146</v>
      </c>
      <c r="S75" s="6">
        <f>[1]节奏总纲!S75</f>
        <v>75.586882373947532</v>
      </c>
      <c r="T75" s="6">
        <f>[1]节奏总纲!T75</f>
        <v>41.896979430227098</v>
      </c>
      <c r="V75" s="6">
        <v>72</v>
      </c>
      <c r="W75" s="6">
        <f>[1]节奏总纲!W75</f>
        <v>9.8463862349749434</v>
      </c>
      <c r="X75" s="6">
        <f>[1]节奏总纲!X75</f>
        <v>8.548466288796746</v>
      </c>
      <c r="Y75" s="6">
        <f>[1]节奏总纲!Y75</f>
        <v>6.7348003557968781</v>
      </c>
      <c r="Z75" s="6">
        <f>[1]节奏总纲!Z75</f>
        <v>4.9739212123388512</v>
      </c>
      <c r="AA75" s="6">
        <f>[1]节奏总纲!AA75</f>
        <v>2.7704534095324505</v>
      </c>
      <c r="AC75" s="6">
        <v>72</v>
      </c>
      <c r="AD75" s="6">
        <f>[1]节奏总纲!AD75</f>
        <v>61.895048862094221</v>
      </c>
      <c r="AE75" s="6">
        <f>[1]节奏总纲!AE75</f>
        <v>63.918876949118435</v>
      </c>
      <c r="AF75" s="6">
        <f>[1]节奏总纲!AF75</f>
        <v>66.7307849375064</v>
      </c>
      <c r="AG75" s="6">
        <f>[1]节奏总纲!AG75</f>
        <v>71.278862245535876</v>
      </c>
      <c r="AH75" s="6">
        <f>[1]节奏总纲!AH75</f>
        <v>79.833079619844597</v>
      </c>
      <c r="AL75" s="6">
        <v>72</v>
      </c>
      <c r="AM75" s="6">
        <f>[1]节奏总纲!AM75</f>
        <v>14808.205062920617</v>
      </c>
      <c r="AN75" s="6">
        <f>[1]节奏总纲!AN75</f>
        <v>11846.564050336494</v>
      </c>
      <c r="AO75" s="6">
        <f>[1]节奏总纲!AO75</f>
        <v>8884.9230377523691</v>
      </c>
      <c r="AP75" s="6">
        <f>[1]节奏总纲!AP75</f>
        <v>5923.2820251682469</v>
      </c>
      <c r="AQ75" s="6">
        <f>[1]节奏总纲!AQ75</f>
        <v>2961.6410125841235</v>
      </c>
      <c r="AS75" s="6">
        <v>72</v>
      </c>
      <c r="AT75" s="6">
        <f>[1]节奏总纲!AT75</f>
        <v>2011.0988460960561</v>
      </c>
      <c r="AU75" s="6">
        <f>[1]节奏总纲!AU75</f>
        <v>1608.8790768768449</v>
      </c>
      <c r="AV75" s="6">
        <f>[1]节奏总纲!AV75</f>
        <v>1206.6593076576328</v>
      </c>
      <c r="AW75" s="6">
        <f>[1]节奏总纲!AW75</f>
        <v>804.43953843842246</v>
      </c>
      <c r="AX75" s="6">
        <f>[1]节奏总纲!AX75</f>
        <v>402.21976921921123</v>
      </c>
      <c r="AZ75" s="6">
        <v>72</v>
      </c>
      <c r="BA75" s="6">
        <v>35.829522274841217</v>
      </c>
      <c r="BB75" s="6">
        <v>37.317457773889828</v>
      </c>
      <c r="BC75" s="6">
        <v>39.250296194358178</v>
      </c>
      <c r="BD75" s="6">
        <v>41.992566056290244</v>
      </c>
      <c r="BE75" s="6">
        <v>46.657691286422882</v>
      </c>
    </row>
    <row r="76" spans="6:57" x14ac:dyDescent="0.15">
      <c r="F76" s="6">
        <f>[1]节奏总纲!F76</f>
        <v>74</v>
      </c>
      <c r="G76" s="6">
        <f>[1]节奏总纲!G76</f>
        <v>167.89701257893043</v>
      </c>
      <c r="I76" s="6">
        <f>[1]节奏总纲!I76</f>
        <v>74</v>
      </c>
      <c r="J76" s="6">
        <f>[1]节奏总纲!J76</f>
        <v>19825.014596370729</v>
      </c>
      <c r="K76" s="6">
        <f>[1]节奏总纲!K76</f>
        <v>1.39</v>
      </c>
      <c r="N76" s="6">
        <f>[1]节奏总纲!N76</f>
        <v>83</v>
      </c>
      <c r="O76" s="6">
        <v>73</v>
      </c>
      <c r="P76" s="6">
        <f>[1]节奏总纲!P76</f>
        <v>156.58648490814926</v>
      </c>
      <c r="Q76" s="6">
        <f>[1]节奏总纲!Q76</f>
        <v>135.41599214856748</v>
      </c>
      <c r="R76" s="6">
        <f>[1]节奏总纲!R76</f>
        <v>110.58137564213501</v>
      </c>
      <c r="S76" s="6">
        <f>[1]节奏总纲!S76</f>
        <v>80.955212697513176</v>
      </c>
      <c r="T76" s="6">
        <f>[1]节奏总纲!T76</f>
        <v>44.877686574675579</v>
      </c>
      <c r="V76" s="6">
        <v>73</v>
      </c>
      <c r="W76" s="6">
        <f>[1]节奏总纲!W76</f>
        <v>10.553095468528824</v>
      </c>
      <c r="X76" s="6">
        <f>[1]节奏总纲!X76</f>
        <v>8.834250182304487</v>
      </c>
      <c r="Y76" s="6">
        <f>[1]节奏总纲!Y76</f>
        <v>7.2627526136035527</v>
      </c>
      <c r="Z76" s="6">
        <f>[1]节奏总纲!Z76</f>
        <v>5.3683303235656439</v>
      </c>
      <c r="AA76" s="6">
        <f>[1]节奏总纲!AA76</f>
        <v>2.9807071444484805</v>
      </c>
      <c r="AC76" s="6">
        <v>73</v>
      </c>
      <c r="AD76" s="6">
        <f>[1]节奏总纲!AD76</f>
        <v>62.091594979242075</v>
      </c>
      <c r="AE76" s="6">
        <f>[1]节奏总纲!AE76</f>
        <v>64.114306430026588</v>
      </c>
      <c r="AF76" s="6">
        <f>[1]节奏总纲!AF76</f>
        <v>66.939020225602619</v>
      </c>
      <c r="AG76" s="6">
        <f>[1]节奏总纲!AG76</f>
        <v>71.479910866394462</v>
      </c>
      <c r="AH76" s="6">
        <f>[1]节奏总纲!AH76</f>
        <v>80.043898354812981</v>
      </c>
      <c r="AL76" s="6">
        <v>73</v>
      </c>
      <c r="AM76" s="6">
        <f>[1]节奏总纲!AM76</f>
        <v>17134.425155737379</v>
      </c>
      <c r="AN76" s="6">
        <f>[1]节奏总纲!AN76</f>
        <v>13707.540124589905</v>
      </c>
      <c r="AO76" s="6">
        <f>[1]节奏总纲!AO76</f>
        <v>10280.655093442427</v>
      </c>
      <c r="AP76" s="6">
        <f>[1]节奏总纲!AP76</f>
        <v>6853.7700622949524</v>
      </c>
      <c r="AQ76" s="6">
        <f>[1]节奏总纲!AQ76</f>
        <v>3426.8850311474762</v>
      </c>
      <c r="AS76" s="6">
        <v>73</v>
      </c>
      <c r="AT76" s="6">
        <f>[1]节奏总纲!AT76</f>
        <v>2326.2200928167622</v>
      </c>
      <c r="AU76" s="6">
        <f>[1]节奏总纲!AU76</f>
        <v>1860.9760742534108</v>
      </c>
      <c r="AV76" s="6">
        <f>[1]节奏总纲!AV76</f>
        <v>1395.7320556900577</v>
      </c>
      <c r="AW76" s="6">
        <f>[1]节奏总纲!AW76</f>
        <v>930.48803712670542</v>
      </c>
      <c r="AX76" s="6">
        <f>[1]节奏总纲!AX76</f>
        <v>465.24401856335271</v>
      </c>
      <c r="AZ76" s="6">
        <v>73</v>
      </c>
      <c r="BA76" s="6">
        <v>35.927113130704889</v>
      </c>
      <c r="BB76" s="6">
        <v>37.408211364961737</v>
      </c>
      <c r="BC76" s="6">
        <v>39.340350705546385</v>
      </c>
      <c r="BD76" s="6">
        <v>42.080366850119908</v>
      </c>
      <c r="BE76" s="6">
        <v>46.754011500516519</v>
      </c>
    </row>
    <row r="77" spans="6:57" x14ac:dyDescent="0.15">
      <c r="F77" s="6">
        <f>[1]节奏总纲!F77</f>
        <v>75</v>
      </c>
      <c r="G77" s="6">
        <f>[1]节奏总纲!G77</f>
        <v>180.01933598375612</v>
      </c>
      <c r="I77" s="6">
        <f>[1]节奏总纲!I77</f>
        <v>75</v>
      </c>
      <c r="J77" s="6">
        <f>[1]节奏总纲!J77</f>
        <v>22936.899999999998</v>
      </c>
      <c r="K77" s="6">
        <f>[1]节奏总纲!K77</f>
        <v>1.4</v>
      </c>
      <c r="N77" s="6">
        <f>[1]节奏总纲!N77</f>
        <v>84</v>
      </c>
      <c r="O77" s="6">
        <v>74</v>
      </c>
      <c r="P77" s="6">
        <f>[1]节奏总纲!P77</f>
        <v>167.89701257893043</v>
      </c>
      <c r="Q77" s="6">
        <f>[1]节奏总纲!Q77</f>
        <v>145.16375707574326</v>
      </c>
      <c r="R77" s="6">
        <f>[1]节奏总纲!R77</f>
        <v>118.70318789330381</v>
      </c>
      <c r="S77" s="6">
        <f>[1]节奏总纲!S77</f>
        <v>86.869914308338593</v>
      </c>
      <c r="T77" s="6">
        <f>[1]节奏总纲!T77</f>
        <v>48.169652908895138</v>
      </c>
      <c r="V77" s="6">
        <v>74</v>
      </c>
      <c r="W77" s="6">
        <f>[1]节奏总纲!W77</f>
        <v>11.31052767078117</v>
      </c>
      <c r="X77" s="6">
        <f>[1]节奏总纲!X77</f>
        <v>9.7477649271757798</v>
      </c>
      <c r="Y77" s="6">
        <f>[1]节奏总纲!Y77</f>
        <v>8.1218122511687909</v>
      </c>
      <c r="Z77" s="6">
        <f>[1]节奏总纲!Z77</f>
        <v>5.9147016108254178</v>
      </c>
      <c r="AA77" s="6">
        <f>[1]节奏总纲!AA77</f>
        <v>3.2919663342195591</v>
      </c>
      <c r="AC77" s="6">
        <v>74</v>
      </c>
      <c r="AD77" s="6">
        <f>[1]节奏总纲!AD77</f>
        <v>62.281112832649576</v>
      </c>
      <c r="AE77" s="6">
        <f>[1]节奏总纲!AE77</f>
        <v>64.304793036447776</v>
      </c>
      <c r="AF77" s="6">
        <f>[1]节奏总纲!AF77</f>
        <v>67.14262442756818</v>
      </c>
      <c r="AG77" s="6">
        <f>[1]节奏总纲!AG77</f>
        <v>71.680959487253048</v>
      </c>
      <c r="AH77" s="6">
        <f>[1]节奏总纲!AH77</f>
        <v>80.24075196383977</v>
      </c>
      <c r="AL77" s="6">
        <v>74</v>
      </c>
      <c r="AM77" s="6">
        <f>[1]节奏总纲!AM77</f>
        <v>19825.014596370729</v>
      </c>
      <c r="AN77" s="6">
        <f>[1]节奏总纲!AN77</f>
        <v>15860.011677096583</v>
      </c>
      <c r="AO77" s="6">
        <f>[1]节奏总纲!AO77</f>
        <v>11895.008757822437</v>
      </c>
      <c r="AP77" s="6">
        <f>[1]节奏总纲!AP77</f>
        <v>7930.0058385482916</v>
      </c>
      <c r="AQ77" s="6">
        <f>[1]节奏总纲!AQ77</f>
        <v>3965.0029192741458</v>
      </c>
      <c r="AS77" s="6">
        <v>74</v>
      </c>
      <c r="AT77" s="6">
        <f>[1]节奏总纲!AT77</f>
        <v>2690.58944063335</v>
      </c>
      <c r="AU77" s="6">
        <f>[1]节奏总纲!AU77</f>
        <v>2152.4715525066786</v>
      </c>
      <c r="AV77" s="6">
        <f>[1]节奏总纲!AV77</f>
        <v>1614.3536643800107</v>
      </c>
      <c r="AW77" s="6">
        <f>[1]节奏总纲!AW77</f>
        <v>1076.2357762533393</v>
      </c>
      <c r="AX77" s="6">
        <f>[1]节奏总纲!AX77</f>
        <v>538.11788812666964</v>
      </c>
      <c r="AZ77" s="6">
        <v>74</v>
      </c>
      <c r="BA77" s="6">
        <v>36.021306837933537</v>
      </c>
      <c r="BB77" s="6">
        <v>37.498964956033646</v>
      </c>
      <c r="BC77" s="6">
        <v>39.430405216734592</v>
      </c>
      <c r="BD77" s="6">
        <v>42.167148737437564</v>
      </c>
      <c r="BE77" s="6">
        <v>46.850331714610157</v>
      </c>
    </row>
    <row r="78" spans="6:57" x14ac:dyDescent="0.15">
      <c r="F78" s="6">
        <f>[1]节奏总纲!F78</f>
        <v>76</v>
      </c>
      <c r="G78" s="6">
        <f>[1]节奏总纲!G78</f>
        <v>193.01172051333091</v>
      </c>
      <c r="I78" s="6">
        <f>[1]节奏总纲!I78</f>
        <v>76</v>
      </c>
      <c r="J78" s="6">
        <f>[1]节奏总纲!J78</f>
        <v>26535.88112606269</v>
      </c>
      <c r="K78" s="6">
        <f>[1]节奏总纲!K78</f>
        <v>1.41</v>
      </c>
      <c r="N78" s="6">
        <f>[1]节奏总纲!N78</f>
        <v>85</v>
      </c>
      <c r="O78" s="6">
        <v>75</v>
      </c>
      <c r="P78" s="6">
        <f>[1]节奏总纲!P78</f>
        <v>180.01933598375612</v>
      </c>
      <c r="Q78" s="6">
        <f>[1]节奏总纲!Q78</f>
        <v>155.75272949314578</v>
      </c>
      <c r="R78" s="6">
        <f>[1]节奏总纲!R78</f>
        <v>127.38168214210583</v>
      </c>
      <c r="S78" s="6">
        <f>[1]节奏总纲!S78</f>
        <v>93.214012172388934</v>
      </c>
      <c r="T78" s="6">
        <f>[1]节奏总纲!T78</f>
        <v>51.755559095329879</v>
      </c>
      <c r="V78" s="6">
        <v>75</v>
      </c>
      <c r="W78" s="6">
        <f>[1]节奏总纲!W78</f>
        <v>12.122323404825693</v>
      </c>
      <c r="X78" s="6">
        <f>[1]节奏总纲!X78</f>
        <v>10.588972417402516</v>
      </c>
      <c r="Y78" s="6">
        <f>[1]节奏总纲!Y78</f>
        <v>8.6784942488020249</v>
      </c>
      <c r="Z78" s="6">
        <f>[1]节奏总纲!Z78</f>
        <v>6.3440978640503403</v>
      </c>
      <c r="AA78" s="6">
        <f>[1]节奏总纲!AA78</f>
        <v>3.585906186434741</v>
      </c>
      <c r="AC78" s="6">
        <v>75</v>
      </c>
      <c r="AD78" s="6">
        <f>[1]节奏总纲!AD78</f>
        <v>62.470630686057078</v>
      </c>
      <c r="AE78" s="6">
        <f>[1]节奏总纲!AE78</f>
        <v>64.495279642868965</v>
      </c>
      <c r="AF78" s="6">
        <f>[1]节奏总纲!AF78</f>
        <v>67.344310856946692</v>
      </c>
      <c r="AG78" s="6">
        <f>[1]节奏总纲!AG78</f>
        <v>71.882008108111634</v>
      </c>
      <c r="AH78" s="6">
        <f>[1]节奏总纲!AH78</f>
        <v>80.437605572866573</v>
      </c>
      <c r="AL78" s="6">
        <v>75</v>
      </c>
      <c r="AM78" s="6">
        <f>[1]节奏总纲!AM78</f>
        <v>22936.899999999998</v>
      </c>
      <c r="AN78" s="6">
        <f>[1]节奏总纲!AN78</f>
        <v>18349.52</v>
      </c>
      <c r="AO78" s="6">
        <f>[1]节奏总纲!AO78</f>
        <v>13762.139999999998</v>
      </c>
      <c r="AP78" s="6">
        <f>[1]节奏总纲!AP78</f>
        <v>9174.76</v>
      </c>
      <c r="AQ78" s="6">
        <f>[1]节奏总纲!AQ78</f>
        <v>4587.38</v>
      </c>
      <c r="AS78" s="6">
        <v>75</v>
      </c>
      <c r="AT78" s="6">
        <f>[1]节奏总纲!AT78</f>
        <v>3111.8854036292687</v>
      </c>
      <c r="AU78" s="6">
        <f>[1]节奏总纲!AU78</f>
        <v>2489.5083229034171</v>
      </c>
      <c r="AV78" s="6">
        <f>[1]节奏总纲!AV78</f>
        <v>1867.1312421775601</v>
      </c>
      <c r="AW78" s="6">
        <f>[1]节奏总纲!AW78</f>
        <v>1244.7541614517086</v>
      </c>
      <c r="AX78" s="6">
        <f>[1]节奏总纲!AX78</f>
        <v>622.37708072585428</v>
      </c>
      <c r="AZ78" s="6">
        <v>75</v>
      </c>
      <c r="BA78" s="6">
        <v>36.105477566569242</v>
      </c>
      <c r="BB78" s="6">
        <v>37.589718547105562</v>
      </c>
      <c r="BC78" s="6">
        <v>39.520459727922798</v>
      </c>
      <c r="BD78" s="6">
        <v>42.253930624755228</v>
      </c>
      <c r="BE78" s="6">
        <v>46.946651928703787</v>
      </c>
    </row>
    <row r="79" spans="6:57" x14ac:dyDescent="0.15">
      <c r="F79" s="6">
        <f>[1]节奏总纲!F79</f>
        <v>77</v>
      </c>
      <c r="G79" s="6">
        <f>[1]节奏总纲!G79</f>
        <v>206.93661346719625</v>
      </c>
      <c r="I79" s="6">
        <f>[1]节奏总纲!I79</f>
        <v>77</v>
      </c>
      <c r="J79" s="6">
        <f>[1]节奏总纲!J79</f>
        <v>30698.011006346387</v>
      </c>
      <c r="K79" s="6">
        <f>[1]节奏总纲!K79</f>
        <v>1.42</v>
      </c>
      <c r="N79" s="6">
        <f>[1]节奏总纲!N79</f>
        <v>86</v>
      </c>
      <c r="O79" s="6">
        <v>76</v>
      </c>
      <c r="P79" s="6">
        <f>[1]节奏总纲!P79</f>
        <v>193.01172051333091</v>
      </c>
      <c r="Q79" s="6">
        <f>[1]节奏总纲!Q79</f>
        <v>166.97443941608256</v>
      </c>
      <c r="R79" s="6">
        <f>[1]节奏总纲!R79</f>
        <v>136.51718991907896</v>
      </c>
      <c r="S79" s="6">
        <f>[1]节奏总纲!S79</f>
        <v>100.0379747420594</v>
      </c>
      <c r="T79" s="6">
        <f>[1]节奏总纲!T79</f>
        <v>55.664580196044632</v>
      </c>
      <c r="V79" s="6">
        <v>76</v>
      </c>
      <c r="W79" s="6">
        <f>[1]节奏总纲!W79</f>
        <v>12.992384529574792</v>
      </c>
      <c r="X79" s="6">
        <f>[1]节奏总纲!X79</f>
        <v>11.221709922936782</v>
      </c>
      <c r="Y79" s="6">
        <f>[1]节奏总纲!Y79</f>
        <v>9.1355077769731281</v>
      </c>
      <c r="Z79" s="6">
        <f>[1]节奏总纲!Z79</f>
        <v>6.8239625696704707</v>
      </c>
      <c r="AA79" s="6">
        <f>[1]节奏总纲!AA79</f>
        <v>3.9090211007147531</v>
      </c>
      <c r="AC79" s="6">
        <v>76</v>
      </c>
      <c r="AD79" s="6">
        <f>[1]节奏总纲!AD79</f>
        <v>62.660148539464579</v>
      </c>
      <c r="AE79" s="6">
        <f>[1]节奏总纲!AE79</f>
        <v>64.685766249290154</v>
      </c>
      <c r="AF79" s="6">
        <f>[1]节奏总纲!AF79</f>
        <v>67.545997286325218</v>
      </c>
      <c r="AG79" s="6">
        <f>[1]节奏总纲!AG79</f>
        <v>72.076954583856178</v>
      </c>
      <c r="AH79" s="6">
        <f>[1]节奏总纲!AH79</f>
        <v>80.634459181893376</v>
      </c>
      <c r="AL79" s="6">
        <v>76</v>
      </c>
      <c r="AM79" s="6">
        <f>[1]节奏总纲!AM79</f>
        <v>26535.88112606269</v>
      </c>
      <c r="AN79" s="6">
        <f>[1]节奏总纲!AN79</f>
        <v>21228.704900850153</v>
      </c>
      <c r="AO79" s="6">
        <f>[1]节奏总纲!AO79</f>
        <v>15921.528675637614</v>
      </c>
      <c r="AP79" s="6">
        <f>[1]节奏总纲!AP79</f>
        <v>10614.352450425076</v>
      </c>
      <c r="AQ79" s="6">
        <f>[1]节奏总纲!AQ79</f>
        <v>5307.1762252125382</v>
      </c>
      <c r="AS79" s="6">
        <v>76</v>
      </c>
      <c r="AT79" s="6">
        <f>[1]节奏总纲!AT79</f>
        <v>3598.9811260626921</v>
      </c>
      <c r="AU79" s="6">
        <f>[1]节奏总纲!AU79</f>
        <v>2879.1849008501522</v>
      </c>
      <c r="AV79" s="6">
        <f>[1]节奏总纲!AV79</f>
        <v>2159.388675637616</v>
      </c>
      <c r="AW79" s="6">
        <f>[1]节奏总纲!AW79</f>
        <v>1439.5924504250761</v>
      </c>
      <c r="AX79" s="6">
        <f>[1]节奏总纲!AX79</f>
        <v>719.79622521253805</v>
      </c>
      <c r="AZ79" s="6">
        <v>76</v>
      </c>
      <c r="BA79" s="6">
        <v>36.189648295204947</v>
      </c>
      <c r="BB79" s="6">
        <v>37.680472138177471</v>
      </c>
      <c r="BC79" s="6">
        <v>39.610514239111005</v>
      </c>
      <c r="BD79" s="6">
        <v>42.340712512072891</v>
      </c>
      <c r="BE79" s="6">
        <v>47.037096473408994</v>
      </c>
    </row>
    <row r="80" spans="6:57" x14ac:dyDescent="0.15">
      <c r="F80" s="6">
        <f>[1]节奏总纲!F80</f>
        <v>78</v>
      </c>
      <c r="G80" s="6">
        <f>[1]节奏总纲!G80</f>
        <v>221.86094420380775</v>
      </c>
      <c r="I80" s="6">
        <f>[1]节奏总纲!I80</f>
        <v>78</v>
      </c>
      <c r="J80" s="6">
        <f>[1]节奏总纲!J80</f>
        <v>35511.190322760085</v>
      </c>
      <c r="K80" s="6">
        <f>[1]节奏总纲!K80</f>
        <v>1.43</v>
      </c>
      <c r="N80" s="6">
        <f>[1]节奏总纲!N80</f>
        <v>87</v>
      </c>
      <c r="O80" s="6">
        <v>77</v>
      </c>
      <c r="P80" s="6">
        <f>[1]节奏总纲!P80</f>
        <v>206.93661346719625</v>
      </c>
      <c r="Q80" s="6">
        <f>[1]节奏总纲!Q80</f>
        <v>179.12433261720508</v>
      </c>
      <c r="R80" s="6">
        <f>[1]节奏总纲!R80</f>
        <v>146.53181599612165</v>
      </c>
      <c r="S80" s="6">
        <f>[1]节奏总纲!S80</f>
        <v>107.42079605082158</v>
      </c>
      <c r="T80" s="6">
        <f>[1]节奏总纲!T80</f>
        <v>59.535663694512365</v>
      </c>
      <c r="V80" s="6">
        <v>77</v>
      </c>
      <c r="W80" s="6">
        <f>[1]节奏总纲!W80</f>
        <v>13.924892953865339</v>
      </c>
      <c r="X80" s="6">
        <f>[1]节奏总纲!X80</f>
        <v>12.149893201122524</v>
      </c>
      <c r="Y80" s="6">
        <f>[1]节奏总纲!Y80</f>
        <v>10.014626077042692</v>
      </c>
      <c r="Z80" s="6">
        <f>[1]节奏总纲!Z80</f>
        <v>7.3828213087621748</v>
      </c>
      <c r="AA80" s="6">
        <f>[1]节奏总纲!AA80</f>
        <v>3.8710834984677334</v>
      </c>
      <c r="AC80" s="6">
        <v>77</v>
      </c>
      <c r="AD80" s="6">
        <f>[1]节奏总纲!AD80</f>
        <v>62.849666392872081</v>
      </c>
      <c r="AE80" s="6">
        <f>[1]节奏总纲!AE80</f>
        <v>64.876252855711357</v>
      </c>
      <c r="AF80" s="6">
        <f>[1]节奏总纲!AF80</f>
        <v>67.747683715703729</v>
      </c>
      <c r="AG80" s="6">
        <f>[1]节奏总纲!AG80</f>
        <v>72.263232241847945</v>
      </c>
      <c r="AH80" s="6">
        <f>[1]节奏总纲!AH80</f>
        <v>80.83131279092018</v>
      </c>
      <c r="AL80" s="6">
        <v>77</v>
      </c>
      <c r="AM80" s="6">
        <f>[1]节奏总纲!AM80</f>
        <v>30698.011006346387</v>
      </c>
      <c r="AN80" s="6">
        <f>[1]节奏总纲!AN80</f>
        <v>24558.40880507711</v>
      </c>
      <c r="AO80" s="6">
        <f>[1]节奏总纲!AO80</f>
        <v>18418.806603807832</v>
      </c>
      <c r="AP80" s="6">
        <f>[1]节奏总纲!AP80</f>
        <v>12279.204402538555</v>
      </c>
      <c r="AQ80" s="6">
        <f>[1]节奏总纲!AQ80</f>
        <v>6139.6022012692774</v>
      </c>
      <c r="AS80" s="6">
        <v>77</v>
      </c>
      <c r="AT80" s="6">
        <f>[1]节奏总纲!AT80</f>
        <v>4162.1298802836973</v>
      </c>
      <c r="AU80" s="6">
        <f>[1]节奏总纲!AU80</f>
        <v>3329.7039042269571</v>
      </c>
      <c r="AV80" s="6">
        <f>[1]节奏总纲!AV80</f>
        <v>2497.2779281702187</v>
      </c>
      <c r="AW80" s="6">
        <f>[1]节奏总纲!AW80</f>
        <v>1664.8519521134785</v>
      </c>
      <c r="AX80" s="6">
        <f>[1]节奏总纲!AX80</f>
        <v>832.42597605673927</v>
      </c>
      <c r="AZ80" s="6">
        <v>77</v>
      </c>
      <c r="BA80" s="6">
        <v>36.273819023840659</v>
      </c>
      <c r="BB80" s="6">
        <v>37.771225729249387</v>
      </c>
      <c r="BC80" s="6">
        <v>39.700568750299212</v>
      </c>
      <c r="BD80" s="6">
        <v>42.427494399390554</v>
      </c>
      <c r="BE80" s="6">
        <v>47.12024662670057</v>
      </c>
    </row>
    <row r="81" spans="6:57" x14ac:dyDescent="0.15">
      <c r="F81" s="6">
        <f>[1]节奏总纲!F81</f>
        <v>79</v>
      </c>
      <c r="G81" s="6">
        <f>[1]节奏总纲!G81</f>
        <v>237.85644583342264</v>
      </c>
      <c r="I81" s="6">
        <f>[1]节奏总纲!I81</f>
        <v>79</v>
      </c>
      <c r="J81" s="6">
        <f>[1]节奏总纲!J81</f>
        <v>41077.009235645834</v>
      </c>
      <c r="K81" s="6">
        <f>[1]节奏总纲!K81</f>
        <v>1.44</v>
      </c>
      <c r="N81" s="6">
        <f>[1]节奏总纲!N81</f>
        <v>88</v>
      </c>
      <c r="O81" s="6">
        <v>78</v>
      </c>
      <c r="P81" s="6">
        <f>[1]节奏总纲!P81</f>
        <v>221.86094420380775</v>
      </c>
      <c r="Q81" s="6">
        <f>[1]节奏总纲!Q81</f>
        <v>192.04283330281601</v>
      </c>
      <c r="R81" s="6">
        <f>[1]节奏总纲!R81</f>
        <v>157.23285115723854</v>
      </c>
      <c r="S81" s="6">
        <f>[1]节奏总纲!S81</f>
        <v>115.1680161361966</v>
      </c>
      <c r="T81" s="6">
        <f>[1]节奏总纲!T81</f>
        <v>63.651904892072437</v>
      </c>
      <c r="V81" s="6">
        <v>78</v>
      </c>
      <c r="W81" s="6">
        <f>[1]节奏总纲!W81</f>
        <v>14.924330736611495</v>
      </c>
      <c r="X81" s="6">
        <f>[1]节奏总纲!X81</f>
        <v>12.918500685610923</v>
      </c>
      <c r="Y81" s="6">
        <f>[1]节奏总纲!Y81</f>
        <v>10.701035161116891</v>
      </c>
      <c r="Z81" s="6">
        <f>[1]节奏总纲!Z81</f>
        <v>7.7472200853750195</v>
      </c>
      <c r="AA81" s="6">
        <f>[1]节奏总纲!AA81</f>
        <v>4.1162411975600719</v>
      </c>
      <c r="AC81" s="6">
        <v>78</v>
      </c>
      <c r="AD81" s="6">
        <f>[1]节奏总纲!AD81</f>
        <v>63.036560194527354</v>
      </c>
      <c r="AE81" s="6">
        <f>[1]节奏总纲!AE81</f>
        <v>65.061438622789353</v>
      </c>
      <c r="AF81" s="6">
        <f>[1]节奏总纲!AF81</f>
        <v>67.949370145082256</v>
      </c>
      <c r="AG81" s="6">
        <f>[1]节奏总纲!AG81</f>
        <v>72.449509899839711</v>
      </c>
      <c r="AH81" s="6">
        <f>[1]节奏总纲!AH81</f>
        <v>81.026624803116562</v>
      </c>
      <c r="AL81" s="6">
        <v>78</v>
      </c>
      <c r="AM81" s="6">
        <f>[1]节奏总纲!AM81</f>
        <v>35511.190322760085</v>
      </c>
      <c r="AN81" s="6">
        <f>[1]节奏总纲!AN81</f>
        <v>28408.952258208068</v>
      </c>
      <c r="AO81" s="6">
        <f>[1]节奏总纲!AO81</f>
        <v>21306.714193656051</v>
      </c>
      <c r="AP81" s="6">
        <f>[1]节奏总纲!AP81</f>
        <v>14204.476129104034</v>
      </c>
      <c r="AQ81" s="6">
        <f>[1]节奏总纲!AQ81</f>
        <v>7102.238064552017</v>
      </c>
      <c r="AS81" s="6">
        <v>78</v>
      </c>
      <c r="AT81" s="6">
        <f>[1]节奏总纲!AT81</f>
        <v>4813.179316413698</v>
      </c>
      <c r="AU81" s="6">
        <f>[1]节奏总纲!AU81</f>
        <v>3850.5434531309584</v>
      </c>
      <c r="AV81" s="6">
        <f>[1]节奏总纲!AV81</f>
        <v>2887.9075898482188</v>
      </c>
      <c r="AW81" s="6">
        <f>[1]节奏总纲!AW81</f>
        <v>1925.2717265654792</v>
      </c>
      <c r="AX81" s="6">
        <f>[1]节奏总纲!AX81</f>
        <v>962.63586328273959</v>
      </c>
      <c r="AZ81" s="6">
        <v>78</v>
      </c>
      <c r="BA81" s="6">
        <v>36.357989752476364</v>
      </c>
      <c r="BB81" s="6">
        <v>37.861979320321296</v>
      </c>
      <c r="BC81" s="6">
        <v>39.790623261487418</v>
      </c>
      <c r="BD81" s="6">
        <v>42.51427628670821</v>
      </c>
      <c r="BE81" s="6">
        <v>47.203396779992147</v>
      </c>
    </row>
    <row r="82" spans="6:57" x14ac:dyDescent="0.15">
      <c r="F82" s="6">
        <f>[1]节奏总纲!F82</f>
        <v>80</v>
      </c>
      <c r="G82" s="6">
        <f>[1]节奏总纲!G82</f>
        <v>255</v>
      </c>
      <c r="I82" s="6">
        <f>[1]节奏总纲!I82</f>
        <v>80</v>
      </c>
      <c r="J82" s="6">
        <f>[1]节奏总纲!J82</f>
        <v>47512.875</v>
      </c>
      <c r="K82" s="6">
        <f>[1]节奏总纲!K82</f>
        <v>1.45</v>
      </c>
      <c r="N82" s="6">
        <f>[1]节奏总纲!N82</f>
        <v>89</v>
      </c>
      <c r="O82" s="6">
        <v>79</v>
      </c>
      <c r="P82" s="6">
        <f>[1]节奏总纲!P82</f>
        <v>237.85644583342264</v>
      </c>
      <c r="Q82" s="6">
        <f>[1]节奏总纲!Q82</f>
        <v>206.07882467007735</v>
      </c>
      <c r="R82" s="6">
        <f>[1]节奏总纲!R82</f>
        <v>168.73536267423003</v>
      </c>
      <c r="S82" s="6">
        <f>[1]节奏总纲!S82</f>
        <v>123.11449636337954</v>
      </c>
      <c r="T82" s="6">
        <f>[1]节奏总纲!T82</f>
        <v>68.122086086692235</v>
      </c>
      <c r="V82" s="6">
        <v>79</v>
      </c>
      <c r="W82" s="6">
        <f>[1]节奏总纲!W82</f>
        <v>15.995501629614893</v>
      </c>
      <c r="X82" s="6">
        <f>[1]节奏总纲!X82</f>
        <v>14.035991367261346</v>
      </c>
      <c r="Y82" s="6">
        <f>[1]节奏总纲!Y82</f>
        <v>11.50251151699149</v>
      </c>
      <c r="Z82" s="6">
        <f>[1]节奏总纲!Z82</f>
        <v>7.9464802271829456</v>
      </c>
      <c r="AA82" s="6">
        <f>[1]节奏总纲!AA82</f>
        <v>4.4701811946197978</v>
      </c>
      <c r="AC82" s="6">
        <v>79</v>
      </c>
      <c r="AD82" s="6">
        <f>[1]节奏总纲!AD82</f>
        <v>63.213386604241791</v>
      </c>
      <c r="AE82" s="6">
        <f>[1]节奏总纲!AE82</f>
        <v>65.23679566619937</v>
      </c>
      <c r="AF82" s="6">
        <f>[1]节奏总纲!AF82</f>
        <v>68.132712808893615</v>
      </c>
      <c r="AG82" s="6">
        <f>[1]节奏总纲!AG82</f>
        <v>72.635787557831478</v>
      </c>
      <c r="AH82" s="6">
        <f>[1]节奏总纲!AH82</f>
        <v>81.212704266341873</v>
      </c>
      <c r="AL82" s="6">
        <v>79</v>
      </c>
      <c r="AM82" s="6">
        <f>[1]节奏总纲!AM82</f>
        <v>41077.009235645834</v>
      </c>
      <c r="AN82" s="6">
        <f>[1]节奏总纲!AN82</f>
        <v>32861.60738851667</v>
      </c>
      <c r="AO82" s="6">
        <f>[1]节奏总纲!AO82</f>
        <v>24646.205541387499</v>
      </c>
      <c r="AP82" s="6">
        <f>[1]节奏总纲!AP82</f>
        <v>16430.803694258335</v>
      </c>
      <c r="AQ82" s="6">
        <f>[1]节奏总纲!AQ82</f>
        <v>8215.4018471291674</v>
      </c>
      <c r="AS82" s="6">
        <v>79</v>
      </c>
      <c r="AT82" s="6">
        <f>[1]节奏总纲!AT82</f>
        <v>5565.8189128857484</v>
      </c>
      <c r="AU82" s="6">
        <f>[1]节奏总纲!AU82</f>
        <v>4452.6551303086017</v>
      </c>
      <c r="AV82" s="6">
        <f>[1]节奏总纲!AV82</f>
        <v>3339.4913477314476</v>
      </c>
      <c r="AW82" s="6">
        <f>[1]节奏总纲!AW82</f>
        <v>2226.3275651543008</v>
      </c>
      <c r="AX82" s="6">
        <f>[1]节奏总纲!AX82</f>
        <v>1113.1637825771504</v>
      </c>
      <c r="AZ82" s="6">
        <v>79</v>
      </c>
      <c r="BA82" s="6">
        <v>36.442160481112069</v>
      </c>
      <c r="BB82" s="6">
        <v>37.952732911393213</v>
      </c>
      <c r="BC82" s="6">
        <v>39.880677772675625</v>
      </c>
      <c r="BD82" s="6">
        <v>42.601058174025873</v>
      </c>
      <c r="BE82" s="6">
        <v>47.286546933283724</v>
      </c>
    </row>
    <row r="83" spans="6:57" x14ac:dyDescent="0.15">
      <c r="F83" s="6">
        <f>[1]节奏总纲!F83</f>
        <v>81</v>
      </c>
      <c r="G83" s="6">
        <f>[1]节奏总纲!G83</f>
        <v>273.37400640929098</v>
      </c>
      <c r="N83" s="6">
        <f>[1]节奏总纲!N83</f>
        <v>90</v>
      </c>
      <c r="O83" s="6">
        <v>80</v>
      </c>
      <c r="P83" s="6">
        <f>[1]节奏总纲!P83</f>
        <v>255</v>
      </c>
      <c r="Q83" s="6">
        <f>[1]节奏总纲!Q83</f>
        <v>221.08500000000001</v>
      </c>
      <c r="R83" s="6">
        <f>[1]节奏总纲!R83</f>
        <v>180.33600000000001</v>
      </c>
      <c r="S83" s="6">
        <f>[1]节奏总纲!S83</f>
        <v>131.58000000000001</v>
      </c>
      <c r="T83" s="6">
        <f>[1]节奏总纲!T83</f>
        <v>72.777000000000001</v>
      </c>
      <c r="V83" s="6">
        <v>80</v>
      </c>
      <c r="W83" s="6">
        <f>[1]节奏总纲!W83</f>
        <v>17.14355416657736</v>
      </c>
      <c r="X83" s="6">
        <f>[1]节奏总纲!X83</f>
        <v>15.006175329922655</v>
      </c>
      <c r="Y83" s="6">
        <f>[1]节奏总纲!Y83</f>
        <v>11.600637325769981</v>
      </c>
      <c r="Z83" s="6">
        <f>[1]节奏总纲!Z83</f>
        <v>8.4655036366204683</v>
      </c>
      <c r="AA83" s="6">
        <f>[1]节奏总纲!AA83</f>
        <v>4.6549139133077659</v>
      </c>
      <c r="AC83" s="6">
        <v>80</v>
      </c>
      <c r="AD83" s="6">
        <f>[1]节奏总纲!AD83</f>
        <v>63.39021301395622</v>
      </c>
      <c r="AE83" s="6">
        <f>[1]节奏总纲!AE83</f>
        <v>65.412152709609373</v>
      </c>
      <c r="AF83" s="6">
        <f>[1]节奏总纲!AF83</f>
        <v>68.309907165737044</v>
      </c>
      <c r="AG83" s="6">
        <f>[1]节奏总纲!AG83</f>
        <v>72.822065215823244</v>
      </c>
      <c r="AH83" s="6">
        <f>[1]节奏总纲!AH83</f>
        <v>81.398783729567185</v>
      </c>
      <c r="AL83" s="6">
        <v>80</v>
      </c>
      <c r="AM83" s="6">
        <f>[1]节奏总纲!AM83</f>
        <v>47512.875</v>
      </c>
      <c r="AN83" s="6">
        <f>[1]节奏总纲!AN83</f>
        <v>38010.300000000003</v>
      </c>
      <c r="AO83" s="6">
        <f>[1]节奏总纲!AO83</f>
        <v>28507.724999999999</v>
      </c>
      <c r="AP83" s="6">
        <f>[1]节奏总纲!AP83</f>
        <v>19005.150000000001</v>
      </c>
      <c r="AQ83" s="6">
        <f>[1]节奏总纲!AQ83</f>
        <v>9502.5750000000007</v>
      </c>
      <c r="AS83" s="6">
        <v>80</v>
      </c>
      <c r="AT83" s="6">
        <f>[1]节奏总纲!AT83</f>
        <v>6435.8657643541665</v>
      </c>
      <c r="AU83" s="6">
        <f>[1]节奏总纲!AU83</f>
        <v>5148.6926114833332</v>
      </c>
      <c r="AV83" s="6">
        <f>[1]节奏总纲!AV83</f>
        <v>3861.5194586124999</v>
      </c>
      <c r="AW83" s="6">
        <f>[1]节奏总纲!AW83</f>
        <v>2574.3463057416666</v>
      </c>
      <c r="AX83" s="6">
        <f>[1]节奏总纲!AX83</f>
        <v>1287.1731528708333</v>
      </c>
      <c r="AZ83" s="6">
        <v>80</v>
      </c>
      <c r="BA83" s="6">
        <v>36.526331209747774</v>
      </c>
      <c r="BB83" s="6">
        <v>38.037513426486328</v>
      </c>
      <c r="BC83" s="6">
        <v>39.970732283863832</v>
      </c>
      <c r="BD83" s="6">
        <v>42.687840061343536</v>
      </c>
      <c r="BE83" s="6">
        <v>47.3696970865753</v>
      </c>
    </row>
    <row r="84" spans="6:57" x14ac:dyDescent="0.15">
      <c r="F84" s="6">
        <f>[1]节奏总纲!F84</f>
        <v>82</v>
      </c>
      <c r="G84" s="6">
        <f>[1]节奏总纲!G84</f>
        <v>293.06677887924064</v>
      </c>
      <c r="N84" s="6">
        <f>[1]节奏总纲!N84</f>
        <v>91</v>
      </c>
      <c r="O84" s="6">
        <v>81</v>
      </c>
      <c r="P84" s="6">
        <f>[1]节奏总纲!P84</f>
        <v>273.37400640929098</v>
      </c>
      <c r="Q84" s="6">
        <f>[1]节奏总纲!Q84</f>
        <v>236.35916594147301</v>
      </c>
      <c r="R84" s="6">
        <f>[1]节奏总纲!R84</f>
        <v>192.67399971726829</v>
      </c>
      <c r="S84" s="6">
        <f>[1]节奏总纲!S84</f>
        <v>140.76027590014394</v>
      </c>
      <c r="T84" s="6">
        <f>[1]节奏总纲!T84</f>
        <v>77.856917025366073</v>
      </c>
      <c r="V84" s="6">
        <v>81</v>
      </c>
      <c r="W84" s="6">
        <f>[1]节奏总纲!W84</f>
        <v>18.374006409290985</v>
      </c>
      <c r="X84" s="6">
        <f>[1]节奏总纲!X84</f>
        <v>15.274165941473001</v>
      </c>
      <c r="Y84" s="6">
        <f>[1]节奏总纲!Y84</f>
        <v>12.337999717268275</v>
      </c>
      <c r="Z84" s="6">
        <f>[1]节奏总纲!Z84</f>
        <v>9.1802759001439256</v>
      </c>
      <c r="AA84" s="6">
        <f>[1]节奏总纲!AA84</f>
        <v>5.0799170253660719</v>
      </c>
      <c r="AC84" s="6">
        <v>81</v>
      </c>
      <c r="AD84" s="6">
        <f>[1]节奏总纲!AD84</f>
        <v>63.567039423670657</v>
      </c>
      <c r="AE84" s="6">
        <f>[1]节奏总纲!AE84</f>
        <v>65.58750975301939</v>
      </c>
      <c r="AF84" s="6">
        <f>[1]节奏总纲!AF84</f>
        <v>68.487101522580488</v>
      </c>
      <c r="AG84" s="6">
        <f>[1]节奏总纲!AG84</f>
        <v>73.007572199822363</v>
      </c>
      <c r="AH84" s="6">
        <f>[1]节奏总纲!AH84</f>
        <v>81.584863192792497</v>
      </c>
      <c r="AZ84" s="6">
        <v>81</v>
      </c>
      <c r="BA84" s="6">
        <v>36.610501938383479</v>
      </c>
      <c r="BB84" s="6">
        <v>38.11580158428373</v>
      </c>
      <c r="BC84" s="6">
        <v>40.052446592012309</v>
      </c>
      <c r="BD84" s="6">
        <v>42.774621948661192</v>
      </c>
      <c r="BE84" s="6">
        <v>47.452847239866877</v>
      </c>
    </row>
    <row r="85" spans="6:57" x14ac:dyDescent="0.15">
      <c r="F85" s="6">
        <f>[1]节奏总纲!F85</f>
        <v>83</v>
      </c>
      <c r="G85" s="6">
        <f>[1]节奏总纲!G85</f>
        <v>314.1729698162988</v>
      </c>
      <c r="N85" s="6">
        <f>[1]节奏总纲!N85</f>
        <v>92</v>
      </c>
      <c r="O85" s="6">
        <v>82</v>
      </c>
      <c r="P85" s="6">
        <f>[1]节奏总纲!P85</f>
        <v>293.06677887924064</v>
      </c>
      <c r="Q85" s="6">
        <f>[1]节奏总纲!Q85</f>
        <v>253.15108359588808</v>
      </c>
      <c r="R85" s="6">
        <f>[1]节奏总纲!R85</f>
        <v>206.37762568676126</v>
      </c>
      <c r="S85" s="6">
        <f>[1]节奏总纲!S85</f>
        <v>150.81216441125721</v>
      </c>
      <c r="T85" s="6">
        <f>[1]节奏总纲!T85</f>
        <v>83.230965201704336</v>
      </c>
      <c r="V85" s="6">
        <v>82</v>
      </c>
      <c r="W85" s="6">
        <f>[1]节奏总纲!W85</f>
        <v>19.692772469949659</v>
      </c>
      <c r="X85" s="6">
        <f>[1]节奏总纲!X85</f>
        <v>16.791917654415073</v>
      </c>
      <c r="Y85" s="6">
        <f>[1]节奏总纲!Y85</f>
        <v>13.703625969492975</v>
      </c>
      <c r="Z85" s="6">
        <f>[1]节奏总纲!Z85</f>
        <v>10.051888511113276</v>
      </c>
      <c r="AA85" s="6">
        <f>[1]节奏总纲!AA85</f>
        <v>5.3740481763382633</v>
      </c>
      <c r="AC85" s="6">
        <v>82</v>
      </c>
      <c r="AD85" s="6">
        <f>[1]节奏总纲!AD85</f>
        <v>63.743865833385094</v>
      </c>
      <c r="AE85" s="6">
        <f>[1]节奏总纲!AE85</f>
        <v>65.762866796429392</v>
      </c>
      <c r="AF85" s="6">
        <f>[1]节奏总纲!AF85</f>
        <v>68.664295879423918</v>
      </c>
      <c r="AG85" s="6">
        <f>[1]节奏总纲!AG85</f>
        <v>73.176642436293761</v>
      </c>
      <c r="AH85" s="6">
        <f>[1]节奏总纲!AH85</f>
        <v>81.770942656017823</v>
      </c>
      <c r="AZ85" s="6">
        <v>82</v>
      </c>
      <c r="BA85" s="6">
        <v>36.694672667019191</v>
      </c>
      <c r="BB85" s="6">
        <v>38.194089742081125</v>
      </c>
      <c r="BC85" s="6">
        <v>40.130145246845366</v>
      </c>
      <c r="BD85" s="6">
        <v>42.861403835978855</v>
      </c>
      <c r="BE85" s="6">
        <v>47.535997393158453</v>
      </c>
    </row>
    <row r="86" spans="6:57" x14ac:dyDescent="0.15">
      <c r="F86" s="6">
        <f>[1]节奏总纲!F86</f>
        <v>84</v>
      </c>
      <c r="G86" s="6">
        <f>[1]节奏总纲!G86</f>
        <v>336.79402515786086</v>
      </c>
      <c r="N86" s="6">
        <f>[1]节奏总纲!N86</f>
        <v>93</v>
      </c>
      <c r="O86" s="6">
        <v>83</v>
      </c>
      <c r="P86" s="6">
        <f>[1]节奏总纲!P86</f>
        <v>314.1729698162988</v>
      </c>
      <c r="Q86" s="6">
        <f>[1]节奏总纲!Q86</f>
        <v>271.53969781222702</v>
      </c>
      <c r="R86" s="6">
        <f>[1]节奏总纲!R86</f>
        <v>221.55477831445393</v>
      </c>
      <c r="S86" s="6">
        <f>[1]节奏总纲!S86</f>
        <v>161.57915837652246</v>
      </c>
      <c r="T86" s="6">
        <f>[1]节奏总纲!T86</f>
        <v>89.193706130847232</v>
      </c>
      <c r="V86" s="6">
        <v>83</v>
      </c>
      <c r="W86" s="6">
        <f>[1]节奏总纲!W86</f>
        <v>21.106190937058159</v>
      </c>
      <c r="X86" s="6">
        <f>[1]节奏总纲!X86</f>
        <v>18.388614216338937</v>
      </c>
      <c r="Y86" s="6">
        <f>[1]节奏总纲!Y86</f>
        <v>15.177152627692664</v>
      </c>
      <c r="Z86" s="6">
        <f>[1]节奏总纲!Z86</f>
        <v>10.766993965265243</v>
      </c>
      <c r="AA86" s="6">
        <f>[1]节奏总纲!AA86</f>
        <v>5.9627409291428961</v>
      </c>
      <c r="AC86" s="6">
        <v>83</v>
      </c>
      <c r="AD86" s="6">
        <f>[1]节奏总纲!AD86</f>
        <v>63.920692243099523</v>
      </c>
      <c r="AE86" s="6">
        <f>[1]节奏总纲!AE86</f>
        <v>65.938223839839395</v>
      </c>
      <c r="AF86" s="6">
        <f>[1]节奏总纲!AF86</f>
        <v>68.841490236267347</v>
      </c>
      <c r="AG86" s="6">
        <f>[1]节奏总纲!AG86</f>
        <v>73.34571267276516</v>
      </c>
      <c r="AH86" s="6">
        <f>[1]节奏总纲!AH86</f>
        <v>81.957022119243135</v>
      </c>
      <c r="AZ86" s="6">
        <v>83</v>
      </c>
      <c r="BA86" s="6">
        <v>36.778843395654896</v>
      </c>
      <c r="BB86" s="6">
        <v>38.272377899878528</v>
      </c>
      <c r="BC86" s="6">
        <v>40.207843901678423</v>
      </c>
      <c r="BD86" s="6">
        <v>42.948185723296518</v>
      </c>
      <c r="BE86" s="6">
        <v>47.619147546450023</v>
      </c>
    </row>
    <row r="87" spans="6:57" x14ac:dyDescent="0.15">
      <c r="F87" s="6">
        <f>[1]节奏总纲!F87</f>
        <v>85</v>
      </c>
      <c r="G87" s="6">
        <f>[1]节奏总纲!G87</f>
        <v>361.0386719675123</v>
      </c>
      <c r="N87" s="6">
        <f>[1]节奏总纲!N87</f>
        <v>94</v>
      </c>
      <c r="O87" s="6">
        <v>84</v>
      </c>
      <c r="P87" s="6">
        <f>[1]节奏总纲!P87</f>
        <v>336.79402515786086</v>
      </c>
      <c r="Q87" s="6">
        <f>[1]节奏总纲!Q87</f>
        <v>291.2594729565181</v>
      </c>
      <c r="R87" s="6">
        <f>[1]节奏总纲!R87</f>
        <v>237.27139072371298</v>
      </c>
      <c r="S87" s="6">
        <f>[1]节奏总纲!S87</f>
        <v>172.97741132107731</v>
      </c>
      <c r="T87" s="6">
        <f>[1]节奏总纲!T87</f>
        <v>95.64950314483248</v>
      </c>
      <c r="V87" s="6">
        <v>84</v>
      </c>
      <c r="W87" s="6">
        <f>[1]节奏总纲!W87</f>
        <v>22.621055341562055</v>
      </c>
      <c r="X87" s="6">
        <f>[1]节奏总纲!X87</f>
        <v>19.719775144291077</v>
      </c>
      <c r="Y87" s="6">
        <f>[1]节奏总纲!Y87</f>
        <v>15.716612409259056</v>
      </c>
      <c r="Z87" s="6">
        <f>[1]节奏总纲!Z87</f>
        <v>11.398252944554855</v>
      </c>
      <c r="AA87" s="6">
        <f>[1]节奏总纲!AA87</f>
        <v>6.4557970139852472</v>
      </c>
      <c r="AC87" s="6">
        <v>84</v>
      </c>
      <c r="AD87" s="6">
        <f>[1]节奏总纲!AD87</f>
        <v>64.090988120365651</v>
      </c>
      <c r="AE87" s="6">
        <f>[1]节奏总纲!AE87</f>
        <v>66.105889403880397</v>
      </c>
      <c r="AF87" s="6">
        <f>[1]节奏总纲!AF87</f>
        <v>69.01697485309198</v>
      </c>
      <c r="AG87" s="6">
        <f>[1]节奏总纲!AG87</f>
        <v>73.514782909236544</v>
      </c>
      <c r="AH87" s="6">
        <f>[1]节奏总纲!AH87</f>
        <v>82.128973371044353</v>
      </c>
      <c r="AZ87" s="6">
        <v>84</v>
      </c>
      <c r="BA87" s="6">
        <v>36.863014124290601</v>
      </c>
      <c r="BB87" s="6">
        <v>38.35066605767593</v>
      </c>
      <c r="BC87" s="6">
        <v>40.28554255651148</v>
      </c>
      <c r="BD87" s="6">
        <v>43.030177309109042</v>
      </c>
      <c r="BE87" s="6">
        <v>47.7022976997416</v>
      </c>
    </row>
    <row r="88" spans="6:57" x14ac:dyDescent="0.15">
      <c r="F88" s="6">
        <f>[1]节奏总纲!F88</f>
        <v>86</v>
      </c>
      <c r="G88" s="6">
        <f>[1]节奏总纲!G88</f>
        <v>387.02344102666189</v>
      </c>
      <c r="N88" s="6">
        <f>[1]节奏总纲!N88</f>
        <v>95</v>
      </c>
      <c r="O88" s="6">
        <v>85</v>
      </c>
      <c r="P88" s="6">
        <f>[1]节奏总纲!P88</f>
        <v>361.0386719675123</v>
      </c>
      <c r="Q88" s="6">
        <f>[1]节奏总纲!Q88</f>
        <v>311.72078937675008</v>
      </c>
      <c r="R88" s="6">
        <f>[1]节奏总纲!R88</f>
        <v>253.91849799475142</v>
      </c>
      <c r="S88" s="6">
        <f>[1]节奏总纲!S88</f>
        <v>185.57387739130132</v>
      </c>
      <c r="T88" s="6">
        <f>[1]节奏总纲!T88</f>
        <v>102.53498283877349</v>
      </c>
      <c r="V88" s="6">
        <v>85</v>
      </c>
      <c r="W88" s="6">
        <f>[1]节奏总纲!W88</f>
        <v>24.244646809651442</v>
      </c>
      <c r="X88" s="6">
        <f>[1]节奏总纲!X88</f>
        <v>20.461316420231981</v>
      </c>
      <c r="Y88" s="6">
        <f>[1]节奏总纲!Y88</f>
        <v>16.647107271038436</v>
      </c>
      <c r="Z88" s="6">
        <f>[1]节奏总纲!Z88</f>
        <v>12.596466070224011</v>
      </c>
      <c r="AA88" s="6">
        <f>[1]节奏总纲!AA88</f>
        <v>6.8854796939410079</v>
      </c>
      <c r="AC88" s="6">
        <v>85</v>
      </c>
      <c r="AD88" s="6">
        <f>[1]节奏总纲!AD88</f>
        <v>64.255972994404218</v>
      </c>
      <c r="AE88" s="6">
        <f>[1]节奏总纲!AE88</f>
        <v>66.269371604948859</v>
      </c>
      <c r="AF88" s="6">
        <f>[1]节奏总纲!AF88</f>
        <v>69.17795498031839</v>
      </c>
      <c r="AG88" s="6">
        <f>[1]节奏总纲!AG88</f>
        <v>73.683853145707943</v>
      </c>
      <c r="AH88" s="6">
        <f>[1]节奏总纲!AH88</f>
        <v>82.296681479091191</v>
      </c>
      <c r="AZ88" s="6">
        <v>85</v>
      </c>
      <c r="BA88" s="6">
        <v>36.947184852926306</v>
      </c>
      <c r="BB88" s="6">
        <v>38.428954215473325</v>
      </c>
      <c r="BC88" s="6">
        <v>40.363241211344537</v>
      </c>
      <c r="BD88" s="6">
        <v>43.105070725978337</v>
      </c>
      <c r="BE88" s="6">
        <v>47.785447853033176</v>
      </c>
    </row>
    <row r="89" spans="6:57" x14ac:dyDescent="0.15">
      <c r="F89" s="6">
        <f>[1]节奏总纲!F89</f>
        <v>87</v>
      </c>
      <c r="G89" s="6">
        <f>[1]节奏总纲!G89</f>
        <v>414.87322693439216</v>
      </c>
      <c r="N89" s="6">
        <f>[1]节奏总纲!N89</f>
        <v>96</v>
      </c>
      <c r="O89" s="6">
        <v>86</v>
      </c>
      <c r="P89" s="6">
        <f>[1]节奏总纲!P89</f>
        <v>387.02344102666189</v>
      </c>
      <c r="Q89" s="6">
        <f>[1]节奏总纲!Q89</f>
        <v>334.00122960600919</v>
      </c>
      <c r="R89" s="6">
        <f>[1]节奏总纲!R89</f>
        <v>272.23228841815398</v>
      </c>
      <c r="S89" s="6">
        <f>[1]节奏总纲!S89</f>
        <v>199.39447681693619</v>
      </c>
      <c r="T89" s="6">
        <f>[1]节奏总纲!T89</f>
        <v>108.94709864900531</v>
      </c>
      <c r="V89" s="6">
        <v>86</v>
      </c>
      <c r="W89" s="6">
        <f>[1]节奏总纲!W89</f>
        <v>25.984769059149585</v>
      </c>
      <c r="X89" s="6">
        <f>[1]节奏总纲!X89</f>
        <v>22.280440229259113</v>
      </c>
      <c r="Y89" s="6">
        <f>[1]节奏总纲!Y89</f>
        <v>18.313790423402565</v>
      </c>
      <c r="Z89" s="6">
        <f>[1]节奏总纲!Z89</f>
        <v>13.820599425634867</v>
      </c>
      <c r="AA89" s="6">
        <f>[1]节奏总纲!AA89</f>
        <v>6.4121158102318248</v>
      </c>
      <c r="AC89" s="6">
        <v>86</v>
      </c>
      <c r="AD89" s="6">
        <f>[1]节奏总纲!AD89</f>
        <v>64.420957868442798</v>
      </c>
      <c r="AE89" s="6">
        <f>[1]节奏总纲!AE89</f>
        <v>66.43285380601732</v>
      </c>
      <c r="AF89" s="6">
        <f>[1]节奏总纲!AF89</f>
        <v>69.338935107544785</v>
      </c>
      <c r="AG89" s="6">
        <f>[1]节奏总纲!AG89</f>
        <v>73.852923382179341</v>
      </c>
      <c r="AH89" s="6">
        <f>[1]节奏总纲!AH89</f>
        <v>82.464389587138029</v>
      </c>
      <c r="AZ89" s="6">
        <v>86</v>
      </c>
      <c r="BA89" s="6">
        <v>37.027046282459708</v>
      </c>
      <c r="BB89" s="6">
        <v>38.507242373270728</v>
      </c>
      <c r="BC89" s="6">
        <v>40.440939866177594</v>
      </c>
      <c r="BD89" s="6">
        <v>43.179964142847631</v>
      </c>
      <c r="BE89" s="6">
        <v>47.868598006324753</v>
      </c>
    </row>
    <row r="90" spans="6:57" x14ac:dyDescent="0.15">
      <c r="F90" s="6">
        <f>[1]节奏总纲!F90</f>
        <v>88</v>
      </c>
      <c r="G90" s="6">
        <f>[1]节奏总纲!G90</f>
        <v>444.72188840761549</v>
      </c>
      <c r="N90" s="6">
        <f>[1]节奏总纲!N90</f>
        <v>97</v>
      </c>
      <c r="O90" s="6">
        <v>87</v>
      </c>
      <c r="P90" s="6">
        <f>[1]节奏总纲!P90</f>
        <v>414.87322693439216</v>
      </c>
      <c r="Q90" s="6">
        <f>[1]节奏总纲!Q90</f>
        <v>358.28451878054108</v>
      </c>
      <c r="R90" s="6">
        <f>[1]节奏总纲!R90</f>
        <v>292.4026503433596</v>
      </c>
      <c r="S90" s="6">
        <f>[1]节奏总纲!S90</f>
        <v>212.58104148118252</v>
      </c>
      <c r="T90" s="6">
        <f>[1]节奏总纲!T90</f>
        <v>115.74963031469542</v>
      </c>
      <c r="V90" s="6">
        <v>87</v>
      </c>
      <c r="W90" s="6">
        <f>[1]节奏总纲!W90</f>
        <v>27.849785907730279</v>
      </c>
      <c r="X90" s="6">
        <f>[1]节奏总纲!X90</f>
        <v>24.283289174531888</v>
      </c>
      <c r="Y90" s="6">
        <f>[1]节奏总纲!Y90</f>
        <v>20.170361925205611</v>
      </c>
      <c r="Z90" s="6">
        <f>[1]节奏总纲!Z90</f>
        <v>13.186564664246333</v>
      </c>
      <c r="AA90" s="6">
        <f>[1]节奏总纲!AA90</f>
        <v>6.8025316656901111</v>
      </c>
      <c r="AC90" s="6">
        <v>87</v>
      </c>
      <c r="AD90" s="6">
        <f>[1]节奏总纲!AD90</f>
        <v>64.585942742481365</v>
      </c>
      <c r="AE90" s="6">
        <f>[1]节奏总纲!AE90</f>
        <v>66.596336007085796</v>
      </c>
      <c r="AF90" s="6">
        <f>[1]节奏总纲!AF90</f>
        <v>69.49991523477118</v>
      </c>
      <c r="AG90" s="6">
        <f>[1]节奏总纲!AG90</f>
        <v>74.02050499447661</v>
      </c>
      <c r="AH90" s="6">
        <f>[1]节奏总纲!AH90</f>
        <v>82.632097695184868</v>
      </c>
      <c r="AZ90" s="6">
        <v>87</v>
      </c>
      <c r="BA90" s="6">
        <v>37.099649155317238</v>
      </c>
      <c r="BB90" s="6">
        <v>38.58553053106813</v>
      </c>
      <c r="BC90" s="6">
        <v>40.518638521010651</v>
      </c>
      <c r="BD90" s="6">
        <v>43.254857559716925</v>
      </c>
      <c r="BE90" s="6">
        <v>47.951748159616329</v>
      </c>
    </row>
    <row r="91" spans="6:57" x14ac:dyDescent="0.15">
      <c r="F91" s="6">
        <f>[1]节奏总纲!F91</f>
        <v>89</v>
      </c>
      <c r="G91" s="6">
        <f>[1]节奏总纲!G91</f>
        <v>476.71289166684534</v>
      </c>
      <c r="N91" s="6">
        <f>[1]节奏总纲!N91</f>
        <v>98</v>
      </c>
      <c r="O91" s="6">
        <v>88</v>
      </c>
      <c r="P91" s="6">
        <f>[1]节奏总纲!P91</f>
        <v>444.72188840761549</v>
      </c>
      <c r="Q91" s="6">
        <f>[1]节奏总纲!Q91</f>
        <v>384.7733778502689</v>
      </c>
      <c r="R91" s="6">
        <f>[1]节奏总纲!R91</f>
        <v>312.90632068359827</v>
      </c>
      <c r="S91" s="6">
        <f>[1]节奏总纲!S91</f>
        <v>226.0076636887502</v>
      </c>
      <c r="T91" s="6">
        <f>[1]节奏总纲!T91</f>
        <v>123.1879630889095</v>
      </c>
      <c r="V91" s="6">
        <v>88</v>
      </c>
      <c r="W91" s="6">
        <f>[1]节奏总纲!W91</f>
        <v>29.848661473223331</v>
      </c>
      <c r="X91" s="6">
        <f>[1]节奏总纲!X91</f>
        <v>26.488859069727823</v>
      </c>
      <c r="Y91" s="6">
        <f>[1]节奏总纲!Y91</f>
        <v>20.503670340238671</v>
      </c>
      <c r="Z91" s="6">
        <f>[1]节奏总纲!Z91</f>
        <v>13.426622207567675</v>
      </c>
      <c r="AA91" s="6">
        <f>[1]节奏总纲!AA91</f>
        <v>7.438332774214075</v>
      </c>
      <c r="AC91" s="6">
        <v>88</v>
      </c>
      <c r="AD91" s="6">
        <f>[1]节奏总纲!AD91</f>
        <v>64.750927616519931</v>
      </c>
      <c r="AE91" s="6">
        <f>[1]节奏总纲!AE91</f>
        <v>66.759818208154257</v>
      </c>
      <c r="AF91" s="6">
        <f>[1]节奏总纲!AF91</f>
        <v>69.660895361997589</v>
      </c>
      <c r="AG91" s="6">
        <f>[1]节奏总纲!AG91</f>
        <v>74.178131818877702</v>
      </c>
      <c r="AH91" s="6">
        <f>[1]节奏总纲!AH91</f>
        <v>82.799805803231706</v>
      </c>
      <c r="AZ91" s="6">
        <v>88</v>
      </c>
      <c r="BA91" s="6">
        <v>37.172252028174768</v>
      </c>
      <c r="BB91" s="6">
        <v>38.663818688865533</v>
      </c>
      <c r="BC91" s="6">
        <v>40.596337175843701</v>
      </c>
      <c r="BD91" s="6">
        <v>43.329750976586219</v>
      </c>
      <c r="BE91" s="6">
        <v>48.030128751164234</v>
      </c>
    </row>
    <row r="92" spans="6:57" x14ac:dyDescent="0.15">
      <c r="F92" s="6">
        <f>[1]节奏总纲!F92</f>
        <v>90</v>
      </c>
      <c r="G92" s="6">
        <f>[1]节奏总纲!G92</f>
        <v>511</v>
      </c>
      <c r="N92" s="6">
        <f>[1]节奏总纲!N92</f>
        <v>99</v>
      </c>
      <c r="O92" s="6">
        <v>89</v>
      </c>
      <c r="P92" s="6">
        <f>[1]节奏总纲!P92</f>
        <v>476.71289166684534</v>
      </c>
      <c r="Q92" s="6">
        <f>[1]节奏总纲!Q92</f>
        <v>411.78459582182103</v>
      </c>
      <c r="R92" s="6">
        <f>[1]节奏总纲!R92</f>
        <v>332.60258451595797</v>
      </c>
      <c r="S92" s="6">
        <f>[1]节奏总纲!S92</f>
        <v>240.31096868925673</v>
      </c>
      <c r="T92" s="6">
        <f>[1]节奏总纲!T92</f>
        <v>130.61933231671563</v>
      </c>
      <c r="V92" s="6">
        <v>89</v>
      </c>
      <c r="W92" s="6">
        <f>[1]节奏总纲!W92</f>
        <v>31.991003259229842</v>
      </c>
      <c r="X92" s="6">
        <f>[1]节奏总纲!X92</f>
        <v>27.011217971552128</v>
      </c>
      <c r="Y92" s="6">
        <f>[1]节奏总纲!Y92</f>
        <v>19.696263832359705</v>
      </c>
      <c r="Z92" s="6">
        <f>[1]节奏总纲!Z92</f>
        <v>14.303305000506526</v>
      </c>
      <c r="AA92" s="6">
        <f>[1]节奏总纲!AA92</f>
        <v>7.4313692278061296</v>
      </c>
      <c r="AC92" s="6">
        <v>89</v>
      </c>
      <c r="AD92" s="6">
        <f>[1]节奏总纲!AD92</f>
        <v>64.915912490558512</v>
      </c>
      <c r="AE92" s="6">
        <f>[1]节奏总纲!AE92</f>
        <v>66.923300409222719</v>
      </c>
      <c r="AF92" s="6">
        <f>[1]节奏总纲!AF92</f>
        <v>69.821875489223984</v>
      </c>
      <c r="AG92" s="6">
        <f>[1]节奏总纲!AG92</f>
        <v>74.335758643278794</v>
      </c>
      <c r="AH92" s="6">
        <f>[1]节奏总纲!AH92</f>
        <v>82.967513911278544</v>
      </c>
      <c r="AZ92" s="6">
        <v>89</v>
      </c>
      <c r="BA92" s="6">
        <v>37.244854901032298</v>
      </c>
      <c r="BB92" s="6">
        <v>38.742106846662928</v>
      </c>
      <c r="BC92" s="6">
        <v>40.674035830676758</v>
      </c>
      <c r="BD92" s="6">
        <v>43.404644393455513</v>
      </c>
      <c r="BE92" s="6">
        <v>48.101914750802706</v>
      </c>
    </row>
    <row r="93" spans="6:57" x14ac:dyDescent="0.15">
      <c r="F93" s="6">
        <f>[1]节奏总纲!F93</f>
        <v>91</v>
      </c>
      <c r="G93" s="6">
        <f>[1]节奏总纲!G93</f>
        <v>547.74801281858208</v>
      </c>
      <c r="N93" s="6">
        <f>[1]节奏总纲!N93</f>
        <v>100</v>
      </c>
      <c r="O93" s="6">
        <v>90</v>
      </c>
      <c r="P93" s="6">
        <f>[1]节奏总纲!P93</f>
        <v>511</v>
      </c>
      <c r="Q93" s="6">
        <f>[1]节奏总纲!Q93</f>
        <v>438.13140000000004</v>
      </c>
      <c r="R93" s="6">
        <f>[1]节奏总纲!R93</f>
        <v>354.12299999999999</v>
      </c>
      <c r="S93" s="6">
        <f>[1]节奏总纲!S93</f>
        <v>254.88680000000002</v>
      </c>
      <c r="T93" s="6">
        <f>[1]节奏总纲!T93</f>
        <v>138.48100000000002</v>
      </c>
      <c r="V93" s="6">
        <v>90</v>
      </c>
      <c r="W93" s="6">
        <f>[1]节奏总纲!W93</f>
        <v>34.287108333154663</v>
      </c>
      <c r="X93" s="6">
        <f>[1]节奏总纲!X93</f>
        <v>26.346804178179013</v>
      </c>
      <c r="Y93" s="6">
        <f>[1]节奏总纲!Y93</f>
        <v>21.520415484042019</v>
      </c>
      <c r="Z93" s="6">
        <f>[1]节奏总纲!Z93</f>
        <v>14.575831310743297</v>
      </c>
      <c r="AA93" s="6">
        <f>[1]节奏总纲!AA93</f>
        <v>7.861667683284395</v>
      </c>
      <c r="AC93" s="6">
        <v>90</v>
      </c>
      <c r="AD93" s="6">
        <f>[1]节奏总纲!AD93</f>
        <v>65.075479910097457</v>
      </c>
      <c r="AE93" s="6">
        <f>[1]节奏总纲!AE93</f>
        <v>67.083433628014333</v>
      </c>
      <c r="AF93" s="6">
        <f>[1]节奏总纲!AF93</f>
        <v>69.982855616450394</v>
      </c>
      <c r="AG93" s="6">
        <f>[1]节奏总纲!AG93</f>
        <v>74.493385467679886</v>
      </c>
      <c r="AH93" s="6">
        <f>[1]节奏总纲!AH93</f>
        <v>83.124894550960335</v>
      </c>
      <c r="AZ93" s="6">
        <v>90</v>
      </c>
      <c r="BA93" s="6">
        <v>37.317457773889828</v>
      </c>
      <c r="BB93" s="6">
        <v>38.82039500446033</v>
      </c>
      <c r="BC93" s="6">
        <v>40.751734485509814</v>
      </c>
      <c r="BD93" s="6">
        <v>43.479537810324807</v>
      </c>
      <c r="BE93" s="6">
        <v>48.173700750441178</v>
      </c>
    </row>
    <row r="94" spans="6:57" x14ac:dyDescent="0.15">
      <c r="F94" s="6">
        <f>[1]节奏总纲!F94</f>
        <v>92</v>
      </c>
      <c r="G94" s="6">
        <f>[1]节奏总纲!G94</f>
        <v>587.1335577584814</v>
      </c>
      <c r="N94" s="6">
        <f>[1]节奏总纲!N94</f>
        <v>101</v>
      </c>
      <c r="O94" s="6">
        <v>91</v>
      </c>
      <c r="P94" s="6">
        <f>[1]节奏总纲!P94</f>
        <v>547.74801281858208</v>
      </c>
      <c r="Q94" s="6">
        <f>[1]节奏总纲!Q94</f>
        <v>469.6391461906523</v>
      </c>
      <c r="R94" s="6">
        <f>[1]节奏总纲!R94</f>
        <v>378.43910205635837</v>
      </c>
      <c r="S94" s="6">
        <f>[1]节奏总纲!S94</f>
        <v>272.61418597980827</v>
      </c>
      <c r="T94" s="6">
        <f>[1]节奏总纲!T94</f>
        <v>147.89196346101718</v>
      </c>
      <c r="V94" s="6">
        <v>91</v>
      </c>
      <c r="W94" s="6">
        <f>[1]节奏总纲!W94</f>
        <v>36.748012818582083</v>
      </c>
      <c r="X94" s="6">
        <f>[1]节奏总纲!X94</f>
        <v>31.507746190652256</v>
      </c>
      <c r="Y94" s="6">
        <f>[1]节奏总纲!Y94</f>
        <v>24.316102056358375</v>
      </c>
      <c r="Z94" s="6">
        <f>[1]节奏总纲!Z94</f>
        <v>17.727385979808247</v>
      </c>
      <c r="AA94" s="6">
        <f>[1]节奏总纲!AA94</f>
        <v>9.4109634610171611</v>
      </c>
      <c r="AC94" s="6">
        <v>91</v>
      </c>
      <c r="AD94" s="6">
        <f>[1]节奏总纲!AD94</f>
        <v>65.229416240679981</v>
      </c>
      <c r="AE94" s="6">
        <f>[1]节奏总纲!AE94</f>
        <v>67.240606973055961</v>
      </c>
      <c r="AF94" s="6">
        <f>[1]节奏总纲!AF94</f>
        <v>70.137942795989005</v>
      </c>
      <c r="AG94" s="6">
        <f>[1]节奏总纲!AG94</f>
        <v>74.651012292080978</v>
      </c>
      <c r="AH94" s="6">
        <f>[1]节奏总纲!AH94</f>
        <v>83.279794092850153</v>
      </c>
      <c r="AZ94" s="6">
        <v>91</v>
      </c>
      <c r="BA94" s="6">
        <v>37.390060646747358</v>
      </c>
      <c r="BB94" s="6">
        <v>38.898683162257733</v>
      </c>
      <c r="BC94" s="6">
        <v>40.829433140342871</v>
      </c>
      <c r="BD94" s="6">
        <v>43.554431227194108</v>
      </c>
      <c r="BE94" s="6">
        <v>48.24548675007965</v>
      </c>
    </row>
    <row r="95" spans="6:57" x14ac:dyDescent="0.15">
      <c r="F95" s="6">
        <f>[1]节奏总纲!F95</f>
        <v>93</v>
      </c>
      <c r="G95" s="6">
        <f>[1]节奏总纲!G95</f>
        <v>629.34593963259704</v>
      </c>
      <c r="N95" s="6">
        <f>[1]节奏总纲!N95</f>
        <v>102</v>
      </c>
      <c r="O95" s="6">
        <v>92</v>
      </c>
      <c r="P95" s="6">
        <f>[1]节奏总纲!P95</f>
        <v>587.1335577584814</v>
      </c>
      <c r="Q95" s="6">
        <f>[1]节奏总纲!Q95</f>
        <v>502.29275866238083</v>
      </c>
      <c r="R95" s="6">
        <f>[1]节奏总纲!R95</f>
        <v>405.12215485335213</v>
      </c>
      <c r="S95" s="6">
        <f>[1]节奏总纲!S95</f>
        <v>291.57052478286187</v>
      </c>
      <c r="T95" s="6">
        <f>[1]节奏总纲!T95</f>
        <v>157.64536025815227</v>
      </c>
      <c r="V95" s="6">
        <v>92</v>
      </c>
      <c r="W95" s="6">
        <f>[1]节奏总纲!W95</f>
        <v>39.385544939899319</v>
      </c>
      <c r="X95" s="6">
        <f>[1]节奏总纲!X95</f>
        <v>32.653612471728536</v>
      </c>
      <c r="Y95" s="6">
        <f>[1]节奏总纲!Y95</f>
        <v>26.683052796993763</v>
      </c>
      <c r="Z95" s="6">
        <f>[1]节奏总纲!Z95</f>
        <v>18.956338803053598</v>
      </c>
      <c r="AA95" s="6">
        <f>[1]节奏总纲!AA95</f>
        <v>9.7533967971350819</v>
      </c>
      <c r="AC95" s="6">
        <v>92</v>
      </c>
      <c r="AD95" s="6">
        <f>[1]节奏总纲!AD95</f>
        <v>65.38335257126252</v>
      </c>
      <c r="AE95" s="6">
        <f>[1]节奏总纲!AE95</f>
        <v>67.397780318097588</v>
      </c>
      <c r="AF95" s="6">
        <f>[1]节奏总纲!AF95</f>
        <v>70.292327570459079</v>
      </c>
      <c r="AG95" s="6">
        <f>[1]节奏总纲!AG95</f>
        <v>74.808639116482055</v>
      </c>
      <c r="AH95" s="6">
        <f>[1]节奏总纲!AH95</f>
        <v>83.434693634739986</v>
      </c>
      <c r="AZ95" s="6">
        <v>92</v>
      </c>
      <c r="BA95" s="6">
        <v>37.462663519604888</v>
      </c>
      <c r="BB95" s="6">
        <v>38.976971320055128</v>
      </c>
      <c r="BC95" s="6">
        <v>40.907131795175928</v>
      </c>
      <c r="BD95" s="6">
        <v>43.629324644063402</v>
      </c>
      <c r="BE95" s="6">
        <v>48.317272749718121</v>
      </c>
    </row>
    <row r="96" spans="6:57" x14ac:dyDescent="0.15">
      <c r="F96" s="6">
        <f>[1]节奏总纲!F96</f>
        <v>94</v>
      </c>
      <c r="G96" s="6">
        <f>[1]节奏总纲!G96</f>
        <v>674.58805031572183</v>
      </c>
      <c r="N96" s="6">
        <f>[1]节奏总纲!N96</f>
        <v>103</v>
      </c>
      <c r="O96" s="6">
        <v>93</v>
      </c>
      <c r="P96" s="6">
        <f>[1]节奏总纲!P96</f>
        <v>629.34593963259704</v>
      </c>
      <c r="Q96" s="6">
        <f>[1]节奏总纲!Q96</f>
        <v>538.34251676172357</v>
      </c>
      <c r="R96" s="6">
        <f>[1]节奏总纲!R96</f>
        <v>433.68228700082267</v>
      </c>
      <c r="S96" s="6">
        <f>[1]节奏总纲!S96</f>
        <v>311.52624011813555</v>
      </c>
      <c r="T96" s="6">
        <f>[1]节奏总纲!T96</f>
        <v>168.35003885171972</v>
      </c>
      <c r="V96" s="6">
        <v>93</v>
      </c>
      <c r="W96" s="6">
        <f>[1]节奏总纲!W96</f>
        <v>42.212381874115636</v>
      </c>
      <c r="X96" s="6">
        <f>[1]节奏总纲!X96</f>
        <v>36.049758099342739</v>
      </c>
      <c r="Y96" s="6">
        <f>[1]节奏总纲!Y96</f>
        <v>28.56013214747054</v>
      </c>
      <c r="Z96" s="6">
        <f>[1]节奏总纲!Z96</f>
        <v>19.95571533527368</v>
      </c>
      <c r="AA96" s="6">
        <f>[1]节奏总纲!AA96</f>
        <v>10.704678593567451</v>
      </c>
      <c r="AC96" s="6">
        <v>93</v>
      </c>
      <c r="AD96" s="6">
        <f>[1]节奏总纲!AD96</f>
        <v>65.537288901845059</v>
      </c>
      <c r="AE96" s="6">
        <f>[1]节奏总纲!AE96</f>
        <v>67.554953663139216</v>
      </c>
      <c r="AF96" s="6">
        <f>[1]节奏总纲!AF96</f>
        <v>70.446712344929153</v>
      </c>
      <c r="AG96" s="6">
        <f>[1]节奏总纲!AG96</f>
        <v>74.966265940883147</v>
      </c>
      <c r="AH96" s="6">
        <f>[1]节奏总纲!AH96</f>
        <v>83.589593176629805</v>
      </c>
      <c r="AZ96" s="6">
        <v>93</v>
      </c>
      <c r="BA96" s="6">
        <v>37.535266392462418</v>
      </c>
      <c r="BB96" s="6">
        <v>39.047673544184711</v>
      </c>
      <c r="BC96" s="6">
        <v>40.984830450008985</v>
      </c>
      <c r="BD96" s="6">
        <v>43.704218060932696</v>
      </c>
      <c r="BE96" s="6">
        <v>48.389058749356593</v>
      </c>
    </row>
    <row r="97" spans="6:57" x14ac:dyDescent="0.15">
      <c r="F97" s="6">
        <f>[1]节奏总纲!F97</f>
        <v>95</v>
      </c>
      <c r="G97" s="6">
        <f>[1]节奏总纲!G97</f>
        <v>723.0773439350246</v>
      </c>
      <c r="N97" s="6">
        <f>[1]节奏总纲!N97</f>
        <v>104</v>
      </c>
      <c r="O97" s="6">
        <v>94</v>
      </c>
      <c r="P97" s="6">
        <f>[1]节奏总纲!P97</f>
        <v>674.58805031572183</v>
      </c>
      <c r="Q97" s="6">
        <f>[1]节奏总纲!Q97</f>
        <v>576.30057138472114</v>
      </c>
      <c r="R97" s="6">
        <f>[1]节奏总纲!R97</f>
        <v>464.04911981218504</v>
      </c>
      <c r="S97" s="6">
        <f>[1]节奏总纲!S97</f>
        <v>332.70682641571403</v>
      </c>
      <c r="T97" s="6">
        <f>[1]节奏总纲!T97</f>
        <v>179.6427977990767</v>
      </c>
      <c r="V97" s="6">
        <v>94</v>
      </c>
      <c r="W97" s="6">
        <f>[1]节奏总纲!W97</f>
        <v>45.242110683124793</v>
      </c>
      <c r="X97" s="6">
        <f>[1]节奏总纲!X97</f>
        <v>37.958054622997565</v>
      </c>
      <c r="Y97" s="6">
        <f>[1]节奏总纲!Y97</f>
        <v>30.366832811362372</v>
      </c>
      <c r="Z97" s="6">
        <f>[1]节奏总纲!Z97</f>
        <v>21.180586297578486</v>
      </c>
      <c r="AA97" s="6">
        <f>[1]节奏总纲!AA97</f>
        <v>11.292758947356987</v>
      </c>
      <c r="AC97" s="6">
        <v>94</v>
      </c>
      <c r="AD97" s="6">
        <f>[1]节奏总纲!AD97</f>
        <v>65.691225232427584</v>
      </c>
      <c r="AE97" s="6">
        <f>[1]节奏总纲!AE97</f>
        <v>67.712127008180858</v>
      </c>
      <c r="AF97" s="6">
        <f>[1]节奏总纲!AF97</f>
        <v>70.601097119399213</v>
      </c>
      <c r="AG97" s="6">
        <f>[1]节奏总纲!AG97</f>
        <v>75.115180559621535</v>
      </c>
      <c r="AH97" s="6">
        <f>[1]节奏总纲!AH97</f>
        <v>83.744492718519624</v>
      </c>
      <c r="AZ97" s="6">
        <v>94</v>
      </c>
      <c r="BA97" s="6">
        <v>37.607869265319941</v>
      </c>
      <c r="BB97" s="6">
        <v>39.115214427575864</v>
      </c>
      <c r="BC97" s="6">
        <v>41.053954370816207</v>
      </c>
      <c r="BD97" s="6">
        <v>43.77911147780199</v>
      </c>
      <c r="BE97" s="6">
        <v>48.460844748995065</v>
      </c>
    </row>
    <row r="98" spans="6:57" x14ac:dyDescent="0.15">
      <c r="F98" s="6">
        <f>[1]节奏总纲!F98</f>
        <v>96</v>
      </c>
      <c r="G98" s="6">
        <f>[1]节奏总纲!G98</f>
        <v>775.04688205332377</v>
      </c>
      <c r="N98" s="6">
        <f>[1]节奏总纲!N98</f>
        <v>105</v>
      </c>
      <c r="O98" s="6">
        <v>95</v>
      </c>
      <c r="P98" s="6">
        <f>[1]节奏总纲!P98</f>
        <v>723.0773439350246</v>
      </c>
      <c r="Q98" s="6">
        <f>[1]节奏总纲!Q98</f>
        <v>618.15882133005255</v>
      </c>
      <c r="R98" s="6">
        <f>[1]节奏总纲!R98</f>
        <v>495.95875020503337</v>
      </c>
      <c r="S98" s="6">
        <f>[1]节奏总纲!S98</f>
        <v>355.39251454406457</v>
      </c>
      <c r="T98" s="6">
        <f>[1]节奏总纲!T98</f>
        <v>192.84472762747106</v>
      </c>
      <c r="V98" s="6">
        <v>95</v>
      </c>
      <c r="W98" s="6">
        <f>[1]节奏总纲!W98</f>
        <v>48.489293619302771</v>
      </c>
      <c r="X98" s="6">
        <f>[1]节奏总纲!X98</f>
        <v>41.858249945331409</v>
      </c>
      <c r="Y98" s="6">
        <f>[1]节奏总纲!Y98</f>
        <v>31.909630392848328</v>
      </c>
      <c r="Z98" s="6">
        <f>[1]节奏总纲!Z98</f>
        <v>22.685688128350534</v>
      </c>
      <c r="AA98" s="6">
        <f>[1]节奏总纲!AA98</f>
        <v>13.201929828394356</v>
      </c>
      <c r="AC98" s="6">
        <v>95</v>
      </c>
      <c r="AD98" s="6">
        <f>[1]节奏总纲!AD98</f>
        <v>65.845161563010123</v>
      </c>
      <c r="AE98" s="6">
        <f>[1]节奏总纲!AE98</f>
        <v>67.869300353222485</v>
      </c>
      <c r="AF98" s="6">
        <f>[1]节奏总纲!AF98</f>
        <v>70.755481893869288</v>
      </c>
      <c r="AG98" s="6">
        <f>[1]节奏总纲!AG98</f>
        <v>75.261722981240993</v>
      </c>
      <c r="AH98" s="6">
        <f>[1]节奏总纲!AH98</f>
        <v>83.899392260409456</v>
      </c>
      <c r="AZ98" s="6">
        <v>95</v>
      </c>
      <c r="BA98" s="6">
        <v>37.680472138177471</v>
      </c>
      <c r="BB98" s="6">
        <v>39.182755310967018</v>
      </c>
      <c r="BC98" s="6">
        <v>41.120998062635785</v>
      </c>
      <c r="BD98" s="6">
        <v>43.854004894671284</v>
      </c>
      <c r="BE98" s="6">
        <v>48.532630748633537</v>
      </c>
    </row>
    <row r="99" spans="6:57" x14ac:dyDescent="0.15">
      <c r="F99" s="6">
        <f>[1]节奏总纲!F99</f>
        <v>97</v>
      </c>
      <c r="G99" s="6">
        <f>[1]节奏总纲!G99</f>
        <v>830.74645386878444</v>
      </c>
      <c r="N99" s="6">
        <f>[1]节奏总纲!N99</f>
        <v>106</v>
      </c>
      <c r="O99" s="6">
        <v>96</v>
      </c>
      <c r="P99" s="6">
        <f>[1]节奏总纲!P99</f>
        <v>775.04688205332377</v>
      </c>
      <c r="Q99" s="6">
        <f>[1]节奏总纲!Q99</f>
        <v>661.0374857032798</v>
      </c>
      <c r="R99" s="6">
        <f>[1]节奏总纲!R99</f>
        <v>529.97705794806279</v>
      </c>
      <c r="S99" s="6">
        <f>[1]节奏总纲!S99</f>
        <v>380.70302846459265</v>
      </c>
      <c r="T99" s="6">
        <f>[1]节奏总纲!T99</f>
        <v>206.86001282003213</v>
      </c>
      <c r="V99" s="6">
        <v>96</v>
      </c>
      <c r="W99" s="6">
        <f>[1]节奏总纲!W99</f>
        <v>51.96953811829917</v>
      </c>
      <c r="X99" s="6">
        <f>[1]节奏总纲!X99</f>
        <v>42.878664373227252</v>
      </c>
      <c r="Y99" s="6">
        <f>[1]节奏总纲!Y99</f>
        <v>34.018307743029425</v>
      </c>
      <c r="Z99" s="6">
        <f>[1]节奏总纲!Z99</f>
        <v>25.310513920528081</v>
      </c>
      <c r="AA99" s="6">
        <f>[1]节奏总纲!AA99</f>
        <v>14.015285192561066</v>
      </c>
      <c r="AC99" s="6">
        <v>96</v>
      </c>
      <c r="AD99" s="6">
        <f>[1]节奏总纲!AD99</f>
        <v>65.999097893592648</v>
      </c>
      <c r="AE99" s="6">
        <f>[1]节奏总纲!AE99</f>
        <v>68.025215371037646</v>
      </c>
      <c r="AF99" s="6">
        <f>[1]节奏总纲!AF99</f>
        <v>70.909866668339362</v>
      </c>
      <c r="AG99" s="6">
        <f>[1]节奏总纲!AG99</f>
        <v>75.408265402860437</v>
      </c>
      <c r="AH99" s="6">
        <f>[1]节奏总纲!AH99</f>
        <v>84.050903767166133</v>
      </c>
      <c r="AZ99" s="6">
        <v>96</v>
      </c>
      <c r="BA99" s="6">
        <v>37.753075011035001</v>
      </c>
      <c r="BB99" s="6">
        <v>39.250296194358178</v>
      </c>
      <c r="BC99" s="6">
        <v>41.188041754455355</v>
      </c>
      <c r="BD99" s="6">
        <v>43.928898311540578</v>
      </c>
      <c r="BE99" s="6">
        <v>48.604416748272008</v>
      </c>
    </row>
    <row r="100" spans="6:57" x14ac:dyDescent="0.15">
      <c r="F100" s="6">
        <f>[1]节奏总纲!F100</f>
        <v>98</v>
      </c>
      <c r="G100" s="6">
        <f>[1]节奏总纲!G100</f>
        <v>890.4437768152311</v>
      </c>
      <c r="N100" s="6">
        <f>[1]节奏总纲!N100</f>
        <v>107</v>
      </c>
      <c r="O100" s="6">
        <v>97</v>
      </c>
      <c r="P100" s="6">
        <f>[1]节奏总纲!P100</f>
        <v>830.74645386878444</v>
      </c>
      <c r="Q100" s="6">
        <f>[1]节奏总纲!Q100</f>
        <v>707.71290405081743</v>
      </c>
      <c r="R100" s="6">
        <f>[1]节奏总纲!R100</f>
        <v>569.31054483627804</v>
      </c>
      <c r="S100" s="6">
        <f>[1]节奏总纲!S100</f>
        <v>409.80722569347137</v>
      </c>
      <c r="T100" s="6">
        <f>[1]节奏总纲!T100</f>
        <v>223.30464679992923</v>
      </c>
      <c r="V100" s="6">
        <v>97</v>
      </c>
      <c r="W100" s="6">
        <f>[1]节奏总纲!W100</f>
        <v>55.699571815460672</v>
      </c>
      <c r="X100" s="6">
        <f>[1]节奏总纲!X100</f>
        <v>46.675418347537629</v>
      </c>
      <c r="Y100" s="6">
        <f>[1]节奏总纲!Y100</f>
        <v>39.333486888215248</v>
      </c>
      <c r="Z100" s="6">
        <f>[1]节奏总纲!Z100</f>
        <v>29.104197228878718</v>
      </c>
      <c r="AA100" s="6">
        <f>[1]节奏总纲!AA100</f>
        <v>16.444633979897105</v>
      </c>
      <c r="AC100" s="6">
        <v>97</v>
      </c>
      <c r="AD100" s="6">
        <f>[1]节奏总纲!AD100</f>
        <v>66.142785979989682</v>
      </c>
      <c r="AE100" s="6">
        <f>[1]节奏总纲!AE100</f>
        <v>68.174918074940805</v>
      </c>
      <c r="AF100" s="6">
        <f>[1]节奏总纲!AF100</f>
        <v>71.061795050376986</v>
      </c>
      <c r="AG100" s="6">
        <f>[1]节奏总纲!AG100</f>
        <v>75.554807824479894</v>
      </c>
      <c r="AH100" s="6">
        <f>[1]节奏总纲!AH100</f>
        <v>84.196136930932482</v>
      </c>
      <c r="AZ100" s="6">
        <v>97</v>
      </c>
      <c r="BA100" s="6">
        <v>37.825677883892531</v>
      </c>
      <c r="BB100" s="6">
        <v>39.317837077749331</v>
      </c>
      <c r="BC100" s="6">
        <v>41.255085446274933</v>
      </c>
      <c r="BD100" s="6">
        <v>44.003272544984547</v>
      </c>
      <c r="BE100" s="6">
        <v>48.67620274791048</v>
      </c>
    </row>
    <row r="101" spans="6:57" x14ac:dyDescent="0.15">
      <c r="F101" s="6">
        <f>[1]节奏总纲!F101</f>
        <v>99</v>
      </c>
      <c r="G101" s="6">
        <f>[1]节奏总纲!G101</f>
        <v>954.42578333369079</v>
      </c>
      <c r="N101" s="6">
        <f>[1]节奏总纲!N101</f>
        <v>108</v>
      </c>
      <c r="O101" s="6">
        <v>98</v>
      </c>
      <c r="P101" s="6">
        <f>[1]节奏总纲!P101</f>
        <v>890.4437768152311</v>
      </c>
      <c r="Q101" s="6">
        <f>[1]节奏总纲!Q101</f>
        <v>760.34994102252585</v>
      </c>
      <c r="R101" s="6">
        <f>[1]节奏总纲!R101</f>
        <v>612.98149595960513</v>
      </c>
      <c r="S101" s="6">
        <f>[1]节奏总纲!S101</f>
        <v>441.9272464333992</v>
      </c>
      <c r="T101" s="6">
        <f>[1]节奏总纲!T101</f>
        <v>240.77599725083846</v>
      </c>
      <c r="V101" s="6">
        <v>98</v>
      </c>
      <c r="W101" s="6">
        <f>[1]节奏总纲!W101</f>
        <v>59.697322946446661</v>
      </c>
      <c r="X101" s="6">
        <f>[1]节奏总纲!X101</f>
        <v>52.637036971708426</v>
      </c>
      <c r="Y101" s="6">
        <f>[1]节奏总纲!Y101</f>
        <v>43.670951123327086</v>
      </c>
      <c r="Z101" s="6">
        <f>[1]节奏总纲!Z101</f>
        <v>32.120020739927838</v>
      </c>
      <c r="AA101" s="6">
        <f>[1]节奏总纲!AA101</f>
        <v>17.471350450909227</v>
      </c>
      <c r="AC101" s="6">
        <v>98</v>
      </c>
      <c r="AD101" s="6">
        <f>[1]节奏总纲!AD101</f>
        <v>66.286413655019302</v>
      </c>
      <c r="AE101" s="6">
        <f>[1]节奏总纲!AE101</f>
        <v>68.324620778843951</v>
      </c>
      <c r="AF101" s="6">
        <f>[1]节奏总纲!AF101</f>
        <v>71.210277551293188</v>
      </c>
      <c r="AG101" s="6">
        <f>[1]节奏总纲!AG101</f>
        <v>75.701350246099338</v>
      </c>
      <c r="AH101" s="6">
        <f>[1]节奏总纲!AH101</f>
        <v>84.341370094698831</v>
      </c>
      <c r="AZ101" s="6">
        <v>98</v>
      </c>
      <c r="BA101" s="6">
        <v>37.898280756750061</v>
      </c>
      <c r="BB101" s="6">
        <v>39.385377961140485</v>
      </c>
      <c r="BC101" s="6">
        <v>41.322129138094503</v>
      </c>
      <c r="BD101" s="6">
        <v>44.067911160744309</v>
      </c>
      <c r="BE101" s="6">
        <v>48.747988747548945</v>
      </c>
    </row>
    <row r="102" spans="6:57" x14ac:dyDescent="0.15">
      <c r="F102" s="6">
        <f>[1]节奏总纲!F102</f>
        <v>100</v>
      </c>
      <c r="G102" s="6">
        <f>[1]节奏总纲!G102</f>
        <v>1023</v>
      </c>
      <c r="N102" s="6">
        <f>[1]节奏总纲!N102</f>
        <v>109</v>
      </c>
      <c r="O102" s="6">
        <v>99</v>
      </c>
      <c r="P102" s="6">
        <f>[1]节奏总纲!P102</f>
        <v>954.42578333369079</v>
      </c>
      <c r="Q102" s="6">
        <f>[1]节奏总纲!Q102</f>
        <v>816.51125764197252</v>
      </c>
      <c r="R102" s="6">
        <f>[1]节奏总纲!R102</f>
        <v>658.6492330785801</v>
      </c>
      <c r="S102" s="6">
        <f>[1]节奏总纲!S102</f>
        <v>475.39948267851139</v>
      </c>
      <c r="T102" s="6">
        <f>[1]节奏总纲!T102</f>
        <v>257.59951892176309</v>
      </c>
      <c r="V102" s="6">
        <v>99</v>
      </c>
      <c r="W102" s="6">
        <f>[1]节奏总纲!W102</f>
        <v>63.982006518459684</v>
      </c>
      <c r="X102" s="6">
        <f>[1]节奏总纲!X102</f>
        <v>56.161316619446666</v>
      </c>
      <c r="Y102" s="6">
        <f>[1]节奏总纲!Y102</f>
        <v>45.667737118974969</v>
      </c>
      <c r="Z102" s="6">
        <f>[1]节奏总纲!Z102</f>
        <v>33.472236245112185</v>
      </c>
      <c r="AA102" s="6">
        <f>[1]节奏总纲!AA102</f>
        <v>16.823521670924634</v>
      </c>
      <c r="AC102" s="6">
        <v>99</v>
      </c>
      <c r="AD102" s="6">
        <f>[1]节奏总纲!AD102</f>
        <v>66.430041330048923</v>
      </c>
      <c r="AE102" s="6">
        <f>[1]节奏总纲!AE102</f>
        <v>68.474323482747096</v>
      </c>
      <c r="AF102" s="6">
        <f>[1]节奏总纲!AF102</f>
        <v>71.358760052209377</v>
      </c>
      <c r="AG102" s="6">
        <f>[1]节奏总纲!AG102</f>
        <v>75.847892667718796</v>
      </c>
      <c r="AH102" s="6">
        <f>[1]节奏总纲!AH102</f>
        <v>84.48660325846518</v>
      </c>
      <c r="AZ102" s="6">
        <v>99</v>
      </c>
      <c r="BA102" s="6">
        <v>37.970883629607592</v>
      </c>
      <c r="BB102" s="6">
        <v>39.452918844531645</v>
      </c>
      <c r="BC102" s="6">
        <v>41.389172829914081</v>
      </c>
      <c r="BD102" s="6">
        <v>44.132549776504064</v>
      </c>
      <c r="BE102" s="6">
        <v>48.819774747187417</v>
      </c>
    </row>
    <row r="103" spans="6:57" x14ac:dyDescent="0.15">
      <c r="F103" s="6">
        <f>[1]节奏总纲!F103</f>
        <v>101</v>
      </c>
      <c r="G103" s="6">
        <f>[1]节奏总纲!G103</f>
        <v>1096.4960256371633</v>
      </c>
      <c r="N103" s="6">
        <f>[1]节奏总纲!N103</f>
        <v>110</v>
      </c>
      <c r="O103" s="6">
        <v>100</v>
      </c>
      <c r="P103" s="6">
        <f>[1]节奏总纲!P103</f>
        <v>1023</v>
      </c>
      <c r="Q103" s="6">
        <f>[1]节奏总纲!Q103</f>
        <v>875.38110000000006</v>
      </c>
      <c r="R103" s="6">
        <f>[1]节奏总纲!R103</f>
        <v>706.6884</v>
      </c>
      <c r="S103" s="6">
        <f>[1]节奏总纲!S103</f>
        <v>508.22640000000001</v>
      </c>
      <c r="T103" s="6">
        <f>[1]节奏总纲!T103</f>
        <v>274.77780000000001</v>
      </c>
      <c r="V103" s="6">
        <v>100</v>
      </c>
      <c r="W103" s="6">
        <f>[1]节奏总纲!W103</f>
        <v>68.574216666309212</v>
      </c>
      <c r="X103" s="6">
        <f>[1]节奏总纲!X103</f>
        <v>58.86984235802754</v>
      </c>
      <c r="Y103" s="6">
        <f>[1]节奏总纲!Y103</f>
        <v>48.039166921419906</v>
      </c>
      <c r="Z103" s="6">
        <f>[1]节奏总纲!Z103</f>
        <v>32.826917321488622</v>
      </c>
      <c r="AA103" s="6">
        <f>[1]节奏总纲!AA103</f>
        <v>17.178281078236921</v>
      </c>
      <c r="AC103" s="6">
        <v>100</v>
      </c>
      <c r="AD103" s="6">
        <f>[1]节奏总纲!AD103</f>
        <v>66.573669005078543</v>
      </c>
      <c r="AE103" s="6">
        <f>[1]节奏总纲!AE103</f>
        <v>68.624026186650241</v>
      </c>
      <c r="AF103" s="6">
        <f>[1]节奏总纲!AF103</f>
        <v>71.507242553125565</v>
      </c>
      <c r="AG103" s="6">
        <f>[1]节奏总纲!AG103</f>
        <v>75.994435089338239</v>
      </c>
      <c r="AH103" s="6">
        <f>[1]节奏总纲!AH103</f>
        <v>84.63183642223153</v>
      </c>
      <c r="AZ103" s="6">
        <v>100</v>
      </c>
      <c r="BA103" s="6">
        <v>38.037513426486328</v>
      </c>
      <c r="BB103" s="6">
        <v>39.520459727922798</v>
      </c>
      <c r="BC103" s="6">
        <v>41.456216521733651</v>
      </c>
      <c r="BD103" s="6">
        <v>44.197188392263818</v>
      </c>
      <c r="BE103" s="6">
        <v>48.891560746825888</v>
      </c>
    </row>
    <row r="104" spans="6:57" x14ac:dyDescent="0.15">
      <c r="F104" s="6">
        <f>[1]节奏总纲!F104</f>
        <v>102</v>
      </c>
      <c r="G104" s="6">
        <f>[1]节奏总纲!G104</f>
        <v>1175.2671155169628</v>
      </c>
      <c r="N104" s="6">
        <f>[1]节奏总纲!N104</f>
        <v>111</v>
      </c>
      <c r="O104" s="6">
        <v>101</v>
      </c>
      <c r="P104" s="6">
        <f>[1]节奏总纲!P104</f>
        <v>1096.4960256371633</v>
      </c>
      <c r="Q104" s="6">
        <f>[1]节奏总纲!Q104</f>
        <v>939.14884595823037</v>
      </c>
      <c r="R104" s="6">
        <f>[1]节奏总纲!R104</f>
        <v>756.25330888195151</v>
      </c>
      <c r="S104" s="6">
        <f>[1]节奏总纲!S104</f>
        <v>541.99798547244984</v>
      </c>
      <c r="T104" s="6">
        <f>[1]节奏总纲!T104</f>
        <v>293.42233646050488</v>
      </c>
      <c r="V104" s="6">
        <v>101</v>
      </c>
      <c r="W104" s="6">
        <f>[1]节奏总纲!W104</f>
        <v>73.496025637163257</v>
      </c>
      <c r="X104" s="6">
        <f>[1]节奏总纲!X104</f>
        <v>63.767745958230307</v>
      </c>
      <c r="Y104" s="6">
        <f>[1]节奏总纲!Y104</f>
        <v>49.56490888195151</v>
      </c>
      <c r="Z104" s="6">
        <f>[1]节奏总纲!Z104</f>
        <v>33.771585472449829</v>
      </c>
      <c r="AA104" s="6">
        <f>[1]节奏总纲!AA104</f>
        <v>18.644536460504867</v>
      </c>
      <c r="AC104" s="6">
        <v>101</v>
      </c>
      <c r="AD104" s="6">
        <f>[1]节奏总纲!AD104</f>
        <v>66.717296680108163</v>
      </c>
      <c r="AE104" s="6">
        <f>[1]节奏总纲!AE104</f>
        <v>68.773728890553386</v>
      </c>
      <c r="AF104" s="6">
        <f>[1]节奏总纲!AF104</f>
        <v>71.655725054041767</v>
      </c>
      <c r="AG104" s="6">
        <f>[1]节奏总纲!AG104</f>
        <v>76.130305911210229</v>
      </c>
      <c r="AH104" s="6">
        <f>[1]节奏总纲!AH104</f>
        <v>84.777069585997879</v>
      </c>
      <c r="AZ104" s="6">
        <v>101</v>
      </c>
      <c r="BA104" s="6">
        <v>38.100143952724252</v>
      </c>
      <c r="BB104" s="6">
        <v>39.588000611313952</v>
      </c>
      <c r="BC104" s="6">
        <v>41.523260213553229</v>
      </c>
      <c r="BD104" s="6">
        <v>44.261827008023573</v>
      </c>
      <c r="BE104" s="6">
        <v>48.96334674646436</v>
      </c>
    </row>
    <row r="105" spans="6:57" x14ac:dyDescent="0.15">
      <c r="F105" s="6">
        <f>[1]节奏总纲!F105</f>
        <v>103</v>
      </c>
      <c r="G105" s="6">
        <f>[1]节奏总纲!G105</f>
        <v>1259.6918792651943</v>
      </c>
      <c r="N105" s="6">
        <f>[1]节奏总纲!N105</f>
        <v>112</v>
      </c>
      <c r="O105" s="6">
        <v>102</v>
      </c>
      <c r="P105" s="6">
        <f>[1]节奏总纲!P105</f>
        <v>1175.2671155169628</v>
      </c>
      <c r="Q105" s="6">
        <f>[1]节奏总纲!Q105</f>
        <v>1004.2657502092447</v>
      </c>
      <c r="R105" s="6">
        <f>[1]节奏总纲!R105</f>
        <v>806.23324124463659</v>
      </c>
      <c r="S105" s="6">
        <f>[1]节奏总纲!S105</f>
        <v>577.99636741124232</v>
      </c>
      <c r="T105" s="6">
        <f>[1]节奏总纲!T105</f>
        <v>313.56126641992563</v>
      </c>
      <c r="V105" s="6">
        <v>102</v>
      </c>
      <c r="W105" s="6">
        <f>[1]节奏总纲!W105</f>
        <v>78.771089879799547</v>
      </c>
      <c r="X105" s="6">
        <f>[1]节奏总纲!X105</f>
        <v>65.116904251014375</v>
      </c>
      <c r="Y105" s="6">
        <f>[1]节奏总纲!Y105</f>
        <v>49.979932362685076</v>
      </c>
      <c r="Z105" s="6">
        <f>[1]节奏总纲!Z105</f>
        <v>35.998381938792477</v>
      </c>
      <c r="AA105" s="6">
        <f>[1]节奏总纲!AA105</f>
        <v>20.13892995942075</v>
      </c>
      <c r="AC105" s="6">
        <v>102</v>
      </c>
      <c r="AD105" s="6">
        <f>[1]节奏总纲!AD105</f>
        <v>66.860924355137783</v>
      </c>
      <c r="AE105" s="6">
        <f>[1]节奏总纲!AE105</f>
        <v>68.923431594456531</v>
      </c>
      <c r="AF105" s="6">
        <f>[1]节奏总纲!AF105</f>
        <v>71.804207554957955</v>
      </c>
      <c r="AG105" s="6">
        <f>[1]节奏总纲!AG105</f>
        <v>76.265755485049056</v>
      </c>
      <c r="AH105" s="6">
        <f>[1]节奏总纲!AH105</f>
        <v>84.922302749764228</v>
      </c>
      <c r="AZ105" s="6">
        <v>102</v>
      </c>
      <c r="BA105" s="6">
        <v>38.16277447896217</v>
      </c>
      <c r="BB105" s="6">
        <v>39.655541494705105</v>
      </c>
      <c r="BC105" s="6">
        <v>41.590303905372799</v>
      </c>
      <c r="BD105" s="6">
        <v>44.326465623783335</v>
      </c>
      <c r="BE105" s="6">
        <v>49.030333272797542</v>
      </c>
    </row>
    <row r="106" spans="6:57" x14ac:dyDescent="0.15">
      <c r="F106" s="6">
        <f>[1]节奏总纲!F106</f>
        <v>104</v>
      </c>
      <c r="G106" s="6">
        <f>[1]节奏总纲!G106</f>
        <v>1350.1761006314437</v>
      </c>
      <c r="N106" s="6">
        <f>[1]节奏总纲!N106</f>
        <v>113</v>
      </c>
      <c r="O106" s="6">
        <v>103</v>
      </c>
      <c r="P106" s="6">
        <f>[1]节奏总纲!P106</f>
        <v>1259.6918792651943</v>
      </c>
      <c r="Q106" s="6">
        <f>[1]节奏总纲!Q106</f>
        <v>1073.383450321872</v>
      </c>
      <c r="R106" s="6">
        <f>[1]节奏总纲!R106</f>
        <v>861.50327622946634</v>
      </c>
      <c r="S106" s="6">
        <f>[1]节奏总纲!S106</f>
        <v>619.01258947091651</v>
      </c>
      <c r="T106" s="6">
        <f>[1]节奏总纲!T106</f>
        <v>335.8338550121008</v>
      </c>
      <c r="V106" s="6">
        <v>103</v>
      </c>
      <c r="W106" s="6">
        <f>[1]节奏总纲!W106</f>
        <v>84.424763748231499</v>
      </c>
      <c r="X106" s="6">
        <f>[1]节奏总纲!X106</f>
        <v>69.11770011262729</v>
      </c>
      <c r="Y106" s="6">
        <f>[1]节奏总纲!Y106</f>
        <v>55.270034984829749</v>
      </c>
      <c r="Z106" s="6">
        <f>[1]节奏总纲!Z106</f>
        <v>41.016222059674192</v>
      </c>
      <c r="AA106" s="6">
        <f>[1]节奏总纲!AA106</f>
        <v>22.272588592175168</v>
      </c>
      <c r="AC106" s="6">
        <v>103</v>
      </c>
      <c r="AD106" s="6">
        <f>[1]节奏总纲!AD106</f>
        <v>67.004247194324648</v>
      </c>
      <c r="AE106" s="6">
        <f>[1]节奏总纲!AE106</f>
        <v>69.0655056802525</v>
      </c>
      <c r="AF106" s="6">
        <f>[1]节奏总纲!AF106</f>
        <v>71.952690055874157</v>
      </c>
      <c r="AG106" s="6">
        <f>[1]节奏总纲!AG106</f>
        <v>76.401205058887882</v>
      </c>
      <c r="AH106" s="6">
        <f>[1]节奏总纲!AH106</f>
        <v>85.072521641060263</v>
      </c>
      <c r="AZ106" s="6">
        <v>103</v>
      </c>
      <c r="BA106" s="6">
        <v>38.225405005200088</v>
      </c>
      <c r="BB106" s="6">
        <v>39.723082378096265</v>
      </c>
      <c r="BC106" s="6">
        <v>41.657347597192377</v>
      </c>
      <c r="BD106" s="6">
        <v>44.39110423954309</v>
      </c>
      <c r="BE106" s="6">
        <v>49.09231260978715</v>
      </c>
    </row>
    <row r="107" spans="6:57" x14ac:dyDescent="0.15">
      <c r="F107" s="6">
        <f>[1]节奏总纲!F107</f>
        <v>105</v>
      </c>
      <c r="G107" s="6">
        <f>[1]节奏总纲!G107</f>
        <v>1447.1546878700494</v>
      </c>
      <c r="N107" s="6">
        <f>[1]节奏总纲!N107</f>
        <v>114</v>
      </c>
      <c r="O107" s="6">
        <v>104</v>
      </c>
      <c r="P107" s="6">
        <f>[1]节奏总纲!P107</f>
        <v>1350.1761006314437</v>
      </c>
      <c r="Q107" s="6">
        <f>[1]节奏总纲!Q107</f>
        <v>1150.7550905681794</v>
      </c>
      <c r="R107" s="6">
        <f>[1]节奏总纲!R107</f>
        <v>925.41069937279144</v>
      </c>
      <c r="S107" s="6">
        <f>[1]节奏总纲!S107</f>
        <v>665.09674717104917</v>
      </c>
      <c r="T107" s="6">
        <f>[1]节奏总纲!T107</f>
        <v>360.49701886859549</v>
      </c>
      <c r="V107" s="6">
        <v>104</v>
      </c>
      <c r="W107" s="6">
        <f>[1]节奏总纲!W107</f>
        <v>90.484221366249358</v>
      </c>
      <c r="X107" s="6">
        <f>[1]节奏总纲!X107</f>
        <v>77.371640246307379</v>
      </c>
      <c r="Y107" s="6">
        <f>[1]节奏总纲!Y107</f>
        <v>63.907423143325104</v>
      </c>
      <c r="Z107" s="6">
        <f>[1]节奏总纲!Z107</f>
        <v>46.084157700132664</v>
      </c>
      <c r="AA107" s="6">
        <f>[1]节奏总纲!AA107</f>
        <v>24.663163856494691</v>
      </c>
      <c r="AC107" s="6">
        <v>104</v>
      </c>
      <c r="AD107" s="6">
        <f>[1]节奏总纲!AD107</f>
        <v>67.138256553625013</v>
      </c>
      <c r="AE107" s="6">
        <f>[1]节奏总纲!AE107</f>
        <v>69.199592937186125</v>
      </c>
      <c r="AF107" s="6">
        <f>[1]节奏总纲!AF107</f>
        <v>72.093818006439079</v>
      </c>
      <c r="AG107" s="6">
        <f>[1]节奏总纲!AG107</f>
        <v>76.536654632726695</v>
      </c>
      <c r="AH107" s="6">
        <f>[1]节奏总纲!AH107</f>
        <v>85.228476403824274</v>
      </c>
      <c r="AZ107" s="6">
        <v>104</v>
      </c>
      <c r="BA107" s="6">
        <v>38.288035531438013</v>
      </c>
      <c r="BB107" s="6">
        <v>39.790623261487418</v>
      </c>
      <c r="BC107" s="6">
        <v>41.724391289011947</v>
      </c>
      <c r="BD107" s="6">
        <v>44.455742855302844</v>
      </c>
      <c r="BE107" s="6">
        <v>49.154291946776759</v>
      </c>
    </row>
    <row r="108" spans="6:57" x14ac:dyDescent="0.15">
      <c r="F108" s="6">
        <f>[1]节奏总纲!F108</f>
        <v>106</v>
      </c>
      <c r="G108" s="6">
        <f>[1]节奏总纲!G108</f>
        <v>1551.0937641066464</v>
      </c>
      <c r="N108" s="6">
        <f>[1]节奏总纲!N108</f>
        <v>115</v>
      </c>
      <c r="O108" s="6">
        <v>105</v>
      </c>
      <c r="P108" s="6">
        <f>[1]节奏总纲!P108</f>
        <v>1447.1546878700494</v>
      </c>
      <c r="Q108" s="6">
        <f>[1]节奏总纲!Q108</f>
        <v>1234.8570951595132</v>
      </c>
      <c r="R108" s="6">
        <f>[1]节奏总纲!R108</f>
        <v>993.18226228521496</v>
      </c>
      <c r="S108" s="6">
        <f>[1]节奏总纲!S108</f>
        <v>713.59197658872131</v>
      </c>
      <c r="T108" s="6">
        <f>[1]节奏总纲!T108</f>
        <v>386.39030166130323</v>
      </c>
      <c r="V108" s="6">
        <v>105</v>
      </c>
      <c r="W108" s="6">
        <f>[1]节奏总纲!W108</f>
        <v>96.978587238605769</v>
      </c>
      <c r="X108" s="6">
        <f>[1]节奏总纲!X108</f>
        <v>84.102004591333753</v>
      </c>
      <c r="Y108" s="6">
        <f>[1]节奏总纲!Y108</f>
        <v>67.771562912423519</v>
      </c>
      <c r="Z108" s="6">
        <f>[1]节奏总纲!Z108</f>
        <v>48.495229417672135</v>
      </c>
      <c r="AA108" s="6">
        <f>[1]节奏总纲!AA108</f>
        <v>25.893282792707737</v>
      </c>
      <c r="AC108" s="6">
        <v>105</v>
      </c>
      <c r="AD108" s="6">
        <f>[1]节奏总纲!AD108</f>
        <v>67.272265912925377</v>
      </c>
      <c r="AE108" s="6">
        <f>[1]节奏总纲!AE108</f>
        <v>69.333680194119751</v>
      </c>
      <c r="AF108" s="6">
        <f>[1]节奏总纲!AF108</f>
        <v>72.23150684883845</v>
      </c>
      <c r="AG108" s="6">
        <f>[1]节奏总纲!AG108</f>
        <v>76.672104206565521</v>
      </c>
      <c r="AH108" s="6">
        <f>[1]节奏总纲!AH108</f>
        <v>85.384431166588271</v>
      </c>
      <c r="AZ108" s="6">
        <v>105</v>
      </c>
      <c r="BA108" s="6">
        <v>38.35066605767593</v>
      </c>
      <c r="BB108" s="6">
        <v>39.858164144878572</v>
      </c>
      <c r="BC108" s="6">
        <v>41.791434980831518</v>
      </c>
      <c r="BD108" s="6">
        <v>44.520381471062606</v>
      </c>
      <c r="BE108" s="6">
        <v>49.216271283766375</v>
      </c>
    </row>
    <row r="109" spans="6:57" x14ac:dyDescent="0.15">
      <c r="F109" s="6">
        <f>[1]节奏总纲!F109</f>
        <v>107</v>
      </c>
      <c r="G109" s="6">
        <f>[1]节奏总纲!G109</f>
        <v>1662.4929077375689</v>
      </c>
      <c r="N109" s="6">
        <f>[1]节奏总纲!N109</f>
        <v>116</v>
      </c>
      <c r="O109" s="6">
        <v>106</v>
      </c>
      <c r="P109" s="6">
        <f>[1]节奏总纲!P109</f>
        <v>1551.0937641066464</v>
      </c>
      <c r="Q109" s="6">
        <f>[1]节奏总纲!Q109</f>
        <v>1324.4789651706653</v>
      </c>
      <c r="R109" s="6">
        <f>[1]节奏总纲!R109</f>
        <v>1064.6707596828021</v>
      </c>
      <c r="S109" s="6">
        <f>[1]节奏总纲!S109</f>
        <v>764.3790069517554</v>
      </c>
      <c r="T109" s="6">
        <f>[1]节奏总纲!T109</f>
        <v>412.59094125236794</v>
      </c>
      <c r="V109" s="6">
        <v>106</v>
      </c>
      <c r="W109" s="6">
        <f>[1]节奏总纲!W109</f>
        <v>103.93907623659697</v>
      </c>
      <c r="X109" s="6">
        <f>[1]节奏总纲!X109</f>
        <v>89.621870011152168</v>
      </c>
      <c r="Y109" s="6">
        <f>[1]节奏总纲!Y109</f>
        <v>71.488497397587139</v>
      </c>
      <c r="Z109" s="6">
        <f>[1]节奏总纲!Z109</f>
        <v>50.787030363034091</v>
      </c>
      <c r="AA109" s="6">
        <f>[1]节奏总纲!AA109</f>
        <v>26.200639591064714</v>
      </c>
      <c r="AC109" s="6">
        <v>106</v>
      </c>
      <c r="AD109" s="6">
        <f>[1]节奏总纲!AD109</f>
        <v>67.406275272225741</v>
      </c>
      <c r="AE109" s="6">
        <f>[1]节奏总纲!AE109</f>
        <v>69.467767451053362</v>
      </c>
      <c r="AF109" s="6">
        <f>[1]节奏总纲!AF109</f>
        <v>72.369195691237806</v>
      </c>
      <c r="AG109" s="6">
        <f>[1]节奏总纲!AG109</f>
        <v>76.807553780404334</v>
      </c>
      <c r="AH109" s="6">
        <f>[1]节奏总纲!AH109</f>
        <v>85.540385929352269</v>
      </c>
      <c r="AZ109" s="6">
        <v>106</v>
      </c>
      <c r="BA109" s="6">
        <v>38.413296583913848</v>
      </c>
      <c r="BB109" s="6">
        <v>39.925705028269732</v>
      </c>
      <c r="BC109" s="6">
        <v>41.858478672651096</v>
      </c>
      <c r="BD109" s="6">
        <v>44.585020086822361</v>
      </c>
      <c r="BE109" s="6">
        <v>49.278250620755983</v>
      </c>
    </row>
    <row r="110" spans="6:57" x14ac:dyDescent="0.15">
      <c r="F110" s="6">
        <f>[1]节奏总纲!F110</f>
        <v>108</v>
      </c>
      <c r="G110" s="6">
        <f>[1]节奏总纲!G110</f>
        <v>1781.8875536304624</v>
      </c>
      <c r="N110" s="6">
        <f>[1]节奏总纲!N110</f>
        <v>117</v>
      </c>
      <c r="O110" s="6">
        <v>107</v>
      </c>
      <c r="P110" s="6">
        <f>[1]节奏总纲!P110</f>
        <v>1662.4929077375689</v>
      </c>
      <c r="Q110" s="6">
        <f>[1]节奏总纲!Q110</f>
        <v>1418.9376967540152</v>
      </c>
      <c r="R110" s="6">
        <f>[1]节奏总纲!R110</f>
        <v>1141.6338797433884</v>
      </c>
      <c r="S110" s="6">
        <f>[1]节奏总纲!S110</f>
        <v>816.11776840837263</v>
      </c>
      <c r="T110" s="6">
        <f>[1]节奏总纲!T110</f>
        <v>440.22812196890823</v>
      </c>
      <c r="V110" s="6">
        <v>107</v>
      </c>
      <c r="W110" s="6">
        <f>[1]节奏总纲!W110</f>
        <v>111.39914363092248</v>
      </c>
      <c r="X110" s="6">
        <f>[1]节奏总纲!X110</f>
        <v>94.458731583349845</v>
      </c>
      <c r="Y110" s="6">
        <f>[1]节奏总纲!Y110</f>
        <v>76.963120060586334</v>
      </c>
      <c r="Z110" s="6">
        <f>[1]节奏总纲!Z110</f>
        <v>51.738761456617226</v>
      </c>
      <c r="AA110" s="6">
        <f>[1]节奏总纲!AA110</f>
        <v>27.637180716540286</v>
      </c>
      <c r="AC110" s="6">
        <v>107</v>
      </c>
      <c r="AD110" s="6">
        <f>[1]节奏总纲!AD110</f>
        <v>67.540284631526106</v>
      </c>
      <c r="AE110" s="6">
        <f>[1]节奏总纲!AE110</f>
        <v>69.601854707986988</v>
      </c>
      <c r="AF110" s="6">
        <f>[1]节奏总纲!AF110</f>
        <v>72.506884533637162</v>
      </c>
      <c r="AG110" s="6">
        <f>[1]节奏总纲!AG110</f>
        <v>76.94300335424316</v>
      </c>
      <c r="AH110" s="6">
        <f>[1]节奏总纲!AH110</f>
        <v>85.696340692116266</v>
      </c>
      <c r="AZ110" s="6">
        <v>107</v>
      </c>
      <c r="BA110" s="6">
        <v>38.475927110151773</v>
      </c>
      <c r="BB110" s="6">
        <v>39.993245911660885</v>
      </c>
      <c r="BC110" s="6">
        <v>41.925522364470666</v>
      </c>
      <c r="BD110" s="6">
        <v>44.649658702582116</v>
      </c>
      <c r="BE110" s="6">
        <v>49.340229957745592</v>
      </c>
    </row>
    <row r="111" spans="6:57" x14ac:dyDescent="0.15">
      <c r="F111" s="6">
        <f>[1]节奏总纲!F111</f>
        <v>109</v>
      </c>
      <c r="G111" s="6">
        <f>[1]节奏总纲!G111</f>
        <v>1909.8515666673818</v>
      </c>
      <c r="N111" s="6">
        <f>[1]节奏总纲!N111</f>
        <v>118</v>
      </c>
      <c r="O111" s="6">
        <v>108</v>
      </c>
      <c r="P111" s="6">
        <f>[1]节奏总纲!P111</f>
        <v>1781.8875536304624</v>
      </c>
      <c r="Q111" s="6">
        <f>[1]节奏总纲!Q111</f>
        <v>1520.8410270235997</v>
      </c>
      <c r="R111" s="6">
        <f>[1]节奏总纲!R111</f>
        <v>1218.0983316617842</v>
      </c>
      <c r="S111" s="6">
        <f>[1]节奏总纲!S111</f>
        <v>871.69939123602228</v>
      </c>
      <c r="T111" s="6">
        <f>[1]节奏总纲!T111</f>
        <v>471.13106917989433</v>
      </c>
      <c r="V111" s="6">
        <v>108</v>
      </c>
      <c r="W111" s="6">
        <f>[1]节奏总纲!W111</f>
        <v>119.39464589289355</v>
      </c>
      <c r="X111" s="6">
        <f>[1]节奏总纲!X111</f>
        <v>101.90333026958456</v>
      </c>
      <c r="Y111" s="6">
        <f>[1]节奏总纲!Y111</f>
        <v>76.464451918395753</v>
      </c>
      <c r="Z111" s="6">
        <f>[1]节奏总纲!Z111</f>
        <v>55.581622827649653</v>
      </c>
      <c r="AA111" s="6">
        <f>[1]节奏总纲!AA111</f>
        <v>30.902947210986099</v>
      </c>
      <c r="AC111" s="6">
        <v>108</v>
      </c>
      <c r="AD111" s="6">
        <f>[1]节奏总纲!AD111</f>
        <v>67.674293990826456</v>
      </c>
      <c r="AE111" s="6">
        <f>[1]节奏总纲!AE111</f>
        <v>69.735941964920613</v>
      </c>
      <c r="AF111" s="6">
        <f>[1]节奏总纲!AF111</f>
        <v>72.644573376036519</v>
      </c>
      <c r="AG111" s="6">
        <f>[1]节奏总纲!AG111</f>
        <v>77.074762810762508</v>
      </c>
      <c r="AH111" s="6">
        <f>[1]节奏总纲!AH111</f>
        <v>85.852295454880277</v>
      </c>
      <c r="AZ111" s="6">
        <v>108</v>
      </c>
      <c r="BA111" s="6">
        <v>38.53855763638969</v>
      </c>
      <c r="BB111" s="6">
        <v>40.052446592012309</v>
      </c>
      <c r="BC111" s="6">
        <v>41.992566056290244</v>
      </c>
      <c r="BD111" s="6">
        <v>44.71429731834187</v>
      </c>
      <c r="BE111" s="6">
        <v>49.402209294735208</v>
      </c>
    </row>
    <row r="112" spans="6:57" x14ac:dyDescent="0.15">
      <c r="F112" s="6">
        <f>[1]节奏总纲!F112</f>
        <v>110</v>
      </c>
      <c r="G112" s="6">
        <f>[1]节奏总纲!G112</f>
        <v>2047</v>
      </c>
      <c r="N112" s="6">
        <f>[1]节奏总纲!N112</f>
        <v>119</v>
      </c>
      <c r="O112" s="6">
        <v>109</v>
      </c>
      <c r="P112" s="6">
        <f>[1]节奏总纲!P112</f>
        <v>1909.8515666673818</v>
      </c>
      <c r="Q112" s="6">
        <f>[1]节奏总纲!Q112</f>
        <v>1624.7107277639418</v>
      </c>
      <c r="R112" s="6">
        <f>[1]节奏总纲!R112</f>
        <v>1301.5638426838207</v>
      </c>
      <c r="S112" s="6">
        <f>[1]节奏总纲!S112</f>
        <v>931.81657937701561</v>
      </c>
      <c r="T112" s="6">
        <f>[1]节奏总纲!T112</f>
        <v>504.58278391352223</v>
      </c>
      <c r="V112" s="6">
        <v>109</v>
      </c>
      <c r="W112" s="6">
        <f>[1]节奏总纲!W112</f>
        <v>127.96401303691937</v>
      </c>
      <c r="X112" s="6">
        <f>[1]节奏总纲!X112</f>
        <v>103.86970074034207</v>
      </c>
      <c r="Y112" s="6">
        <f>[1]节奏总纲!Y112</f>
        <v>83.46551102203648</v>
      </c>
      <c r="Z112" s="6">
        <f>[1]节奏总纲!Z112</f>
        <v>60.117188140993335</v>
      </c>
      <c r="AA112" s="6">
        <f>[1]节奏总纲!AA112</f>
        <v>33.451714733627909</v>
      </c>
      <c r="AC112" s="6">
        <v>109</v>
      </c>
      <c r="AD112" s="6">
        <f>[1]节奏总纲!AD112</f>
        <v>67.80830335012682</v>
      </c>
      <c r="AE112" s="6">
        <f>[1]节奏总纲!AE112</f>
        <v>69.870029221854239</v>
      </c>
      <c r="AF112" s="6">
        <f>[1]节奏总纲!AF112</f>
        <v>72.782262218435889</v>
      </c>
      <c r="AG112" s="6">
        <f>[1]节奏总纲!AG112</f>
        <v>77.203841369133116</v>
      </c>
      <c r="AH112" s="6">
        <f>[1]节奏总纲!AH112</f>
        <v>86.007776715139968</v>
      </c>
      <c r="AZ112" s="6">
        <v>109</v>
      </c>
      <c r="BA112" s="6">
        <v>38.601188162627608</v>
      </c>
      <c r="BB112" s="6">
        <v>40.110720583137102</v>
      </c>
      <c r="BC112" s="6">
        <v>42.051439554347354</v>
      </c>
      <c r="BD112" s="6">
        <v>44.778935934101632</v>
      </c>
      <c r="BE112" s="6">
        <v>49.464188631724817</v>
      </c>
    </row>
    <row r="113" spans="6:57" x14ac:dyDescent="0.15">
      <c r="F113" s="6">
        <f>[1]节奏总纲!F113</f>
        <v>111</v>
      </c>
      <c r="G113" s="6">
        <f>[1]节奏总纲!G113</f>
        <v>2193.9920512743265</v>
      </c>
      <c r="N113" s="6">
        <f>[1]节奏总纲!N113</f>
        <v>120</v>
      </c>
      <c r="O113" s="6">
        <v>110</v>
      </c>
      <c r="P113" s="6">
        <f>[1]节奏总纲!P113</f>
        <v>2047</v>
      </c>
      <c r="Q113" s="6">
        <f>[1]节奏总纲!Q113</f>
        <v>1741.3829000000001</v>
      </c>
      <c r="R113" s="6">
        <f>[1]节奏总纲!R113</f>
        <v>1397.2821999999999</v>
      </c>
      <c r="S113" s="6">
        <f>[1]节奏总纲!S113</f>
        <v>1001.3924000000001</v>
      </c>
      <c r="T113" s="6">
        <f>[1]节奏总纲!T113</f>
        <v>542.04559999999992</v>
      </c>
      <c r="V113" s="6">
        <v>110</v>
      </c>
      <c r="W113" s="6">
        <f>[1]节奏总纲!W113</f>
        <v>137.1484333326182</v>
      </c>
      <c r="X113" s="6">
        <f>[1]节奏总纲!X113</f>
        <v>116.67217223605826</v>
      </c>
      <c r="Y113" s="6">
        <f>[1]节奏总纲!Y113</f>
        <v>95.718357316179208</v>
      </c>
      <c r="Z113" s="6">
        <f>[1]节奏总纲!Z113</f>
        <v>69.575820622984452</v>
      </c>
      <c r="AA113" s="6">
        <f>[1]节奏总纲!AA113</f>
        <v>37.462816086477687</v>
      </c>
      <c r="AC113" s="6">
        <v>110</v>
      </c>
      <c r="AD113" s="6">
        <f>[1]节奏总纲!AD113</f>
        <v>67.942312709427185</v>
      </c>
      <c r="AE113" s="6">
        <f>[1]节奏总纲!AE113</f>
        <v>70.003807055133578</v>
      </c>
      <c r="AF113" s="6">
        <f>[1]节奏总纲!AF113</f>
        <v>72.919951060835245</v>
      </c>
      <c r="AG113" s="6">
        <f>[1]节奏总纲!AG113</f>
        <v>77.332919927503724</v>
      </c>
      <c r="AH113" s="6">
        <f>[1]节奏总纲!AH113</f>
        <v>86.154780808490045</v>
      </c>
      <c r="AZ113" s="6">
        <v>110</v>
      </c>
      <c r="BA113" s="6">
        <v>38.663818688865533</v>
      </c>
      <c r="BB113" s="6">
        <v>40.168994574261895</v>
      </c>
      <c r="BC113" s="6">
        <v>42.109294145892463</v>
      </c>
      <c r="BD113" s="6">
        <v>44.843574549861387</v>
      </c>
      <c r="BE113" s="6">
        <v>49.526167968714425</v>
      </c>
    </row>
    <row r="114" spans="6:57" x14ac:dyDescent="0.15">
      <c r="F114" s="6">
        <f>[1]节奏总纲!F114</f>
        <v>112</v>
      </c>
      <c r="G114" s="6">
        <f>[1]节奏总纲!G114</f>
        <v>2351.5342310339256</v>
      </c>
      <c r="N114" s="6">
        <f>[1]节奏总纲!N114</f>
        <v>121</v>
      </c>
      <c r="O114" s="6">
        <v>111</v>
      </c>
      <c r="P114" s="6">
        <f>[1]节奏总纲!P114</f>
        <v>2193.9920512743265</v>
      </c>
      <c r="Q114" s="6">
        <f>[1]节奏总纲!Q114</f>
        <v>1869.0618284805987</v>
      </c>
      <c r="R114" s="6">
        <f>[1]节奏总纲!R114</f>
        <v>1500.4711638665117</v>
      </c>
      <c r="S114" s="6">
        <f>[1]节奏总纲!S114</f>
        <v>1076.5918995603122</v>
      </c>
      <c r="T114" s="6">
        <f>[1]节奏总纲!T114</f>
        <v>583.16308722871599</v>
      </c>
      <c r="V114" s="6">
        <v>111</v>
      </c>
      <c r="W114" s="6">
        <f>[1]节奏总纲!W114</f>
        <v>146.99205127432651</v>
      </c>
      <c r="X114" s="6">
        <f>[1]节奏总纲!X114</f>
        <v>127.67892848059864</v>
      </c>
      <c r="Y114" s="6">
        <f>[1]节奏总纲!Y114</f>
        <v>103.18896386651181</v>
      </c>
      <c r="Z114" s="6">
        <f>[1]节奏总纲!Z114</f>
        <v>75.19949956031212</v>
      </c>
      <c r="AA114" s="6">
        <f>[1]节奏总纲!AA114</f>
        <v>41.117487228716072</v>
      </c>
      <c r="AC114" s="6">
        <v>111</v>
      </c>
      <c r="AD114" s="6">
        <f>[1]节奏总纲!AD114</f>
        <v>68.071211008105138</v>
      </c>
      <c r="AE114" s="6">
        <f>[1]节奏总纲!AE114</f>
        <v>70.127815365673797</v>
      </c>
      <c r="AF114" s="6">
        <f>[1]节奏总纲!AF114</f>
        <v>73.051543220271398</v>
      </c>
      <c r="AG114" s="6">
        <f>[1]节奏总纲!AG114</f>
        <v>77.461998485874332</v>
      </c>
      <c r="AH114" s="6">
        <f>[1]节奏总纲!AH114</f>
        <v>86.301784901840136</v>
      </c>
      <c r="AZ114" s="6">
        <v>111</v>
      </c>
      <c r="BA114" s="6">
        <v>38.72644921510345</v>
      </c>
      <c r="BB114" s="6">
        <v>40.227268565386687</v>
      </c>
      <c r="BC114" s="6">
        <v>42.167148737437572</v>
      </c>
      <c r="BD114" s="6">
        <v>44.908213165621142</v>
      </c>
      <c r="BE114" s="6">
        <v>49.588147305704041</v>
      </c>
    </row>
    <row r="115" spans="6:57" x14ac:dyDescent="0.15">
      <c r="F115" s="6">
        <f>[1]节奏总纲!F115</f>
        <v>113</v>
      </c>
      <c r="G115" s="6">
        <f>[1]节奏总纲!G115</f>
        <v>2520.3837585303886</v>
      </c>
      <c r="N115" s="6">
        <f>[1]节奏总纲!N115</f>
        <v>122</v>
      </c>
      <c r="O115" s="6">
        <v>112</v>
      </c>
      <c r="P115" s="6">
        <f>[1]节奏总纲!P115</f>
        <v>2351.5342310339256</v>
      </c>
      <c r="Q115" s="6">
        <f>[1]节奏总纲!Q115</f>
        <v>2004.6829319564217</v>
      </c>
      <c r="R115" s="6">
        <f>[1]节奏总纲!R115</f>
        <v>1609.3900277196187</v>
      </c>
      <c r="S115" s="6">
        <f>[1]节奏总纲!S115</f>
        <v>1155.3087677069677</v>
      </c>
      <c r="T115" s="6">
        <f>[1]节奏总纲!T115</f>
        <v>623.15657122399034</v>
      </c>
      <c r="V115" s="6">
        <v>112</v>
      </c>
      <c r="W115" s="6">
        <f>[1]节奏总纲!W115</f>
        <v>157.54217975959909</v>
      </c>
      <c r="X115" s="6">
        <f>[1]节奏总纲!X115</f>
        <v>135.62110347582302</v>
      </c>
      <c r="Y115" s="6">
        <f>[1]节奏总纲!Y115</f>
        <v>108.91886385310704</v>
      </c>
      <c r="Z115" s="6">
        <f>[1]节奏总纲!Z115</f>
        <v>78.716868146655543</v>
      </c>
      <c r="AA115" s="6">
        <f>[1]节奏总纲!AA115</f>
        <v>39.993483995274346</v>
      </c>
      <c r="AC115" s="6">
        <v>112</v>
      </c>
      <c r="AD115" s="6">
        <f>[1]节奏总纲!AD115</f>
        <v>68.196246161507091</v>
      </c>
      <c r="AE115" s="6">
        <f>[1]节奏总纲!AE115</f>
        <v>70.251823676214016</v>
      </c>
      <c r="AF115" s="6">
        <f>[1]节奏总纲!AF115</f>
        <v>73.174668450093861</v>
      </c>
      <c r="AG115" s="6">
        <f>[1]节奏总纲!AG115</f>
        <v>77.591077044244926</v>
      </c>
      <c r="AH115" s="6">
        <f>[1]节奏总纲!AH115</f>
        <v>86.448788995190213</v>
      </c>
      <c r="AZ115" s="6">
        <v>112</v>
      </c>
      <c r="BA115" s="6">
        <v>38.789079741341368</v>
      </c>
      <c r="BB115" s="6">
        <v>40.28554255651148</v>
      </c>
      <c r="BC115" s="6">
        <v>42.225003328982673</v>
      </c>
      <c r="BD115" s="6">
        <v>44.972851781380903</v>
      </c>
      <c r="BE115" s="6">
        <v>49.65012664269365</v>
      </c>
    </row>
    <row r="116" spans="6:57" x14ac:dyDescent="0.15">
      <c r="F116" s="6">
        <f>[1]节奏总纲!F116</f>
        <v>114</v>
      </c>
      <c r="G116" s="6">
        <f>[1]节奏总纲!G116</f>
        <v>2701.3522012628878</v>
      </c>
      <c r="N116" s="6">
        <f>[1]节奏总纲!N116</f>
        <v>123</v>
      </c>
      <c r="O116" s="6">
        <v>113</v>
      </c>
      <c r="P116" s="6">
        <f>[1]节奏总纲!P116</f>
        <v>2520.3837585303886</v>
      </c>
      <c r="Q116" s="6">
        <f>[1]节奏总纲!Q116</f>
        <v>2149.6353076505684</v>
      </c>
      <c r="R116" s="6">
        <f>[1]节奏总纲!R116</f>
        <v>1726.7149129691693</v>
      </c>
      <c r="S116" s="6">
        <f>[1]节奏总纲!S116</f>
        <v>1235.7441568074496</v>
      </c>
      <c r="T116" s="6">
        <f>[1]节奏总纲!T116</f>
        <v>665.63335062787564</v>
      </c>
      <c r="V116" s="6">
        <v>113</v>
      </c>
      <c r="W116" s="6">
        <f>[1]节奏总纲!W116</f>
        <v>168.849527496463</v>
      </c>
      <c r="X116" s="6">
        <f>[1]节奏总纲!X116</f>
        <v>144.95237569414667</v>
      </c>
      <c r="Y116" s="6">
        <f>[1]节奏总纲!Y116</f>
        <v>117.32488524955056</v>
      </c>
      <c r="Z116" s="6">
        <f>[1]节奏总纲!Z116</f>
        <v>80.435389100481871</v>
      </c>
      <c r="AA116" s="6">
        <f>[1]节奏总纲!AA116</f>
        <v>42.476779403885303</v>
      </c>
      <c r="AC116" s="6">
        <v>113</v>
      </c>
      <c r="AD116" s="6">
        <f>[1]节奏总纲!AD116</f>
        <v>68.321281314909029</v>
      </c>
      <c r="AE116" s="6">
        <f>[1]节奏总纲!AE116</f>
        <v>70.375831986754235</v>
      </c>
      <c r="AF116" s="6">
        <f>[1]节奏总纲!AF116</f>
        <v>73.297793679916325</v>
      </c>
      <c r="AG116" s="6">
        <f>[1]节奏总纲!AG116</f>
        <v>77.720155602615534</v>
      </c>
      <c r="AH116" s="6">
        <f>[1]节奏总纲!AH116</f>
        <v>86.595793088540304</v>
      </c>
      <c r="AZ116" s="6">
        <v>113</v>
      </c>
      <c r="BA116" s="6">
        <v>38.851710267579293</v>
      </c>
      <c r="BB116" s="6">
        <v>40.343816547636273</v>
      </c>
      <c r="BC116" s="6">
        <v>42.282857920527782</v>
      </c>
      <c r="BD116" s="6">
        <v>45.032359480672049</v>
      </c>
      <c r="BE116" s="6">
        <v>49.712105979683258</v>
      </c>
    </row>
    <row r="117" spans="6:57" x14ac:dyDescent="0.15">
      <c r="F117" s="6">
        <f>[1]节奏总纲!F117</f>
        <v>115</v>
      </c>
      <c r="G117" s="6">
        <f>[1]节奏总纲!G117</f>
        <v>2895.3093757400989</v>
      </c>
      <c r="N117" s="6">
        <f>[1]节奏总纲!N117</f>
        <v>124</v>
      </c>
      <c r="O117" s="6">
        <v>114</v>
      </c>
      <c r="P117" s="6">
        <f>[1]节奏总纲!P117</f>
        <v>2701.3522012628878</v>
      </c>
      <c r="Q117" s="6">
        <f>[1]节奏总纲!Q117</f>
        <v>2304.5235628973696</v>
      </c>
      <c r="R117" s="6">
        <f>[1]节奏总纲!R117</f>
        <v>1846.3742295631837</v>
      </c>
      <c r="S117" s="6">
        <f>[1]节奏总纲!S117</f>
        <v>1319.3404150967945</v>
      </c>
      <c r="T117" s="6">
        <f>[1]节奏总纲!T117</f>
        <v>710.99589937239205</v>
      </c>
      <c r="V117" s="6">
        <v>114</v>
      </c>
      <c r="W117" s="6">
        <f>[1]节奏总纲!W117</f>
        <v>180.96844273249917</v>
      </c>
      <c r="X117" s="6">
        <f>[1]节奏总纲!X117</f>
        <v>154.88825524680124</v>
      </c>
      <c r="Y117" s="6">
        <f>[1]节奏总纲!Y117</f>
        <v>119.6593165940144</v>
      </c>
      <c r="Z117" s="6">
        <f>[1]节奏总纲!Z117</f>
        <v>83.59625828934486</v>
      </c>
      <c r="AA117" s="6">
        <f>[1]节奏总纲!AA117</f>
        <v>45.362548744516403</v>
      </c>
      <c r="AC117" s="6">
        <v>114</v>
      </c>
      <c r="AD117" s="6">
        <f>[1]节奏总纲!AD117</f>
        <v>68.446316468310982</v>
      </c>
      <c r="AE117" s="6">
        <f>[1]节奏总纲!AE117</f>
        <v>70.499840297294455</v>
      </c>
      <c r="AF117" s="6">
        <f>[1]节奏总纲!AF117</f>
        <v>73.420918909738774</v>
      </c>
      <c r="AG117" s="6">
        <f>[1]节奏总纲!AG117</f>
        <v>77.849234160986143</v>
      </c>
      <c r="AH117" s="6">
        <f>[1]节奏总纲!AH117</f>
        <v>86.742797181890381</v>
      </c>
      <c r="AZ117" s="6">
        <v>114</v>
      </c>
      <c r="BA117" s="6">
        <v>38.91434079381721</v>
      </c>
      <c r="BB117" s="6">
        <v>40.402090538761065</v>
      </c>
      <c r="BC117" s="6">
        <v>42.340712512072891</v>
      </c>
      <c r="BD117" s="6">
        <v>45.088151688727308</v>
      </c>
      <c r="BE117" s="6">
        <v>49.774085316672867</v>
      </c>
    </row>
    <row r="118" spans="6:57" x14ac:dyDescent="0.15">
      <c r="F118" s="6">
        <f>[1]节奏总纲!F118</f>
        <v>116</v>
      </c>
      <c r="G118" s="6">
        <f>[1]节奏总纲!G118</f>
        <v>3103.1875282132928</v>
      </c>
      <c r="N118" s="6">
        <f>[1]节奏总纲!N118</f>
        <v>125</v>
      </c>
      <c r="O118" s="6">
        <v>115</v>
      </c>
      <c r="P118" s="6">
        <f>[1]节奏总纲!P118</f>
        <v>2895.3093757400989</v>
      </c>
      <c r="Q118" s="6">
        <f>[1]节奏总纲!Q118</f>
        <v>2463.0396859421021</v>
      </c>
      <c r="R118" s="6">
        <f>[1]节奏总纲!R118</f>
        <v>1969.9684992535633</v>
      </c>
      <c r="S118" s="6">
        <f>[1]节奏总纲!S118</f>
        <v>1407.1203566096881</v>
      </c>
      <c r="T118" s="6">
        <f>[1]节奏总纲!T118</f>
        <v>758.86058738147995</v>
      </c>
      <c r="V118" s="6">
        <v>115</v>
      </c>
      <c r="W118" s="6">
        <f>[1]节奏总纲!W118</f>
        <v>193.95717447721108</v>
      </c>
      <c r="X118" s="6">
        <f>[1]节奏总纲!X118</f>
        <v>158.51612304473247</v>
      </c>
      <c r="Y118" s="6">
        <f>[1]节奏总纲!Y118</f>
        <v>123.59426969037963</v>
      </c>
      <c r="Z118" s="6">
        <f>[1]节奏总纲!Z118</f>
        <v>87.779941512893629</v>
      </c>
      <c r="AA118" s="6">
        <f>[1]节奏总纲!AA118</f>
        <v>47.864688009087899</v>
      </c>
      <c r="AC118" s="6">
        <v>115</v>
      </c>
      <c r="AD118" s="6">
        <f>[1]节奏总纲!AD118</f>
        <v>68.571351621712935</v>
      </c>
      <c r="AE118" s="6">
        <f>[1]节奏总纲!AE118</f>
        <v>70.623848607834674</v>
      </c>
      <c r="AF118" s="6">
        <f>[1]节奏总纲!AF118</f>
        <v>73.544044139561237</v>
      </c>
      <c r="AG118" s="6">
        <f>[1]节奏总纲!AG118</f>
        <v>77.978312719356751</v>
      </c>
      <c r="AH118" s="6">
        <f>[1]节奏总纲!AH118</f>
        <v>86.889801275240458</v>
      </c>
      <c r="AZ118" s="6">
        <v>115</v>
      </c>
      <c r="BA118" s="6">
        <v>38.976971320055128</v>
      </c>
      <c r="BB118" s="6">
        <v>40.460364529885858</v>
      </c>
      <c r="BC118" s="6">
        <v>42.398567103617999</v>
      </c>
      <c r="BD118" s="6">
        <v>45.143943896782567</v>
      </c>
      <c r="BE118" s="6">
        <v>49.836064653662483</v>
      </c>
    </row>
    <row r="119" spans="6:57" x14ac:dyDescent="0.15">
      <c r="F119" s="6">
        <f>[1]节奏总纲!F119</f>
        <v>117</v>
      </c>
      <c r="G119" s="6">
        <f>[1]节奏总纲!G119</f>
        <v>3325.985815475135</v>
      </c>
      <c r="N119" s="6">
        <f>[1]节奏总纲!N119</f>
        <v>126</v>
      </c>
      <c r="O119" s="6">
        <v>116</v>
      </c>
      <c r="P119" s="6">
        <f>[1]节奏总纲!P119</f>
        <v>3103.1875282132928</v>
      </c>
      <c r="Q119" s="6">
        <f>[1]节奏总纲!Q119</f>
        <v>2636.7784427228348</v>
      </c>
      <c r="R119" s="6">
        <f>[1]节奏总纲!R119</f>
        <v>2108.9262441737537</v>
      </c>
      <c r="S119" s="6">
        <f>[1]节奏总纲!S119</f>
        <v>1509.0800949701243</v>
      </c>
      <c r="T119" s="6">
        <f>[1]节奏总纲!T119</f>
        <v>813.34545114470404</v>
      </c>
      <c r="V119" s="6">
        <v>116</v>
      </c>
      <c r="W119" s="6">
        <f>[1]节奏总纲!W119</f>
        <v>207.87815247319395</v>
      </c>
      <c r="X119" s="6">
        <f>[1]节奏总纲!X119</f>
        <v>173.73875678073273</v>
      </c>
      <c r="Y119" s="6">
        <f>[1]节奏总纲!Y119</f>
        <v>138.95774492019041</v>
      </c>
      <c r="Z119" s="6">
        <f>[1]节奏总纲!Z119</f>
        <v>101.95973836043618</v>
      </c>
      <c r="AA119" s="6">
        <f>[1]节奏总纲!AA119</f>
        <v>54.484863763224098</v>
      </c>
      <c r="AC119" s="6">
        <v>116</v>
      </c>
      <c r="AD119" s="6">
        <f>[1]节奏总纲!AD119</f>
        <v>68.696386775114874</v>
      </c>
      <c r="AE119" s="6">
        <f>[1]节奏总纲!AE119</f>
        <v>70.747856918374893</v>
      </c>
      <c r="AF119" s="6">
        <f>[1]节奏总纲!AF119</f>
        <v>73.667169369383686</v>
      </c>
      <c r="AG119" s="6">
        <f>[1]节奏总纲!AG119</f>
        <v>78.10469841238104</v>
      </c>
      <c r="AH119" s="6">
        <f>[1]节奏总纲!AH119</f>
        <v>87.033659382136349</v>
      </c>
      <c r="AZ119" s="6">
        <v>116</v>
      </c>
      <c r="BA119" s="6">
        <v>39.034165367506482</v>
      </c>
      <c r="BB119" s="6">
        <v>40.518638521010644</v>
      </c>
      <c r="BC119" s="6">
        <v>42.456421695163108</v>
      </c>
      <c r="BD119" s="6">
        <v>45.199736104837825</v>
      </c>
      <c r="BE119" s="6">
        <v>49.898043990652091</v>
      </c>
    </row>
    <row r="120" spans="6:57" x14ac:dyDescent="0.15">
      <c r="F120" s="6">
        <f>[1]节奏总纲!F120</f>
        <v>118</v>
      </c>
      <c r="G120" s="6">
        <f>[1]节奏总纲!G120</f>
        <v>3564.7751072609281</v>
      </c>
      <c r="N120" s="6">
        <f>[1]节奏总纲!N120</f>
        <v>127</v>
      </c>
      <c r="O120" s="6">
        <v>117</v>
      </c>
      <c r="P120" s="6">
        <f>[1]节奏总纲!P120</f>
        <v>3325.985815475135</v>
      </c>
      <c r="Q120" s="6">
        <f>[1]节奏总纲!Q120</f>
        <v>2826.7553445723174</v>
      </c>
      <c r="R120" s="6">
        <f>[1]节奏总纲!R120</f>
        <v>2262.6681502677343</v>
      </c>
      <c r="S120" s="6">
        <f>[1]节奏总纲!S120</f>
        <v>1618.0920992286531</v>
      </c>
      <c r="T120" s="6">
        <f>[1]节奏总纲!T120</f>
        <v>873.07127656222303</v>
      </c>
      <c r="V120" s="6">
        <v>117</v>
      </c>
      <c r="W120" s="6">
        <f>[1]节奏总纲!W120</f>
        <v>222.79828726184223</v>
      </c>
      <c r="X120" s="6">
        <f>[1]节奏总纲!X120</f>
        <v>189.9769018494826</v>
      </c>
      <c r="Y120" s="6">
        <f>[1]节奏总纲!Y120</f>
        <v>153.74190609398056</v>
      </c>
      <c r="Z120" s="6">
        <f>[1]节奏总纲!Z120</f>
        <v>109.0120042585288</v>
      </c>
      <c r="AA120" s="6">
        <f>[1]节奏总纲!AA120</f>
        <v>59.72582541751899</v>
      </c>
      <c r="AC120" s="6">
        <v>117</v>
      </c>
      <c r="AD120" s="6">
        <f>[1]节奏总纲!AD120</f>
        <v>68.821421928516827</v>
      </c>
      <c r="AE120" s="6">
        <f>[1]节奏总纲!AE120</f>
        <v>70.871865228915112</v>
      </c>
      <c r="AF120" s="6">
        <f>[1]节奏总纲!AF120</f>
        <v>73.790294599206149</v>
      </c>
      <c r="AG120" s="6">
        <f>[1]节奏总纲!AG120</f>
        <v>78.230540290975199</v>
      </c>
      <c r="AH120" s="6">
        <f>[1]节奏总纲!AH120</f>
        <v>87.168098110592624</v>
      </c>
      <c r="AZ120" s="6">
        <v>117</v>
      </c>
      <c r="BA120" s="6">
        <v>39.088198074219406</v>
      </c>
      <c r="BB120" s="6">
        <v>40.576912512135436</v>
      </c>
      <c r="BC120" s="6">
        <v>42.51427628670821</v>
      </c>
      <c r="BD120" s="6">
        <v>45.255528312893091</v>
      </c>
      <c r="BE120" s="6">
        <v>49.9600233276417</v>
      </c>
    </row>
    <row r="121" spans="6:57" x14ac:dyDescent="0.15">
      <c r="F121" s="6">
        <f>[1]节奏总纲!F121</f>
        <v>119</v>
      </c>
      <c r="G121" s="6">
        <f>[1]节奏总纲!G121</f>
        <v>3820.7031333347636</v>
      </c>
      <c r="N121" s="6">
        <f>[1]节奏总纲!N121</f>
        <v>128</v>
      </c>
      <c r="O121" s="6">
        <v>118</v>
      </c>
      <c r="P121" s="6">
        <f>[1]节奏总纲!P121</f>
        <v>3564.7751072609281</v>
      </c>
      <c r="Q121" s="6">
        <f>[1]节奏总纲!Q121</f>
        <v>3030.4153186825147</v>
      </c>
      <c r="R121" s="6">
        <f>[1]节奏总纲!R121</f>
        <v>2426.1859380017877</v>
      </c>
      <c r="S121" s="6">
        <f>[1]节奏总纲!S121</f>
        <v>1737.4713872789764</v>
      </c>
      <c r="T121" s="6">
        <f>[1]节奏总纲!T121</f>
        <v>936.10994316671975</v>
      </c>
      <c r="V121" s="6">
        <v>118</v>
      </c>
      <c r="W121" s="6">
        <f>[1]节奏总纲!W121</f>
        <v>238.78929178579301</v>
      </c>
      <c r="X121" s="6">
        <f>[1]节奏总纲!X121</f>
        <v>203.65997411019725</v>
      </c>
      <c r="Y121" s="6">
        <f>[1]节奏总纲!Y121</f>
        <v>163.5177877340534</v>
      </c>
      <c r="Z121" s="6">
        <f>[1]节奏总纲!Z121</f>
        <v>119.37928805032334</v>
      </c>
      <c r="AA121" s="6">
        <f>[1]节奏总纲!AA121</f>
        <v>63.038666604496711</v>
      </c>
      <c r="AC121" s="6">
        <v>118</v>
      </c>
      <c r="AD121" s="6">
        <f>[1]节奏总纲!AD121</f>
        <v>68.946457081918766</v>
      </c>
      <c r="AE121" s="6">
        <f>[1]节奏总纲!AE121</f>
        <v>70.995873539455332</v>
      </c>
      <c r="AF121" s="6">
        <f>[1]节奏总纲!AF121</f>
        <v>73.913419829028598</v>
      </c>
      <c r="AG121" s="6">
        <f>[1]节奏总纲!AG121</f>
        <v>78.356382169569343</v>
      </c>
      <c r="AH121" s="6">
        <f>[1]节奏总纲!AH121</f>
        <v>87.302536839048898</v>
      </c>
      <c r="AZ121" s="6">
        <v>118</v>
      </c>
      <c r="BA121" s="6">
        <v>39.14223078093233</v>
      </c>
      <c r="BB121" s="6">
        <v>40.635186503260229</v>
      </c>
      <c r="BC121" s="6">
        <v>42.572130878253319</v>
      </c>
      <c r="BD121" s="6">
        <v>45.31132052094835</v>
      </c>
      <c r="BE121" s="6">
        <v>50</v>
      </c>
    </row>
    <row r="122" spans="6:57" x14ac:dyDescent="0.15">
      <c r="F122" s="6">
        <f>[1]节奏总纲!F122</f>
        <v>120</v>
      </c>
      <c r="G122" s="6">
        <f>[1]节奏总纲!G122</f>
        <v>4095</v>
      </c>
      <c r="N122" s="6">
        <f>[1]节奏总纲!N122</f>
        <v>129</v>
      </c>
      <c r="O122" s="6">
        <v>119</v>
      </c>
      <c r="P122" s="6">
        <f>[1]节奏总纲!P122</f>
        <v>3820.7031333347636</v>
      </c>
      <c r="Q122" s="6">
        <f>[1]节奏总纲!Q122</f>
        <v>3250.2721555278836</v>
      </c>
      <c r="R122" s="6">
        <f>[1]节奏总纲!R122</f>
        <v>2604.5733259943081</v>
      </c>
      <c r="S122" s="6">
        <f>[1]节奏总纲!S122</f>
        <v>1863.3569181273642</v>
      </c>
      <c r="T122" s="6">
        <f>[1]节奏总纲!T122</f>
        <v>1000.260080307041</v>
      </c>
      <c r="V122" s="6">
        <v>119</v>
      </c>
      <c r="W122" s="6">
        <f>[1]节奏总纲!W122</f>
        <v>255.92802607383555</v>
      </c>
      <c r="X122" s="6">
        <f>[1]节奏总纲!X122</f>
        <v>219.85683684536889</v>
      </c>
      <c r="Y122" s="6">
        <f>[1]节奏总纲!Y122</f>
        <v>178.38738799252042</v>
      </c>
      <c r="Z122" s="6">
        <f>[1]节奏总纲!Z122</f>
        <v>125.88553084838782</v>
      </c>
      <c r="AA122" s="6">
        <f>[1]节奏总纲!AA122</f>
        <v>64.150137140321249</v>
      </c>
      <c r="AC122" s="6">
        <v>119</v>
      </c>
      <c r="AD122" s="6">
        <f>[1]节奏总纲!AD122</f>
        <v>69.066704614192943</v>
      </c>
      <c r="AE122" s="6">
        <f>[1]节奏总纲!AE122</f>
        <v>71.113087458015798</v>
      </c>
      <c r="AF122" s="6">
        <f>[1]节奏总纲!AF122</f>
        <v>74.034200876118248</v>
      </c>
      <c r="AG122" s="6">
        <f>[1]节奏总纲!AG122</f>
        <v>78.482224048163502</v>
      </c>
      <c r="AH122" s="6">
        <f>[1]节奏总纲!AH122</f>
        <v>87.436975567505186</v>
      </c>
      <c r="AZ122" s="6">
        <v>119</v>
      </c>
      <c r="BA122" s="6">
        <v>39.196263487645254</v>
      </c>
      <c r="BB122" s="6">
        <v>40.693460494385022</v>
      </c>
      <c r="BC122" s="6">
        <v>42.629985469798427</v>
      </c>
      <c r="BD122" s="6">
        <v>45.367112729003608</v>
      </c>
      <c r="BE122" s="6">
        <v>50</v>
      </c>
    </row>
    <row r="123" spans="6:57" x14ac:dyDescent="0.15">
      <c r="F123" s="6">
        <f>[1]节奏总纲!F123</f>
        <v>121</v>
      </c>
      <c r="G123" s="6">
        <f>[1]节奏总纲!G123</f>
        <v>4388.9841025486576</v>
      </c>
      <c r="N123" s="6">
        <f>[1]节奏总纲!N123</f>
        <v>130</v>
      </c>
      <c r="O123" s="6">
        <v>120</v>
      </c>
      <c r="P123" s="6">
        <f>[1]节奏总纲!P123</f>
        <v>4095</v>
      </c>
      <c r="Q123" s="6">
        <f>[1]节奏总纲!Q123</f>
        <v>3486.0735</v>
      </c>
      <c r="R123" s="6">
        <f>[1]节奏总纲!R123</f>
        <v>2791.971</v>
      </c>
      <c r="S123" s="6">
        <f>[1]节奏总纲!S123</f>
        <v>1988.5319999999999</v>
      </c>
      <c r="T123" s="6">
        <f>[1]节奏总纲!T123</f>
        <v>1067.9759999999999</v>
      </c>
      <c r="V123" s="6">
        <v>120</v>
      </c>
      <c r="W123" s="6">
        <f>[1]节奏总纲!W123</f>
        <v>274.29686666523639</v>
      </c>
      <c r="X123" s="6">
        <f>[1]节奏总纲!X123</f>
        <v>235.8013444721164</v>
      </c>
      <c r="Y123" s="6">
        <f>[1]节奏总纲!Y123</f>
        <v>187.3976740056919</v>
      </c>
      <c r="Z123" s="6">
        <f>[1]节奏总纲!Z123</f>
        <v>125.1750818726357</v>
      </c>
      <c r="AA123" s="6">
        <f>[1]节奏总纲!AA123</f>
        <v>67.715919692958892</v>
      </c>
      <c r="AC123" s="6">
        <v>120</v>
      </c>
      <c r="AD123" s="6">
        <f>[1]节奏总纲!AD123</f>
        <v>69.18336653741882</v>
      </c>
      <c r="AE123" s="6">
        <f>[1]节奏总纲!AE123</f>
        <v>71.230067506391322</v>
      </c>
      <c r="AF123" s="6">
        <f>[1]节奏总纲!AF123</f>
        <v>74.149428238300118</v>
      </c>
      <c r="AG123" s="6">
        <f>[1]节奏总纲!AG123</f>
        <v>78.608065926757661</v>
      </c>
      <c r="AH123" s="6">
        <f>[1]节奏总纲!AH123</f>
        <v>87.571414295961461</v>
      </c>
      <c r="AZ123" s="6">
        <v>120</v>
      </c>
      <c r="BA123" s="6">
        <v>39.250296194358178</v>
      </c>
      <c r="BB123" s="6">
        <v>40.751734485509814</v>
      </c>
      <c r="BC123" s="6">
        <v>42.687840061343536</v>
      </c>
      <c r="BD123" s="6">
        <v>45.422904937058867</v>
      </c>
      <c r="BE123" s="6">
        <v>50</v>
      </c>
    </row>
    <row r="124" spans="6:57" x14ac:dyDescent="0.15">
      <c r="F124" s="6">
        <f>[1]节奏总纲!F124</f>
        <v>122</v>
      </c>
      <c r="G124" s="6">
        <f>[1]节奏总纲!G124</f>
        <v>4704.0684620678521</v>
      </c>
      <c r="N124" s="6">
        <f>[1]节奏总纲!N124</f>
        <v>131</v>
      </c>
      <c r="O124" s="6">
        <v>121</v>
      </c>
      <c r="P124" s="6">
        <f>[1]节奏总纲!P124</f>
        <v>4388.9841025486576</v>
      </c>
      <c r="Q124" s="6">
        <f>[1]节奏总纲!Q124</f>
        <v>3731.5142839868686</v>
      </c>
      <c r="R124" s="6">
        <f>[1]节奏总纲!R124</f>
        <v>2978.8035103997736</v>
      </c>
      <c r="S124" s="6">
        <f>[1]节奏总纲!S124</f>
        <v>2122.0738135822758</v>
      </c>
      <c r="T124" s="6">
        <f>[1]节奏总纲!T124</f>
        <v>1143.3303587139253</v>
      </c>
      <c r="V124" s="6">
        <v>121</v>
      </c>
      <c r="W124" s="6">
        <f>[1]节奏总纲!W124</f>
        <v>293.98410254865757</v>
      </c>
      <c r="X124" s="6">
        <f>[1]节奏总纲!X124</f>
        <v>245.44078398686861</v>
      </c>
      <c r="Y124" s="6">
        <f>[1]节奏总纲!Y124</f>
        <v>186.83251039977358</v>
      </c>
      <c r="Z124" s="6">
        <f>[1]节奏总纲!Z124</f>
        <v>133.54181358227584</v>
      </c>
      <c r="AA124" s="6">
        <f>[1]节奏总纲!AA124</f>
        <v>75.354358713925421</v>
      </c>
      <c r="AC124" s="6">
        <v>121</v>
      </c>
      <c r="AD124" s="6">
        <f>[1]节奏总纲!AD124</f>
        <v>69.300028460644711</v>
      </c>
      <c r="AE124" s="6">
        <f>[1]节奏总纲!AE124</f>
        <v>71.347047554766846</v>
      </c>
      <c r="AF124" s="6">
        <f>[1]节奏总纲!AF124</f>
        <v>74.264655600481987</v>
      </c>
      <c r="AG124" s="6">
        <f>[1]节奏总纲!AG124</f>
        <v>78.733907805351805</v>
      </c>
      <c r="AH124" s="6">
        <f>[1]节奏总纲!AH124</f>
        <v>87.705853024417735</v>
      </c>
      <c r="AZ124" s="6">
        <v>121</v>
      </c>
      <c r="BA124" s="6">
        <v>39.304328901071102</v>
      </c>
      <c r="BB124" s="6">
        <v>40.810008476634607</v>
      </c>
      <c r="BC124" s="6">
        <v>42.745694652888645</v>
      </c>
      <c r="BD124" s="6">
        <v>45.478697145114126</v>
      </c>
      <c r="BE124" s="6">
        <v>50</v>
      </c>
    </row>
    <row r="125" spans="6:57" x14ac:dyDescent="0.15">
      <c r="F125" s="6">
        <f>[1]节奏总纲!F125</f>
        <v>123</v>
      </c>
      <c r="G125" s="6">
        <f>[1]节奏总纲!G125</f>
        <v>5041.7675170607781</v>
      </c>
      <c r="N125" s="6">
        <f>[1]节奏总纲!N125</f>
        <v>132</v>
      </c>
      <c r="O125" s="6">
        <v>122</v>
      </c>
      <c r="P125" s="6">
        <f>[1]节奏总纲!P125</f>
        <v>4704.0684620678521</v>
      </c>
      <c r="Q125" s="6">
        <f>[1]节奏总纲!Q125</f>
        <v>3989.5204626797454</v>
      </c>
      <c r="R125" s="6">
        <f>[1]节奏总纲!R125</f>
        <v>3183.7135351275219</v>
      </c>
      <c r="S125" s="6">
        <f>[1]节奏总纲!S125</f>
        <v>2271.1242534863591</v>
      </c>
      <c r="T125" s="6">
        <f>[1]节奏总纲!T125</f>
        <v>1223.9986138300551</v>
      </c>
      <c r="V125" s="6">
        <v>122</v>
      </c>
      <c r="W125" s="6">
        <f>[1]节奏总纲!W125</f>
        <v>315.08435951919455</v>
      </c>
      <c r="X125" s="6">
        <f>[1]节奏总纲!X125</f>
        <v>258.0061786928768</v>
      </c>
      <c r="Y125" s="6">
        <f>[1]节奏总纲!Y125</f>
        <v>204.91002472774835</v>
      </c>
      <c r="Z125" s="6">
        <f>[1]节奏总纲!Z125</f>
        <v>149.05043990408331</v>
      </c>
      <c r="AA125" s="6">
        <f>[1]节奏总纲!AA125</f>
        <v>80.668255116129785</v>
      </c>
      <c r="AC125" s="6">
        <v>122</v>
      </c>
      <c r="AD125" s="6">
        <f>[1]节奏总纲!AD125</f>
        <v>69.416690383870588</v>
      </c>
      <c r="AE125" s="6">
        <f>[1]节奏总纲!AE125</f>
        <v>71.46402760314237</v>
      </c>
      <c r="AF125" s="6">
        <f>[1]节奏总纲!AF125</f>
        <v>74.379882962663856</v>
      </c>
      <c r="AG125" s="6">
        <f>[1]节奏总纲!AG125</f>
        <v>78.859749683945964</v>
      </c>
      <c r="AH125" s="6">
        <f>[1]节奏总纲!AH125</f>
        <v>87.840291752874009</v>
      </c>
      <c r="AZ125" s="6">
        <v>122</v>
      </c>
      <c r="BA125" s="6">
        <v>39.358361607784026</v>
      </c>
      <c r="BB125" s="6">
        <v>40.8682824677594</v>
      </c>
      <c r="BC125" s="6">
        <v>42.803549244433754</v>
      </c>
      <c r="BD125" s="6">
        <v>45.534489353169384</v>
      </c>
      <c r="BE125" s="6">
        <v>50</v>
      </c>
    </row>
    <row r="126" spans="6:57" x14ac:dyDescent="0.15">
      <c r="F126" s="6">
        <f>[1]节奏总纲!F126</f>
        <v>124</v>
      </c>
      <c r="G126" s="6">
        <f>[1]节奏总纲!G126</f>
        <v>5403.704402525771</v>
      </c>
      <c r="N126" s="6">
        <f>[1]节奏总纲!N126</f>
        <v>133</v>
      </c>
      <c r="O126" s="6">
        <v>123</v>
      </c>
      <c r="P126" s="6">
        <f>[1]节奏总纲!P126</f>
        <v>5041.7675170607781</v>
      </c>
      <c r="Q126" s="6">
        <f>[1]节奏总纲!Q126</f>
        <v>4275.9230312192458</v>
      </c>
      <c r="R126" s="6">
        <f>[1]节奏总纲!R126</f>
        <v>3419.8309068223257</v>
      </c>
      <c r="S126" s="6">
        <f>[1]节奏总纲!S126</f>
        <v>2442.7363620159467</v>
      </c>
      <c r="T126" s="6">
        <f>[1]节奏总纲!T126</f>
        <v>1316.4054987045693</v>
      </c>
      <c r="V126" s="6">
        <v>123</v>
      </c>
      <c r="W126" s="6">
        <f>[1]节奏总纲!W126</f>
        <v>337.69905499292599</v>
      </c>
      <c r="X126" s="6">
        <f>[1]节奏总纲!X126</f>
        <v>286.40256853950041</v>
      </c>
      <c r="Y126" s="6">
        <f>[1]节奏总纲!Y126</f>
        <v>236.11737169480375</v>
      </c>
      <c r="Z126" s="6">
        <f>[1]节奏总纲!Z126</f>
        <v>171.61210852958766</v>
      </c>
      <c r="AA126" s="6">
        <f>[1]节奏总纲!AA126</f>
        <v>92.406884874514162</v>
      </c>
      <c r="AC126" s="6">
        <v>123</v>
      </c>
      <c r="AD126" s="6">
        <f>[1]节奏总纲!AD126</f>
        <v>69.533352307096465</v>
      </c>
      <c r="AE126" s="6">
        <f>[1]节奏总纲!AE126</f>
        <v>71.581007651517908</v>
      </c>
      <c r="AF126" s="6">
        <f>[1]节奏总纲!AF126</f>
        <v>74.495110324845726</v>
      </c>
      <c r="AG126" s="6">
        <f>[1]节奏总纲!AG126</f>
        <v>78.985591562540122</v>
      </c>
      <c r="AH126" s="6">
        <f>[1]节奏总纲!AH126</f>
        <v>87.974730481330297</v>
      </c>
      <c r="AZ126" s="6">
        <v>123</v>
      </c>
      <c r="BA126" s="6">
        <v>39.41239431449695</v>
      </c>
      <c r="BB126" s="6">
        <v>40.926556458884193</v>
      </c>
      <c r="BC126" s="6">
        <v>42.861403835978855</v>
      </c>
      <c r="BD126" s="6">
        <v>45.590281561224643</v>
      </c>
      <c r="BE126" s="6">
        <v>50</v>
      </c>
    </row>
    <row r="127" spans="6:57" x14ac:dyDescent="0.15">
      <c r="F127" s="6">
        <f>[1]节奏总纲!F127</f>
        <v>125</v>
      </c>
      <c r="G127" s="6">
        <f>[1]节奏总纲!G127</f>
        <v>5791.6187514801986</v>
      </c>
      <c r="N127" s="6">
        <f>[1]节奏总纲!N127</f>
        <v>134</v>
      </c>
      <c r="O127" s="6">
        <v>124</v>
      </c>
      <c r="P127" s="6">
        <f>[1]节奏总纲!P127</f>
        <v>5403.704402525771</v>
      </c>
      <c r="Q127" s="6">
        <f>[1]节奏总纲!Q127</f>
        <v>4591.5276308261473</v>
      </c>
      <c r="R127" s="6">
        <f>[1]节奏总纲!R127</f>
        <v>3671.276771076009</v>
      </c>
      <c r="S127" s="6">
        <f>[1]节奏总纲!S127</f>
        <v>2624.0388578665143</v>
      </c>
      <c r="T127" s="6">
        <f>[1]节奏总纲!T127</f>
        <v>1415.7705534617521</v>
      </c>
      <c r="V127" s="6">
        <v>124</v>
      </c>
      <c r="W127" s="6">
        <f>[1]节奏总纲!W127</f>
        <v>361.93688546499288</v>
      </c>
      <c r="X127" s="6">
        <f>[1]节奏总纲!X127</f>
        <v>315.6045996069015</v>
      </c>
      <c r="Y127" s="6">
        <f>[1]节奏总纲!Y127</f>
        <v>251.44586425368334</v>
      </c>
      <c r="Z127" s="6">
        <f>[1]节奏总纲!Z127</f>
        <v>181.30249585056754</v>
      </c>
      <c r="AA127" s="6">
        <f>[1]节奏总纲!AA127</f>
        <v>99.365054757182861</v>
      </c>
      <c r="AC127" s="6">
        <v>124</v>
      </c>
      <c r="AD127" s="6">
        <f>[1]节奏总纲!AD127</f>
        <v>69.650014230322356</v>
      </c>
      <c r="AE127" s="6">
        <f>[1]节奏总纲!AE127</f>
        <v>71.697987699893432</v>
      </c>
      <c r="AF127" s="6">
        <f>[1]节奏总纲!AF127</f>
        <v>74.610337687027609</v>
      </c>
      <c r="AG127" s="6">
        <f>[1]节奏总纲!AG127</f>
        <v>79.104601412347151</v>
      </c>
      <c r="AH127" s="6">
        <f>[1]节奏总纲!AH127</f>
        <v>88.109271506528316</v>
      </c>
      <c r="AZ127" s="6">
        <v>124</v>
      </c>
      <c r="BA127" s="6">
        <v>39.466427021209874</v>
      </c>
      <c r="BB127" s="6">
        <v>40.984830450008978</v>
      </c>
      <c r="BC127" s="6">
        <v>42.919258427523964</v>
      </c>
      <c r="BD127" s="6">
        <v>45.646073769279901</v>
      </c>
      <c r="BE127" s="6">
        <v>50</v>
      </c>
    </row>
    <row r="128" spans="6:57" x14ac:dyDescent="0.15">
      <c r="F128" s="6">
        <f>[1]节奏总纲!F128</f>
        <v>126</v>
      </c>
      <c r="G128" s="6">
        <f>[1]节奏总纲!G128</f>
        <v>6207.3750564265865</v>
      </c>
      <c r="N128" s="6">
        <f>[1]节奏总纲!N128</f>
        <v>135</v>
      </c>
      <c r="O128" s="6">
        <v>125</v>
      </c>
      <c r="P128" s="6">
        <f>[1]节奏总纲!P128</f>
        <v>5791.6187514801986</v>
      </c>
      <c r="Q128" s="6">
        <f>[1]节奏总纲!Q128</f>
        <v>4918.821805632133</v>
      </c>
      <c r="R128" s="6">
        <f>[1]节奏总纲!R128</f>
        <v>3940.0382366319791</v>
      </c>
      <c r="S128" s="6">
        <f>[1]节奏总纲!S128</f>
        <v>2816.4641988448207</v>
      </c>
      <c r="T128" s="6">
        <f>[1]节奏总纲!T128</f>
        <v>1509.8750085108877</v>
      </c>
      <c r="V128" s="6">
        <v>125</v>
      </c>
      <c r="W128" s="6">
        <f>[1]节奏总纲!W128</f>
        <v>387.91434895442762</v>
      </c>
      <c r="X128" s="6">
        <f>[1]节奏总纲!X128</f>
        <v>327.29417480598568</v>
      </c>
      <c r="Y128" s="6">
        <f>[1]节奏总纲!Y128</f>
        <v>268.76146555597006</v>
      </c>
      <c r="Z128" s="6">
        <f>[1]节奏总纲!Z128</f>
        <v>192.42534097830639</v>
      </c>
      <c r="AA128" s="6">
        <f>[1]节奏总纲!AA128</f>
        <v>94.104455049135595</v>
      </c>
      <c r="AC128" s="6">
        <v>125</v>
      </c>
      <c r="AD128" s="6">
        <f>[1]节奏总纲!AD128</f>
        <v>69.766676153548232</v>
      </c>
      <c r="AE128" s="6">
        <f>[1]节奏总纲!AE128</f>
        <v>71.814967748268955</v>
      </c>
      <c r="AF128" s="6">
        <f>[1]节奏总纲!AF128</f>
        <v>74.725565049209479</v>
      </c>
      <c r="AG128" s="6">
        <f>[1]节奏总纲!AG128</f>
        <v>79.222727875098187</v>
      </c>
      <c r="AH128" s="6">
        <f>[1]节奏总纲!AH128</f>
        <v>88.243836210467165</v>
      </c>
      <c r="AZ128" s="6">
        <v>125</v>
      </c>
      <c r="BA128" s="6">
        <v>39.520459727922798</v>
      </c>
      <c r="BB128" s="6">
        <v>41.037193447861313</v>
      </c>
      <c r="BC128" s="6">
        <v>42.977113019069073</v>
      </c>
      <c r="BD128" s="6">
        <v>45.701865977335167</v>
      </c>
      <c r="BE128" s="6">
        <v>50</v>
      </c>
    </row>
    <row r="129" spans="6:57" x14ac:dyDescent="0.15">
      <c r="F129" s="6">
        <f>[1]节奏总纲!F129</f>
        <v>127</v>
      </c>
      <c r="G129" s="6">
        <f>[1]节奏总纲!G129</f>
        <v>6652.971630950271</v>
      </c>
      <c r="N129" s="6">
        <f>[1]节奏总纲!N129</f>
        <v>136</v>
      </c>
      <c r="O129" s="6">
        <v>126</v>
      </c>
      <c r="P129" s="6">
        <f>[1]节奏总纲!P129</f>
        <v>6207.3750564265865</v>
      </c>
      <c r="Q129" s="6">
        <f>[1]节奏总纲!Q129</f>
        <v>5279.3724854908123</v>
      </c>
      <c r="R129" s="6">
        <f>[1]节奏总纲!R129</f>
        <v>4225.9809384152195</v>
      </c>
      <c r="S129" s="6">
        <f>[1]节奏总纲!S129</f>
        <v>3006.8524773330387</v>
      </c>
      <c r="T129" s="6">
        <f>[1]节奏总纲!T129</f>
        <v>1610.1930896370566</v>
      </c>
      <c r="V129" s="6">
        <v>126</v>
      </c>
      <c r="W129" s="6">
        <f>[1]节奏总纲!W129</f>
        <v>415.7563049463879</v>
      </c>
      <c r="X129" s="6">
        <f>[1]节奏总纲!X129</f>
        <v>360.55067985867936</v>
      </c>
      <c r="Y129" s="6">
        <f>[1]节奏总纲!Y129</f>
        <v>285.94270178324041</v>
      </c>
      <c r="Z129" s="6">
        <f>[1]节奏总纲!Z129</f>
        <v>190.38827848821802</v>
      </c>
      <c r="AA129" s="6">
        <f>[1]节奏总纲!AA129</f>
        <v>100.31808112616886</v>
      </c>
      <c r="AC129" s="6">
        <v>126</v>
      </c>
      <c r="AD129" s="6">
        <f>[1]节奏总纲!AD129</f>
        <v>69.883338076774123</v>
      </c>
      <c r="AE129" s="6">
        <f>[1]节奏总纲!AE129</f>
        <v>71.931947796644479</v>
      </c>
      <c r="AF129" s="6">
        <f>[1]节奏总纲!AF129</f>
        <v>74.840792411391348</v>
      </c>
      <c r="AG129" s="6">
        <f>[1]节奏总纲!AG129</f>
        <v>79.340854337849223</v>
      </c>
      <c r="AH129" s="6">
        <f>[1]节奏总纲!AH129</f>
        <v>88.378400914406001</v>
      </c>
      <c r="AZ129" s="6">
        <v>126</v>
      </c>
      <c r="BA129" s="6">
        <v>39.574492434635722</v>
      </c>
      <c r="BB129" s="6">
        <v>41.087476216725996</v>
      </c>
      <c r="BC129" s="6">
        <v>43.030177309109042</v>
      </c>
      <c r="BD129" s="6">
        <v>45.757658185390426</v>
      </c>
      <c r="BE129" s="6">
        <v>50</v>
      </c>
    </row>
    <row r="130" spans="6:57" x14ac:dyDescent="0.15">
      <c r="F130" s="6">
        <f>[1]节奏总纲!F130</f>
        <v>128</v>
      </c>
      <c r="G130" s="6">
        <f>[1]节奏总纲!G130</f>
        <v>7130.5502145218443</v>
      </c>
      <c r="N130" s="6">
        <f>[1]节奏总纲!N130</f>
        <v>137</v>
      </c>
      <c r="O130" s="6">
        <v>127</v>
      </c>
      <c r="P130" s="6">
        <f>[1]节奏总纲!P130</f>
        <v>6652.971630950271</v>
      </c>
      <c r="Q130" s="6">
        <f>[1]节奏总纲!Q130</f>
        <v>5658.3523721232059</v>
      </c>
      <c r="R130" s="6">
        <f>[1]节奏总纲!R130</f>
        <v>4508.7188742949984</v>
      </c>
      <c r="S130" s="6">
        <f>[1]节奏总纲!S130</f>
        <v>3203.4058403025556</v>
      </c>
      <c r="T130" s="6">
        <f>[1]节奏总纲!T130</f>
        <v>1719.793166600645</v>
      </c>
      <c r="V130" s="6">
        <v>127</v>
      </c>
      <c r="W130" s="6">
        <f>[1]节奏总纲!W130</f>
        <v>445.59657452368447</v>
      </c>
      <c r="X130" s="6">
        <f>[1]节奏总纲!X130</f>
        <v>378.97988663239357</v>
      </c>
      <c r="Y130" s="6">
        <f>[1]节奏总纲!Y130</f>
        <v>282.73793587977889</v>
      </c>
      <c r="Z130" s="6">
        <f>[1]节奏总纲!Z130</f>
        <v>196.55336296951691</v>
      </c>
      <c r="AA130" s="6">
        <f>[1]节奏总纲!AA130</f>
        <v>109.60007696358844</v>
      </c>
      <c r="AC130" s="6">
        <v>127</v>
      </c>
      <c r="AD130" s="6">
        <f>[1]节奏总纲!AD130</f>
        <v>70</v>
      </c>
      <c r="AE130" s="6">
        <f>[1]节奏总纲!AE130</f>
        <v>72.047345051940553</v>
      </c>
      <c r="AF130" s="6">
        <f>[1]节奏总纲!AF130</f>
        <v>74.956019773573217</v>
      </c>
      <c r="AG130" s="6">
        <f>[1]节奏总纲!AG130</f>
        <v>79.458980800600258</v>
      </c>
      <c r="AH130" s="6">
        <f>[1]节奏总纲!AH130</f>
        <v>88.51296561834485</v>
      </c>
      <c r="AZ130" s="6">
        <v>127</v>
      </c>
      <c r="BA130" s="6">
        <v>39.628525141348646</v>
      </c>
      <c r="BB130" s="6">
        <v>41.137758985590679</v>
      </c>
      <c r="BC130" s="6">
        <v>43.080106253688569</v>
      </c>
      <c r="BD130" s="6">
        <v>45.813450393445684</v>
      </c>
      <c r="BE130" s="6">
        <v>50</v>
      </c>
    </row>
    <row r="131" spans="6:57" x14ac:dyDescent="0.15">
      <c r="F131" s="6">
        <f>[1]节奏总纲!F131</f>
        <v>129</v>
      </c>
      <c r="G131" s="6">
        <f>[1]节奏总纲!G131</f>
        <v>7642.4062666695281</v>
      </c>
      <c r="N131" s="6">
        <f>[1]节奏总纲!N131</f>
        <v>138</v>
      </c>
      <c r="O131" s="6">
        <v>128</v>
      </c>
      <c r="P131" s="6">
        <f>[1]节奏总纲!P131</f>
        <v>7130.5502145218443</v>
      </c>
      <c r="Q131" s="6">
        <f>[1]节奏总纲!Q131</f>
        <v>6036.010756592741</v>
      </c>
      <c r="R131" s="6">
        <f>[1]节奏总纲!R131</f>
        <v>4805.9908445877236</v>
      </c>
      <c r="S131" s="6">
        <f>[1]节奏总纲!S131</f>
        <v>3419.0988278632244</v>
      </c>
      <c r="T131" s="6">
        <f>[1]节奏总纲!T131</f>
        <v>1838.9689003251838</v>
      </c>
      <c r="V131" s="6">
        <v>128</v>
      </c>
      <c r="W131" s="6">
        <f>[1]节奏总纲!W131</f>
        <v>477.57858357157329</v>
      </c>
      <c r="X131" s="6">
        <f>[1]节奏总纲!X131</f>
        <v>377.65838446953512</v>
      </c>
      <c r="Y131" s="6">
        <f>[1]节奏总纲!Y131</f>
        <v>297.2719702927252</v>
      </c>
      <c r="Z131" s="6">
        <f>[1]节奏总纲!Z131</f>
        <v>215.69298756066883</v>
      </c>
      <c r="AA131" s="6">
        <f>[1]节奏总纲!AA131</f>
        <v>119.17573372453876</v>
      </c>
      <c r="AC131" s="6">
        <v>128</v>
      </c>
      <c r="AD131" s="6">
        <f>[1]节奏总纲!AD131</f>
        <v>70.108849423225877</v>
      </c>
      <c r="AE131" s="6">
        <f>[1]节奏总纲!AE131</f>
        <v>72.160540850040434</v>
      </c>
      <c r="AF131" s="6">
        <f>[1]节奏总纲!AF131</f>
        <v>75.067682921736733</v>
      </c>
      <c r="AG131" s="6">
        <f>[1]节奏总纲!AG131</f>
        <v>79.577107263351294</v>
      </c>
      <c r="AH131" s="6">
        <f>[1]节奏总纲!AH131</f>
        <v>88.6475303222837</v>
      </c>
      <c r="AZ131" s="6">
        <v>128</v>
      </c>
      <c r="BA131" s="6">
        <v>39.68255784806157</v>
      </c>
      <c r="BB131" s="6">
        <v>41.188041754455355</v>
      </c>
      <c r="BC131" s="6">
        <v>43.130035198268104</v>
      </c>
      <c r="BD131" s="6">
        <v>45.869242601500943</v>
      </c>
      <c r="BE131" s="6">
        <v>50</v>
      </c>
    </row>
    <row r="132" spans="6:57" x14ac:dyDescent="0.15">
      <c r="F132" s="6">
        <f>[1]节奏总纲!F132</f>
        <v>130</v>
      </c>
      <c r="G132" s="6">
        <f>[1]节奏总纲!G132</f>
        <v>8191</v>
      </c>
      <c r="N132" s="6">
        <f>[1]节奏总纲!N132</f>
        <v>139</v>
      </c>
      <c r="O132" s="6">
        <v>129</v>
      </c>
      <c r="P132" s="6">
        <f>[1]节奏总纲!P132</f>
        <v>7642.4062666695281</v>
      </c>
      <c r="Q132" s="6">
        <f>[1]节奏总纲!Q132</f>
        <v>6469.2969047357556</v>
      </c>
      <c r="R132" s="6">
        <f>[1]节奏总纲!R132</f>
        <v>5159.388470628599</v>
      </c>
      <c r="S132" s="6">
        <f>[1]节奏总纲!S132</f>
        <v>3676.7616548947103</v>
      </c>
      <c r="T132" s="6">
        <f>[1]节奏总纲!T132</f>
        <v>1975.5620199340731</v>
      </c>
      <c r="V132" s="6">
        <v>129</v>
      </c>
      <c r="W132" s="6">
        <f>[1]节奏总纲!W132</f>
        <v>511.85605214768384</v>
      </c>
      <c r="X132" s="6">
        <f>[1]节奏总纲!X132</f>
        <v>433.28614814301454</v>
      </c>
      <c r="Y132" s="6">
        <f>[1]节奏总纲!Y132</f>
        <v>353.39762604087537</v>
      </c>
      <c r="Z132" s="6">
        <f>[1]节奏总纲!Z132</f>
        <v>257.6628270314859</v>
      </c>
      <c r="AA132" s="6">
        <f>[1]节奏总纲!AA132</f>
        <v>136.59311960888931</v>
      </c>
      <c r="AC132" s="6">
        <v>129</v>
      </c>
      <c r="AD132" s="6">
        <f>[1]节奏总纲!AD132</f>
        <v>70.217698846451768</v>
      </c>
      <c r="AE132" s="6">
        <f>[1]节奏总纲!AE132</f>
        <v>72.273736648140314</v>
      </c>
      <c r="AF132" s="6">
        <f>[1]节奏总纲!AF132</f>
        <v>75.177145912126889</v>
      </c>
      <c r="AG132" s="6">
        <f>[1]节奏总纲!AG132</f>
        <v>79.69523372610233</v>
      </c>
      <c r="AH132" s="6">
        <f>[1]节奏总纲!AH132</f>
        <v>88.782095026222549</v>
      </c>
      <c r="AZ132" s="6">
        <v>129</v>
      </c>
      <c r="BA132" s="6">
        <v>39.736590554774494</v>
      </c>
      <c r="BB132" s="6">
        <v>41.238324523320038</v>
      </c>
      <c r="BC132" s="6">
        <v>43.179964142847631</v>
      </c>
      <c r="BD132" s="6">
        <v>45.925034809556202</v>
      </c>
      <c r="BE132" s="6">
        <v>50</v>
      </c>
    </row>
    <row r="133" spans="6:57" x14ac:dyDescent="0.15">
      <c r="F133" s="6">
        <f>[1]节奏总纲!F133</f>
        <v>131</v>
      </c>
      <c r="G133" s="6">
        <f>[1]节奏总纲!G133</f>
        <v>8778.9682050973151</v>
      </c>
      <c r="N133" s="6">
        <f>[1]节奏总纲!N133</f>
        <v>140</v>
      </c>
      <c r="O133" s="6">
        <v>130</v>
      </c>
      <c r="P133" s="6">
        <f>[1]节奏总纲!P133</f>
        <v>8191</v>
      </c>
      <c r="Q133" s="6">
        <f>[1]节奏总纲!Q133</f>
        <v>6941.8725000000004</v>
      </c>
      <c r="R133" s="6">
        <f>[1]节奏总纲!R133</f>
        <v>5542.0306</v>
      </c>
      <c r="S133" s="6">
        <f>[1]节奏总纲!S133</f>
        <v>3951.3384000000001</v>
      </c>
      <c r="T133" s="6">
        <f>[1]节奏总纲!T133</f>
        <v>2124.7454000000002</v>
      </c>
      <c r="V133" s="6">
        <v>130</v>
      </c>
      <c r="W133" s="6">
        <f>[1]节奏总纲!W133</f>
        <v>548.59373333047188</v>
      </c>
      <c r="X133" s="6">
        <f>[1]节奏总纲!X133</f>
        <v>472.57559526424484</v>
      </c>
      <c r="Y133" s="6">
        <f>[1]节奏总纲!Y133</f>
        <v>382.6421293714011</v>
      </c>
      <c r="Z133" s="6">
        <f>[1]节奏总纲!Z133</f>
        <v>274.57674510528977</v>
      </c>
      <c r="AA133" s="6">
        <f>[1]节奏总纲!AA133</f>
        <v>149.18338006592717</v>
      </c>
      <c r="AC133" s="6">
        <v>130</v>
      </c>
      <c r="AD133" s="6">
        <f>[1]节奏总纲!AD133</f>
        <v>70.326548269677644</v>
      </c>
      <c r="AE133" s="6">
        <f>[1]节奏总纲!AE133</f>
        <v>72.386932446240195</v>
      </c>
      <c r="AF133" s="6">
        <f>[1]节奏总纲!AF133</f>
        <v>75.286608902517045</v>
      </c>
      <c r="AG133" s="6">
        <f>[1]节奏总纲!AG133</f>
        <v>79.813360188853366</v>
      </c>
      <c r="AH133" s="6">
        <f>[1]节奏总纲!AH133</f>
        <v>88.916659730161399</v>
      </c>
      <c r="AZ133" s="6">
        <v>130</v>
      </c>
      <c r="BA133" s="6">
        <v>39.790623261487418</v>
      </c>
      <c r="BB133" s="6">
        <v>41.288607292184714</v>
      </c>
      <c r="BC133" s="6">
        <v>43.229893087427158</v>
      </c>
      <c r="BD133" s="6">
        <v>45.98082701761146</v>
      </c>
      <c r="BE133" s="6">
        <v>50</v>
      </c>
    </row>
    <row r="134" spans="6:57" x14ac:dyDescent="0.15">
      <c r="F134" s="6">
        <f>[1]节奏总纲!F134</f>
        <v>132</v>
      </c>
      <c r="G134" s="6">
        <f>[1]节奏总纲!G134</f>
        <v>9409.1369241357042</v>
      </c>
      <c r="N134" s="6">
        <f>[1]节奏总纲!N134</f>
        <v>141</v>
      </c>
      <c r="O134" s="6">
        <v>131</v>
      </c>
      <c r="P134" s="6">
        <f>[1]节奏总纲!P134</f>
        <v>8778.9682050973151</v>
      </c>
      <c r="Q134" s="6">
        <f>[1]节奏总纲!Q134</f>
        <v>7443.6871411020138</v>
      </c>
      <c r="R134" s="6">
        <f>[1]节奏总纲!R134</f>
        <v>5945.117268491902</v>
      </c>
      <c r="S134" s="6">
        <f>[1]节奏总纲!S134</f>
        <v>4244.6311271645518</v>
      </c>
      <c r="T134" s="6">
        <f>[1]节奏总纲!T134</f>
        <v>2275.5085587612239</v>
      </c>
      <c r="V134" s="6">
        <v>131</v>
      </c>
      <c r="W134" s="6">
        <f>[1]节奏总纲!W134</f>
        <v>587.96820509731515</v>
      </c>
      <c r="X134" s="6">
        <f>[1]节奏总纲!X134</f>
        <v>501.81464110201341</v>
      </c>
      <c r="Y134" s="6">
        <f>[1]节奏总纲!Y134</f>
        <v>403.08666849190195</v>
      </c>
      <c r="Z134" s="6">
        <f>[1]节奏总纲!Z134</f>
        <v>293.29272716455171</v>
      </c>
      <c r="AA134" s="6">
        <f>[1]节奏总纲!AA134</f>
        <v>150.76315876122362</v>
      </c>
      <c r="AC134" s="6">
        <v>131</v>
      </c>
      <c r="AD134" s="6">
        <f>[1]节奏总纲!AD134</f>
        <v>70.435397692903535</v>
      </c>
      <c r="AE134" s="6">
        <f>[1]节奏总纲!AE134</f>
        <v>72.50012824434009</v>
      </c>
      <c r="AF134" s="6">
        <f>[1]节奏总纲!AF134</f>
        <v>75.396071892907202</v>
      </c>
      <c r="AG134" s="6">
        <f>[1]节奏总纲!AG134</f>
        <v>79.931486651604402</v>
      </c>
      <c r="AH134" s="6">
        <f>[1]节奏总纲!AH134</f>
        <v>89.048420729369383</v>
      </c>
      <c r="AZ134" s="6">
        <v>131</v>
      </c>
      <c r="BA134" s="6">
        <v>39.844655968200342</v>
      </c>
      <c r="BB134" s="6">
        <v>41.338890061049398</v>
      </c>
      <c r="BC134" s="6">
        <v>43.279822032006692</v>
      </c>
      <c r="BD134" s="6">
        <v>46.031609894814238</v>
      </c>
      <c r="BE134" s="6">
        <v>50</v>
      </c>
    </row>
    <row r="135" spans="6:57" x14ac:dyDescent="0.15">
      <c r="F135" s="6">
        <f>[1]节奏总纲!F135</f>
        <v>133</v>
      </c>
      <c r="G135" s="6">
        <f>[1]节奏总纲!G135</f>
        <v>10084.535034121556</v>
      </c>
      <c r="N135" s="6">
        <f>[1]节奏总纲!N135</f>
        <v>142</v>
      </c>
      <c r="O135" s="6">
        <v>132</v>
      </c>
      <c r="P135" s="6">
        <f>[1]节奏总纲!P135</f>
        <v>9409.1369241357042</v>
      </c>
      <c r="Q135" s="6">
        <f>[1]节奏总纲!Q135</f>
        <v>7983.6526801291457</v>
      </c>
      <c r="R135" s="6">
        <f>[1]节奏总纲!R135</f>
        <v>6385.9812304109018</v>
      </c>
      <c r="S135" s="6">
        <f>[1]节奏总纲!S135</f>
        <v>4544.6131343575453</v>
      </c>
      <c r="T135" s="6">
        <f>[1]节奏总纲!T135</f>
        <v>2431.3209811966663</v>
      </c>
      <c r="V135" s="6">
        <v>132</v>
      </c>
      <c r="W135" s="6">
        <f>[1]节奏总纲!W135</f>
        <v>630.1687190383891</v>
      </c>
      <c r="X135" s="6">
        <f>[1]节奏总纲!X135</f>
        <v>539.96553902713185</v>
      </c>
      <c r="Y135" s="6">
        <f>[1]节奏总纲!Y135</f>
        <v>440.86396191899985</v>
      </c>
      <c r="Z135" s="6">
        <f>[1]节奏总纲!Z135</f>
        <v>299.98200719299348</v>
      </c>
      <c r="AA135" s="6">
        <f>[1]节奏总纲!AA135</f>
        <v>155.81242243544239</v>
      </c>
      <c r="AC135" s="6">
        <v>132</v>
      </c>
      <c r="AD135" s="6">
        <f>[1]节奏总纲!AD135</f>
        <v>70.544247116129412</v>
      </c>
      <c r="AE135" s="6">
        <f>[1]节奏总纲!AE135</f>
        <v>72.61332404243997</v>
      </c>
      <c r="AF135" s="6">
        <f>[1]节奏总纲!AF135</f>
        <v>75.505534883297358</v>
      </c>
      <c r="AG135" s="6">
        <f>[1]节奏总纲!AG135</f>
        <v>80.045750258986601</v>
      </c>
      <c r="AH135" s="6">
        <f>[1]节奏总纲!AH135</f>
        <v>89.175620204122851</v>
      </c>
      <c r="AZ135" s="6">
        <v>132</v>
      </c>
      <c r="BA135" s="6">
        <v>39.898688674913267</v>
      </c>
      <c r="BB135" s="6">
        <v>41.389172829914081</v>
      </c>
      <c r="BC135" s="6">
        <v>43.329750976586219</v>
      </c>
      <c r="BD135" s="6">
        <v>46.079770001861057</v>
      </c>
      <c r="BE135" s="6">
        <v>50</v>
      </c>
    </row>
    <row r="136" spans="6:57" x14ac:dyDescent="0.15">
      <c r="F136" s="6">
        <f>[1]节奏总纲!F136</f>
        <v>134</v>
      </c>
      <c r="G136" s="6">
        <f>[1]节奏总纲!G136</f>
        <v>10808.408805051544</v>
      </c>
      <c r="N136" s="6">
        <f>[1]节奏总纲!N136</f>
        <v>143</v>
      </c>
      <c r="O136" s="6">
        <v>133</v>
      </c>
      <c r="P136" s="6">
        <f>[1]节奏总纲!P136</f>
        <v>10084.535034121556</v>
      </c>
      <c r="Q136" s="6">
        <f>[1]节奏总纲!Q136</f>
        <v>8562.7786974726132</v>
      </c>
      <c r="R136" s="6">
        <f>[1]节奏总纲!R136</f>
        <v>6827.2302181002942</v>
      </c>
      <c r="S136" s="6">
        <f>[1]节奏总纲!S136</f>
        <v>4847.6359909022322</v>
      </c>
      <c r="T136" s="6">
        <f>[1]节奏总纲!T136</f>
        <v>2595.759317782889</v>
      </c>
      <c r="V136" s="6">
        <v>133</v>
      </c>
      <c r="W136" s="6">
        <f>[1]节奏总纲!W136</f>
        <v>675.39810998585199</v>
      </c>
      <c r="X136" s="6">
        <f>[1]节奏总纲!X136</f>
        <v>579.12601734346754</v>
      </c>
      <c r="Y136" s="6">
        <f>[1]节奏总纲!Y136</f>
        <v>441.24898768939238</v>
      </c>
      <c r="Z136" s="6">
        <f>[1]节奏总纲!Z136</f>
        <v>303.02285654468687</v>
      </c>
      <c r="AA136" s="6">
        <f>[1]节奏总纲!AA136</f>
        <v>164.4383365862227</v>
      </c>
      <c r="AC136" s="6">
        <v>133</v>
      </c>
      <c r="AD136" s="6">
        <f>[1]节奏总纲!AD136</f>
        <v>70.653096539355303</v>
      </c>
      <c r="AE136" s="6">
        <f>[1]节奏总纲!AE136</f>
        <v>72.726519840539851</v>
      </c>
      <c r="AF136" s="6">
        <f>[1]节奏总纲!AF136</f>
        <v>75.614997873687514</v>
      </c>
      <c r="AG136" s="6">
        <f>[1]节奏总纲!AG136</f>
        <v>80.154679447049915</v>
      </c>
      <c r="AH136" s="6">
        <f>[1]节奏总纲!AH136</f>
        <v>89.302819678876304</v>
      </c>
      <c r="AZ136" s="6">
        <v>133</v>
      </c>
      <c r="BA136" s="6">
        <v>39.952721381626191</v>
      </c>
      <c r="BB136" s="6">
        <v>41.439455598778757</v>
      </c>
      <c r="BC136" s="6">
        <v>43.379679921165753</v>
      </c>
      <c r="BD136" s="6">
        <v>46.127930108907876</v>
      </c>
      <c r="BE136" s="6">
        <v>50</v>
      </c>
    </row>
    <row r="137" spans="6:57" x14ac:dyDescent="0.15">
      <c r="F137" s="6">
        <f>[1]节奏总纲!F137</f>
        <v>135</v>
      </c>
      <c r="G137" s="6">
        <f>[1]节奏总纲!G137</f>
        <v>11584.237502960397</v>
      </c>
      <c r="N137" s="6">
        <f>[1]节奏总纲!N137</f>
        <v>144</v>
      </c>
      <c r="O137" s="6">
        <v>134</v>
      </c>
      <c r="P137" s="6">
        <f>[1]节奏总纲!P137</f>
        <v>10808.408805051544</v>
      </c>
      <c r="Q137" s="6">
        <f>[1]节奏总纲!Q137</f>
        <v>9151.4797352371424</v>
      </c>
      <c r="R137" s="6">
        <f>[1]节奏总纲!R137</f>
        <v>7283.7866937242361</v>
      </c>
      <c r="S137" s="6">
        <f>[1]节奏总纲!S137</f>
        <v>5175.0661358586794</v>
      </c>
      <c r="T137" s="6">
        <f>[1]节奏总纲!T137</f>
        <v>2775.5993811372364</v>
      </c>
      <c r="V137" s="6">
        <v>134</v>
      </c>
      <c r="W137" s="6">
        <f>[1]节奏总纲!W137</f>
        <v>723.87377092998759</v>
      </c>
      <c r="X137" s="6">
        <f>[1]节奏总纲!X137</f>
        <v>588.70103776452925</v>
      </c>
      <c r="Y137" s="6">
        <f>[1]节奏总纲!Y137</f>
        <v>456.55647562394188</v>
      </c>
      <c r="Z137" s="6">
        <f>[1]节奏总纲!Z137</f>
        <v>327.43014495644729</v>
      </c>
      <c r="AA137" s="6">
        <f>[1]节奏总纲!AA137</f>
        <v>179.84006335434742</v>
      </c>
      <c r="AC137" s="6">
        <v>134</v>
      </c>
      <c r="AD137" s="6">
        <f>[1]节奏总纲!AD137</f>
        <v>70.76194596258118</v>
      </c>
      <c r="AE137" s="6">
        <f>[1]节奏总纲!AE137</f>
        <v>72.839715638639731</v>
      </c>
      <c r="AF137" s="6">
        <f>[1]节奏总纲!AF137</f>
        <v>75.72446086407767</v>
      </c>
      <c r="AG137" s="6">
        <f>[1]节奏总纲!AG137</f>
        <v>80.263608635113243</v>
      </c>
      <c r="AH137" s="6">
        <f>[1]节奏总纲!AH137</f>
        <v>89.430019153629758</v>
      </c>
      <c r="AZ137" s="6">
        <v>134</v>
      </c>
      <c r="BA137" s="6">
        <v>40.005827399112476</v>
      </c>
      <c r="BB137" s="6">
        <v>41.48973836764344</v>
      </c>
      <c r="BC137" s="6">
        <v>43.42960886574528</v>
      </c>
      <c r="BD137" s="6">
        <v>46.176090215954694</v>
      </c>
      <c r="BE137" s="6">
        <v>50</v>
      </c>
    </row>
    <row r="138" spans="6:57" x14ac:dyDescent="0.15">
      <c r="F138" s="6">
        <f>[1]节奏总纲!F138</f>
        <v>136</v>
      </c>
      <c r="G138" s="6">
        <f>[1]节奏总纲!G138</f>
        <v>12415.750112853173</v>
      </c>
      <c r="N138" s="6">
        <f>[1]节奏总纲!N138</f>
        <v>145</v>
      </c>
      <c r="O138" s="6">
        <v>135</v>
      </c>
      <c r="P138" s="6">
        <f>[1]节奏总纲!P138</f>
        <v>11584.237502960397</v>
      </c>
      <c r="Q138" s="6">
        <f>[1]节奏总纲!Q138</f>
        <v>9796.789656253608</v>
      </c>
      <c r="R138" s="6">
        <f>[1]节奏总纲!R138</f>
        <v>7796.1918394923478</v>
      </c>
      <c r="S138" s="6">
        <f>[1]节奏总纲!S138</f>
        <v>5548.8497639180305</v>
      </c>
      <c r="T138" s="6">
        <f>[1]节奏总纲!T138</f>
        <v>2979.465885761414</v>
      </c>
      <c r="V138" s="6">
        <v>135</v>
      </c>
      <c r="W138" s="6">
        <f>[1]节奏总纲!W138</f>
        <v>775.82869790885343</v>
      </c>
      <c r="X138" s="6">
        <f>[1]节奏总纲!X138</f>
        <v>645.30992101646552</v>
      </c>
      <c r="Y138" s="6">
        <f>[1]节奏总纲!Y138</f>
        <v>512.40514576811165</v>
      </c>
      <c r="Z138" s="6">
        <f>[1]节奏总纲!Z138</f>
        <v>373.78362805935103</v>
      </c>
      <c r="AA138" s="6">
        <f>[1]节奏总纲!AA138</f>
        <v>203.86650462417765</v>
      </c>
      <c r="AC138" s="6">
        <v>135</v>
      </c>
      <c r="AD138" s="6">
        <f>[1]节奏总纲!AD138</f>
        <v>70.870795385807057</v>
      </c>
      <c r="AE138" s="6">
        <f>[1]节奏总纲!AE138</f>
        <v>72.952911436739612</v>
      </c>
      <c r="AF138" s="6">
        <f>[1]节奏总纲!AF138</f>
        <v>75.833923854467812</v>
      </c>
      <c r="AG138" s="6">
        <f>[1]节奏总纲!AG138</f>
        <v>80.372537823176572</v>
      </c>
      <c r="AH138" s="6">
        <f>[1]节奏总纲!AH138</f>
        <v>89.557218628383211</v>
      </c>
      <c r="AZ138" s="6">
        <v>135</v>
      </c>
      <c r="BA138" s="6">
        <v>40.052446592012309</v>
      </c>
      <c r="BB138" s="6">
        <v>41.540021136508116</v>
      </c>
      <c r="BC138" s="6">
        <v>43.479537810324814</v>
      </c>
      <c r="BD138" s="6">
        <v>46.224250323001513</v>
      </c>
      <c r="BE138" s="6">
        <v>50</v>
      </c>
    </row>
    <row r="139" spans="6:57" x14ac:dyDescent="0.15">
      <c r="F139" s="6">
        <f>[1]节奏总纲!F139</f>
        <v>137</v>
      </c>
      <c r="G139" s="6">
        <f>[1]节奏总纲!G139</f>
        <v>13306.943261900544</v>
      </c>
      <c r="N139" s="6">
        <f>[1]节奏总纲!N139</f>
        <v>146</v>
      </c>
      <c r="O139" s="6">
        <v>136</v>
      </c>
      <c r="P139" s="6">
        <f>[1]节奏总纲!P139</f>
        <v>12415.750112853173</v>
      </c>
      <c r="Q139" s="6">
        <f>[1]节奏总纲!Q139</f>
        <v>10507.449320507641</v>
      </c>
      <c r="R139" s="6">
        <f>[1]节奏总纲!R139</f>
        <v>8384.3560512097483</v>
      </c>
      <c r="S139" s="6">
        <f>[1]节奏总纲!S139</f>
        <v>5967.009504237235</v>
      </c>
      <c r="T139" s="6">
        <f>[1]节奏总纲!T139</f>
        <v>3204.5051041274041</v>
      </c>
      <c r="V139" s="6">
        <v>136</v>
      </c>
      <c r="W139" s="6">
        <f>[1]节奏总纲!W139</f>
        <v>831.5126098927758</v>
      </c>
      <c r="X139" s="6">
        <f>[1]节奏总纲!X139</f>
        <v>710.65966425403349</v>
      </c>
      <c r="Y139" s="6">
        <f>[1]节奏总纲!Y139</f>
        <v>588.16421171740058</v>
      </c>
      <c r="Z139" s="6">
        <f>[1]节奏总纲!Z139</f>
        <v>418.1597403192045</v>
      </c>
      <c r="AA139" s="6">
        <f>[1]节奏总纲!AA139</f>
        <v>225.03921836599011</v>
      </c>
      <c r="AC139" s="6">
        <v>136</v>
      </c>
      <c r="AD139" s="6">
        <f>[1]节奏总纲!AD139</f>
        <v>70.979644809032948</v>
      </c>
      <c r="AE139" s="6">
        <f>[1]节奏总纲!AE139</f>
        <v>73.059911975288244</v>
      </c>
      <c r="AF139" s="6">
        <f>[1]节奏总纲!AF139</f>
        <v>75.943386844857969</v>
      </c>
      <c r="AG139" s="6">
        <f>[1]节奏总纲!AG139</f>
        <v>80.4814670112399</v>
      </c>
      <c r="AH139" s="6">
        <f>[1]节奏总纲!AH139</f>
        <v>89.684418103136665</v>
      </c>
      <c r="AZ139" s="6">
        <v>136</v>
      </c>
      <c r="BA139" s="6">
        <v>40.099065784912149</v>
      </c>
      <c r="BB139" s="6">
        <v>41.590303905372799</v>
      </c>
      <c r="BC139" s="6">
        <v>43.529466754904341</v>
      </c>
      <c r="BD139" s="6">
        <v>46.272410430048332</v>
      </c>
      <c r="BE139" s="6">
        <v>50</v>
      </c>
    </row>
    <row r="140" spans="6:57" x14ac:dyDescent="0.15">
      <c r="F140" s="6">
        <f>[1]节奏总纲!F140</f>
        <v>138</v>
      </c>
      <c r="G140" s="6">
        <f>[1]节奏总纲!G140</f>
        <v>14262.10042904369</v>
      </c>
      <c r="N140" s="6">
        <f>[1]节奏总纲!N140</f>
        <v>147</v>
      </c>
      <c r="O140" s="6">
        <v>137</v>
      </c>
      <c r="P140" s="6">
        <f>[1]节奏总纲!P140</f>
        <v>13306.943261900544</v>
      </c>
      <c r="Q140" s="6">
        <f>[1]节奏总纲!Q140</f>
        <v>11274.973025808331</v>
      </c>
      <c r="R140" s="6">
        <f>[1]节奏总纲!R140</f>
        <v>8995.4936450447676</v>
      </c>
      <c r="S140" s="6">
        <f>[1]节奏总纲!S140</f>
        <v>6407.293180605112</v>
      </c>
      <c r="T140" s="6">
        <f>[1]节奏总纲!T140</f>
        <v>3438.5141388751008</v>
      </c>
      <c r="V140" s="6">
        <v>137</v>
      </c>
      <c r="W140" s="6">
        <f>[1]节奏总纲!W140</f>
        <v>891.19314904737075</v>
      </c>
      <c r="X140" s="6">
        <f>[1]节奏总纲!X140</f>
        <v>767.52370530068947</v>
      </c>
      <c r="Y140" s="6">
        <f>[1]节奏总纲!Y140</f>
        <v>611.13759383501929</v>
      </c>
      <c r="Z140" s="6">
        <f>[1]节奏总纲!Z140</f>
        <v>440.28367636787698</v>
      </c>
      <c r="AA140" s="6">
        <f>[1]节奏总纲!AA140</f>
        <v>234.00903474769666</v>
      </c>
      <c r="AC140" s="6">
        <v>137</v>
      </c>
      <c r="AD140" s="6">
        <f>[1]节奏总纲!AD140</f>
        <v>71.082568038258202</v>
      </c>
      <c r="AE140" s="6">
        <f>[1]节奏总纲!AE140</f>
        <v>73.162499594857536</v>
      </c>
      <c r="AF140" s="6">
        <f>[1]节奏总纲!AF140</f>
        <v>76.048210495050611</v>
      </c>
      <c r="AG140" s="6">
        <f>[1]节奏总纲!AG140</f>
        <v>80.590396199303228</v>
      </c>
      <c r="AH140" s="6">
        <f>[1]节奏总纲!AH140</f>
        <v>89.811617577890132</v>
      </c>
      <c r="AZ140" s="6">
        <v>137</v>
      </c>
      <c r="BA140" s="6">
        <v>40.145684977811982</v>
      </c>
      <c r="BB140" s="6">
        <v>41.640586674237483</v>
      </c>
      <c r="BC140" s="6">
        <v>43.579395699483875</v>
      </c>
      <c r="BD140" s="6">
        <v>46.320570537095151</v>
      </c>
      <c r="BE140" s="6">
        <v>50</v>
      </c>
    </row>
    <row r="141" spans="6:57" x14ac:dyDescent="0.15">
      <c r="F141" s="6">
        <f>[1]节奏总纲!F141</f>
        <v>139</v>
      </c>
      <c r="G141" s="6">
        <f>[1]节奏总纲!G141</f>
        <v>15285.812533339058</v>
      </c>
      <c r="N141" s="6">
        <f>[1]节奏总纲!N141</f>
        <v>148</v>
      </c>
      <c r="O141" s="6">
        <v>138</v>
      </c>
      <c r="P141" s="6">
        <f>[1]节奏总纲!P141</f>
        <v>14262.10042904369</v>
      </c>
      <c r="Q141" s="6">
        <f>[1]节奏总纲!Q141</f>
        <v>12084.27769352872</v>
      </c>
      <c r="R141" s="6">
        <f>[1]节奏总纲!R141</f>
        <v>9648.3109402480568</v>
      </c>
      <c r="S141" s="6">
        <f>[1]节奏总纲!S141</f>
        <v>6871.4799867132497</v>
      </c>
      <c r="T141" s="6">
        <f>[1]节奏总纲!T141</f>
        <v>3671.064650435846</v>
      </c>
      <c r="V141" s="6">
        <v>138</v>
      </c>
      <c r="W141" s="6">
        <f>[1]节奏总纲!W141</f>
        <v>955.15716714314658</v>
      </c>
      <c r="X141" s="6">
        <f>[1]节奏总纲!X141</f>
        <v>809.30466772038926</v>
      </c>
      <c r="Y141" s="6">
        <f>[1]节奏总纲!Y141</f>
        <v>652.81729520328918</v>
      </c>
      <c r="Z141" s="6">
        <f>[1]节奏总纲!Z141</f>
        <v>464.18680610813772</v>
      </c>
      <c r="AA141" s="6">
        <f>[1]节奏总纲!AA141</f>
        <v>232.55051156074524</v>
      </c>
      <c r="AC141" s="6">
        <v>138</v>
      </c>
      <c r="AD141" s="6">
        <f>[1]节奏总纲!AD141</f>
        <v>71.184128141237707</v>
      </c>
      <c r="AE141" s="6">
        <f>[1]节奏总纲!AE141</f>
        <v>73.265087214426828</v>
      </c>
      <c r="AF141" s="6">
        <f>[1]节奏总纲!AF141</f>
        <v>76.148064447889894</v>
      </c>
      <c r="AG141" s="6">
        <f>[1]节奏总纲!AG141</f>
        <v>80.699325387366557</v>
      </c>
      <c r="AH141" s="6">
        <f>[1]节奏总纲!AH141</f>
        <v>89.938817052643586</v>
      </c>
      <c r="AZ141" s="6">
        <v>138</v>
      </c>
      <c r="BA141" s="6">
        <v>40.192304170711814</v>
      </c>
      <c r="BB141" s="6">
        <v>41.690869443102159</v>
      </c>
      <c r="BC141" s="6">
        <v>43.629324644063402</v>
      </c>
      <c r="BD141" s="6">
        <v>46.368730644141969</v>
      </c>
      <c r="BE141" s="6">
        <v>50</v>
      </c>
    </row>
    <row r="142" spans="6:57" x14ac:dyDescent="0.15">
      <c r="F142" s="6">
        <f>[1]节奏总纲!F142</f>
        <v>140</v>
      </c>
      <c r="G142" s="6">
        <f>[1]节奏总纲!G142</f>
        <v>16383</v>
      </c>
      <c r="N142" s="6">
        <f>[1]节奏总纲!N142</f>
        <v>149</v>
      </c>
      <c r="O142" s="6">
        <v>139</v>
      </c>
      <c r="P142" s="6">
        <f>[1]节奏总纲!P142</f>
        <v>15285.812533339058</v>
      </c>
      <c r="Q142" s="6">
        <f>[1]节奏总纲!Q142</f>
        <v>12957.783284511519</v>
      </c>
      <c r="R142" s="6">
        <f>[1]节奏总纲!R142</f>
        <v>10342.380760057207</v>
      </c>
      <c r="S142" s="6">
        <f>[1]节奏总纲!S142</f>
        <v>7335.6614347494142</v>
      </c>
      <c r="T142" s="6">
        <f>[1]节奏总纲!T142</f>
        <v>3920.8109148014687</v>
      </c>
      <c r="V142" s="6">
        <v>139</v>
      </c>
      <c r="W142" s="6">
        <f>[1]节奏总纲!W142</f>
        <v>1023.7121042953677</v>
      </c>
      <c r="X142" s="6">
        <f>[1]节奏总纲!X142</f>
        <v>873.50559098279882</v>
      </c>
      <c r="Y142" s="6">
        <f>[1]节奏总纲!Y142</f>
        <v>694.06981980915043</v>
      </c>
      <c r="Z142" s="6">
        <f>[1]节奏总纲!Z142</f>
        <v>464.18144803616451</v>
      </c>
      <c r="AA142" s="6">
        <f>[1]节奏总纲!AA142</f>
        <v>249.74626436562266</v>
      </c>
      <c r="AC142" s="6">
        <v>139</v>
      </c>
      <c r="AD142" s="6">
        <f>[1]节奏总纲!AD142</f>
        <v>71.285688244217212</v>
      </c>
      <c r="AE142" s="6">
        <f>[1]节奏总纲!AE142</f>
        <v>73.367674833996119</v>
      </c>
      <c r="AF142" s="6">
        <f>[1]节奏总纲!AF142</f>
        <v>76.247918400729162</v>
      </c>
      <c r="AG142" s="6">
        <f>[1]节奏总纲!AG142</f>
        <v>80.808254575429885</v>
      </c>
      <c r="AH142" s="6">
        <f>[1]节奏总纲!AH142</f>
        <v>90.055148444912135</v>
      </c>
      <c r="AZ142" s="6">
        <v>139</v>
      </c>
      <c r="BA142" s="6">
        <v>40.238923363611647</v>
      </c>
      <c r="BB142" s="6">
        <v>41.741152211966842</v>
      </c>
      <c r="BC142" s="6">
        <v>43.679253588642929</v>
      </c>
      <c r="BD142" s="6">
        <v>46.416890751188788</v>
      </c>
      <c r="BE142" s="6">
        <v>50</v>
      </c>
    </row>
    <row r="143" spans="6:57" x14ac:dyDescent="0.15">
      <c r="F143" s="6">
        <f>[1]节奏总纲!F143</f>
        <v>141</v>
      </c>
      <c r="G143" s="6">
        <f>[1]节奏总纲!G143</f>
        <v>17558.936410194601</v>
      </c>
      <c r="N143" s="6">
        <f>[1]节奏总纲!N143</f>
        <v>150</v>
      </c>
      <c r="O143" s="6">
        <v>140</v>
      </c>
      <c r="P143" s="6">
        <f>[1]节奏总纲!P143</f>
        <v>16383</v>
      </c>
      <c r="Q143" s="6">
        <f>[1]节奏总纲!Q143</f>
        <v>13881.315900000001</v>
      </c>
      <c r="R143" s="6">
        <f>[1]节奏总纲!R143</f>
        <v>11037.2271</v>
      </c>
      <c r="S143" s="6">
        <f>[1]节奏总纲!S143</f>
        <v>7827.7974000000004</v>
      </c>
      <c r="T143" s="6">
        <f>[1]节奏总纲!T143</f>
        <v>4192.4097000000002</v>
      </c>
      <c r="V143" s="6">
        <v>140</v>
      </c>
      <c r="W143" s="6">
        <f>[1]节奏总纲!W143</f>
        <v>1097.1874666609419</v>
      </c>
      <c r="X143" s="6">
        <f>[1]节奏总纲!X143</f>
        <v>923.53261548848241</v>
      </c>
      <c r="Y143" s="6">
        <f>[1]节奏总纲!Y143</f>
        <v>694.84633994279284</v>
      </c>
      <c r="Z143" s="6">
        <f>[1]节奏总纲!Z143</f>
        <v>492.1359652505862</v>
      </c>
      <c r="AA143" s="6">
        <f>[1]节奏总纲!AA143</f>
        <v>271.59878519853146</v>
      </c>
      <c r="AC143" s="6">
        <v>140</v>
      </c>
      <c r="AD143" s="6">
        <f>[1]节奏总纲!AD143</f>
        <v>71.387248347196717</v>
      </c>
      <c r="AE143" s="6">
        <f>[1]节奏总纲!AE143</f>
        <v>73.470262453565411</v>
      </c>
      <c r="AF143" s="6">
        <f>[1]节奏总纲!AF143</f>
        <v>76.347772353568445</v>
      </c>
      <c r="AG143" s="6">
        <f>[1]节奏总纲!AG143</f>
        <v>80.917183763493213</v>
      </c>
      <c r="AH143" s="6">
        <f>[1]节奏总纲!AH143</f>
        <v>90.16140749098561</v>
      </c>
      <c r="AZ143" s="6">
        <v>140</v>
      </c>
      <c r="BA143" s="6">
        <v>40.28554255651148</v>
      </c>
      <c r="BB143" s="6">
        <v>41.791434980831518</v>
      </c>
      <c r="BC143" s="6">
        <v>43.729182533222463</v>
      </c>
      <c r="BD143" s="6">
        <v>46.465050858235607</v>
      </c>
      <c r="BE143" s="6">
        <v>50</v>
      </c>
    </row>
    <row r="144" spans="6:57" x14ac:dyDescent="0.15">
      <c r="F144" s="6">
        <f>[1]节奏总纲!F144</f>
        <v>142</v>
      </c>
      <c r="G144" s="6">
        <f>[1]节奏总纲!G144</f>
        <v>18819.273848271412</v>
      </c>
      <c r="N144" s="6">
        <f>[1]节奏总纲!N144</f>
        <v>151</v>
      </c>
      <c r="O144" s="6">
        <v>141</v>
      </c>
      <c r="P144" s="6">
        <f>[1]节奏总纲!P144</f>
        <v>17558.936410194601</v>
      </c>
      <c r="Q144" s="6">
        <f>[1]节奏总纲!Q144</f>
        <v>14839.057160255457</v>
      </c>
      <c r="R144" s="6">
        <f>[1]节奏总纲!R144</f>
        <v>11789.069905804656</v>
      </c>
      <c r="S144" s="6">
        <f>[1]节奏总纲!S144</f>
        <v>8380.8803485858825</v>
      </c>
      <c r="T144" s="6">
        <f>[1]节奏总纲!T144</f>
        <v>4489.820040086759</v>
      </c>
      <c r="V144" s="6">
        <v>141</v>
      </c>
      <c r="W144" s="6">
        <f>[1]节奏总纲!W144</f>
        <v>1175.9364101946012</v>
      </c>
      <c r="X144" s="6">
        <f>[1]节奏总纲!X144</f>
        <v>957.74126025545593</v>
      </c>
      <c r="Y144" s="6">
        <f>[1]节奏总纲!Y144</f>
        <v>751.84280580465565</v>
      </c>
      <c r="Z144" s="6">
        <f>[1]节奏总纲!Z144</f>
        <v>553.08294858588215</v>
      </c>
      <c r="AA144" s="6">
        <f>[1]节奏总纲!AA144</f>
        <v>297.41034008675888</v>
      </c>
      <c r="AC144" s="6">
        <v>141</v>
      </c>
      <c r="AD144" s="6">
        <f>[1]节奏总纲!AD144</f>
        <v>71.488808450176208</v>
      </c>
      <c r="AE144" s="6">
        <f>[1]节奏总纲!AE144</f>
        <v>73.572850073134703</v>
      </c>
      <c r="AF144" s="6">
        <f>[1]节奏总纲!AF144</f>
        <v>76.447626306407713</v>
      </c>
      <c r="AG144" s="6">
        <f>[1]节奏总纲!AG144</f>
        <v>81.023848662825003</v>
      </c>
      <c r="AH144" s="6">
        <f>[1]节奏总纲!AH144</f>
        <v>90.267666537059071</v>
      </c>
      <c r="AZ144" s="6">
        <v>141</v>
      </c>
      <c r="BA144" s="6">
        <v>40.332161749411313</v>
      </c>
      <c r="BB144" s="6">
        <v>41.841717749696201</v>
      </c>
      <c r="BC144" s="6">
        <v>43.77911147780199</v>
      </c>
      <c r="BD144" s="6">
        <v>46.513210965282425</v>
      </c>
      <c r="BE144" s="6">
        <v>50</v>
      </c>
    </row>
    <row r="145" spans="6:57" x14ac:dyDescent="0.15">
      <c r="F145" s="6">
        <f>[1]节奏总纲!F145</f>
        <v>143</v>
      </c>
      <c r="G145" s="6">
        <f>[1]节奏总纲!G145</f>
        <v>20170.070068243116</v>
      </c>
      <c r="N145" s="6">
        <f>[1]节奏总纲!N145</f>
        <v>152</v>
      </c>
      <c r="O145" s="6">
        <v>142</v>
      </c>
      <c r="P145" s="6">
        <f>[1]节奏总纲!P145</f>
        <v>18819.273848271412</v>
      </c>
      <c r="Q145" s="6">
        <f>[1]节奏总纲!Q145</f>
        <v>15904.16832917417</v>
      </c>
      <c r="R145" s="6">
        <f>[1]节奏总纲!R145</f>
        <v>12667.253227271489</v>
      </c>
      <c r="S145" s="6">
        <f>[1]节奏总纲!S145</f>
        <v>9003.140609013044</v>
      </c>
      <c r="T145" s="6">
        <f>[1]节奏总纲!T145</f>
        <v>4823.3798873119622</v>
      </c>
      <c r="V145" s="6">
        <v>142</v>
      </c>
      <c r="W145" s="6">
        <f>[1]节奏总纲!W145</f>
        <v>1260.3374380768109</v>
      </c>
      <c r="X145" s="6">
        <f>[1]节奏总纲!X145</f>
        <v>1065.1111689187128</v>
      </c>
      <c r="Y145" s="6">
        <f>[1]节奏总纲!Y145</f>
        <v>878.18332146683315</v>
      </c>
      <c r="Z145" s="6">
        <f>[1]节奏总纲!Z145</f>
        <v>622.26026042716148</v>
      </c>
      <c r="AA145" s="6">
        <f>[1]节奏总纲!AA145</f>
        <v>333.55984722520316</v>
      </c>
      <c r="AC145" s="6">
        <v>142</v>
      </c>
      <c r="AD145" s="6">
        <f>[1]节奏总纲!AD145</f>
        <v>71.590368553155713</v>
      </c>
      <c r="AE145" s="6">
        <f>[1]节奏总纲!AE145</f>
        <v>73.675437692703994</v>
      </c>
      <c r="AF145" s="6">
        <f>[1]节奏总纲!AF145</f>
        <v>76.547480259246996</v>
      </c>
      <c r="AG145" s="6">
        <f>[1]节奏总纲!AG145</f>
        <v>81.123332456233015</v>
      </c>
      <c r="AH145" s="6">
        <f>[1]节奏总纲!AH145</f>
        <v>90.373925583132547</v>
      </c>
      <c r="AZ145" s="6">
        <v>142</v>
      </c>
      <c r="BA145" s="6">
        <v>40.378780942311145</v>
      </c>
      <c r="BB145" s="6">
        <v>41.892000518560877</v>
      </c>
      <c r="BC145" s="6">
        <v>43.829040422381524</v>
      </c>
      <c r="BD145" s="6">
        <v>46.561371072329244</v>
      </c>
      <c r="BE145" s="6">
        <v>50</v>
      </c>
    </row>
    <row r="146" spans="6:57" x14ac:dyDescent="0.15">
      <c r="F146" s="6">
        <f>[1]节奏总纲!F146</f>
        <v>144</v>
      </c>
      <c r="G146" s="6">
        <f>[1]节奏总纲!G146</f>
        <v>21617.817610103088</v>
      </c>
      <c r="N146" s="6">
        <f>[1]节奏总纲!N146</f>
        <v>153</v>
      </c>
      <c r="O146" s="6">
        <v>143</v>
      </c>
      <c r="P146" s="6">
        <f>[1]节奏总纲!P146</f>
        <v>20170.070068243116</v>
      </c>
      <c r="Q146" s="6">
        <f>[1]节奏总纲!Q146</f>
        <v>17065.896284740498</v>
      </c>
      <c r="R146" s="6">
        <f>[1]节奏总纲!R146</f>
        <v>13594.62722599586</v>
      </c>
      <c r="S146" s="6">
        <f>[1]节奏总纲!S146</f>
        <v>9669.5315907157492</v>
      </c>
      <c r="T146" s="6">
        <f>[1]节奏总纲!T146</f>
        <v>5185.7250145453054</v>
      </c>
      <c r="V146" s="6">
        <v>143</v>
      </c>
      <c r="W146" s="6">
        <f>[1]节奏总纲!W146</f>
        <v>1350.796219971704</v>
      </c>
      <c r="X146" s="6">
        <f>[1]节奏总纲!X146</f>
        <v>1161.7279555663281</v>
      </c>
      <c r="Y146" s="6">
        <f>[1]节奏总纲!Y146</f>
        <v>927.37399872437163</v>
      </c>
      <c r="Z146" s="6">
        <f>[1]节奏总纲!Z146</f>
        <v>666.39098170270518</v>
      </c>
      <c r="AA146" s="6">
        <f>[1]节奏总纲!AA146</f>
        <v>362.34512723334319</v>
      </c>
      <c r="AC146" s="6">
        <v>143</v>
      </c>
      <c r="AD146" s="6">
        <f>[1]节奏总纲!AD146</f>
        <v>71.691928656135218</v>
      </c>
      <c r="AE146" s="6">
        <f>[1]节奏总纲!AE146</f>
        <v>73.778025312273286</v>
      </c>
      <c r="AF146" s="6">
        <f>[1]节奏总纲!AF146</f>
        <v>76.647334212086264</v>
      </c>
      <c r="AG146" s="6">
        <f>[1]节奏总纲!AG146</f>
        <v>81.222816249641028</v>
      </c>
      <c r="AH146" s="6">
        <f>[1]节奏总纲!AH146</f>
        <v>90.480184629206022</v>
      </c>
      <c r="AZ146" s="6">
        <v>143</v>
      </c>
      <c r="BA146" s="6">
        <v>40.425400135210978</v>
      </c>
      <c r="BB146" s="6">
        <v>41.94228328742556</v>
      </c>
      <c r="BC146" s="6">
        <v>43.878969366961051</v>
      </c>
      <c r="BD146" s="6">
        <v>46.609531179376063</v>
      </c>
      <c r="BE146" s="6">
        <v>50</v>
      </c>
    </row>
    <row r="147" spans="6:57" x14ac:dyDescent="0.15">
      <c r="F147" s="6">
        <f>[1]节奏总纲!F147</f>
        <v>145</v>
      </c>
      <c r="G147" s="6">
        <f>[1]节奏总纲!G147</f>
        <v>23169.475005920798</v>
      </c>
      <c r="N147" s="6">
        <f>[1]节奏总纲!N147</f>
        <v>154</v>
      </c>
      <c r="O147" s="6">
        <v>144</v>
      </c>
      <c r="P147" s="6">
        <f>[1]节奏总纲!P147</f>
        <v>21617.817610103088</v>
      </c>
      <c r="Q147" s="6">
        <f>[1]节奏总纲!Q147</f>
        <v>18290.835479908223</v>
      </c>
      <c r="R147" s="6">
        <f>[1]节奏总纲!R147</f>
        <v>14585.541541536553</v>
      </c>
      <c r="S147" s="6">
        <f>[1]节奏总纲!S147</f>
        <v>10380.876016371503</v>
      </c>
      <c r="T147" s="6">
        <f>[1]节奏总纲!T147</f>
        <v>5547.1319987524521</v>
      </c>
      <c r="V147" s="6">
        <v>144</v>
      </c>
      <c r="W147" s="6">
        <f>[1]节奏总纲!W147</f>
        <v>1447.7475418599715</v>
      </c>
      <c r="X147" s="6">
        <f>[1]节奏总纲!X147</f>
        <v>1224.9391951677244</v>
      </c>
      <c r="Y147" s="6">
        <f>[1]节奏总纲!Y147</f>
        <v>990.91431554069277</v>
      </c>
      <c r="Z147" s="6">
        <f>[1]节奏总纲!Z147</f>
        <v>711.34442565575409</v>
      </c>
      <c r="AA147" s="6">
        <f>[1]节奏总纲!AA147</f>
        <v>361.40698420714671</v>
      </c>
      <c r="AC147" s="6">
        <v>144</v>
      </c>
      <c r="AD147" s="6">
        <f>[1]节奏总纲!AD147</f>
        <v>71.793488759114723</v>
      </c>
      <c r="AE147" s="6">
        <f>[1]节奏总纲!AE147</f>
        <v>73.880612931842577</v>
      </c>
      <c r="AF147" s="6">
        <f>[1]节奏总纲!AF147</f>
        <v>76.747188164925547</v>
      </c>
      <c r="AG147" s="6">
        <f>[1]节奏总纲!AG147</f>
        <v>81.322300043049054</v>
      </c>
      <c r="AH147" s="6">
        <f>[1]节奏总纲!AH147</f>
        <v>90.586443675279497</v>
      </c>
      <c r="AZ147" s="6">
        <v>144</v>
      </c>
      <c r="BA147" s="6">
        <v>40.472019328110811</v>
      </c>
      <c r="BB147" s="6">
        <v>41.992566056290244</v>
      </c>
      <c r="BC147" s="6">
        <v>43.928898311540586</v>
      </c>
      <c r="BD147" s="6">
        <v>46.657691286422882</v>
      </c>
      <c r="BE147" s="6">
        <v>50</v>
      </c>
    </row>
    <row r="148" spans="6:57" x14ac:dyDescent="0.15">
      <c r="F148" s="6">
        <f>[1]节奏总纲!F148</f>
        <v>146</v>
      </c>
      <c r="G148" s="6">
        <f>[1]节奏总纲!G148</f>
        <v>24832.50022570635</v>
      </c>
      <c r="N148" s="6">
        <f>[1]节奏总纲!N148</f>
        <v>155</v>
      </c>
      <c r="O148" s="6">
        <v>145</v>
      </c>
      <c r="P148" s="6">
        <f>[1]节奏总纲!P148</f>
        <v>23169.475005920798</v>
      </c>
      <c r="Q148" s="6">
        <f>[1]节奏总纲!Q148</f>
        <v>19631.496172516694</v>
      </c>
      <c r="R148" s="6">
        <f>[1]节奏总纲!R148</f>
        <v>15650.9803664995</v>
      </c>
      <c r="S148" s="6">
        <f>[1]节奏总纲!S148</f>
        <v>11105.129370337838</v>
      </c>
      <c r="T148" s="6">
        <f>[1]节奏总纲!T148</f>
        <v>5926.7517065145412</v>
      </c>
      <c r="V148" s="6">
        <v>145</v>
      </c>
      <c r="W148" s="6">
        <f>[1]节奏总纲!W148</f>
        <v>1551.6573958177105</v>
      </c>
      <c r="X148" s="6">
        <f>[1]节奏总纲!X148</f>
        <v>1340.6606926084714</v>
      </c>
      <c r="Y148" s="6">
        <f>[1]节奏总纲!Y148</f>
        <v>1065.4388249629465</v>
      </c>
      <c r="Z148" s="6">
        <f>[1]节奏总纲!Z148</f>
        <v>724.25335396633454</v>
      </c>
      <c r="AA148" s="6">
        <f>[1]节奏总纲!AA148</f>
        <v>379.61970776208909</v>
      </c>
      <c r="AC148" s="6">
        <v>145</v>
      </c>
      <c r="AD148" s="6">
        <f>[1]节奏总纲!AD148</f>
        <v>71.895048862094214</v>
      </c>
      <c r="AE148" s="6">
        <f>[1]节奏总纲!AE148</f>
        <v>73.983200551411869</v>
      </c>
      <c r="AF148" s="6">
        <f>[1]节奏总纲!AF148</f>
        <v>76.847042117764815</v>
      </c>
      <c r="AG148" s="6">
        <f>[1]节奏总纲!AG148</f>
        <v>81.421783836457067</v>
      </c>
      <c r="AH148" s="6">
        <f>[1]节奏总纲!AH148</f>
        <v>90.692702721352973</v>
      </c>
      <c r="AZ148" s="6">
        <v>145</v>
      </c>
      <c r="BA148" s="6">
        <v>40.518638521010651</v>
      </c>
      <c r="BB148" s="6">
        <v>42.036975906461073</v>
      </c>
      <c r="BC148" s="6">
        <v>43.978827256120113</v>
      </c>
      <c r="BD148" s="6">
        <v>46.7058513934697</v>
      </c>
      <c r="BE148" s="6">
        <v>50</v>
      </c>
    </row>
    <row r="149" spans="6:57" x14ac:dyDescent="0.15">
      <c r="F149" s="6">
        <f>[1]节奏总纲!F149</f>
        <v>147</v>
      </c>
      <c r="G149" s="6">
        <f>[1]节奏总纲!G149</f>
        <v>26614.886523801088</v>
      </c>
      <c r="N149" s="6">
        <f>[1]节奏总纲!N149</f>
        <v>156</v>
      </c>
      <c r="O149" s="6">
        <v>146</v>
      </c>
      <c r="P149" s="6">
        <f>[1]节奏总纲!P149</f>
        <v>24832.50022570635</v>
      </c>
      <c r="Q149" s="6">
        <f>[1]节奏总纲!Q149</f>
        <v>21035.61094119585</v>
      </c>
      <c r="R149" s="6">
        <f>[1]节奏总纲!R149</f>
        <v>16719.722401968087</v>
      </c>
      <c r="S149" s="6">
        <f>[1]节奏总纲!S149</f>
        <v>11847.5858576845</v>
      </c>
      <c r="T149" s="6">
        <f>[1]节奏总纲!T149</f>
        <v>6324.8378074874072</v>
      </c>
      <c r="V149" s="6">
        <v>146</v>
      </c>
      <c r="W149" s="6">
        <f>[1]节奏总纲!W149</f>
        <v>1663.0252197855516</v>
      </c>
      <c r="X149" s="6">
        <f>[1]节奏总纲!X149</f>
        <v>1404.1147686791555</v>
      </c>
      <c r="Y149" s="6">
        <f>[1]节奏总纲!Y149</f>
        <v>1068.7420354685873</v>
      </c>
      <c r="Z149" s="6">
        <f>[1]节奏总纲!Z149</f>
        <v>742.45648734666247</v>
      </c>
      <c r="AA149" s="6">
        <f>[1]节奏总纲!AA149</f>
        <v>398.08610097286601</v>
      </c>
      <c r="AC149" s="6">
        <v>146</v>
      </c>
      <c r="AD149" s="6">
        <f>[1]节奏总纲!AD149</f>
        <v>71.996608965073719</v>
      </c>
      <c r="AE149" s="6">
        <f>[1]节奏总纲!AE149</f>
        <v>74.078973000522922</v>
      </c>
      <c r="AF149" s="6">
        <f>[1]节奏总纲!AF149</f>
        <v>76.946896070604097</v>
      </c>
      <c r="AG149" s="6">
        <f>[1]节奏总纲!AG149</f>
        <v>81.521267629865079</v>
      </c>
      <c r="AH149" s="6">
        <f>[1]节奏总纲!AH149</f>
        <v>90.798961767426448</v>
      </c>
      <c r="AZ149" s="6">
        <v>146</v>
      </c>
      <c r="BA149" s="6">
        <v>40.565257713910484</v>
      </c>
      <c r="BB149" s="6">
        <v>42.080366850119908</v>
      </c>
      <c r="BC149" s="6">
        <v>44.024818750237806</v>
      </c>
      <c r="BD149" s="6">
        <v>46.754011500516519</v>
      </c>
      <c r="BE149" s="6">
        <v>50</v>
      </c>
    </row>
    <row r="150" spans="6:57" x14ac:dyDescent="0.15">
      <c r="F150" s="6">
        <f>[1]节奏总纲!F150</f>
        <v>148</v>
      </c>
      <c r="G150" s="6">
        <f>[1]节奏总纲!G150</f>
        <v>28525.200858087381</v>
      </c>
      <c r="N150" s="6">
        <f>[1]节奏总纲!N150</f>
        <v>157</v>
      </c>
      <c r="O150" s="6">
        <v>147</v>
      </c>
      <c r="P150" s="6">
        <f>[1]节奏总纲!P150</f>
        <v>26614.886523801088</v>
      </c>
      <c r="Q150" s="6">
        <f>[1]节奏总纲!Q150</f>
        <v>22470.948692045258</v>
      </c>
      <c r="R150" s="6">
        <f>[1]节奏总纲!R150</f>
        <v>17837.296948251489</v>
      </c>
      <c r="S150" s="6">
        <f>[1]节奏总纲!S150</f>
        <v>12631.425144195997</v>
      </c>
      <c r="T150" s="6">
        <f>[1]节奏总纲!T150</f>
        <v>6754.8581997407164</v>
      </c>
      <c r="V150" s="6">
        <v>147</v>
      </c>
      <c r="W150" s="6">
        <f>[1]节奏总纲!W150</f>
        <v>1782.3862980947379</v>
      </c>
      <c r="X150" s="6">
        <f>[1]节奏总纲!X150</f>
        <v>1435.3377508494086</v>
      </c>
      <c r="Y150" s="6">
        <f>[1]节奏总纲!Y150</f>
        <v>1117.574546283402</v>
      </c>
      <c r="Z150" s="6">
        <f>[1]节奏总纲!Z150</f>
        <v>783.83928651149654</v>
      </c>
      <c r="AA150" s="6">
        <f>[1]节奏总纲!AA150</f>
        <v>430.02039225330918</v>
      </c>
      <c r="AC150" s="6">
        <v>147</v>
      </c>
      <c r="AD150" s="6">
        <f>[1]节奏总纲!AD150</f>
        <v>72.091594979242075</v>
      </c>
      <c r="AE150" s="6">
        <f>[1]节奏总纲!AE150</f>
        <v>74.173410870467364</v>
      </c>
      <c r="AF150" s="6">
        <f>[1]节奏总纲!AF150</f>
        <v>77.043751281705866</v>
      </c>
      <c r="AG150" s="6">
        <f>[1]节奏总纲!AG150</f>
        <v>81.620751423273092</v>
      </c>
      <c r="AH150" s="6">
        <f>[1]节奏总纲!AH150</f>
        <v>90.905220813499923</v>
      </c>
      <c r="AZ150" s="6">
        <v>147</v>
      </c>
      <c r="BA150" s="6">
        <v>40.611876906810316</v>
      </c>
      <c r="BB150" s="6">
        <v>42.123757793778736</v>
      </c>
      <c r="BC150" s="6">
        <v>44.067911160744309</v>
      </c>
      <c r="BD150" s="6">
        <v>46.802171607563338</v>
      </c>
      <c r="BE150" s="6">
        <v>50</v>
      </c>
    </row>
    <row r="151" spans="6:57" x14ac:dyDescent="0.15">
      <c r="F151" s="6">
        <f>[1]节奏总纲!F151</f>
        <v>149</v>
      </c>
      <c r="G151" s="6">
        <f>[1]节奏总纲!G151</f>
        <v>30572.62506667812</v>
      </c>
      <c r="N151" s="6">
        <f>[1]节奏总纲!N151</f>
        <v>158</v>
      </c>
      <c r="O151" s="6">
        <v>148</v>
      </c>
      <c r="P151" s="6">
        <f>[1]节奏总纲!P151</f>
        <v>28525.200858087381</v>
      </c>
      <c r="Q151" s="6">
        <f>[1]节奏总纲!Q151</f>
        <v>24083.827084483179</v>
      </c>
      <c r="R151" s="6">
        <f>[1]节奏总纲!R151</f>
        <v>19128.999695433398</v>
      </c>
      <c r="S151" s="6">
        <f>[1]节奏总纲!S151</f>
        <v>13566.58552810636</v>
      </c>
      <c r="T151" s="6">
        <f>[1]节奏总纲!T151</f>
        <v>7242.5484978683862</v>
      </c>
      <c r="V151" s="6">
        <v>148</v>
      </c>
      <c r="W151" s="6">
        <f>[1]节奏总纲!W151</f>
        <v>1910.3143342862932</v>
      </c>
      <c r="X151" s="6">
        <f>[1]节奏总纲!X151</f>
        <v>1612.8783924379204</v>
      </c>
      <c r="Y151" s="6">
        <f>[1]节奏总纲!Y151</f>
        <v>1291.7027471819092</v>
      </c>
      <c r="Z151" s="6">
        <f>[1]节奏总纲!Z151</f>
        <v>935.16038391036273</v>
      </c>
      <c r="AA151" s="6">
        <f>[1]节奏总纲!AA151</f>
        <v>487.69029812766985</v>
      </c>
      <c r="AC151" s="6">
        <v>148</v>
      </c>
      <c r="AD151" s="6">
        <f>[1]节奏总纲!AD151</f>
        <v>72.186353905945822</v>
      </c>
      <c r="AE151" s="6">
        <f>[1]节奏总纲!AE151</f>
        <v>74.267848740411821</v>
      </c>
      <c r="AF151" s="6">
        <f>[1]节奏总纲!AF151</f>
        <v>77.137200185007629</v>
      </c>
      <c r="AG151" s="6">
        <f>[1]节奏总纲!AG151</f>
        <v>81.720235216681118</v>
      </c>
      <c r="AH151" s="6">
        <f>[1]节奏总纲!AH151</f>
        <v>91.011076811620597</v>
      </c>
      <c r="AZ151" s="6">
        <v>148</v>
      </c>
      <c r="BA151" s="6">
        <v>40.658496099710149</v>
      </c>
      <c r="BB151" s="6">
        <v>42.167148737437564</v>
      </c>
      <c r="BC151" s="6">
        <v>44.111003571250812</v>
      </c>
      <c r="BD151" s="6">
        <v>46.850331714610157</v>
      </c>
      <c r="BE151" s="6">
        <v>50</v>
      </c>
    </row>
    <row r="152" spans="6:57" x14ac:dyDescent="0.15">
      <c r="F152" s="6">
        <f>[1]节奏总纲!F152</f>
        <v>150</v>
      </c>
      <c r="G152" s="6">
        <f>[1]节奏总纲!G152</f>
        <v>32767</v>
      </c>
      <c r="N152" s="6">
        <f>[1]节奏总纲!N152</f>
        <v>159</v>
      </c>
      <c r="O152" s="6">
        <v>149</v>
      </c>
      <c r="P152" s="6">
        <f>[1]节奏总纲!P152</f>
        <v>30572.62506667812</v>
      </c>
      <c r="Q152" s="6">
        <f>[1]节奏总纲!Q152</f>
        <v>25818.581868809673</v>
      </c>
      <c r="R152" s="6">
        <f>[1]节奏总纲!R152</f>
        <v>20520.345944754354</v>
      </c>
      <c r="S152" s="6">
        <f>[1]节奏总纲!S152</f>
        <v>14549.512269232117</v>
      </c>
      <c r="T152" s="6">
        <f>[1]节奏总纲!T152</f>
        <v>7768.50402944291</v>
      </c>
      <c r="V152" s="6">
        <v>149</v>
      </c>
      <c r="W152" s="6">
        <f>[1]节奏总纲!W152</f>
        <v>2047.424208590739</v>
      </c>
      <c r="X152" s="6">
        <f>[1]节奏总纲!X152</f>
        <v>1734.7547843264947</v>
      </c>
      <c r="Y152" s="6">
        <f>[1]节奏总纲!Y152</f>
        <v>1391.3462493209554</v>
      </c>
      <c r="Z152" s="6">
        <f>[1]节奏总纲!Z152</f>
        <v>982.92674112575696</v>
      </c>
      <c r="AA152" s="6">
        <f>[1]节奏总纲!AA152</f>
        <v>525.95553157452377</v>
      </c>
      <c r="AC152" s="6">
        <v>149</v>
      </c>
      <c r="AD152" s="6">
        <f>[1]节奏总纲!AD152</f>
        <v>72.281112832649583</v>
      </c>
      <c r="AE152" s="6">
        <f>[1]节奏总纲!AE152</f>
        <v>74.362286610356264</v>
      </c>
      <c r="AF152" s="6">
        <f>[1]节奏总纲!AF152</f>
        <v>77.230649088309391</v>
      </c>
      <c r="AG152" s="6">
        <f>[1]节奏总纲!AG152</f>
        <v>81.819719010089131</v>
      </c>
      <c r="AH152" s="6">
        <f>[1]节奏总纲!AH152</f>
        <v>91.113605194377854</v>
      </c>
      <c r="AZ152" s="6">
        <v>149</v>
      </c>
      <c r="BA152" s="6">
        <v>40.705115292609982</v>
      </c>
      <c r="BB152" s="6">
        <v>42.2105396810964</v>
      </c>
      <c r="BC152" s="6">
        <v>44.154095981757315</v>
      </c>
      <c r="BD152" s="6">
        <v>46.898491821656968</v>
      </c>
      <c r="BE152" s="6">
        <v>50</v>
      </c>
    </row>
    <row r="153" spans="6:57" x14ac:dyDescent="0.15">
      <c r="F153" s="6">
        <f>[1]节奏总纲!F153</f>
        <v>151</v>
      </c>
      <c r="G153" s="6">
        <f>[1]节奏总纲!G153</f>
        <v>35118.87282038921</v>
      </c>
      <c r="N153" s="6">
        <f>[1]节奏总纲!N153</f>
        <v>160</v>
      </c>
      <c r="O153" s="6">
        <v>150</v>
      </c>
      <c r="P153" s="6">
        <f>[1]节奏总纲!P153</f>
        <v>32767</v>
      </c>
      <c r="Q153" s="6">
        <f>[1]节奏总纲!Q153</f>
        <v>27671.731500000002</v>
      </c>
      <c r="R153" s="6">
        <f>[1]节奏总纲!R153</f>
        <v>21996.487099999998</v>
      </c>
      <c r="S153" s="6">
        <f>[1]节奏总纲!S153</f>
        <v>15603.645400000001</v>
      </c>
      <c r="T153" s="6">
        <f>[1]节奏总纲!T153</f>
        <v>8355.5850000000009</v>
      </c>
      <c r="V153" s="6">
        <v>150</v>
      </c>
      <c r="W153" s="6">
        <f>[1]节奏总纲!W153</f>
        <v>2194.3749333218802</v>
      </c>
      <c r="X153" s="6">
        <f>[1]节奏总纲!X153</f>
        <v>1853.1496311903284</v>
      </c>
      <c r="Y153" s="6">
        <f>[1]节奏总纲!Y153</f>
        <v>1476.1411552456448</v>
      </c>
      <c r="Z153" s="6">
        <f>[1]节奏总纲!Z153</f>
        <v>1054.1331307678847</v>
      </c>
      <c r="AA153" s="6">
        <f>[1]节奏总纲!AA153</f>
        <v>587.08097055709095</v>
      </c>
      <c r="AC153" s="6">
        <v>150</v>
      </c>
      <c r="AD153" s="6">
        <f>[1]节奏总纲!AD153</f>
        <v>72.375871759353331</v>
      </c>
      <c r="AE153" s="6">
        <f>[1]节奏总纲!AE153</f>
        <v>74.456724480300707</v>
      </c>
      <c r="AF153" s="6">
        <f>[1]节奏总纲!AF153</f>
        <v>77.324097991611154</v>
      </c>
      <c r="AG153" s="6">
        <f>[1]节奏总纲!AG153</f>
        <v>81.919202803497143</v>
      </c>
      <c r="AH153" s="6">
        <f>[1]节奏总纲!AH153</f>
        <v>91.216133577135096</v>
      </c>
      <c r="AZ153" s="6">
        <v>150</v>
      </c>
      <c r="BA153" s="6">
        <v>40.751734485509814</v>
      </c>
      <c r="BB153" s="6">
        <v>42.253930624755228</v>
      </c>
      <c r="BC153" s="6">
        <v>44.197188392263818</v>
      </c>
      <c r="BD153" s="6">
        <v>46.946651928703787</v>
      </c>
      <c r="BE153" s="6">
        <v>50</v>
      </c>
    </row>
    <row r="154" spans="6:57" x14ac:dyDescent="0.15">
      <c r="F154" s="6">
        <f>[1]节奏总纲!F154</f>
        <v>152</v>
      </c>
      <c r="G154" s="6">
        <f>[1]节奏总纲!G154</f>
        <v>37639.547696542824</v>
      </c>
      <c r="N154" s="6">
        <f>[1]节奏总纲!N154</f>
        <v>161</v>
      </c>
      <c r="O154" s="6">
        <v>151</v>
      </c>
      <c r="P154" s="6">
        <f>[1]节奏总纲!P154</f>
        <v>35118.87282038921</v>
      </c>
      <c r="Q154" s="6">
        <f>[1]节奏总纲!Q154</f>
        <v>29671.935645946844</v>
      </c>
      <c r="R154" s="6">
        <f>[1]节奏总纲!R154</f>
        <v>23592.858760737468</v>
      </c>
      <c r="S154" s="6">
        <f>[1]节奏总纲!S154</f>
        <v>16804.380644556237</v>
      </c>
      <c r="T154" s="6">
        <f>[1]节奏总纲!T154</f>
        <v>9095.7880604808051</v>
      </c>
      <c r="V154" s="6">
        <v>151</v>
      </c>
      <c r="W154" s="6">
        <f>[1]节奏总纲!W154</f>
        <v>2351.8728203892097</v>
      </c>
      <c r="X154" s="6">
        <f>[1]节奏总纲!X154</f>
        <v>2000.2041459468419</v>
      </c>
      <c r="Y154" s="6">
        <f>[1]节奏总纲!Y154</f>
        <v>1596.3716607374699</v>
      </c>
      <c r="Z154" s="6">
        <f>[1]节奏总纲!Z154</f>
        <v>1200.7352445562356</v>
      </c>
      <c r="AA154" s="6">
        <f>[1]节奏总纲!AA154</f>
        <v>740.2030604808042</v>
      </c>
      <c r="AC154" s="6">
        <v>151</v>
      </c>
      <c r="AD154" s="6">
        <f>[1]节奏总纲!AD154</f>
        <v>72.470630686057078</v>
      </c>
      <c r="AE154" s="6">
        <f>[1]节奏总纲!AE154</f>
        <v>74.551162350245164</v>
      </c>
      <c r="AF154" s="6">
        <f>[1]节奏总纲!AF154</f>
        <v>77.417546894912917</v>
      </c>
      <c r="AG154" s="6">
        <f>[1]节奏总纲!AG154</f>
        <v>82.01744549958407</v>
      </c>
      <c r="AH154" s="6">
        <f>[1]节奏总纲!AH154</f>
        <v>91.318661959892353</v>
      </c>
      <c r="AZ154" s="6">
        <v>151</v>
      </c>
      <c r="BA154" s="6">
        <v>40.798353678409647</v>
      </c>
      <c r="BB154" s="6">
        <v>42.297321568414056</v>
      </c>
      <c r="BC154" s="6">
        <v>44.240280802770329</v>
      </c>
      <c r="BD154" s="6">
        <v>46.994812035750606</v>
      </c>
      <c r="BE154" s="6">
        <v>50</v>
      </c>
    </row>
    <row r="155" spans="6:57" x14ac:dyDescent="0.15">
      <c r="F155" s="6">
        <f>[1]节奏总纲!F155</f>
        <v>153</v>
      </c>
      <c r="G155" s="6">
        <f>[1]节奏总纲!G155</f>
        <v>40341.140136486232</v>
      </c>
      <c r="N155" s="6">
        <f>[1]节奏总纲!N155</f>
        <v>162</v>
      </c>
      <c r="O155" s="6">
        <v>152</v>
      </c>
      <c r="P155" s="6">
        <f>[1]节奏总纲!P155</f>
        <v>37639.547696542824</v>
      </c>
      <c r="Q155" s="6">
        <f>[1]节奏总纲!Q155</f>
        <v>31794.125939269725</v>
      </c>
      <c r="R155" s="6">
        <f>[1]节奏总纲!R155</f>
        <v>25425.514469014677</v>
      </c>
      <c r="S155" s="6">
        <f>[1]节奏总纲!S155</f>
        <v>18255.180632823271</v>
      </c>
      <c r="T155" s="6">
        <f>[1]节奏总纲!T155</f>
        <v>14114.830386203559</v>
      </c>
      <c r="V155" s="6">
        <v>152</v>
      </c>
      <c r="W155" s="6">
        <f>[1]节奏总纲!W155</f>
        <v>2520.6748761536146</v>
      </c>
      <c r="X155" s="6">
        <f>[1]节奏总纲!X155</f>
        <v>2122.1902933228812</v>
      </c>
      <c r="Y155" s="6">
        <f>[1]节奏总纲!Y155</f>
        <v>1832.6557082772088</v>
      </c>
      <c r="Z155" s="6">
        <f>[1]节奏总纲!Z155</f>
        <v>1450.7999882670338</v>
      </c>
      <c r="AA155" s="6">
        <f>[1]节奏总纲!AA155</f>
        <v>5019.042325722754</v>
      </c>
      <c r="AC155" s="6">
        <v>152</v>
      </c>
      <c r="AD155" s="6">
        <f>[1]节奏总纲!AD155</f>
        <v>72.565389612760825</v>
      </c>
      <c r="AE155" s="6">
        <f>[1]节奏总纲!AE155</f>
        <v>74.645600220189607</v>
      </c>
      <c r="AF155" s="6">
        <f>[1]节奏总纲!AF155</f>
        <v>77.51099579821468</v>
      </c>
      <c r="AG155" s="6">
        <f>[1]节奏总纲!AG155</f>
        <v>82.110321933176039</v>
      </c>
      <c r="AH155" s="6">
        <f>[1]节奏总纲!AH155</f>
        <v>91.421190342649595</v>
      </c>
      <c r="AZ155" s="6">
        <v>152</v>
      </c>
      <c r="BA155" s="6">
        <v>40.84497287130948</v>
      </c>
      <c r="BB155" s="6">
        <v>42.340712512072891</v>
      </c>
      <c r="BC155" s="6">
        <v>44.283373213276832</v>
      </c>
      <c r="BD155" s="6">
        <v>47.037096473408994</v>
      </c>
      <c r="BE155" s="6">
        <v>50</v>
      </c>
    </row>
    <row r="156" spans="6:57" x14ac:dyDescent="0.15">
      <c r="F156" s="6">
        <f>[1]节奏总纲!F156</f>
        <v>154</v>
      </c>
      <c r="G156" s="6">
        <f>[1]节奏总纲!G156</f>
        <v>43236.635220206183</v>
      </c>
      <c r="N156" s="6">
        <f>[1]节奏总纲!N156</f>
        <v>163</v>
      </c>
      <c r="O156" s="6">
        <v>153</v>
      </c>
      <c r="P156" s="6">
        <f>[1]节奏总纲!P156</f>
        <v>40341.140136486232</v>
      </c>
      <c r="Q156" s="6">
        <f>[1]节奏总纲!Q156</f>
        <v>34330.31025614978</v>
      </c>
      <c r="R156" s="6">
        <f>[1]节奏总纲!R156</f>
        <v>27552.998713220099</v>
      </c>
      <c r="S156" s="6">
        <f>[1]节奏总纲!S156</f>
        <v>24204.684081891737</v>
      </c>
      <c r="T156" s="6">
        <f>[1]节奏总纲!T156</f>
        <v>24204.684081891737</v>
      </c>
      <c r="V156" s="6">
        <v>153</v>
      </c>
      <c r="W156" s="6">
        <f>[1]节奏总纲!W156</f>
        <v>2701.592439943408</v>
      </c>
      <c r="X156" s="6">
        <f>[1]节奏总纲!X156</f>
        <v>2536.1843168800551</v>
      </c>
      <c r="Y156" s="6">
        <f>[1]节奏总纲!Y156</f>
        <v>2127.4842442054214</v>
      </c>
      <c r="Z156" s="6">
        <f>[1]节奏总纲!Z156</f>
        <v>5949.5034490684666</v>
      </c>
      <c r="AA156" s="6">
        <f>[1]节奏总纲!AA156</f>
        <v>10089.853695688178</v>
      </c>
      <c r="AC156" s="6">
        <v>153</v>
      </c>
      <c r="AD156" s="6">
        <f>[1]节奏总纲!AD156</f>
        <v>72.660148539464572</v>
      </c>
      <c r="AE156" s="6">
        <f>[1]节奏总纲!AE156</f>
        <v>74.74003809013405</v>
      </c>
      <c r="AF156" s="6">
        <f>[1]节奏总纲!AF156</f>
        <v>77.604444701516456</v>
      </c>
      <c r="AG156" s="6">
        <f>[1]节奏总纲!AG156</f>
        <v>82.203198366767992</v>
      </c>
      <c r="AH156" s="6">
        <f>[1]节奏总纲!AH156</f>
        <v>91.523718725406852</v>
      </c>
      <c r="AZ156" s="6">
        <v>153</v>
      </c>
      <c r="BA156" s="6">
        <v>40.891592064209313</v>
      </c>
      <c r="BB156" s="6">
        <v>42.384103455731719</v>
      </c>
      <c r="BC156" s="6">
        <v>44.326465623783335</v>
      </c>
      <c r="BD156" s="6">
        <v>47.078671550054786</v>
      </c>
      <c r="BE156" s="6">
        <v>50</v>
      </c>
    </row>
    <row r="157" spans="6:57" x14ac:dyDescent="0.15">
      <c r="F157" s="6">
        <f>[1]节奏总纲!F157</f>
        <v>155</v>
      </c>
      <c r="G157" s="6">
        <f>[1]节奏总纲!G157</f>
        <v>46339.950011841604</v>
      </c>
      <c r="N157" s="6">
        <f>[1]节奏总纲!N157</f>
        <v>164</v>
      </c>
      <c r="O157" s="6">
        <v>154</v>
      </c>
      <c r="P157" s="6">
        <f>[1]节奏总纲!P157</f>
        <v>43236.635220206183</v>
      </c>
      <c r="Q157" s="6">
        <f>[1]节奏总纲!Q157</f>
        <v>36967.323113276288</v>
      </c>
      <c r="R157" s="6">
        <f>[1]节奏总纲!R157</f>
        <v>33940.758647861854</v>
      </c>
      <c r="S157" s="6">
        <f>[1]节奏总纲!S157</f>
        <v>34156.941823962887</v>
      </c>
      <c r="T157" s="6">
        <f>[1]节奏总纲!T157</f>
        <v>34156.941823962887</v>
      </c>
      <c r="V157" s="6">
        <v>154</v>
      </c>
      <c r="W157" s="6">
        <f>[1]节奏总纲!W157</f>
        <v>2895.4950837199503</v>
      </c>
      <c r="X157" s="6">
        <f>[1]节奏总纲!X157</f>
        <v>2637.0128571265086</v>
      </c>
      <c r="Y157" s="6">
        <f>[1]节奏总纲!Y157</f>
        <v>6387.7599346417555</v>
      </c>
      <c r="Z157" s="6">
        <f>[1]节奏总纲!Z157</f>
        <v>9952.2577420711496</v>
      </c>
      <c r="AA157" s="6">
        <f>[1]节奏总纲!AA157</f>
        <v>9952.2577420711496</v>
      </c>
      <c r="AC157" s="6">
        <v>154</v>
      </c>
      <c r="AD157" s="6">
        <f>[1]节奏总纲!AD157</f>
        <v>72.754907466168333</v>
      </c>
      <c r="AE157" s="6">
        <f>[1]节奏总纲!AE157</f>
        <v>74.834475960078507</v>
      </c>
      <c r="AF157" s="6">
        <f>[1]节奏总纲!AF157</f>
        <v>77.697893604818219</v>
      </c>
      <c r="AG157" s="6">
        <f>[1]节奏总纲!AG157</f>
        <v>82.29607480035996</v>
      </c>
      <c r="AH157" s="6">
        <f>[1]节奏总纲!AH157</f>
        <v>91.626247108164094</v>
      </c>
      <c r="AZ157" s="6">
        <v>154</v>
      </c>
      <c r="BA157" s="6">
        <v>40.938211257109145</v>
      </c>
      <c r="BB157" s="6">
        <v>42.427494399390554</v>
      </c>
      <c r="BC157" s="6">
        <v>44.369558034289838</v>
      </c>
      <c r="BD157" s="6">
        <v>47.12024662670057</v>
      </c>
      <c r="BE157" s="6">
        <v>50</v>
      </c>
    </row>
    <row r="158" spans="6:57" x14ac:dyDescent="0.15">
      <c r="F158" s="6">
        <f>[1]节奏总纲!F158</f>
        <v>156</v>
      </c>
      <c r="G158" s="6">
        <f>[1]节奏总纲!G158</f>
        <v>49666.000451412707</v>
      </c>
      <c r="N158" s="6">
        <f>[1]节奏总纲!N158</f>
        <v>165</v>
      </c>
      <c r="O158" s="6">
        <v>155</v>
      </c>
      <c r="P158" s="6">
        <f>[1]节奏总纲!P158</f>
        <v>46339.950011841604</v>
      </c>
      <c r="Q158" s="6">
        <f>[1]节奏总纲!Q158</f>
        <v>44078.560451263736</v>
      </c>
      <c r="R158" s="6">
        <f>[1]节奏总纲!R158</f>
        <v>44402.940101346627</v>
      </c>
      <c r="S158" s="6">
        <f>[1]节奏总纲!S158</f>
        <v>44402.940101346627</v>
      </c>
      <c r="T158" s="6">
        <f>[1]节奏总纲!T158</f>
        <v>44541.959951382152</v>
      </c>
      <c r="V158" s="6">
        <v>155</v>
      </c>
      <c r="W158" s="6">
        <f>[1]节奏总纲!W158</f>
        <v>3103.314791635421</v>
      </c>
      <c r="X158" s="6">
        <f>[1]节奏总纲!X158</f>
        <v>7111.237337987448</v>
      </c>
      <c r="Y158" s="6">
        <f>[1]节奏总纲!Y158</f>
        <v>10462.181453484773</v>
      </c>
      <c r="Z158" s="6">
        <f>[1]节奏总纲!Z158</f>
        <v>10245.99827738374</v>
      </c>
      <c r="AA158" s="6">
        <f>[1]节奏总纲!AA158</f>
        <v>10385.018127419266</v>
      </c>
      <c r="AC158" s="6">
        <v>155</v>
      </c>
      <c r="AD158" s="6">
        <f>[1]节奏总纲!AD158</f>
        <v>72.849666392872081</v>
      </c>
      <c r="AE158" s="6">
        <f>[1]节奏总纲!AE158</f>
        <v>74.92891383002295</v>
      </c>
      <c r="AF158" s="6">
        <f>[1]节奏总纲!AF158</f>
        <v>77.791342508119982</v>
      </c>
      <c r="AG158" s="6">
        <f>[1]节奏总纲!AG158</f>
        <v>82.388951233951914</v>
      </c>
      <c r="AH158" s="6">
        <f>[1]节奏总纲!AH158</f>
        <v>91.72877549092135</v>
      </c>
      <c r="AZ158" s="6">
        <v>155</v>
      </c>
      <c r="BA158" s="6">
        <v>40.984830450008985</v>
      </c>
      <c r="BB158" s="6">
        <v>42.470885343049382</v>
      </c>
      <c r="BC158" s="6">
        <v>44.412650444796341</v>
      </c>
      <c r="BD158" s="6">
        <v>47.161821703346362</v>
      </c>
      <c r="BE158" s="6">
        <v>50</v>
      </c>
    </row>
    <row r="159" spans="6:57" x14ac:dyDescent="0.15">
      <c r="F159" s="6">
        <f>[1]节奏总纲!F159</f>
        <v>157</v>
      </c>
      <c r="G159" s="6">
        <f>[1]节奏总纲!G159</f>
        <v>53230.773047602182</v>
      </c>
      <c r="N159" s="6">
        <f>[1]节奏总纲!N159</f>
        <v>166</v>
      </c>
      <c r="O159" s="6">
        <v>156</v>
      </c>
      <c r="P159" s="6">
        <f>[1]节奏总纲!P159</f>
        <v>49666.000451412707</v>
      </c>
      <c r="Q159" s="6">
        <f>[1]节奏总纲!Q159</f>
        <v>49666.000451412707</v>
      </c>
      <c r="R159" s="6">
        <f>[1]节奏总纲!R159</f>
        <v>50162.660455926831</v>
      </c>
      <c r="S159" s="6">
        <f>[1]节奏总纲!S159</f>
        <v>50162.660455926831</v>
      </c>
      <c r="T159" s="6">
        <f>[1]节奏总纲!T159</f>
        <v>50311.658457281068</v>
      </c>
      <c r="V159" s="6">
        <v>156</v>
      </c>
      <c r="W159" s="6">
        <f>[1]节奏总纲!W159</f>
        <v>3326.0504395711032</v>
      </c>
      <c r="X159" s="6">
        <f>[1]节奏总纲!X159</f>
        <v>5587.4400001489703</v>
      </c>
      <c r="Y159" s="6">
        <f>[1]节奏总纲!Y159</f>
        <v>5759.720354580204</v>
      </c>
      <c r="Z159" s="6">
        <f>[1]节奏总纲!Z159</f>
        <v>5759.720354580204</v>
      </c>
      <c r="AA159" s="6">
        <f>[1]节奏总纲!AA159</f>
        <v>5769.6985058989158</v>
      </c>
      <c r="AC159" s="6">
        <v>156</v>
      </c>
      <c r="AD159" s="6">
        <f>[1]节奏总纲!AD159</f>
        <v>72.944425319575828</v>
      </c>
      <c r="AE159" s="6">
        <f>[1]节奏总纲!AE159</f>
        <v>75.022035011469043</v>
      </c>
      <c r="AF159" s="6">
        <f>[1]节奏总纲!AF159</f>
        <v>77.884791411421745</v>
      </c>
      <c r="AG159" s="6">
        <f>[1]节奏总纲!AG159</f>
        <v>82.481827667543882</v>
      </c>
      <c r="AH159" s="6">
        <f>[1]节奏总纲!AH159</f>
        <v>91.831303873678593</v>
      </c>
      <c r="AZ159" s="6">
        <v>156</v>
      </c>
      <c r="BA159" s="6">
        <v>41.027136894088379</v>
      </c>
      <c r="BB159" s="6">
        <v>42.51427628670821</v>
      </c>
      <c r="BC159" s="6">
        <v>44.455742855302844</v>
      </c>
      <c r="BD159" s="6">
        <v>47.203396779992147</v>
      </c>
      <c r="BE159" s="6">
        <v>50</v>
      </c>
    </row>
    <row r="160" spans="6:57" x14ac:dyDescent="0.15">
      <c r="F160" s="6">
        <f>[1]节奏总纲!F160</f>
        <v>158</v>
      </c>
      <c r="G160" s="6">
        <f>[1]节奏总纲!G160</f>
        <v>57051.401716174769</v>
      </c>
      <c r="N160" s="6">
        <f>[1]节奏总纲!N160</f>
        <v>167</v>
      </c>
      <c r="O160" s="6">
        <v>157</v>
      </c>
      <c r="P160" s="6">
        <f>[1]节奏总纲!P160</f>
        <v>53230.773047602182</v>
      </c>
      <c r="Q160" s="6">
        <f>[1]节奏总纲!Q160</f>
        <v>53230.773047602182</v>
      </c>
      <c r="R160" s="6">
        <f>[1]节奏总纲!R160</f>
        <v>53763.080778078205</v>
      </c>
      <c r="S160" s="6">
        <f>[1]节奏总纲!S160</f>
        <v>53763.080778078205</v>
      </c>
      <c r="T160" s="6">
        <f>[1]节奏总纲!T160</f>
        <v>53763.080778078205</v>
      </c>
      <c r="V160" s="6">
        <v>157</v>
      </c>
      <c r="W160" s="6">
        <f>[1]节奏总纲!W160</f>
        <v>3564.7725961894757</v>
      </c>
      <c r="X160" s="6">
        <f>[1]节奏总纲!X160</f>
        <v>3564.7725961894757</v>
      </c>
      <c r="Y160" s="6">
        <f>[1]节奏总纲!Y160</f>
        <v>3600.4203221513744</v>
      </c>
      <c r="Z160" s="6">
        <f>[1]节奏总纲!Z160</f>
        <v>3600.4203221513744</v>
      </c>
      <c r="AA160" s="6">
        <f>[1]节奏总纲!AA160</f>
        <v>3451.4223207971372</v>
      </c>
      <c r="AC160" s="6">
        <v>157</v>
      </c>
      <c r="AD160" s="6">
        <f>[1]节奏总纲!AD160</f>
        <v>73.036560194527354</v>
      </c>
      <c r="AE160" s="6">
        <f>[1]节奏总纲!AE160</f>
        <v>75.111147990406067</v>
      </c>
      <c r="AF160" s="6">
        <f>[1]节奏总纲!AF160</f>
        <v>77.978240314723507</v>
      </c>
      <c r="AG160" s="6">
        <f>[1]节奏总纲!AG160</f>
        <v>82.574704101135836</v>
      </c>
      <c r="AH160" s="6">
        <f>[1]节奏总纲!AH160</f>
        <v>91.933832256435849</v>
      </c>
      <c r="AZ160" s="6">
        <v>157</v>
      </c>
      <c r="BA160" s="6">
        <v>41.067363109180121</v>
      </c>
      <c r="BB160" s="6">
        <v>42.557667230367045</v>
      </c>
      <c r="BC160" s="6">
        <v>44.498835265809355</v>
      </c>
      <c r="BD160" s="6">
        <v>47.244971856637939</v>
      </c>
      <c r="BE160" s="6">
        <v>50</v>
      </c>
    </row>
    <row r="161" spans="6:57" x14ac:dyDescent="0.15">
      <c r="F161" s="6">
        <f>[1]节奏总纲!F161</f>
        <v>159</v>
      </c>
      <c r="G161" s="6">
        <f>[1]节奏总纲!G161</f>
        <v>61146.25013335624</v>
      </c>
      <c r="N161" s="6">
        <f>[1]节奏总纲!N161</f>
        <v>168</v>
      </c>
      <c r="O161" s="6">
        <v>158</v>
      </c>
      <c r="P161" s="6">
        <f>[1]节奏总纲!P161</f>
        <v>57051.401716174769</v>
      </c>
      <c r="Q161" s="6">
        <f>[1]节奏总纲!Q161</f>
        <v>57051.401716174769</v>
      </c>
      <c r="R161" s="6">
        <f>[1]节奏总纲!R161</f>
        <v>57621.915733336515</v>
      </c>
      <c r="S161" s="6">
        <f>[1]节奏总纲!S161</f>
        <v>57621.915733336515</v>
      </c>
      <c r="T161" s="6">
        <f>[1]节奏总纲!T161</f>
        <v>57621.915733336515</v>
      </c>
      <c r="V161" s="6">
        <v>158</v>
      </c>
      <c r="W161" s="6">
        <f>[1]节奏总纲!W161</f>
        <v>3820.6286685725863</v>
      </c>
      <c r="X161" s="6">
        <f>[1]节奏总纲!X161</f>
        <v>3820.6286685725863</v>
      </c>
      <c r="Y161" s="6">
        <f>[1]节奏总纲!Y161</f>
        <v>3858.8349552583095</v>
      </c>
      <c r="Z161" s="6">
        <f>[1]节奏总纲!Z161</f>
        <v>3858.8349552583095</v>
      </c>
      <c r="AA161" s="6">
        <f>[1]节奏总纲!AA161</f>
        <v>3858.8349552583095</v>
      </c>
      <c r="AC161" s="6">
        <v>158</v>
      </c>
      <c r="AD161" s="6">
        <f>[1]节奏总纲!AD161</f>
        <v>73.124973399384572</v>
      </c>
      <c r="AE161" s="6">
        <f>[1]节奏总纲!AE161</f>
        <v>75.200260969343077</v>
      </c>
      <c r="AF161" s="6">
        <f>[1]节奏总纲!AF161</f>
        <v>78.066694029528094</v>
      </c>
      <c r="AG161" s="6">
        <f>[1]节奏总纲!AG161</f>
        <v>82.667580534727804</v>
      </c>
      <c r="AH161" s="6">
        <f>[1]节奏总纲!AH161</f>
        <v>92.033129415212969</v>
      </c>
      <c r="AZ161" s="6">
        <v>158</v>
      </c>
      <c r="BA161" s="6">
        <v>41.107589324271871</v>
      </c>
      <c r="BB161" s="6">
        <v>42.601058174025873</v>
      </c>
      <c r="BC161" s="6">
        <v>44.541927676315858</v>
      </c>
      <c r="BD161" s="6">
        <v>47.286546933283724</v>
      </c>
      <c r="BE161" s="6">
        <v>50</v>
      </c>
    </row>
    <row r="162" spans="6:57" x14ac:dyDescent="0.15">
      <c r="F162" s="6">
        <f>[1]节奏总纲!F162</f>
        <v>160</v>
      </c>
      <c r="G162" s="6">
        <f>[1]节奏总纲!G162</f>
        <v>65535</v>
      </c>
      <c r="N162" s="6">
        <f>[1]节奏总纲!N162</f>
        <v>169</v>
      </c>
      <c r="O162" s="6">
        <v>159</v>
      </c>
      <c r="P162" s="6">
        <f>[1]节奏总纲!P162</f>
        <v>61146.25013335624</v>
      </c>
      <c r="Q162" s="6">
        <f>[1]节奏总纲!Q162</f>
        <v>61146.25013335624</v>
      </c>
      <c r="R162" s="6">
        <f>[1]节奏总纲!R162</f>
        <v>61757.7126346898</v>
      </c>
      <c r="S162" s="6">
        <f>[1]节奏总纲!S162</f>
        <v>61757.7126346898</v>
      </c>
      <c r="T162" s="6">
        <f>[1]节奏总纲!T162</f>
        <v>61757.7126346898</v>
      </c>
      <c r="V162" s="6">
        <v>159</v>
      </c>
      <c r="W162" s="6">
        <f>[1]节奏总纲!W162</f>
        <v>4094.8484171814707</v>
      </c>
      <c r="X162" s="6">
        <f>[1]节奏总纲!X162</f>
        <v>4094.8484171814707</v>
      </c>
      <c r="Y162" s="6">
        <f>[1]节奏总纲!Y162</f>
        <v>4135.7969013532856</v>
      </c>
      <c r="Z162" s="6">
        <f>[1]节奏总纲!Z162</f>
        <v>4135.7969013532856</v>
      </c>
      <c r="AA162" s="6">
        <f>[1]节奏总纲!AA162</f>
        <v>4135.7969013532856</v>
      </c>
      <c r="AC162" s="6">
        <v>159</v>
      </c>
      <c r="AD162" s="6">
        <f>[1]节奏总纲!AD162</f>
        <v>73.213386604241791</v>
      </c>
      <c r="AE162" s="6">
        <f>[1]节奏总纲!AE162</f>
        <v>75.289373948280101</v>
      </c>
      <c r="AF162" s="6">
        <f>[1]节奏总纲!AF162</f>
        <v>78.153631564737054</v>
      </c>
      <c r="AG162" s="6">
        <f>[1]节奏总纲!AG162</f>
        <v>82.760456968319758</v>
      </c>
      <c r="AH162" s="6">
        <f>[1]节奏总纲!AH162</f>
        <v>92.126546512350387</v>
      </c>
      <c r="AZ162" s="6">
        <v>159</v>
      </c>
      <c r="BA162" s="6">
        <v>41.147815539363613</v>
      </c>
      <c r="BB162" s="6">
        <v>42.644449117684701</v>
      </c>
      <c r="BC162" s="6">
        <v>44.585020086822361</v>
      </c>
      <c r="BD162" s="6">
        <v>47.328122009929508</v>
      </c>
      <c r="BE162" s="6">
        <v>50</v>
      </c>
    </row>
    <row r="163" spans="6:57" x14ac:dyDescent="0.15">
      <c r="N163" s="6">
        <f>[1]节奏总纲!N163</f>
        <v>170</v>
      </c>
      <c r="O163" s="6">
        <v>160</v>
      </c>
      <c r="P163" s="6">
        <f>[1]节奏总纲!P163</f>
        <v>65535</v>
      </c>
      <c r="Q163" s="6">
        <f>[1]节奏总纲!Q163</f>
        <v>65535</v>
      </c>
      <c r="R163" s="6">
        <f>[1]节奏总纲!R163</f>
        <v>66190.350000000006</v>
      </c>
      <c r="S163" s="6">
        <f>[1]节奏总纲!S163</f>
        <v>66190.350000000006</v>
      </c>
      <c r="T163" s="6">
        <f>[1]节奏总纲!T163</f>
        <v>66190.350000000006</v>
      </c>
      <c r="V163" s="6">
        <v>160</v>
      </c>
      <c r="W163" s="6">
        <f>[1]节奏总纲!W163</f>
        <v>4388.7498666437605</v>
      </c>
      <c r="X163" s="6">
        <f>[1]节奏总纲!X163</f>
        <v>4388.7498666437605</v>
      </c>
      <c r="Y163" s="6">
        <f>[1]节奏总纲!Y163</f>
        <v>4432.6373653102055</v>
      </c>
      <c r="Z163" s="6">
        <f>[1]节奏总纲!Z163</f>
        <v>4432.6373653102055</v>
      </c>
      <c r="AA163" s="6">
        <f>[1]节奏总纲!AA163</f>
        <v>4432.6373653102055</v>
      </c>
      <c r="AC163" s="6">
        <v>160</v>
      </c>
      <c r="AD163" s="6">
        <f>[1]节奏总纲!AD163</f>
        <v>73.301799809099009</v>
      </c>
      <c r="AE163" s="6">
        <f>[1]节奏总纲!AE163</f>
        <v>75.378486927217125</v>
      </c>
      <c r="AF163" s="6">
        <f>[1]节奏总纲!AF163</f>
        <v>78.240569099946029</v>
      </c>
      <c r="AG163" s="6">
        <f>[1]节奏总纲!AG163</f>
        <v>82.853333401911726</v>
      </c>
      <c r="AH163" s="6">
        <f>[1]节奏总纲!AH163</f>
        <v>92.219963609487792</v>
      </c>
      <c r="AZ163" s="6">
        <v>160</v>
      </c>
      <c r="BA163" s="6">
        <v>41.188041754455355</v>
      </c>
      <c r="BB163" s="6">
        <v>42.687840061343536</v>
      </c>
      <c r="BC163" s="6">
        <v>44.628112497328864</v>
      </c>
      <c r="BD163" s="6">
        <v>47.3696970865753</v>
      </c>
      <c r="BE163" s="6">
        <v>50</v>
      </c>
    </row>
    <row r="164" spans="6:57" x14ac:dyDescent="0.15">
      <c r="AC164" s="6">
        <v>161</v>
      </c>
      <c r="AD164" s="6">
        <f>[1]节奏总纲!AD164</f>
        <v>73.390213013956213</v>
      </c>
      <c r="AE164" s="6">
        <f>[1]节奏总纲!AE164</f>
        <v>75.467599906154135</v>
      </c>
      <c r="AF164" s="6">
        <f>[1]节奏总纲!AF164</f>
        <v>78.32750663515499</v>
      </c>
      <c r="AG164" s="6">
        <f>[1]节奏总纲!AG164</f>
        <v>82.94620983550368</v>
      </c>
      <c r="AH164" s="6">
        <f>[1]节奏总纲!AH164</f>
        <v>92.313380706625196</v>
      </c>
      <c r="AZ164" s="6">
        <v>161</v>
      </c>
      <c r="BA164" s="6">
        <v>41.228267969547105</v>
      </c>
      <c r="BB164" s="6">
        <v>42.731231005002364</v>
      </c>
      <c r="BC164" s="6">
        <v>44.671204907835367</v>
      </c>
      <c r="BD164" s="6">
        <v>47.411272163221085</v>
      </c>
      <c r="BE164" s="6">
        <v>50</v>
      </c>
    </row>
    <row r="165" spans="6:57" x14ac:dyDescent="0.15">
      <c r="AC165" s="6">
        <v>162</v>
      </c>
      <c r="AD165" s="6">
        <f>[1]节奏总纲!AD165</f>
        <v>73.478626218813432</v>
      </c>
      <c r="AE165" s="6">
        <f>[1]节奏总纲!AE165</f>
        <v>75.556712885091159</v>
      </c>
      <c r="AF165" s="6">
        <f>[1]节奏总纲!AF165</f>
        <v>78.414444170363964</v>
      </c>
      <c r="AG165" s="6">
        <f>[1]节奏总纲!AG165</f>
        <v>83.036921590135321</v>
      </c>
      <c r="AH165" s="6">
        <f>[1]节奏总纲!AH165</f>
        <v>92.406797803762601</v>
      </c>
      <c r="AZ165" s="6">
        <v>162</v>
      </c>
      <c r="BA165" s="6">
        <v>41.268494184638847</v>
      </c>
      <c r="BB165" s="6">
        <v>42.774621948661192</v>
      </c>
      <c r="BC165" s="6">
        <v>44.714297318341877</v>
      </c>
      <c r="BD165" s="6">
        <v>47.452847239866877</v>
      </c>
      <c r="BE165" s="6">
        <v>50</v>
      </c>
    </row>
    <row r="166" spans="6:57" x14ac:dyDescent="0.15">
      <c r="AC166" s="6">
        <v>163</v>
      </c>
      <c r="AD166" s="6">
        <f>[1]节奏总纲!AD166</f>
        <v>73.56703942367065</v>
      </c>
      <c r="AE166" s="6">
        <f>[1]节奏总纲!AE166</f>
        <v>75.645825864028183</v>
      </c>
      <c r="AF166" s="6">
        <f>[1]节奏总纲!AF166</f>
        <v>78.501381705572925</v>
      </c>
      <c r="AG166" s="6">
        <f>[1]节奏总纲!AG166</f>
        <v>83.124654333465756</v>
      </c>
      <c r="AH166" s="6">
        <f>[1]节奏总纲!AH166</f>
        <v>92.500214900900005</v>
      </c>
      <c r="AZ166" s="6">
        <v>163</v>
      </c>
      <c r="BA166" s="6">
        <v>41.308720399730589</v>
      </c>
      <c r="BB166" s="6">
        <v>42.818012892320027</v>
      </c>
      <c r="BC166" s="6">
        <v>44.757389728848381</v>
      </c>
      <c r="BD166" s="6">
        <v>47.494422316512662</v>
      </c>
      <c r="BE166" s="6">
        <v>50</v>
      </c>
    </row>
    <row r="167" spans="6:57" x14ac:dyDescent="0.15">
      <c r="AC167" s="6">
        <v>164</v>
      </c>
      <c r="AD167" s="6">
        <f>[1]节奏总纲!AD167</f>
        <v>73.655452628527868</v>
      </c>
      <c r="AE167" s="6">
        <f>[1]节奏总纲!AE167</f>
        <v>75.734938842965192</v>
      </c>
      <c r="AF167" s="6">
        <f>[1]节奏总纲!AF167</f>
        <v>78.5883192407819</v>
      </c>
      <c r="AG167" s="6">
        <f>[1]节奏总纲!AG167</f>
        <v>83.21238707679619</v>
      </c>
      <c r="AH167" s="6">
        <f>[1]节奏总纲!AH167</f>
        <v>92.593631998037409</v>
      </c>
      <c r="AZ167" s="6">
        <v>164</v>
      </c>
      <c r="BA167" s="6">
        <v>41.348946614822331</v>
      </c>
      <c r="BB167" s="6">
        <v>42.861403835978855</v>
      </c>
      <c r="BC167" s="6">
        <v>44.800482139354884</v>
      </c>
      <c r="BD167" s="6">
        <v>47.535997393158453</v>
      </c>
      <c r="BE167" s="6">
        <v>50</v>
      </c>
    </row>
    <row r="168" spans="6:57" x14ac:dyDescent="0.15">
      <c r="AC168" s="6">
        <v>165</v>
      </c>
      <c r="AD168" s="6">
        <f>[1]节奏总纲!AD168</f>
        <v>73.743865833385087</v>
      </c>
      <c r="AE168" s="6">
        <f>[1]节奏总纲!AE168</f>
        <v>75.824051821902216</v>
      </c>
      <c r="AF168" s="6">
        <f>[1]节奏总纲!AF168</f>
        <v>78.67525677599086</v>
      </c>
      <c r="AG168" s="6">
        <f>[1]节奏总纲!AG168</f>
        <v>83.300119820126625</v>
      </c>
      <c r="AH168" s="6">
        <f>[1]节奏总纲!AH168</f>
        <v>92.687049095174814</v>
      </c>
      <c r="AZ168" s="6">
        <v>165</v>
      </c>
      <c r="BA168" s="6">
        <v>41.389172829914081</v>
      </c>
      <c r="BB168" s="6">
        <v>42.904794779637683</v>
      </c>
      <c r="BC168" s="6">
        <v>44.843574549861387</v>
      </c>
      <c r="BD168" s="6">
        <v>47.577572469804238</v>
      </c>
      <c r="BE168" s="6">
        <v>50</v>
      </c>
    </row>
    <row r="169" spans="6:57" x14ac:dyDescent="0.15">
      <c r="AC169" s="6">
        <v>166</v>
      </c>
      <c r="AD169" s="6">
        <f>[1]节奏总纲!AD169</f>
        <v>73.832279038242305</v>
      </c>
      <c r="AE169" s="6">
        <f>[1]节奏总纲!AE169</f>
        <v>75.91316480083924</v>
      </c>
      <c r="AF169" s="6">
        <f>[1]节奏总纲!AF169</f>
        <v>78.762194311199835</v>
      </c>
      <c r="AG169" s="6">
        <f>[1]节奏总纲!AG169</f>
        <v>83.387852563457059</v>
      </c>
      <c r="AH169" s="6">
        <f>[1]节奏总纲!AH169</f>
        <v>92.780466192312218</v>
      </c>
      <c r="AZ169" s="6">
        <v>166</v>
      </c>
      <c r="BA169" s="6">
        <v>41.429399045005823</v>
      </c>
      <c r="BB169" s="6">
        <v>42.948185723296518</v>
      </c>
      <c r="BC169" s="6">
        <v>44.88666696036789</v>
      </c>
      <c r="BD169" s="6">
        <v>47.619147546450023</v>
      </c>
      <c r="BE169" s="6">
        <v>50</v>
      </c>
    </row>
    <row r="170" spans="6:57" x14ac:dyDescent="0.15">
      <c r="AC170" s="6">
        <v>167</v>
      </c>
      <c r="AD170" s="6">
        <f>[1]节奏总纲!AD170</f>
        <v>73.920692243099523</v>
      </c>
      <c r="AE170" s="6">
        <f>[1]节奏总纲!AE170</f>
        <v>76.002103770254962</v>
      </c>
      <c r="AF170" s="6">
        <f>[1]节奏总纲!AF170</f>
        <v>78.849131846408795</v>
      </c>
      <c r="AG170" s="6">
        <f>[1]节奏总纲!AG170</f>
        <v>83.475585306787494</v>
      </c>
      <c r="AH170" s="6">
        <f>[1]节奏总纲!AH170</f>
        <v>92.873883289449623</v>
      </c>
      <c r="AZ170" s="6">
        <v>167</v>
      </c>
      <c r="BA170" s="6">
        <v>41.469625260097565</v>
      </c>
      <c r="BB170" s="6">
        <v>42.991576666955346</v>
      </c>
      <c r="BC170" s="6">
        <v>44.9297593708744</v>
      </c>
      <c r="BD170" s="6">
        <v>47.660722623095815</v>
      </c>
      <c r="BE170" s="6">
        <v>50</v>
      </c>
    </row>
    <row r="171" spans="6:57" x14ac:dyDescent="0.15">
      <c r="AC171" s="6">
        <v>168</v>
      </c>
      <c r="AD171" s="6">
        <f>[1]节奏总纲!AD171</f>
        <v>74.008495683346354</v>
      </c>
      <c r="AE171" s="6">
        <f>[1]节奏总纲!AE171</f>
        <v>76.084409020469636</v>
      </c>
      <c r="AF171" s="6">
        <f>[1]节奏总纲!AF171</f>
        <v>78.93606938161777</v>
      </c>
      <c r="AG171" s="6">
        <f>[1]节奏总纲!AG171</f>
        <v>83.563318050117928</v>
      </c>
      <c r="AH171" s="6">
        <f>[1]节奏总纲!AH171</f>
        <v>92.967300386587027</v>
      </c>
      <c r="AZ171" s="6">
        <v>168</v>
      </c>
      <c r="BA171" s="6">
        <v>41.509851475189308</v>
      </c>
      <c r="BB171" s="6">
        <v>43.030177309109042</v>
      </c>
      <c r="BC171" s="6">
        <v>44.972851781380903</v>
      </c>
      <c r="BD171" s="6">
        <v>47.7022976997416</v>
      </c>
      <c r="BE171" s="6">
        <v>50</v>
      </c>
    </row>
    <row r="172" spans="6:57" x14ac:dyDescent="0.15">
      <c r="AC172" s="6">
        <v>169</v>
      </c>
      <c r="AD172" s="6">
        <f>[1]节奏总纲!AD172</f>
        <v>74.090988120365651</v>
      </c>
      <c r="AE172" s="6">
        <f>[1]节奏总纲!AE172</f>
        <v>76.166714270684309</v>
      </c>
      <c r="AF172" s="6">
        <f>[1]节奏总纲!AF172</f>
        <v>79.022812309215297</v>
      </c>
      <c r="AG172" s="6">
        <f>[1]节奏总纲!AG172</f>
        <v>83.651050793448363</v>
      </c>
      <c r="AH172" s="6">
        <f>[1]节奏总纲!AH172</f>
        <v>93.057555567360481</v>
      </c>
      <c r="AZ172" s="6">
        <v>169</v>
      </c>
      <c r="BA172" s="6">
        <v>41.550077690281057</v>
      </c>
      <c r="BB172" s="6">
        <v>43.067624017543686</v>
      </c>
      <c r="BC172" s="6">
        <v>45.013762077986961</v>
      </c>
      <c r="BD172" s="6">
        <v>47.743872776387391</v>
      </c>
      <c r="BE172" s="6">
        <v>50</v>
      </c>
    </row>
    <row r="173" spans="6:57" x14ac:dyDescent="0.15">
      <c r="AC173" s="6">
        <v>170</v>
      </c>
      <c r="AD173" s="6">
        <f>[1]节奏总纲!AD173</f>
        <v>74.173480557384934</v>
      </c>
      <c r="AE173" s="6">
        <f>[1]节奏总纲!AE173</f>
        <v>76.249019520898997</v>
      </c>
      <c r="AF173" s="6">
        <f>[1]节奏总纲!AF173</f>
        <v>79.109014469658547</v>
      </c>
      <c r="AG173" s="6">
        <f>[1]节奏总纲!AG173</f>
        <v>83.738783536778797</v>
      </c>
      <c r="AH173" s="6">
        <f>[1]节奏总纲!AH173</f>
        <v>93.146107887007233</v>
      </c>
      <c r="AZ173" s="6">
        <v>170</v>
      </c>
      <c r="BA173" s="6">
        <v>41.590303905372799</v>
      </c>
      <c r="BB173" s="6">
        <v>43.105070725978337</v>
      </c>
      <c r="BC173" s="6">
        <v>45.050956883357138</v>
      </c>
      <c r="BD173" s="6">
        <v>47.785447853033176</v>
      </c>
      <c r="BE173" s="6">
        <v>50</v>
      </c>
    </row>
    <row r="174" spans="6:57" x14ac:dyDescent="0.15">
      <c r="AC174" s="6">
        <v>171</v>
      </c>
      <c r="AD174" s="6">
        <f>[1]节奏总纲!AD174</f>
        <v>74.255972994404218</v>
      </c>
      <c r="AE174" s="6">
        <f>[1]节奏总纲!AE174</f>
        <v>76.331324771113671</v>
      </c>
      <c r="AF174" s="6">
        <f>[1]节奏总纲!AF174</f>
        <v>79.195216630101797</v>
      </c>
      <c r="AG174" s="6">
        <f>[1]节奏总纲!AG174</f>
        <v>83.826516280109232</v>
      </c>
      <c r="AH174" s="6">
        <f>[1]节奏总纲!AH174</f>
        <v>93.23466020665397</v>
      </c>
      <c r="AZ174" s="6">
        <v>171</v>
      </c>
      <c r="BA174" s="6">
        <v>41.630530120464542</v>
      </c>
      <c r="BB174" s="6">
        <v>43.14251743441298</v>
      </c>
      <c r="BC174" s="6">
        <v>45.088151688727308</v>
      </c>
      <c r="BD174" s="6">
        <v>47.827022929678968</v>
      </c>
      <c r="BE174" s="6">
        <v>50</v>
      </c>
    </row>
    <row r="175" spans="6:57" x14ac:dyDescent="0.15">
      <c r="AC175" s="6">
        <v>172</v>
      </c>
      <c r="AD175" s="6">
        <f>[1]节奏总纲!AD175</f>
        <v>74.338465431423501</v>
      </c>
      <c r="AE175" s="6">
        <f>[1]节奏总纲!AE175</f>
        <v>76.413630021328345</v>
      </c>
      <c r="AF175" s="6">
        <f>[1]节奏总纲!AF175</f>
        <v>79.281418790545047</v>
      </c>
      <c r="AG175" s="6">
        <f>[1]节奏总纲!AG175</f>
        <v>83.914249023439666</v>
      </c>
      <c r="AH175" s="6">
        <f>[1]节奏总纲!AH175</f>
        <v>93.323212526300722</v>
      </c>
      <c r="AZ175" s="6">
        <v>172</v>
      </c>
      <c r="BA175" s="6">
        <v>41.670756335556291</v>
      </c>
      <c r="BB175" s="6">
        <v>43.179964142847631</v>
      </c>
      <c r="BC175" s="6">
        <v>45.125346494097485</v>
      </c>
      <c r="BD175" s="6">
        <v>47.868598006324753</v>
      </c>
      <c r="BE175" s="6">
        <v>50</v>
      </c>
    </row>
    <row r="176" spans="6:57" x14ac:dyDescent="0.15">
      <c r="AC176" s="6">
        <v>173</v>
      </c>
      <c r="AD176" s="6">
        <f>[1]节奏总纲!AD176</f>
        <v>74.420957868442784</v>
      </c>
      <c r="AE176" s="6">
        <f>[1]节奏总纲!AE176</f>
        <v>76.495935271543019</v>
      </c>
      <c r="AF176" s="6">
        <f>[1]节奏总纲!AF176</f>
        <v>79.367620950988297</v>
      </c>
      <c r="AG176" s="6">
        <f>[1]节奏总纲!AG176</f>
        <v>84.00179325525086</v>
      </c>
      <c r="AH176" s="6">
        <f>[1]节奏总纲!AH176</f>
        <v>93.411764845947459</v>
      </c>
      <c r="AZ176" s="6">
        <v>173</v>
      </c>
      <c r="BA176" s="6">
        <v>41.710982550648033</v>
      </c>
      <c r="BB176" s="6">
        <v>43.217410851282274</v>
      </c>
      <c r="BC176" s="6">
        <v>45.162541299467655</v>
      </c>
      <c r="BD176" s="6">
        <v>47.910173082970537</v>
      </c>
      <c r="BE176" s="6">
        <v>50</v>
      </c>
    </row>
    <row r="177" spans="29:57" x14ac:dyDescent="0.15">
      <c r="AC177" s="6">
        <v>174</v>
      </c>
      <c r="AD177" s="6">
        <f>[1]节奏总纲!AD177</f>
        <v>74.503450305462081</v>
      </c>
      <c r="AE177" s="6">
        <f>[1]节奏总纲!AE177</f>
        <v>76.578240521757706</v>
      </c>
      <c r="AF177" s="6">
        <f>[1]节奏总纲!AF177</f>
        <v>79.453823111431561</v>
      </c>
      <c r="AG177" s="6">
        <f>[1]节奏总纲!AG177</f>
        <v>84.08118060043364</v>
      </c>
      <c r="AH177" s="6">
        <f>[1]节奏总纲!AH177</f>
        <v>93.500317165594211</v>
      </c>
      <c r="AZ177" s="6">
        <v>174</v>
      </c>
      <c r="BA177" s="6">
        <v>41.751208765739776</v>
      </c>
      <c r="BB177" s="6">
        <v>43.254857559716925</v>
      </c>
      <c r="BC177" s="6">
        <v>45.199736104837832</v>
      </c>
      <c r="BD177" s="6">
        <v>47.951748159616329</v>
      </c>
      <c r="BE177" s="6">
        <v>50</v>
      </c>
    </row>
    <row r="178" spans="29:57" x14ac:dyDescent="0.15">
      <c r="AC178" s="6">
        <v>175</v>
      </c>
      <c r="AD178" s="6">
        <f>[1]节奏总纲!AD178</f>
        <v>74.585942742481365</v>
      </c>
      <c r="AE178" s="6">
        <f>[1]节奏总纲!AE178</f>
        <v>76.66054577197238</v>
      </c>
      <c r="AF178" s="6">
        <f>[1]节奏总纲!AF178</f>
        <v>79.540025271874811</v>
      </c>
      <c r="AG178" s="6">
        <f>[1]节奏总纲!AG178</f>
        <v>84.160567945616407</v>
      </c>
      <c r="AH178" s="6">
        <f>[1]节奏总纲!AH178</f>
        <v>93.588869485240949</v>
      </c>
      <c r="AZ178" s="6">
        <v>175</v>
      </c>
      <c r="BA178" s="6">
        <v>41.791434980831518</v>
      </c>
      <c r="BB178" s="6">
        <v>43.292304268151575</v>
      </c>
      <c r="BC178" s="6">
        <v>45.236930910208002</v>
      </c>
      <c r="BD178" s="6">
        <v>47.993323236262114</v>
      </c>
      <c r="BE178" s="6">
        <v>50</v>
      </c>
    </row>
    <row r="179" spans="29:57" x14ac:dyDescent="0.15">
      <c r="AC179" s="6">
        <v>176</v>
      </c>
      <c r="AD179" s="6">
        <f>[1]节奏总纲!AD179</f>
        <v>74.668435179500648</v>
      </c>
      <c r="AE179" s="6">
        <f>[1]节奏总纲!AE179</f>
        <v>76.742851022187054</v>
      </c>
      <c r="AF179" s="6">
        <f>[1]节奏总纲!AF179</f>
        <v>79.626227432318061</v>
      </c>
      <c r="AG179" s="6">
        <f>[1]节奏总纲!AG179</f>
        <v>84.239955290799188</v>
      </c>
      <c r="AH179" s="6">
        <f>[1]节奏总纲!AH179</f>
        <v>93.6774218048877</v>
      </c>
      <c r="AZ179" s="6">
        <v>176</v>
      </c>
      <c r="BA179" s="6">
        <v>41.831661195923267</v>
      </c>
      <c r="BB179" s="6">
        <v>43.329750976586219</v>
      </c>
      <c r="BC179" s="6">
        <v>45.274125715578172</v>
      </c>
      <c r="BD179" s="6">
        <v>48.030128751164234</v>
      </c>
      <c r="BE179" s="6">
        <v>50</v>
      </c>
    </row>
    <row r="180" spans="29:57" x14ac:dyDescent="0.15">
      <c r="AC180" s="6">
        <v>177</v>
      </c>
      <c r="AD180" s="6">
        <f>[1]节奏总纲!AD180</f>
        <v>74.750927616519931</v>
      </c>
      <c r="AE180" s="6">
        <f>[1]节奏总纲!AE180</f>
        <v>76.825156272401728</v>
      </c>
      <c r="AF180" s="6">
        <f>[1]节奏总纲!AF180</f>
        <v>79.71242959276131</v>
      </c>
      <c r="AG180" s="6">
        <f>[1]节奏总纲!AG180</f>
        <v>84.319342635981968</v>
      </c>
      <c r="AH180" s="6">
        <f>[1]节奏总纲!AH180</f>
        <v>93.765974124534438</v>
      </c>
      <c r="AZ180" s="6">
        <v>177</v>
      </c>
      <c r="BA180" s="6">
        <v>41.87188741101501</v>
      </c>
      <c r="BB180" s="6">
        <v>43.367197685020869</v>
      </c>
      <c r="BC180" s="6">
        <v>45.31132052094835</v>
      </c>
      <c r="BD180" s="6">
        <v>48.066021750983474</v>
      </c>
      <c r="BE180" s="6">
        <v>50</v>
      </c>
    </row>
    <row r="181" spans="29:57" x14ac:dyDescent="0.15">
      <c r="AC181" s="6">
        <v>178</v>
      </c>
      <c r="AD181" s="6">
        <f>[1]节奏总纲!AD181</f>
        <v>74.833420053539214</v>
      </c>
      <c r="AE181" s="6">
        <f>[1]节奏总纲!AE181</f>
        <v>76.907461522616416</v>
      </c>
      <c r="AF181" s="6">
        <f>[1]节奏总纲!AF181</f>
        <v>79.79863175320456</v>
      </c>
      <c r="AG181" s="6">
        <f>[1]节奏总纲!AG181</f>
        <v>84.398729981164735</v>
      </c>
      <c r="AH181" s="6">
        <f>[1]节奏总纲!AH181</f>
        <v>93.85452644418119</v>
      </c>
      <c r="AZ181" s="6">
        <v>178</v>
      </c>
      <c r="BA181" s="6">
        <v>41.912113626106752</v>
      </c>
      <c r="BB181" s="6">
        <v>43.404644393455513</v>
      </c>
      <c r="BC181" s="6">
        <v>45.34851532631852</v>
      </c>
      <c r="BD181" s="6">
        <v>48.101914750802706</v>
      </c>
      <c r="BE181" s="6">
        <v>50</v>
      </c>
    </row>
    <row r="182" spans="29:57" x14ac:dyDescent="0.15">
      <c r="AC182" s="6">
        <v>179</v>
      </c>
      <c r="AD182" s="6">
        <f>[1]节奏总纲!AD182</f>
        <v>74.915912490558512</v>
      </c>
      <c r="AE182" s="6">
        <f>[1]节奏总纲!AE182</f>
        <v>76.989766772831089</v>
      </c>
      <c r="AF182" s="6">
        <f>[1]节奏总纲!AF182</f>
        <v>79.88483391364781</v>
      </c>
      <c r="AG182" s="6">
        <f>[1]节奏总纲!AG182</f>
        <v>84.478117326347515</v>
      </c>
      <c r="AH182" s="6">
        <f>[1]节奏总纲!AH182</f>
        <v>93.943078763827941</v>
      </c>
      <c r="AZ182" s="6">
        <v>179</v>
      </c>
      <c r="BA182" s="6">
        <v>41.952339841198494</v>
      </c>
      <c r="BB182" s="6">
        <v>43.442091101890163</v>
      </c>
      <c r="BC182" s="6">
        <v>45.385710131688697</v>
      </c>
      <c r="BD182" s="6">
        <v>48.137807750621946</v>
      </c>
      <c r="BE182" s="6">
        <v>50</v>
      </c>
    </row>
    <row r="183" spans="29:57" x14ac:dyDescent="0.15">
      <c r="AC183" s="6">
        <v>180</v>
      </c>
      <c r="AD183" s="6">
        <f>[1]节奏总纲!AD183</f>
        <v>74.998404927577795</v>
      </c>
      <c r="AE183" s="6">
        <f>[1]节奏总纲!AE183</f>
        <v>77.06778397927944</v>
      </c>
      <c r="AF183" s="6">
        <f>[1]节奏总纲!AF183</f>
        <v>79.97103607409106</v>
      </c>
      <c r="AG183" s="6">
        <f>[1]节奏总纲!AG183</f>
        <v>84.557504671530296</v>
      </c>
      <c r="AH183" s="6">
        <f>[1]节奏总纲!AH183</f>
        <v>94.027056817114342</v>
      </c>
      <c r="AZ183" s="6">
        <v>180</v>
      </c>
      <c r="BA183" s="6">
        <v>41.992566056290244</v>
      </c>
      <c r="BB183" s="6">
        <v>43.479537810324807</v>
      </c>
      <c r="BC183" s="6">
        <v>45.422904937058867</v>
      </c>
      <c r="BD183" s="6">
        <v>48.173700750441178</v>
      </c>
      <c r="BE183" s="6">
        <v>50</v>
      </c>
    </row>
    <row r="184" spans="29:57" x14ac:dyDescent="0.15">
      <c r="AC184" s="6">
        <v>181</v>
      </c>
      <c r="AD184" s="6">
        <f>[1]节奏总纲!AD184</f>
        <v>75.075479910097457</v>
      </c>
      <c r="AE184" s="6">
        <f>[1]节奏总纲!AE184</f>
        <v>77.145192343015793</v>
      </c>
      <c r="AF184" s="6">
        <f>[1]节奏总纲!AF184</f>
        <v>80.053817475702374</v>
      </c>
      <c r="AG184" s="6">
        <f>[1]节奏总纲!AG184</f>
        <v>84.636892016713063</v>
      </c>
      <c r="AH184" s="6">
        <f>[1]节奏总纲!AH184</f>
        <v>94.102803318799971</v>
      </c>
      <c r="AZ184" s="6">
        <v>181</v>
      </c>
      <c r="BA184" s="6">
        <v>42.028297717729309</v>
      </c>
      <c r="BB184" s="6">
        <v>43.516984518759458</v>
      </c>
      <c r="BC184" s="6">
        <v>45.460099742429037</v>
      </c>
      <c r="BD184" s="6">
        <v>48.209593750260417</v>
      </c>
      <c r="BE184" s="6">
        <v>50</v>
      </c>
    </row>
    <row r="185" spans="29:57" x14ac:dyDescent="0.15">
      <c r="AC185" s="6">
        <v>182</v>
      </c>
      <c r="AD185" s="6">
        <f>[1]节奏总纲!AD185</f>
        <v>75.152448075388719</v>
      </c>
      <c r="AE185" s="6">
        <f>[1]节奏总纲!AE185</f>
        <v>77.222600706752132</v>
      </c>
      <c r="AF185" s="6">
        <f>[1]节奏总纲!AF185</f>
        <v>80.134867890916794</v>
      </c>
      <c r="AG185" s="6">
        <f>[1]节奏总纲!AG185</f>
        <v>84.716279361895843</v>
      </c>
      <c r="AH185" s="6">
        <f>[1]节奏总纲!AH185</f>
        <v>94.1785498204856</v>
      </c>
      <c r="AZ185" s="6">
        <v>182</v>
      </c>
      <c r="BA185" s="6">
        <v>42.063010472656373</v>
      </c>
      <c r="BB185" s="6">
        <v>43.554431227194108</v>
      </c>
      <c r="BC185" s="6">
        <v>45.497294547799214</v>
      </c>
      <c r="BD185" s="6">
        <v>48.24548675007965</v>
      </c>
      <c r="BE185" s="6">
        <v>50</v>
      </c>
    </row>
    <row r="186" spans="29:57" x14ac:dyDescent="0.15">
      <c r="AC186" s="6">
        <v>183</v>
      </c>
      <c r="AD186" s="6">
        <f>[1]节奏总纲!AD186</f>
        <v>75.229416240679981</v>
      </c>
      <c r="AE186" s="6">
        <f>[1]节奏总纲!AE186</f>
        <v>77.300009070488485</v>
      </c>
      <c r="AF186" s="6">
        <f>[1]节奏总纲!AF186</f>
        <v>80.215918306131215</v>
      </c>
      <c r="AG186" s="6">
        <f>[1]节奏总纲!AG186</f>
        <v>84.795666707078624</v>
      </c>
      <c r="AH186" s="6">
        <f>[1]节奏总纲!AH186</f>
        <v>94.254296322171228</v>
      </c>
      <c r="AZ186" s="6">
        <v>183</v>
      </c>
      <c r="BA186" s="6">
        <v>42.097723227583437</v>
      </c>
      <c r="BB186" s="6">
        <v>43.591877935628752</v>
      </c>
      <c r="BC186" s="6">
        <v>45.534489353169384</v>
      </c>
      <c r="BD186" s="6">
        <v>48.281379749898889</v>
      </c>
      <c r="BE186" s="6">
        <v>50</v>
      </c>
    </row>
    <row r="187" spans="29:57" x14ac:dyDescent="0.15">
      <c r="AC187" s="6">
        <v>184</v>
      </c>
      <c r="AD187" s="6">
        <f>[1]节奏总纲!AD187</f>
        <v>75.306384405971258</v>
      </c>
      <c r="AE187" s="6">
        <f>[1]节奏总纲!AE187</f>
        <v>77.377417434224824</v>
      </c>
      <c r="AF187" s="6">
        <f>[1]节奏总纲!AF187</f>
        <v>80.296968721345635</v>
      </c>
      <c r="AG187" s="6">
        <f>[1]节奏总纲!AG187</f>
        <v>84.87505405226139</v>
      </c>
      <c r="AH187" s="6">
        <f>[1]节奏总纲!AH187</f>
        <v>94.330042823856857</v>
      </c>
      <c r="AZ187" s="6">
        <v>184</v>
      </c>
      <c r="BA187" s="6">
        <v>42.132435982510501</v>
      </c>
      <c r="BB187" s="6">
        <v>43.629324644063402</v>
      </c>
      <c r="BC187" s="6">
        <v>45.571684158539561</v>
      </c>
      <c r="BD187" s="6">
        <v>48.317272749718121</v>
      </c>
      <c r="BE187" s="6">
        <v>50</v>
      </c>
    </row>
    <row r="188" spans="29:57" x14ac:dyDescent="0.15">
      <c r="AC188" s="6">
        <v>185</v>
      </c>
      <c r="AD188" s="6">
        <f>[1]节奏总纲!AD188</f>
        <v>75.38335257126252</v>
      </c>
      <c r="AE188" s="6">
        <f>[1]节奏总纲!AE188</f>
        <v>77.454825797961163</v>
      </c>
      <c r="AF188" s="6">
        <f>[1]节奏总纲!AF188</f>
        <v>80.378019136560056</v>
      </c>
      <c r="AG188" s="6">
        <f>[1]节奏总纲!AG188</f>
        <v>84.954441397444171</v>
      </c>
      <c r="AH188" s="6">
        <f>[1]节奏总纲!AH188</f>
        <v>94.405789325542486</v>
      </c>
      <c r="AZ188" s="6">
        <v>185</v>
      </c>
      <c r="BA188" s="6">
        <v>42.167148737437564</v>
      </c>
      <c r="BB188" s="6">
        <v>43.666771352498046</v>
      </c>
      <c r="BC188" s="6">
        <v>45.608878963909731</v>
      </c>
      <c r="BD188" s="6">
        <v>48.353165749537354</v>
      </c>
      <c r="BE188" s="6">
        <v>50</v>
      </c>
    </row>
    <row r="189" spans="29:57" x14ac:dyDescent="0.15">
      <c r="AC189" s="6">
        <v>186</v>
      </c>
      <c r="AD189" s="6">
        <f>[1]节奏总纲!AD189</f>
        <v>75.460320736553783</v>
      </c>
      <c r="AE189" s="6">
        <f>[1]节奏总纲!AE189</f>
        <v>77.532234161697517</v>
      </c>
      <c r="AF189" s="6">
        <f>[1]节奏总纲!AF189</f>
        <v>80.459069551774476</v>
      </c>
      <c r="AG189" s="6">
        <f>[1]节奏总纲!AG189</f>
        <v>85.030832425973387</v>
      </c>
      <c r="AH189" s="6">
        <f>[1]节奏总纲!AH189</f>
        <v>94.4815358272281</v>
      </c>
      <c r="AZ189" s="6">
        <v>186</v>
      </c>
      <c r="BA189" s="6">
        <v>42.201861492364635</v>
      </c>
      <c r="BB189" s="6">
        <v>43.704218060932696</v>
      </c>
      <c r="BC189" s="6">
        <v>45.646073769279901</v>
      </c>
      <c r="BD189" s="6">
        <v>48.389058749356593</v>
      </c>
      <c r="BE189" s="6">
        <v>50</v>
      </c>
    </row>
    <row r="190" spans="29:57" x14ac:dyDescent="0.15">
      <c r="AC190" s="6">
        <v>187</v>
      </c>
      <c r="AD190" s="6">
        <f>[1]节奏总纲!AD190</f>
        <v>75.537288901845045</v>
      </c>
      <c r="AE190" s="6">
        <f>[1]节奏总纲!AE190</f>
        <v>77.609642525433856</v>
      </c>
      <c r="AF190" s="6">
        <f>[1]节奏总纲!AF190</f>
        <v>80.540119966988897</v>
      </c>
      <c r="AG190" s="6">
        <f>[1]节奏总纲!AG190</f>
        <v>85.103188187775231</v>
      </c>
      <c r="AH190" s="6">
        <f>[1]节奏总纲!AH190</f>
        <v>94.557282328913729</v>
      </c>
      <c r="AZ190" s="6">
        <v>187</v>
      </c>
      <c r="BA190" s="6">
        <v>42.236574247291699</v>
      </c>
      <c r="BB190" s="6">
        <v>43.741664769367347</v>
      </c>
      <c r="BC190" s="6">
        <v>45.683268574650079</v>
      </c>
      <c r="BD190" s="6">
        <v>48.424951749175825</v>
      </c>
      <c r="BE190" s="6">
        <v>50</v>
      </c>
    </row>
    <row r="191" spans="29:57" x14ac:dyDescent="0.15">
      <c r="AC191" s="6">
        <v>188</v>
      </c>
      <c r="AD191" s="6">
        <f>[1]节奏总纲!AD191</f>
        <v>75.614257067136322</v>
      </c>
      <c r="AE191" s="6">
        <f>[1]节奏总纲!AE191</f>
        <v>77.687050889170209</v>
      </c>
      <c r="AF191" s="6">
        <f>[1]节奏总纲!AF191</f>
        <v>80.621170382203317</v>
      </c>
      <c r="AG191" s="6">
        <f>[1]节奏总纲!AG191</f>
        <v>85.175543949577076</v>
      </c>
      <c r="AH191" s="6">
        <f>[1]节奏总纲!AH191</f>
        <v>94.633028830599358</v>
      </c>
      <c r="AZ191" s="6">
        <v>188</v>
      </c>
      <c r="BA191" s="6">
        <v>42.271287002218763</v>
      </c>
      <c r="BB191" s="6">
        <v>43.77911147780199</v>
      </c>
      <c r="BC191" s="6">
        <v>45.720463380020249</v>
      </c>
      <c r="BD191" s="6">
        <v>48.460844748995065</v>
      </c>
      <c r="BE191" s="6">
        <v>50</v>
      </c>
    </row>
    <row r="192" spans="29:57" x14ac:dyDescent="0.15">
      <c r="AC192" s="6">
        <v>189</v>
      </c>
      <c r="AD192" s="6">
        <f>[1]节奏总纲!AD192</f>
        <v>75.691225232427584</v>
      </c>
      <c r="AE192" s="6">
        <f>[1]节奏总纲!AE192</f>
        <v>77.764459252906548</v>
      </c>
      <c r="AF192" s="6">
        <f>[1]节奏总纲!AF192</f>
        <v>80.702220797417738</v>
      </c>
      <c r="AG192" s="6">
        <f>[1]节奏总纲!AG192</f>
        <v>85.247899711378935</v>
      </c>
      <c r="AH192" s="6">
        <f>[1]节奏总纲!AH192</f>
        <v>94.708775332284986</v>
      </c>
      <c r="AZ192" s="6">
        <v>189</v>
      </c>
      <c r="BA192" s="6">
        <v>42.305999757145827</v>
      </c>
      <c r="BB192" s="6">
        <v>43.816558186236641</v>
      </c>
      <c r="BC192" s="6">
        <v>45.757658185390426</v>
      </c>
      <c r="BD192" s="6">
        <v>48.496737748814297</v>
      </c>
      <c r="BE192" s="6">
        <v>50</v>
      </c>
    </row>
    <row r="193" spans="29:57" x14ac:dyDescent="0.15">
      <c r="AC193" s="6">
        <v>190</v>
      </c>
      <c r="AD193" s="6">
        <f>[1]节奏总纲!AD193</f>
        <v>75.768193397718846</v>
      </c>
      <c r="AE193" s="6">
        <f>[1]节奏总纲!AE193</f>
        <v>77.841867616642901</v>
      </c>
      <c r="AF193" s="6">
        <f>[1]节奏总纲!AF193</f>
        <v>80.783271212632158</v>
      </c>
      <c r="AG193" s="6">
        <f>[1]节奏总纲!AG193</f>
        <v>85.320255473180779</v>
      </c>
      <c r="AH193" s="6">
        <f>[1]节奏总纲!AH193</f>
        <v>94.784521833970615</v>
      </c>
      <c r="AZ193" s="6">
        <v>190</v>
      </c>
      <c r="BA193" s="6">
        <v>42.340712512072891</v>
      </c>
      <c r="BB193" s="6">
        <v>43.854004894671284</v>
      </c>
      <c r="BC193" s="6">
        <v>45.794852990760596</v>
      </c>
      <c r="BD193" s="6">
        <v>48.532630748633537</v>
      </c>
      <c r="BE193" s="6">
        <v>50</v>
      </c>
    </row>
    <row r="194" spans="29:57" x14ac:dyDescent="0.15">
      <c r="AC194" s="6">
        <v>191</v>
      </c>
      <c r="AD194" s="6">
        <f>[1]节奏总纲!AD194</f>
        <v>75.845161563010109</v>
      </c>
      <c r="AE194" s="6">
        <f>[1]节奏总纲!AE194</f>
        <v>77.91927598037924</v>
      </c>
      <c r="AF194" s="6">
        <f>[1]节奏总纲!AF194</f>
        <v>80.864321627846579</v>
      </c>
      <c r="AG194" s="6">
        <f>[1]节奏总纲!AG194</f>
        <v>85.392611234982624</v>
      </c>
      <c r="AH194" s="6">
        <f>[1]节奏总纲!AH194</f>
        <v>94.860268335656244</v>
      </c>
      <c r="AZ194" s="6">
        <v>191</v>
      </c>
      <c r="BA194" s="6">
        <v>42.375425266999954</v>
      </c>
      <c r="BB194" s="6">
        <v>43.891451603105935</v>
      </c>
      <c r="BC194" s="6">
        <v>45.832047796130773</v>
      </c>
      <c r="BD194" s="6">
        <v>48.568523748452769</v>
      </c>
      <c r="BE194" s="6">
        <v>50</v>
      </c>
    </row>
    <row r="195" spans="29:57" x14ac:dyDescent="0.15">
      <c r="AC195" s="6">
        <v>192</v>
      </c>
      <c r="AD195" s="6">
        <f>[1]节奏总纲!AD195</f>
        <v>75.922129728301385</v>
      </c>
      <c r="AE195" s="6">
        <f>[1]节奏总纲!AE195</f>
        <v>77.996684344115593</v>
      </c>
      <c r="AF195" s="6">
        <f>[1]节奏总纲!AF195</f>
        <v>80.945372043060999</v>
      </c>
      <c r="AG195" s="6">
        <f>[1]节奏总纲!AG195</f>
        <v>85.464966996784469</v>
      </c>
      <c r="AH195" s="6">
        <f>[1]节奏总纲!AH195</f>
        <v>94.936014837341872</v>
      </c>
      <c r="AZ195" s="6">
        <v>192</v>
      </c>
      <c r="BA195" s="6">
        <v>42.410138021927018</v>
      </c>
      <c r="BB195" s="6">
        <v>43.928898311540578</v>
      </c>
      <c r="BC195" s="6">
        <v>45.869242601500943</v>
      </c>
      <c r="BD195" s="6">
        <v>48.604416748272008</v>
      </c>
      <c r="BE195" s="6">
        <v>50</v>
      </c>
    </row>
    <row r="196" spans="29:57" x14ac:dyDescent="0.15">
      <c r="AC196" s="6">
        <v>193</v>
      </c>
      <c r="AD196" s="6">
        <f>[1]节奏总纲!AD196</f>
        <v>75.999097893592648</v>
      </c>
      <c r="AE196" s="6">
        <f>[1]节奏总纲!AE196</f>
        <v>78.068193736526268</v>
      </c>
      <c r="AF196" s="6">
        <f>[1]节奏总纲!AF196</f>
        <v>81.02378934476593</v>
      </c>
      <c r="AG196" s="6">
        <f>[1]节奏总纲!AG196</f>
        <v>85.537322758586328</v>
      </c>
      <c r="AH196" s="6">
        <f>[1]节奏总纲!AH196</f>
        <v>95.011078787937279</v>
      </c>
      <c r="AZ196" s="6">
        <v>193</v>
      </c>
      <c r="BA196" s="6">
        <v>42.444850776854082</v>
      </c>
      <c r="BB196" s="6">
        <v>43.966345019975229</v>
      </c>
      <c r="BC196" s="6">
        <v>45.906437406871113</v>
      </c>
      <c r="BD196" s="6">
        <v>48.640309748091241</v>
      </c>
      <c r="BE196" s="6">
        <v>50</v>
      </c>
    </row>
    <row r="197" spans="29:57" x14ac:dyDescent="0.15">
      <c r="AC197" s="6">
        <v>194</v>
      </c>
      <c r="AD197" s="6">
        <f>[1]节奏总纲!AD197</f>
        <v>76.070972142474872</v>
      </c>
      <c r="AE197" s="6">
        <f>[1]节奏总纲!AE197</f>
        <v>78.139439149396253</v>
      </c>
      <c r="AF197" s="6">
        <f>[1]节奏总纲!AF197</f>
        <v>81.096762731680187</v>
      </c>
      <c r="AG197" s="6">
        <f>[1]节奏总纲!AG197</f>
        <v>85.609678520388172</v>
      </c>
      <c r="AH197" s="6">
        <f>[1]节奏总纲!AH197</f>
        <v>95.082429458741387</v>
      </c>
      <c r="AZ197" s="6">
        <v>194</v>
      </c>
      <c r="BA197" s="6">
        <v>42.479563531781146</v>
      </c>
      <c r="BB197" s="6">
        <v>44.003272544984547</v>
      </c>
      <c r="BC197" s="6">
        <v>45.94363221224129</v>
      </c>
      <c r="BD197" s="6">
        <v>48.67620274791048</v>
      </c>
      <c r="BE197" s="6">
        <v>50</v>
      </c>
    </row>
    <row r="198" spans="29:57" x14ac:dyDescent="0.15">
      <c r="AC198" s="6">
        <v>195</v>
      </c>
      <c r="AD198" s="6">
        <f>[1]节奏总纲!AD198</f>
        <v>76.142785979989682</v>
      </c>
      <c r="AE198" s="6">
        <f>[1]节奏总纲!AE198</f>
        <v>78.210684562266223</v>
      </c>
      <c r="AF198" s="6">
        <f>[1]节奏总纲!AF198</f>
        <v>81.169736118594443</v>
      </c>
      <c r="AG198" s="6">
        <f>[1]节奏总纲!AG198</f>
        <v>85.682034282190017</v>
      </c>
      <c r="AH198" s="6">
        <f>[1]节奏总纲!AH198</f>
        <v>95.153780129545481</v>
      </c>
      <c r="AZ198" s="6">
        <v>195</v>
      </c>
      <c r="BA198" s="6">
        <v>42.51427628670821</v>
      </c>
      <c r="BB198" s="6">
        <v>44.035591852864428</v>
      </c>
      <c r="BC198" s="6">
        <v>45.98082701761146</v>
      </c>
      <c r="BD198" s="6">
        <v>48.712095747729713</v>
      </c>
      <c r="BE198" s="6">
        <v>50</v>
      </c>
    </row>
    <row r="199" spans="29:57" x14ac:dyDescent="0.15">
      <c r="AC199" s="6">
        <v>196</v>
      </c>
      <c r="AD199" s="6">
        <f>[1]节奏总纲!AD199</f>
        <v>76.214599817504492</v>
      </c>
      <c r="AE199" s="6">
        <f>[1]节奏总纲!AE199</f>
        <v>78.281929975136208</v>
      </c>
      <c r="AF199" s="6">
        <f>[1]节奏总纲!AF199</f>
        <v>81.242709505508685</v>
      </c>
      <c r="AG199" s="6">
        <f>[1]节奏总纲!AG199</f>
        <v>85.754390043991862</v>
      </c>
      <c r="AH199" s="6">
        <f>[1]节奏总纲!AH199</f>
        <v>95.225130800349589</v>
      </c>
      <c r="AZ199" s="6">
        <v>196</v>
      </c>
      <c r="BA199" s="6">
        <v>42.548989041635274</v>
      </c>
      <c r="BB199" s="6">
        <v>44.067911160744309</v>
      </c>
      <c r="BC199" s="6">
        <v>46.01555652579863</v>
      </c>
      <c r="BD199" s="6">
        <v>48.747988747548945</v>
      </c>
      <c r="BE199" s="6">
        <v>50</v>
      </c>
    </row>
    <row r="200" spans="29:57" x14ac:dyDescent="0.15">
      <c r="AC200" s="6">
        <v>197</v>
      </c>
      <c r="AD200" s="6">
        <f>[1]节奏总纲!AD200</f>
        <v>76.286413655019302</v>
      </c>
      <c r="AE200" s="6">
        <f>[1]节奏总纲!AE200</f>
        <v>78.353175388006179</v>
      </c>
      <c r="AF200" s="6">
        <f>[1]节奏总纲!AF200</f>
        <v>81.315682892422942</v>
      </c>
      <c r="AG200" s="6">
        <f>[1]节奏总纲!AG200</f>
        <v>85.82674580579372</v>
      </c>
      <c r="AH200" s="6">
        <f>[1]节奏总纲!AH200</f>
        <v>95.296481471153683</v>
      </c>
      <c r="AZ200" s="6">
        <v>197</v>
      </c>
      <c r="BA200" s="6">
        <v>42.583701796562345</v>
      </c>
      <c r="BB200" s="6">
        <v>44.100230468624183</v>
      </c>
      <c r="BC200" s="6">
        <v>46.047663263829847</v>
      </c>
      <c r="BD200" s="6">
        <v>48.783881747368184</v>
      </c>
      <c r="BE200" s="6">
        <v>50</v>
      </c>
    </row>
    <row r="201" spans="29:57" x14ac:dyDescent="0.15">
      <c r="AC201" s="6">
        <v>198</v>
      </c>
      <c r="AD201" s="6">
        <f>[1]节奏总纲!AD201</f>
        <v>76.358227492534112</v>
      </c>
      <c r="AE201" s="6">
        <f>[1]节奏总纲!AE201</f>
        <v>78.424420800876163</v>
      </c>
      <c r="AF201" s="6">
        <f>[1]节奏总纲!AF201</f>
        <v>81.388656279337198</v>
      </c>
      <c r="AG201" s="6">
        <f>[1]节奏总纲!AG201</f>
        <v>85.899101567595565</v>
      </c>
      <c r="AH201" s="6">
        <f>[1]节奏总纲!AH201</f>
        <v>95.367832141957777</v>
      </c>
      <c r="AZ201" s="6">
        <v>198</v>
      </c>
      <c r="BA201" s="6">
        <v>42.618414551489408</v>
      </c>
      <c r="BB201" s="6">
        <v>44.132549776504064</v>
      </c>
      <c r="BC201" s="6">
        <v>46.079770001861057</v>
      </c>
      <c r="BD201" s="6">
        <v>48.819774747187417</v>
      </c>
      <c r="BE201" s="6">
        <v>50</v>
      </c>
    </row>
    <row r="202" spans="29:57" x14ac:dyDescent="0.15">
      <c r="AC202" s="6">
        <v>199</v>
      </c>
      <c r="AD202" s="6">
        <f>[1]节奏总纲!AD202</f>
        <v>76.430041330048923</v>
      </c>
      <c r="AE202" s="6">
        <f>[1]节奏总纲!AE202</f>
        <v>78.495666213746148</v>
      </c>
      <c r="AF202" s="6">
        <f>[1]节奏总纲!AF202</f>
        <v>81.461629666251454</v>
      </c>
      <c r="AG202" s="6">
        <f>[1]节奏总纲!AG202</f>
        <v>85.97145732939741</v>
      </c>
      <c r="AH202" s="6">
        <f>[1]节奏总纲!AH202</f>
        <v>95.439182812761885</v>
      </c>
      <c r="AZ202" s="6">
        <v>199</v>
      </c>
      <c r="BA202" s="6">
        <v>42.653127306416472</v>
      </c>
      <c r="BB202" s="6">
        <v>44.164869084383938</v>
      </c>
      <c r="BC202" s="6">
        <v>46.111876739892267</v>
      </c>
      <c r="BD202" s="6">
        <v>48.855667747006656</v>
      </c>
      <c r="BE202" s="6">
        <v>50</v>
      </c>
    </row>
    <row r="203" spans="29:57" x14ac:dyDescent="0.15">
      <c r="AC203" s="6">
        <v>200</v>
      </c>
      <c r="AD203" s="6">
        <f>[1]节奏总纲!AD203</f>
        <v>76.501855167563733</v>
      </c>
      <c r="AE203" s="6">
        <f>[1]节奏总纲!AE203</f>
        <v>78.566911626616118</v>
      </c>
      <c r="AF203" s="6">
        <f>[1]节奏总纲!AF203</f>
        <v>81.534603053165696</v>
      </c>
      <c r="AG203" s="6">
        <f>[1]节奏总纲!AG203</f>
        <v>86.045919706798657</v>
      </c>
      <c r="AH203" s="6">
        <f>[1]节奏总纲!AH203</f>
        <v>95.510533483565979</v>
      </c>
      <c r="AZ203" s="6">
        <v>200</v>
      </c>
      <c r="BA203" s="6">
        <v>42.687840061343536</v>
      </c>
      <c r="BB203" s="6">
        <v>44.197188392263818</v>
      </c>
      <c r="BC203" s="6">
        <v>46.143983477923484</v>
      </c>
      <c r="BD203" s="6">
        <v>48.891560746825888</v>
      </c>
      <c r="BE203" s="6">
        <v>50</v>
      </c>
    </row>
    <row r="204" spans="29:57" x14ac:dyDescent="0.15">
      <c r="AC204" s="6">
        <v>201</v>
      </c>
      <c r="AD204" s="6">
        <f>[1]节奏总纲!AD204</f>
        <v>76.573669005078543</v>
      </c>
      <c r="AE204" s="6">
        <f>[1]节奏总纲!AE204</f>
        <v>78.638157039486103</v>
      </c>
      <c r="AF204" s="6">
        <f>[1]节奏总纲!AF204</f>
        <v>81.607576440079953</v>
      </c>
      <c r="AG204" s="6">
        <f>[1]节奏总纲!AG204</f>
        <v>86.121754469336281</v>
      </c>
      <c r="AH204" s="6">
        <f>[1]节奏总纲!AH204</f>
        <v>95.581884154370087</v>
      </c>
      <c r="AZ204" s="6">
        <v>201</v>
      </c>
      <c r="BA204" s="6">
        <v>42.7225528162706</v>
      </c>
      <c r="BB204" s="6">
        <v>44.229507700143699</v>
      </c>
      <c r="BC204" s="6">
        <v>46.176090215954694</v>
      </c>
      <c r="BD204" s="6">
        <v>48.927453746645128</v>
      </c>
      <c r="BE204" s="6">
        <v>50</v>
      </c>
    </row>
    <row r="205" spans="29:57" x14ac:dyDescent="0.15">
      <c r="AC205" s="6">
        <v>202</v>
      </c>
      <c r="AD205" s="6">
        <f>[1]节奏总纲!AD205</f>
        <v>76.645482842593353</v>
      </c>
      <c r="AE205" s="6">
        <f>[1]节奏总纲!AE205</f>
        <v>78.709402452356088</v>
      </c>
      <c r="AF205" s="6">
        <f>[1]节奏总纲!AF205</f>
        <v>81.680549826994209</v>
      </c>
      <c r="AG205" s="6">
        <f>[1]节奏总纲!AG205</f>
        <v>86.197589231873891</v>
      </c>
      <c r="AH205" s="6">
        <f>[1]节奏总纲!AH205</f>
        <v>95.653234825174181</v>
      </c>
      <c r="AZ205" s="6">
        <v>202</v>
      </c>
      <c r="BA205" s="6">
        <v>42.757265571197664</v>
      </c>
      <c r="BB205" s="6">
        <v>44.261827008023573</v>
      </c>
      <c r="BC205" s="6">
        <v>46.208196953985905</v>
      </c>
      <c r="BD205" s="6">
        <v>48.96334674646436</v>
      </c>
      <c r="BE205" s="6">
        <v>50</v>
      </c>
    </row>
    <row r="206" spans="29:57" x14ac:dyDescent="0.15">
      <c r="AC206" s="6">
        <v>203</v>
      </c>
      <c r="AD206" s="6">
        <f>[1]节奏总纲!AD206</f>
        <v>76.717296680108163</v>
      </c>
      <c r="AE206" s="6">
        <f>[1]节奏总纲!AE206</f>
        <v>78.780647865226058</v>
      </c>
      <c r="AF206" s="6">
        <f>[1]节奏总纲!AF206</f>
        <v>81.753523213908451</v>
      </c>
      <c r="AG206" s="6">
        <f>[1]节奏总纲!AG206</f>
        <v>86.273423994411502</v>
      </c>
      <c r="AH206" s="6">
        <f>[1]节奏总纲!AH206</f>
        <v>95.724585495978289</v>
      </c>
      <c r="AZ206" s="6">
        <v>203</v>
      </c>
      <c r="BA206" s="6">
        <v>42.791978326124728</v>
      </c>
      <c r="BB206" s="6">
        <v>44.294146315903454</v>
      </c>
      <c r="BC206" s="6">
        <v>46.240303692017122</v>
      </c>
      <c r="BD206" s="6">
        <v>48.9992397462836</v>
      </c>
      <c r="BE206" s="6">
        <v>50</v>
      </c>
    </row>
    <row r="207" spans="29:57" x14ac:dyDescent="0.15">
      <c r="AC207" s="6">
        <v>204</v>
      </c>
      <c r="AD207" s="6">
        <f>[1]节奏总纲!AD207</f>
        <v>76.789110517622973</v>
      </c>
      <c r="AE207" s="6">
        <f>[1]节奏总纲!AE207</f>
        <v>78.851893278096043</v>
      </c>
      <c r="AF207" s="6">
        <f>[1]节奏总纲!AF207</f>
        <v>81.826496600822708</v>
      </c>
      <c r="AG207" s="6">
        <f>[1]节奏总纲!AG207</f>
        <v>86.349258756949112</v>
      </c>
      <c r="AH207" s="6">
        <f>[1]节奏总纲!AH207</f>
        <v>95.795936166782383</v>
      </c>
      <c r="AZ207" s="6">
        <v>204</v>
      </c>
      <c r="BA207" s="6">
        <v>42.826691081051791</v>
      </c>
      <c r="BB207" s="6">
        <v>44.326465623783335</v>
      </c>
      <c r="BC207" s="6">
        <v>46.272410430048332</v>
      </c>
      <c r="BD207" s="6">
        <v>49.030333272797542</v>
      </c>
      <c r="BE207" s="6">
        <v>50</v>
      </c>
    </row>
    <row r="208" spans="29:57" x14ac:dyDescent="0.15">
      <c r="AC208" s="6">
        <v>205</v>
      </c>
      <c r="AD208" s="6">
        <f>[1]节奏总纲!AD208</f>
        <v>76.860924355137783</v>
      </c>
      <c r="AE208" s="6">
        <f>[1]节奏总纲!AE208</f>
        <v>78.923138690966013</v>
      </c>
      <c r="AF208" s="6">
        <f>[1]节奏总纲!AF208</f>
        <v>81.899469987736964</v>
      </c>
      <c r="AG208" s="6">
        <f>[1]节奏总纲!AG208</f>
        <v>86.425093519486722</v>
      </c>
      <c r="AH208" s="6">
        <f>[1]节奏总纲!AH208</f>
        <v>95.867286837586477</v>
      </c>
      <c r="AZ208" s="6">
        <v>205</v>
      </c>
      <c r="BA208" s="6">
        <v>42.861403835978855</v>
      </c>
      <c r="BB208" s="6">
        <v>44.358784931663209</v>
      </c>
      <c r="BC208" s="6">
        <v>46.304517168079542</v>
      </c>
      <c r="BD208" s="6">
        <v>49.061322941292346</v>
      </c>
      <c r="BE208" s="6">
        <v>50</v>
      </c>
    </row>
    <row r="209" spans="29:57" x14ac:dyDescent="0.15">
      <c r="AC209" s="6">
        <v>206</v>
      </c>
      <c r="AD209" s="6">
        <f>[1]节奏总纲!AD209</f>
        <v>76.932738192652593</v>
      </c>
      <c r="AE209" s="6">
        <f>[1]节奏总纲!AE209</f>
        <v>78.994384103835998</v>
      </c>
      <c r="AF209" s="6">
        <f>[1]节奏总纲!AF209</f>
        <v>81.972443374651206</v>
      </c>
      <c r="AG209" s="6">
        <f>[1]节奏总纲!AG209</f>
        <v>86.500928282024347</v>
      </c>
      <c r="AH209" s="6">
        <f>[1]节奏总纲!AH209</f>
        <v>95.938637508390585</v>
      </c>
      <c r="AZ209" s="6">
        <v>206</v>
      </c>
      <c r="BA209" s="6">
        <v>42.896116590905919</v>
      </c>
      <c r="BB209" s="6">
        <v>44.39110423954309</v>
      </c>
      <c r="BC209" s="6">
        <v>46.336623906110759</v>
      </c>
      <c r="BD209" s="6">
        <v>49.09231260978715</v>
      </c>
      <c r="BE209" s="6">
        <v>50</v>
      </c>
    </row>
    <row r="210" spans="29:57" x14ac:dyDescent="0.15">
      <c r="AC210" s="6">
        <v>207</v>
      </c>
      <c r="AD210" s="6">
        <f>[1]节奏总纲!AD210</f>
        <v>77.004247194324648</v>
      </c>
      <c r="AE210" s="6">
        <f>[1]节奏总纲!AE210</f>
        <v>79.061386416569832</v>
      </c>
      <c r="AF210" s="6">
        <f>[1]节奏总纲!AF210</f>
        <v>82.041007317281839</v>
      </c>
      <c r="AG210" s="6">
        <f>[1]节奏总纲!AG210</f>
        <v>86.576763044561957</v>
      </c>
      <c r="AH210" s="6">
        <f>[1]节奏总纲!AH210</f>
        <v>96.008512635801992</v>
      </c>
      <c r="AZ210" s="6">
        <v>207</v>
      </c>
      <c r="BA210" s="6">
        <v>42.930829345832983</v>
      </c>
      <c r="BB210" s="6">
        <v>44.423423547422971</v>
      </c>
      <c r="BC210" s="6">
        <v>46.368730644141969</v>
      </c>
      <c r="BD210" s="6">
        <v>49.123302278281955</v>
      </c>
      <c r="BE210" s="6">
        <v>50</v>
      </c>
    </row>
    <row r="211" spans="29:57" x14ac:dyDescent="0.15">
      <c r="AC211" s="6">
        <v>208</v>
      </c>
      <c r="AD211" s="6">
        <f>[1]节奏总纲!AD211</f>
        <v>77.07125187397483</v>
      </c>
      <c r="AE211" s="6">
        <f>[1]节奏总纲!AE211</f>
        <v>79.128025648620252</v>
      </c>
      <c r="AF211" s="6">
        <f>[1]节奏总纲!AF211</f>
        <v>82.106895829081836</v>
      </c>
      <c r="AG211" s="6">
        <f>[1]节奏总纲!AG211</f>
        <v>86.652597807099568</v>
      </c>
      <c r="AH211" s="6">
        <f>[1]节奏总纲!AH211</f>
        <v>96.069322745727362</v>
      </c>
      <c r="AZ211" s="6">
        <v>208</v>
      </c>
      <c r="BA211" s="6">
        <v>42.965542100760054</v>
      </c>
      <c r="BB211" s="6">
        <v>44.455742855302844</v>
      </c>
      <c r="BC211" s="6">
        <v>46.400837382173179</v>
      </c>
      <c r="BD211" s="6">
        <v>49.154291946776759</v>
      </c>
      <c r="BE211" s="6">
        <v>50</v>
      </c>
    </row>
    <row r="212" spans="29:57" x14ac:dyDescent="0.15">
      <c r="AC212" s="6">
        <v>209</v>
      </c>
      <c r="AD212" s="6">
        <f>[1]节奏总纲!AD212</f>
        <v>77.138256553625013</v>
      </c>
      <c r="AE212" s="6">
        <f>[1]节奏总纲!AE212</f>
        <v>79.194664880670672</v>
      </c>
      <c r="AF212" s="6">
        <f>[1]节奏总纲!AF212</f>
        <v>82.172784340881819</v>
      </c>
      <c r="AG212" s="6">
        <f>[1]节奏总纲!AG212</f>
        <v>86.728432569637178</v>
      </c>
      <c r="AH212" s="6">
        <f>[1]节奏总纲!AH212</f>
        <v>96.130132855652732</v>
      </c>
      <c r="AZ212" s="6">
        <v>209</v>
      </c>
      <c r="BA212" s="6">
        <v>43.000219942361319</v>
      </c>
      <c r="BB212" s="6">
        <v>44.488062163182725</v>
      </c>
      <c r="BC212" s="6">
        <v>46.432944120204397</v>
      </c>
      <c r="BD212" s="6">
        <v>49.18528161527157</v>
      </c>
      <c r="BE212" s="6">
        <v>50</v>
      </c>
    </row>
    <row r="213" spans="29:57" x14ac:dyDescent="0.15">
      <c r="AC213" s="6">
        <v>210</v>
      </c>
      <c r="AD213" s="6">
        <f>[1]节奏总纲!AD213</f>
        <v>77.205261233275195</v>
      </c>
      <c r="AE213" s="6">
        <f>[1]节奏总纲!AE213</f>
        <v>79.261304112721092</v>
      </c>
      <c r="AF213" s="6">
        <f>[1]节奏总纲!AF213</f>
        <v>82.238672852681816</v>
      </c>
      <c r="AG213" s="6">
        <f>[1]节奏总纲!AG213</f>
        <v>86.804267332174788</v>
      </c>
      <c r="AH213" s="6">
        <f>[1]节奏总纲!AH213</f>
        <v>96.190942965578103</v>
      </c>
      <c r="AZ213" s="6">
        <v>210</v>
      </c>
      <c r="BA213" s="6">
        <v>43.030177309109042</v>
      </c>
      <c r="BB213" s="6">
        <v>44.520381471062606</v>
      </c>
      <c r="BC213" s="6">
        <v>46.465050858235607</v>
      </c>
      <c r="BD213" s="6">
        <v>49.216271283766375</v>
      </c>
      <c r="BE213" s="6">
        <v>50</v>
      </c>
    </row>
    <row r="214" spans="29:57" x14ac:dyDescent="0.15">
      <c r="AC214" s="6">
        <v>211</v>
      </c>
      <c r="AD214" s="6">
        <f>[1]节奏总纲!AD214</f>
        <v>77.272265912925377</v>
      </c>
      <c r="AE214" s="6">
        <f>[1]节奏总纲!AE214</f>
        <v>79.327943344771512</v>
      </c>
      <c r="AF214" s="6">
        <f>[1]节奏总纲!AF214</f>
        <v>82.304561364481813</v>
      </c>
      <c r="AG214" s="6">
        <f>[1]节奏总纲!AG214</f>
        <v>86.880102094712413</v>
      </c>
      <c r="AH214" s="6">
        <f>[1]节奏总纲!AH214</f>
        <v>96.251753075503458</v>
      </c>
      <c r="AZ214" s="6">
        <v>211</v>
      </c>
      <c r="BA214" s="6">
        <v>43.060134675856759</v>
      </c>
      <c r="BB214" s="6">
        <v>44.55270077894248</v>
      </c>
      <c r="BC214" s="6">
        <v>46.497157596266817</v>
      </c>
      <c r="BD214" s="6">
        <v>49.247260952261179</v>
      </c>
      <c r="BE214" s="6">
        <v>50</v>
      </c>
    </row>
    <row r="215" spans="29:57" x14ac:dyDescent="0.15">
      <c r="AC215" s="6">
        <v>212</v>
      </c>
      <c r="AD215" s="6">
        <f>[1]节奏总纲!AD215</f>
        <v>77.339270592575559</v>
      </c>
      <c r="AE215" s="6">
        <f>[1]节奏总纲!AE215</f>
        <v>79.394582576821932</v>
      </c>
      <c r="AF215" s="6">
        <f>[1]节奏总纲!AF215</f>
        <v>82.370449876281796</v>
      </c>
      <c r="AG215" s="6">
        <f>[1]节奏总纲!AG215</f>
        <v>86.955936857250023</v>
      </c>
      <c r="AH215" s="6">
        <f>[1]节奏总纲!AH215</f>
        <v>96.312563185428829</v>
      </c>
      <c r="AZ215" s="6">
        <v>212</v>
      </c>
      <c r="BA215" s="6">
        <v>43.090092042604475</v>
      </c>
      <c r="BB215" s="6">
        <v>44.585020086822361</v>
      </c>
      <c r="BC215" s="6">
        <v>46.529264334298034</v>
      </c>
      <c r="BD215" s="6">
        <v>49.278250620755983</v>
      </c>
      <c r="BE215" s="6">
        <v>50</v>
      </c>
    </row>
    <row r="216" spans="29:57" x14ac:dyDescent="0.15">
      <c r="AC216" s="6">
        <v>213</v>
      </c>
      <c r="AD216" s="6">
        <f>[1]节奏总纲!AD216</f>
        <v>77.406275272225741</v>
      </c>
      <c r="AE216" s="6">
        <f>[1]节奏总纲!AE216</f>
        <v>79.461221808872352</v>
      </c>
      <c r="AF216" s="6">
        <f>[1]节奏总纲!AF216</f>
        <v>82.436338388081793</v>
      </c>
      <c r="AG216" s="6">
        <f>[1]节奏总纲!AG216</f>
        <v>87.031203567981635</v>
      </c>
      <c r="AH216" s="6">
        <f>[1]节奏总纲!AH216</f>
        <v>96.373373295354199</v>
      </c>
      <c r="AZ216" s="6">
        <v>213</v>
      </c>
      <c r="BA216" s="6">
        <v>43.120049409352191</v>
      </c>
      <c r="BB216" s="6">
        <v>44.617339394702242</v>
      </c>
      <c r="BC216" s="6">
        <v>46.561371072329244</v>
      </c>
      <c r="BD216" s="6">
        <v>49.309240289250788</v>
      </c>
      <c r="BE216" s="6">
        <v>50</v>
      </c>
    </row>
    <row r="217" spans="29:57" x14ac:dyDescent="0.15">
      <c r="AC217" s="6">
        <v>214</v>
      </c>
      <c r="AD217" s="6">
        <f>[1]节奏总纲!AD217</f>
        <v>77.473279951875909</v>
      </c>
      <c r="AE217" s="6">
        <f>[1]节奏总纲!AE217</f>
        <v>79.527861040922772</v>
      </c>
      <c r="AF217" s="6">
        <f>[1]节奏总纲!AF217</f>
        <v>82.502226899881776</v>
      </c>
      <c r="AG217" s="6">
        <f>[1]节奏总纲!AG217</f>
        <v>87.10568246405397</v>
      </c>
      <c r="AH217" s="6">
        <f>[1]节奏总纲!AH217</f>
        <v>96.434183405279569</v>
      </c>
      <c r="AZ217" s="6">
        <v>214</v>
      </c>
      <c r="BA217" s="6">
        <v>43.150006776099914</v>
      </c>
      <c r="BB217" s="6">
        <v>44.649658702582116</v>
      </c>
      <c r="BC217" s="6">
        <v>46.593477810360454</v>
      </c>
      <c r="BD217" s="6">
        <v>49.340229957745592</v>
      </c>
      <c r="BE217" s="6">
        <v>50</v>
      </c>
    </row>
    <row r="218" spans="29:57" x14ac:dyDescent="0.15">
      <c r="AC218" s="6">
        <v>215</v>
      </c>
      <c r="AD218" s="6">
        <f>[1]节奏总纲!AD218</f>
        <v>77.540284631526092</v>
      </c>
      <c r="AE218" s="6">
        <f>[1]节奏总纲!AE218</f>
        <v>79.594500272973193</v>
      </c>
      <c r="AF218" s="6">
        <f>[1]节奏总纲!AF218</f>
        <v>82.568115411681774</v>
      </c>
      <c r="AG218" s="6">
        <f>[1]节奏总纲!AG218</f>
        <v>87.180161360126306</v>
      </c>
      <c r="AH218" s="6">
        <f>[1]节奏总纲!AH218</f>
        <v>96.494993515204939</v>
      </c>
      <c r="AZ218" s="6">
        <v>215</v>
      </c>
      <c r="BA218" s="6">
        <v>43.179964142847631</v>
      </c>
      <c r="BB218" s="6">
        <v>44.681978010461997</v>
      </c>
      <c r="BC218" s="6">
        <v>46.625584548391664</v>
      </c>
      <c r="BD218" s="6">
        <v>49.371219626240396</v>
      </c>
      <c r="BE218" s="6">
        <v>50</v>
      </c>
    </row>
    <row r="219" spans="29:57" x14ac:dyDescent="0.15">
      <c r="AC219" s="6">
        <v>216</v>
      </c>
      <c r="AD219" s="6">
        <f>[1]节奏总纲!AD219</f>
        <v>77.607289311176274</v>
      </c>
      <c r="AE219" s="6">
        <f>[1]节奏总纲!AE219</f>
        <v>79.661139505023613</v>
      </c>
      <c r="AF219" s="6">
        <f>[1]节奏总纲!AF219</f>
        <v>82.634003923481771</v>
      </c>
      <c r="AG219" s="6">
        <f>[1]节奏总纲!AG219</f>
        <v>87.254640256198641</v>
      </c>
      <c r="AH219" s="6">
        <f>[1]节奏总纲!AH219</f>
        <v>96.555803625130309</v>
      </c>
      <c r="AZ219" s="6">
        <v>216</v>
      </c>
      <c r="BA219" s="6">
        <v>43.209921509595347</v>
      </c>
      <c r="BB219" s="6">
        <v>44.71429731834187</v>
      </c>
      <c r="BC219" s="6">
        <v>46.657691286422882</v>
      </c>
      <c r="BD219" s="6">
        <v>49.402209294735208</v>
      </c>
      <c r="BE219" s="6">
        <v>50</v>
      </c>
    </row>
    <row r="220" spans="29:57" x14ac:dyDescent="0.15">
      <c r="AC220" s="6">
        <v>217</v>
      </c>
      <c r="AD220" s="6">
        <f>[1]节奏总纲!AD220</f>
        <v>77.674293990826456</v>
      </c>
      <c r="AE220" s="6">
        <f>[1]节奏总纲!AE220</f>
        <v>79.727778737074033</v>
      </c>
      <c r="AF220" s="6">
        <f>[1]节奏总纲!AF220</f>
        <v>82.699892435281754</v>
      </c>
      <c r="AG220" s="6">
        <f>[1]节奏总纲!AG220</f>
        <v>87.329119152270991</v>
      </c>
      <c r="AH220" s="6">
        <f>[1]节奏总纲!AH220</f>
        <v>96.61661373505568</v>
      </c>
      <c r="AZ220" s="6">
        <v>217</v>
      </c>
      <c r="BA220" s="6">
        <v>43.239878876343063</v>
      </c>
      <c r="BB220" s="6">
        <v>44.746616626221751</v>
      </c>
      <c r="BC220" s="6">
        <v>46.689798024454092</v>
      </c>
      <c r="BD220" s="6">
        <v>49.433198963230012</v>
      </c>
      <c r="BE220" s="6">
        <v>50</v>
      </c>
    </row>
    <row r="221" spans="29:57" x14ac:dyDescent="0.15">
      <c r="AC221" s="6">
        <v>218</v>
      </c>
      <c r="AD221" s="6">
        <f>[1]节奏总纲!AD221</f>
        <v>77.741298670476638</v>
      </c>
      <c r="AE221" s="6">
        <f>[1]节奏总纲!AE221</f>
        <v>79.794417969124453</v>
      </c>
      <c r="AF221" s="6">
        <f>[1]节奏总纲!AF221</f>
        <v>82.765780947081751</v>
      </c>
      <c r="AG221" s="6">
        <f>[1]节奏总纲!AG221</f>
        <v>87.403598048343326</v>
      </c>
      <c r="AH221" s="6">
        <f>[1]节奏总纲!AH221</f>
        <v>96.67742384498105</v>
      </c>
      <c r="AZ221" s="6">
        <v>218</v>
      </c>
      <c r="BA221" s="6">
        <v>43.269836243090786</v>
      </c>
      <c r="BB221" s="6">
        <v>44.778935934101632</v>
      </c>
      <c r="BC221" s="6">
        <v>46.721904762485302</v>
      </c>
      <c r="BD221" s="6">
        <v>49.464188631724817</v>
      </c>
      <c r="BE221" s="6">
        <v>50</v>
      </c>
    </row>
    <row r="222" spans="29:57" x14ac:dyDescent="0.15">
      <c r="AC222" s="6">
        <v>219</v>
      </c>
      <c r="AD222" s="6">
        <f>[1]节奏总纲!AD222</f>
        <v>77.80830335012682</v>
      </c>
      <c r="AE222" s="6">
        <f>[1]节奏总纲!AE222</f>
        <v>79.861057201174873</v>
      </c>
      <c r="AF222" s="6">
        <f>[1]节奏总纲!AF222</f>
        <v>82.831669458881734</v>
      </c>
      <c r="AG222" s="6">
        <f>[1]节奏总纲!AG222</f>
        <v>87.478076944415662</v>
      </c>
      <c r="AH222" s="6">
        <f>[1]节奏总纲!AH222</f>
        <v>96.73823395490642</v>
      </c>
      <c r="AZ222" s="6">
        <v>219</v>
      </c>
      <c r="BA222" s="6">
        <v>43.299793609838503</v>
      </c>
      <c r="BB222" s="6">
        <v>44.811255241981506</v>
      </c>
      <c r="BC222" s="6">
        <v>46.754011500516519</v>
      </c>
      <c r="BD222" s="6">
        <v>49.495178300219621</v>
      </c>
      <c r="BE222" s="6">
        <v>50</v>
      </c>
    </row>
    <row r="223" spans="29:57" x14ac:dyDescent="0.15">
      <c r="AC223" s="6">
        <v>220</v>
      </c>
      <c r="AD223" s="6">
        <f>[1]节奏总纲!AD223</f>
        <v>77.875308029777003</v>
      </c>
      <c r="AE223" s="6">
        <f>[1]节奏总纲!AE223</f>
        <v>79.927696433225293</v>
      </c>
      <c r="AF223" s="6">
        <f>[1]节奏总纲!AF223</f>
        <v>82.897557970681731</v>
      </c>
      <c r="AG223" s="6">
        <f>[1]节奏总纲!AG223</f>
        <v>87.552555840488012</v>
      </c>
      <c r="AH223" s="6">
        <f>[1]节奏总纲!AH223</f>
        <v>96.79904406483179</v>
      </c>
      <c r="AZ223" s="6">
        <v>220</v>
      </c>
      <c r="BA223" s="6">
        <v>43.329750976586219</v>
      </c>
      <c r="BB223" s="6">
        <v>44.843574549861387</v>
      </c>
      <c r="BC223" s="6">
        <v>46.786118238547729</v>
      </c>
      <c r="BD223" s="6">
        <v>49.526167968714425</v>
      </c>
      <c r="BE223" s="6">
        <v>50</v>
      </c>
    </row>
    <row r="224" spans="29:57" x14ac:dyDescent="0.15">
      <c r="AC224" s="6">
        <v>221</v>
      </c>
      <c r="AD224" s="6">
        <f>[1]节奏总纲!AD224</f>
        <v>77.942312709427185</v>
      </c>
      <c r="AE224" s="6">
        <f>[1]节奏总纲!AE224</f>
        <v>79.994335665275713</v>
      </c>
      <c r="AF224" s="6">
        <f>[1]节奏总纲!AF224</f>
        <v>82.963446482481729</v>
      </c>
      <c r="AG224" s="6">
        <f>[1]节奏总纲!AG224</f>
        <v>87.627034736560347</v>
      </c>
      <c r="AH224" s="6">
        <f>[1]节奏总纲!AH224</f>
        <v>96.85985417475716</v>
      </c>
      <c r="AZ224" s="6">
        <v>221</v>
      </c>
      <c r="BA224" s="6">
        <v>43.359708343333942</v>
      </c>
      <c r="BB224" s="6">
        <v>44.875893857741268</v>
      </c>
      <c r="BC224" s="6">
        <v>46.818224976578939</v>
      </c>
      <c r="BD224" s="6">
        <v>49.55715763720923</v>
      </c>
      <c r="BE224" s="6">
        <v>50</v>
      </c>
    </row>
    <row r="225" spans="29:57" x14ac:dyDescent="0.15">
      <c r="AC225" s="6">
        <v>222</v>
      </c>
      <c r="AD225" s="6">
        <f>[1]节奏总纲!AD225</f>
        <v>78.008693431404168</v>
      </c>
      <c r="AE225" s="6">
        <f>[1]节奏总纲!AE225</f>
        <v>80.05990507131493</v>
      </c>
      <c r="AF225" s="6">
        <f>[1]节奏总纲!AF225</f>
        <v>83.028328094754301</v>
      </c>
      <c r="AG225" s="6">
        <f>[1]节奏总纲!AG225</f>
        <v>87.701513632632683</v>
      </c>
      <c r="AH225" s="6">
        <f>[1]节奏总纲!AH225</f>
        <v>96.920664284682516</v>
      </c>
      <c r="AZ225" s="6">
        <v>222</v>
      </c>
      <c r="BA225" s="6">
        <v>43.389665710081658</v>
      </c>
      <c r="BB225" s="6">
        <v>44.908213165621142</v>
      </c>
      <c r="BC225" s="6">
        <v>46.850331714610157</v>
      </c>
      <c r="BD225" s="6">
        <v>49.588147305704041</v>
      </c>
      <c r="BE225" s="6">
        <v>50</v>
      </c>
    </row>
    <row r="226" spans="29:57" x14ac:dyDescent="0.15">
      <c r="AC226" s="6">
        <v>223</v>
      </c>
      <c r="AD226" s="6">
        <f>[1]节奏总纲!AD226</f>
        <v>78.071211008105138</v>
      </c>
      <c r="AE226" s="6">
        <f>[1]节奏总纲!AE226</f>
        <v>80.125375094609936</v>
      </c>
      <c r="AF226" s="6">
        <f>[1]节奏总纲!AF226</f>
        <v>83.091955037632331</v>
      </c>
      <c r="AG226" s="6">
        <f>[1]节奏总纲!AG226</f>
        <v>87.775992528705018</v>
      </c>
      <c r="AH226" s="6">
        <f>[1]节奏总纲!AH226</f>
        <v>96.981474394607886</v>
      </c>
      <c r="AZ226" s="6">
        <v>223</v>
      </c>
      <c r="BA226" s="6">
        <v>43.419623076829374</v>
      </c>
      <c r="BB226" s="6">
        <v>44.940532473501023</v>
      </c>
      <c r="BC226" s="6">
        <v>46.882438452641367</v>
      </c>
      <c r="BD226" s="6">
        <v>49.619136974198845</v>
      </c>
      <c r="BE226" s="6">
        <v>50</v>
      </c>
    </row>
    <row r="227" spans="29:57" x14ac:dyDescent="0.15">
      <c r="AC227" s="6">
        <v>224</v>
      </c>
      <c r="AD227" s="6">
        <f>[1]节奏总纲!AD227</f>
        <v>78.133728584806107</v>
      </c>
      <c r="AE227" s="6">
        <f>[1]节奏总纲!AE227</f>
        <v>80.190845117904942</v>
      </c>
      <c r="AF227" s="6">
        <f>[1]节奏总纲!AF227</f>
        <v>83.155581980510348</v>
      </c>
      <c r="AG227" s="6">
        <f>[1]节奏总纲!AG227</f>
        <v>87.850471424777368</v>
      </c>
      <c r="AH227" s="6">
        <f>[1]节奏总纲!AH227</f>
        <v>97.03979962522213</v>
      </c>
      <c r="AZ227" s="6">
        <v>224</v>
      </c>
      <c r="BA227" s="6">
        <v>43.449580443577091</v>
      </c>
      <c r="BB227" s="6">
        <v>44.972851781380903</v>
      </c>
      <c r="BC227" s="6">
        <v>46.914545190672577</v>
      </c>
      <c r="BD227" s="6">
        <v>49.65012664269365</v>
      </c>
      <c r="BE227" s="6">
        <v>50</v>
      </c>
    </row>
    <row r="228" spans="29:57" x14ac:dyDescent="0.15">
      <c r="AC228" s="6">
        <v>225</v>
      </c>
      <c r="AD228" s="6">
        <f>[1]节奏总纲!AD228</f>
        <v>78.196246161507091</v>
      </c>
      <c r="AE228" s="6">
        <f>[1]节奏总纲!AE228</f>
        <v>80.256315141199948</v>
      </c>
      <c r="AF228" s="6">
        <f>[1]节奏总纲!AF228</f>
        <v>83.219208923388379</v>
      </c>
      <c r="AG228" s="6">
        <f>[1]节奏总纲!AG228</f>
        <v>87.924950320849703</v>
      </c>
      <c r="AH228" s="6">
        <f>[1]节奏总纲!AH228</f>
        <v>97.097036185315744</v>
      </c>
      <c r="AZ228" s="6">
        <v>225</v>
      </c>
      <c r="BA228" s="6">
        <v>43.479537810324814</v>
      </c>
      <c r="BB228" s="6">
        <v>45.004463376644416</v>
      </c>
      <c r="BC228" s="6">
        <v>46.946651928703794</v>
      </c>
      <c r="BD228" s="6">
        <v>49.681116311188454</v>
      </c>
      <c r="BE228" s="6">
        <v>50</v>
      </c>
    </row>
    <row r="229" spans="29:57" x14ac:dyDescent="0.15">
      <c r="AC229" s="6">
        <v>226</v>
      </c>
      <c r="AD229" s="6">
        <f>[1]节奏总纲!AD229</f>
        <v>78.25876373820806</v>
      </c>
      <c r="AE229" s="6">
        <f>[1]节奏总纲!AE229</f>
        <v>80.321785164494941</v>
      </c>
      <c r="AF229" s="6">
        <f>[1]节奏总纲!AF229</f>
        <v>83.282835866266396</v>
      </c>
      <c r="AG229" s="6">
        <f>[1]节奏总纲!AG229</f>
        <v>87.999429216922039</v>
      </c>
      <c r="AH229" s="6">
        <f>[1]节奏总纲!AH229</f>
        <v>97.154272745409358</v>
      </c>
      <c r="AZ229" s="6">
        <v>226</v>
      </c>
      <c r="BA229" s="6">
        <v>43.50949517707253</v>
      </c>
      <c r="BB229" s="6">
        <v>45.032359480672049</v>
      </c>
      <c r="BC229" s="6">
        <v>46.978758666735004</v>
      </c>
      <c r="BD229" s="6">
        <v>49.712105979683258</v>
      </c>
      <c r="BE229" s="6">
        <v>50</v>
      </c>
    </row>
    <row r="230" spans="29:57" x14ac:dyDescent="0.15">
      <c r="AC230" s="6">
        <v>227</v>
      </c>
      <c r="AD230" s="6">
        <f>[1]节奏总纲!AD230</f>
        <v>78.321281314909029</v>
      </c>
      <c r="AE230" s="6">
        <f>[1]节奏总纲!AE230</f>
        <v>80.387255187789947</v>
      </c>
      <c r="AF230" s="6">
        <f>[1]节奏总纲!AF230</f>
        <v>83.346462809144427</v>
      </c>
      <c r="AG230" s="6">
        <f>[1]节奏总纲!AG230</f>
        <v>88.069378113045531</v>
      </c>
      <c r="AH230" s="6">
        <f>[1]节奏总纲!AH230</f>
        <v>97.211509305502972</v>
      </c>
      <c r="AZ230" s="6">
        <v>227</v>
      </c>
      <c r="BA230" s="6">
        <v>43.539452543820246</v>
      </c>
      <c r="BB230" s="6">
        <v>45.060255584699682</v>
      </c>
      <c r="BC230" s="6">
        <v>47.009379755645142</v>
      </c>
      <c r="BD230" s="6">
        <v>49.743095648178063</v>
      </c>
      <c r="BE230" s="6">
        <v>50</v>
      </c>
    </row>
    <row r="231" spans="29:57" x14ac:dyDescent="0.15">
      <c r="AC231" s="6">
        <v>228</v>
      </c>
      <c r="AD231" s="6">
        <f>[1]节奏总纲!AD231</f>
        <v>78.383798891610013</v>
      </c>
      <c r="AE231" s="6">
        <f>[1]节奏总纲!AE231</f>
        <v>80.452725211084953</v>
      </c>
      <c r="AF231" s="6">
        <f>[1]节奏总纲!AF231</f>
        <v>83.410089752022458</v>
      </c>
      <c r="AG231" s="6">
        <f>[1]节奏总纲!AG231</f>
        <v>88.139292024548126</v>
      </c>
      <c r="AH231" s="6">
        <f>[1]节奏总纲!AH231</f>
        <v>97.268745865596571</v>
      </c>
      <c r="AZ231" s="6">
        <v>228</v>
      </c>
      <c r="BA231" s="6">
        <v>43.569409910567963</v>
      </c>
      <c r="BB231" s="6">
        <v>45.088151688727308</v>
      </c>
      <c r="BC231" s="6">
        <v>47.037096473409001</v>
      </c>
      <c r="BD231" s="6">
        <v>49.774085316672867</v>
      </c>
      <c r="BE231" s="6">
        <v>50</v>
      </c>
    </row>
    <row r="232" spans="29:57" x14ac:dyDescent="0.15">
      <c r="AC232" s="6">
        <v>229</v>
      </c>
      <c r="AD232" s="6">
        <f>[1]节奏总纲!AD232</f>
        <v>78.446316468310982</v>
      </c>
      <c r="AE232" s="6">
        <f>[1]节奏总纲!AE232</f>
        <v>80.518195234379959</v>
      </c>
      <c r="AF232" s="6">
        <f>[1]节奏总纲!AF232</f>
        <v>83.473716694900475</v>
      </c>
      <c r="AG232" s="6">
        <f>[1]节奏总纲!AG232</f>
        <v>88.209205936050708</v>
      </c>
      <c r="AH232" s="6">
        <f>[1]节奏总纲!AH232</f>
        <v>97.325982425690185</v>
      </c>
      <c r="AZ232" s="6">
        <v>229</v>
      </c>
      <c r="BA232" s="6">
        <v>43.599367277315686</v>
      </c>
      <c r="BB232" s="6">
        <v>45.116047792754941</v>
      </c>
      <c r="BC232" s="6">
        <v>47.06481319117286</v>
      </c>
      <c r="BD232" s="6">
        <v>49.805074985167678</v>
      </c>
      <c r="BE232" s="6">
        <v>50</v>
      </c>
    </row>
    <row r="233" spans="29:57" x14ac:dyDescent="0.15">
      <c r="AC233" s="6">
        <v>230</v>
      </c>
      <c r="AD233" s="6">
        <f>[1]节奏总纲!AD233</f>
        <v>78.508834045011952</v>
      </c>
      <c r="AE233" s="6">
        <f>[1]节奏总纲!AE233</f>
        <v>80.583665257674966</v>
      </c>
      <c r="AF233" s="6">
        <f>[1]节奏总纲!AF233</f>
        <v>83.537343637778505</v>
      </c>
      <c r="AG233" s="6">
        <f>[1]节奏总纲!AG233</f>
        <v>88.279119847553304</v>
      </c>
      <c r="AH233" s="6">
        <f>[1]节奏总纲!AH233</f>
        <v>97.383218985783799</v>
      </c>
      <c r="AZ233" s="6">
        <v>230</v>
      </c>
      <c r="BA233" s="6">
        <v>43.629324644063402</v>
      </c>
      <c r="BB233" s="6">
        <v>45.143943896782567</v>
      </c>
      <c r="BC233" s="6">
        <v>47.092529908936719</v>
      </c>
      <c r="BD233" s="6">
        <v>49.836064653662483</v>
      </c>
      <c r="BE233" s="6">
        <v>50</v>
      </c>
    </row>
    <row r="234" spans="29:57" x14ac:dyDescent="0.15">
      <c r="AC234" s="6">
        <v>231</v>
      </c>
      <c r="AD234" s="6">
        <f>[1]节奏总纲!AD234</f>
        <v>78.571351621712921</v>
      </c>
      <c r="AE234" s="6">
        <f>[1]节奏总纲!AE234</f>
        <v>80.649135280969972</v>
      </c>
      <c r="AF234" s="6">
        <f>[1]节奏总纲!AF234</f>
        <v>83.600970580656536</v>
      </c>
      <c r="AG234" s="6">
        <f>[1]节奏总纲!AG234</f>
        <v>88.349033759055899</v>
      </c>
      <c r="AH234" s="6">
        <f>[1]节奏总纲!AH234</f>
        <v>97.440455545877413</v>
      </c>
      <c r="AZ234" s="6">
        <v>231</v>
      </c>
      <c r="BA234" s="6">
        <v>43.659282010811118</v>
      </c>
      <c r="BB234" s="6">
        <v>45.171840000810199</v>
      </c>
      <c r="BC234" s="6">
        <v>47.120246626700578</v>
      </c>
      <c r="BD234" s="6">
        <v>49.867054322157287</v>
      </c>
      <c r="BE234" s="6">
        <v>50</v>
      </c>
    </row>
    <row r="235" spans="29:57" x14ac:dyDescent="0.15">
      <c r="AC235" s="6">
        <v>232</v>
      </c>
      <c r="AD235" s="6">
        <f>[1]节奏总纲!AD235</f>
        <v>78.633869198413905</v>
      </c>
      <c r="AE235" s="6">
        <f>[1]节奏总纲!AE235</f>
        <v>80.714605304264978</v>
      </c>
      <c r="AF235" s="6">
        <f>[1]节奏总纲!AF235</f>
        <v>83.664597523534553</v>
      </c>
      <c r="AG235" s="6">
        <f>[1]节奏总纲!AG235</f>
        <v>88.418947670558495</v>
      </c>
      <c r="AH235" s="6">
        <f>[1]节奏总纲!AH235</f>
        <v>97.497692105971026</v>
      </c>
      <c r="AZ235" s="6">
        <v>232</v>
      </c>
      <c r="BA235" s="6">
        <v>43.689239377558835</v>
      </c>
      <c r="BB235" s="6">
        <v>45.199736104837825</v>
      </c>
      <c r="BC235" s="6">
        <v>47.147963344464429</v>
      </c>
      <c r="BD235" s="6">
        <v>49.898043990652091</v>
      </c>
      <c r="BE235" s="6">
        <v>50</v>
      </c>
    </row>
    <row r="236" spans="29:57" x14ac:dyDescent="0.15">
      <c r="AC236" s="6">
        <v>233</v>
      </c>
      <c r="AD236" s="6">
        <f>[1]节奏总纲!AD236</f>
        <v>78.696386775114874</v>
      </c>
      <c r="AE236" s="6">
        <f>[1]节奏总纲!AE236</f>
        <v>80.78007532755997</v>
      </c>
      <c r="AF236" s="6">
        <f>[1]节奏总纲!AF236</f>
        <v>83.728224466412584</v>
      </c>
      <c r="AG236" s="6">
        <f>[1]节奏总纲!AG236</f>
        <v>88.488861582061077</v>
      </c>
      <c r="AH236" s="6">
        <f>[1]节奏总纲!AH236</f>
        <v>97.554928666064626</v>
      </c>
      <c r="AZ236" s="6">
        <v>233</v>
      </c>
      <c r="BA236" s="6">
        <v>43.719196744306558</v>
      </c>
      <c r="BB236" s="6">
        <v>45.227632208865458</v>
      </c>
      <c r="BC236" s="6">
        <v>47.175680062228288</v>
      </c>
      <c r="BD236" s="6">
        <v>49.929033659146896</v>
      </c>
      <c r="BE236" s="6">
        <v>50</v>
      </c>
    </row>
    <row r="237" spans="29:57" x14ac:dyDescent="0.15">
      <c r="AC237" s="6">
        <v>234</v>
      </c>
      <c r="AD237" s="6">
        <f>[1]节奏总纲!AD237</f>
        <v>78.758904351815843</v>
      </c>
      <c r="AE237" s="6">
        <f>[1]节奏总纲!AE237</f>
        <v>80.845545350854977</v>
      </c>
      <c r="AF237" s="6">
        <f>[1]节奏总纲!AF237</f>
        <v>83.791851409290615</v>
      </c>
      <c r="AG237" s="6">
        <f>[1]节奏总纲!AG237</f>
        <v>88.558775493563672</v>
      </c>
      <c r="AH237" s="6">
        <f>[1]节奏总纲!AH237</f>
        <v>97.61216522615824</v>
      </c>
      <c r="AZ237" s="6">
        <v>234</v>
      </c>
      <c r="BA237" s="6">
        <v>43.749154111054274</v>
      </c>
      <c r="BB237" s="6">
        <v>45.255528312893091</v>
      </c>
      <c r="BC237" s="6">
        <v>47.203396779992147</v>
      </c>
      <c r="BD237" s="6">
        <v>49.9600233276417</v>
      </c>
      <c r="BE237" s="6">
        <v>50</v>
      </c>
    </row>
    <row r="238" spans="29:57" x14ac:dyDescent="0.15">
      <c r="AC238" s="6">
        <v>235</v>
      </c>
      <c r="AD238" s="6">
        <f>[1]节奏总纲!AD238</f>
        <v>78.821421928516827</v>
      </c>
      <c r="AE238" s="6">
        <f>[1]节奏总纲!AE238</f>
        <v>80.911015374149983</v>
      </c>
      <c r="AF238" s="6">
        <f>[1]节奏总纲!AF238</f>
        <v>83.855478352168632</v>
      </c>
      <c r="AG238" s="6">
        <f>[1]节奏总纲!AG238</f>
        <v>88.628689405066268</v>
      </c>
      <c r="AH238" s="6">
        <f>[1]节奏总纲!AH238</f>
        <v>97.669401786251854</v>
      </c>
      <c r="AZ238" s="6">
        <v>235</v>
      </c>
      <c r="BA238" s="6">
        <v>43.77911147780199</v>
      </c>
      <c r="BB238" s="6">
        <v>45.283424416920717</v>
      </c>
      <c r="BC238" s="6">
        <v>47.231113497756006</v>
      </c>
      <c r="BD238" s="6">
        <v>49.991012996136504</v>
      </c>
      <c r="BE238" s="6">
        <v>50</v>
      </c>
    </row>
    <row r="239" spans="29:57" x14ac:dyDescent="0.15">
      <c r="AC239" s="6">
        <v>236</v>
      </c>
      <c r="AD239" s="6">
        <f>[1]节奏总纲!AD239</f>
        <v>78.883939505217796</v>
      </c>
      <c r="AE239" s="6">
        <f>[1]节奏总纲!AE239</f>
        <v>80.976485397444989</v>
      </c>
      <c r="AF239" s="6">
        <f>[1]节奏总纲!AF239</f>
        <v>83.919105295046663</v>
      </c>
      <c r="AG239" s="6">
        <f>[1]节奏总纲!AG239</f>
        <v>88.698603316568864</v>
      </c>
      <c r="AH239" s="6">
        <f>[1]节奏总纲!AH239</f>
        <v>97.726638346345467</v>
      </c>
      <c r="AZ239" s="6">
        <v>236</v>
      </c>
      <c r="BA239" s="6">
        <v>43.809068844549707</v>
      </c>
      <c r="BB239" s="6">
        <v>45.31132052094835</v>
      </c>
      <c r="BC239" s="6">
        <v>47.258830215519865</v>
      </c>
      <c r="BD239" s="6">
        <v>50</v>
      </c>
      <c r="BE239" s="6">
        <v>50</v>
      </c>
    </row>
    <row r="240" spans="29:57" x14ac:dyDescent="0.15">
      <c r="AC240" s="6">
        <v>237</v>
      </c>
      <c r="AD240" s="6">
        <f>[1]节奏总纲!AD240</f>
        <v>78.946457081918766</v>
      </c>
      <c r="AE240" s="6">
        <f>[1]节奏总纲!AE240</f>
        <v>81.038163244467697</v>
      </c>
      <c r="AF240" s="6">
        <f>[1]节奏总纲!AF240</f>
        <v>83.982732237924694</v>
      </c>
      <c r="AG240" s="6">
        <f>[1]节奏总纲!AG240</f>
        <v>88.768517228071445</v>
      </c>
      <c r="AH240" s="6">
        <f>[1]节奏总纲!AH240</f>
        <v>97.783874906439081</v>
      </c>
      <c r="AZ240" s="6">
        <v>237</v>
      </c>
      <c r="BA240" s="6">
        <v>43.83902621129743</v>
      </c>
      <c r="BB240" s="6">
        <v>45.339216624975975</v>
      </c>
      <c r="BC240" s="6">
        <v>47.286546933283724</v>
      </c>
      <c r="BD240" s="6">
        <v>50</v>
      </c>
      <c r="BE240" s="6">
        <v>50</v>
      </c>
    </row>
    <row r="241" spans="29:57" x14ac:dyDescent="0.15">
      <c r="AC241" s="6">
        <v>238</v>
      </c>
      <c r="AD241" s="6">
        <f>[1]节奏总纲!AD241</f>
        <v>79.008373652580005</v>
      </c>
      <c r="AE241" s="6">
        <f>[1]节奏总纲!AE241</f>
        <v>81.097715704203424</v>
      </c>
      <c r="AF241" s="6">
        <f>[1]节奏总纲!AF241</f>
        <v>84.043767921022209</v>
      </c>
      <c r="AG241" s="6">
        <f>[1]节奏总纲!AG241</f>
        <v>88.838431139574041</v>
      </c>
      <c r="AH241" s="6">
        <f>[1]节奏总纲!AH241</f>
        <v>97.841111466532681</v>
      </c>
      <c r="AZ241" s="6">
        <v>238</v>
      </c>
      <c r="BA241" s="6">
        <v>43.868983578045146</v>
      </c>
      <c r="BB241" s="6">
        <v>45.367112729003608</v>
      </c>
      <c r="BC241" s="6">
        <v>47.314263651047582</v>
      </c>
      <c r="BD241" s="6">
        <v>50</v>
      </c>
      <c r="BE241" s="6">
        <v>50</v>
      </c>
    </row>
    <row r="242" spans="29:57" x14ac:dyDescent="0.15">
      <c r="AC242" s="6">
        <v>239</v>
      </c>
      <c r="AD242" s="6">
        <f>[1]节奏总纲!AD242</f>
        <v>79.066704614192943</v>
      </c>
      <c r="AE242" s="6">
        <f>[1]节奏总纲!AE242</f>
        <v>81.157268163939136</v>
      </c>
      <c r="AF242" s="6">
        <f>[1]节奏总纲!AF242</f>
        <v>84.103838417578672</v>
      </c>
      <c r="AG242" s="6">
        <f>[1]节奏总纲!AG242</f>
        <v>88.908345051076637</v>
      </c>
      <c r="AH242" s="6">
        <f>[1]节奏总纲!AH242</f>
        <v>97.898348026626294</v>
      </c>
      <c r="AZ242" s="6">
        <v>239</v>
      </c>
      <c r="BA242" s="6">
        <v>43.898940944792862</v>
      </c>
      <c r="BB242" s="6">
        <v>45.395008833031234</v>
      </c>
      <c r="BC242" s="6">
        <v>47.341980368811441</v>
      </c>
      <c r="BD242" s="6">
        <v>50</v>
      </c>
      <c r="BE242" s="6">
        <v>50</v>
      </c>
    </row>
    <row r="243" spans="29:57" x14ac:dyDescent="0.15">
      <c r="AC243" s="6">
        <v>240</v>
      </c>
      <c r="AD243" s="6">
        <f>[1]节奏总纲!AD243</f>
        <v>79.125035575805882</v>
      </c>
      <c r="AE243" s="6">
        <f>[1]节奏总纲!AE243</f>
        <v>81.216820623674849</v>
      </c>
      <c r="AF243" s="6">
        <f>[1]节奏总纲!AF243</f>
        <v>84.163908914135135</v>
      </c>
      <c r="AG243" s="6">
        <f>[1]节奏总纲!AG243</f>
        <v>88.978258962579233</v>
      </c>
      <c r="AH243" s="6">
        <f>[1]节奏总纲!AH243</f>
        <v>97.955584586719908</v>
      </c>
      <c r="AZ243" s="6">
        <v>240</v>
      </c>
      <c r="BA243" s="6">
        <v>43.928898311540586</v>
      </c>
      <c r="BB243" s="6">
        <v>45.422904937058867</v>
      </c>
      <c r="BC243" s="6">
        <v>47.3696970865753</v>
      </c>
      <c r="BD243" s="6">
        <v>50</v>
      </c>
      <c r="BE243" s="6">
        <v>50</v>
      </c>
    </row>
    <row r="244" spans="29:57" x14ac:dyDescent="0.15">
      <c r="AC244" s="6">
        <v>241</v>
      </c>
      <c r="AD244" s="6">
        <f>[1]节奏总纲!AD244</f>
        <v>79.18336653741882</v>
      </c>
      <c r="AE244" s="6">
        <f>[1]节奏总纲!AE244</f>
        <v>81.276373083410562</v>
      </c>
      <c r="AF244" s="6">
        <f>[1]节奏总纲!AF244</f>
        <v>84.223979410691598</v>
      </c>
      <c r="AG244" s="6">
        <f>[1]节奏总纲!AG244</f>
        <v>89.047272179270863</v>
      </c>
      <c r="AH244" s="6">
        <f>[1]节奏总纲!AH244</f>
        <v>98.013314854852808</v>
      </c>
      <c r="AZ244" s="6">
        <v>241</v>
      </c>
      <c r="BA244" s="6">
        <v>43.958855678288302</v>
      </c>
      <c r="BB244" s="6">
        <v>45.450801041086493</v>
      </c>
      <c r="BC244" s="6">
        <v>47.397413804339159</v>
      </c>
      <c r="BD244" s="6">
        <v>50</v>
      </c>
      <c r="BE244" s="6">
        <v>50</v>
      </c>
    </row>
    <row r="245" spans="29:57" x14ac:dyDescent="0.15">
      <c r="AC245" s="6">
        <v>242</v>
      </c>
      <c r="AD245" s="6">
        <f>[1]节奏总纲!AD245</f>
        <v>79.241697499031773</v>
      </c>
      <c r="AE245" s="6">
        <f>[1]节奏总纲!AE245</f>
        <v>81.335925543146274</v>
      </c>
      <c r="AF245" s="6">
        <f>[1]节奏总纲!AF245</f>
        <v>84.284049907248061</v>
      </c>
      <c r="AG245" s="6">
        <f>[1]节奏总纲!AG245</f>
        <v>89.11587890081428</v>
      </c>
      <c r="AH245" s="6">
        <f>[1]节奏总纲!AH245</f>
        <v>98.072755441643167</v>
      </c>
      <c r="AZ245" s="6">
        <v>242</v>
      </c>
      <c r="BA245" s="6">
        <v>43.988813045036018</v>
      </c>
      <c r="BB245" s="6">
        <v>45.478697145114126</v>
      </c>
      <c r="BC245" s="6">
        <v>47.425130522103018</v>
      </c>
      <c r="BD245" s="6">
        <v>50</v>
      </c>
      <c r="BE245" s="6">
        <v>50</v>
      </c>
    </row>
    <row r="246" spans="29:57" x14ac:dyDescent="0.15">
      <c r="AC246" s="6">
        <v>243</v>
      </c>
      <c r="AD246" s="6">
        <f>[1]节奏总纲!AD246</f>
        <v>79.300028460644711</v>
      </c>
      <c r="AE246" s="6">
        <f>[1]节奏总纲!AE246</f>
        <v>81.395478002882001</v>
      </c>
      <c r="AF246" s="6">
        <f>[1]节奏总纲!AF246</f>
        <v>84.344120403804524</v>
      </c>
      <c r="AG246" s="6">
        <f>[1]节奏总纲!AG246</f>
        <v>89.184485622357698</v>
      </c>
      <c r="AH246" s="6">
        <f>[1]节奏总纲!AH246</f>
        <v>98.132196028433526</v>
      </c>
      <c r="AZ246" s="6">
        <v>243</v>
      </c>
      <c r="BA246" s="6">
        <v>44.016200268136501</v>
      </c>
      <c r="BB246" s="6">
        <v>45.506593249141758</v>
      </c>
      <c r="BC246" s="6">
        <v>47.452847239866877</v>
      </c>
      <c r="BD246" s="6">
        <v>50</v>
      </c>
      <c r="BE246" s="6">
        <v>50</v>
      </c>
    </row>
    <row r="247" spans="29:57" x14ac:dyDescent="0.15">
      <c r="AC247" s="6">
        <v>244</v>
      </c>
      <c r="AD247" s="6">
        <f>[1]节奏总纲!AD247</f>
        <v>79.358359422257649</v>
      </c>
      <c r="AE247" s="6">
        <f>[1]节奏总纲!AE247</f>
        <v>81.455030462617714</v>
      </c>
      <c r="AF247" s="6">
        <f>[1]节奏总纲!AF247</f>
        <v>84.404190900360987</v>
      </c>
      <c r="AG247" s="6">
        <f>[1]节奏总纲!AG247</f>
        <v>89.253092343901116</v>
      </c>
      <c r="AH247" s="6">
        <f>[1]节奏总纲!AH247</f>
        <v>98.191636615223871</v>
      </c>
      <c r="AZ247" s="6">
        <v>244</v>
      </c>
      <c r="BA247" s="6">
        <v>44.042055714440401</v>
      </c>
      <c r="BB247" s="6">
        <v>45.534489353169384</v>
      </c>
      <c r="BC247" s="6">
        <v>47.480563957630736</v>
      </c>
      <c r="BD247" s="6">
        <v>50</v>
      </c>
      <c r="BE247" s="6">
        <v>50</v>
      </c>
    </row>
    <row r="248" spans="29:57" x14ac:dyDescent="0.15">
      <c r="AC248" s="6">
        <v>245</v>
      </c>
      <c r="AD248" s="6">
        <f>[1]节奏总纲!AD248</f>
        <v>79.416690383870588</v>
      </c>
      <c r="AE248" s="6">
        <f>[1]节奏总纲!AE248</f>
        <v>81.514582922353426</v>
      </c>
      <c r="AF248" s="6">
        <f>[1]节奏总纲!AF248</f>
        <v>84.46426139691745</v>
      </c>
      <c r="AG248" s="6">
        <f>[1]节奏总纲!AG248</f>
        <v>89.321699065444534</v>
      </c>
      <c r="AH248" s="6">
        <f>[1]节奏总纲!AH248</f>
        <v>98.25107720201423</v>
      </c>
      <c r="AZ248" s="6">
        <v>245</v>
      </c>
      <c r="BA248" s="6">
        <v>44.067911160744309</v>
      </c>
      <c r="BB248" s="6">
        <v>45.562385457197017</v>
      </c>
      <c r="BC248" s="6">
        <v>47.508280675394595</v>
      </c>
      <c r="BD248" s="6">
        <v>50</v>
      </c>
      <c r="BE248" s="6">
        <v>50</v>
      </c>
    </row>
    <row r="249" spans="29:57" x14ac:dyDescent="0.15">
      <c r="AC249" s="6">
        <v>246</v>
      </c>
      <c r="AD249" s="6">
        <f>[1]节奏总纲!AD249</f>
        <v>79.475021345483526</v>
      </c>
      <c r="AE249" s="6">
        <f>[1]节奏总纲!AE249</f>
        <v>81.574135382089139</v>
      </c>
      <c r="AF249" s="6">
        <f>[1]节奏总纲!AF249</f>
        <v>84.524331893473914</v>
      </c>
      <c r="AG249" s="6">
        <f>[1]节奏总纲!AG249</f>
        <v>89.390305786987952</v>
      </c>
      <c r="AH249" s="6">
        <f>[1]节奏总纲!AH249</f>
        <v>98.310517788804589</v>
      </c>
      <c r="AZ249" s="6">
        <v>246</v>
      </c>
      <c r="BA249" s="6">
        <v>44.093766607048209</v>
      </c>
      <c r="BB249" s="6">
        <v>45.590281561224643</v>
      </c>
      <c r="BC249" s="6">
        <v>47.535997393158453</v>
      </c>
      <c r="BD249" s="6">
        <v>50</v>
      </c>
      <c r="BE249" s="6">
        <v>50</v>
      </c>
    </row>
    <row r="250" spans="29:57" x14ac:dyDescent="0.15">
      <c r="AC250" s="6">
        <v>247</v>
      </c>
      <c r="AD250" s="6">
        <f>[1]节奏总纲!AD250</f>
        <v>79.533352307096465</v>
      </c>
      <c r="AE250" s="6">
        <f>[1]节奏总纲!AE250</f>
        <v>81.633687841824852</v>
      </c>
      <c r="AF250" s="6">
        <f>[1]节奏总纲!AF250</f>
        <v>84.584402390030377</v>
      </c>
      <c r="AG250" s="6">
        <f>[1]节奏总纲!AG250</f>
        <v>89.45891250853137</v>
      </c>
      <c r="AH250" s="6">
        <f>[1]节奏总纲!AH250</f>
        <v>98.369958375594933</v>
      </c>
      <c r="AZ250" s="6">
        <v>247</v>
      </c>
      <c r="BA250" s="6">
        <v>44.11962205335211</v>
      </c>
      <c r="BB250" s="6">
        <v>45.618177665252276</v>
      </c>
      <c r="BC250" s="6">
        <v>47.563714110922312</v>
      </c>
      <c r="BD250" s="6">
        <v>50</v>
      </c>
      <c r="BE250" s="6">
        <v>50</v>
      </c>
    </row>
    <row r="251" spans="29:57" x14ac:dyDescent="0.15">
      <c r="AC251" s="6">
        <v>248</v>
      </c>
      <c r="AD251" s="6">
        <f>[1]节奏总纲!AD251</f>
        <v>79.591683268709417</v>
      </c>
      <c r="AE251" s="6">
        <f>[1]节奏总纲!AE251</f>
        <v>81.693240301560579</v>
      </c>
      <c r="AF251" s="6">
        <f>[1]节奏总纲!AF251</f>
        <v>84.64447288658684</v>
      </c>
      <c r="AG251" s="6">
        <f>[1]节奏总纲!AG251</f>
        <v>89.527519230074788</v>
      </c>
      <c r="AH251" s="6">
        <f>[1]节奏总纲!AH251</f>
        <v>98.429398962385292</v>
      </c>
      <c r="AZ251" s="6">
        <v>248</v>
      </c>
      <c r="BA251" s="6">
        <v>44.145477499656018</v>
      </c>
      <c r="BB251" s="6">
        <v>45.646073769279901</v>
      </c>
      <c r="BC251" s="6">
        <v>47.591430828686171</v>
      </c>
      <c r="BD251" s="6">
        <v>50</v>
      </c>
      <c r="BE251" s="6">
        <v>50</v>
      </c>
    </row>
    <row r="252" spans="29:57" x14ac:dyDescent="0.15">
      <c r="AC252" s="6">
        <v>249</v>
      </c>
      <c r="AD252" s="6">
        <f>[1]节奏总纲!AD252</f>
        <v>79.650014230322356</v>
      </c>
      <c r="AE252" s="6">
        <f>[1]节奏总纲!AE252</f>
        <v>81.752792761296291</v>
      </c>
      <c r="AF252" s="6">
        <f>[1]节奏总纲!AF252</f>
        <v>84.704543383143317</v>
      </c>
      <c r="AG252" s="6">
        <f>[1]节奏总纲!AG252</f>
        <v>89.596125951618205</v>
      </c>
      <c r="AH252" s="6">
        <f>[1]节奏总纲!AH252</f>
        <v>98.488839549175651</v>
      </c>
      <c r="AZ252" s="6">
        <v>249</v>
      </c>
      <c r="BA252" s="6">
        <v>44.171332945959918</v>
      </c>
      <c r="BB252" s="6">
        <v>45.673969873307534</v>
      </c>
      <c r="BC252" s="6">
        <v>47.61914754645003</v>
      </c>
      <c r="BD252" s="6">
        <v>50</v>
      </c>
      <c r="BE252" s="6">
        <v>50</v>
      </c>
    </row>
    <row r="253" spans="29:57" x14ac:dyDescent="0.15">
      <c r="AC253" s="6">
        <v>250</v>
      </c>
      <c r="AD253" s="6">
        <f>[1]节奏总纲!AD253</f>
        <v>79.708345191935294</v>
      </c>
      <c r="AE253" s="6">
        <f>[1]节奏总纲!AE253</f>
        <v>81.812345221032004</v>
      </c>
      <c r="AF253" s="6">
        <f>[1]节奏总纲!AF253</f>
        <v>84.76461387969978</v>
      </c>
      <c r="AG253" s="6">
        <f>[1]节奏总纲!AG253</f>
        <v>89.664732673161623</v>
      </c>
      <c r="AH253" s="6">
        <f>[1]节奏总纲!AH253</f>
        <v>98.548280135965996</v>
      </c>
      <c r="AZ253" s="6">
        <v>250</v>
      </c>
      <c r="BA253" s="6">
        <v>44.197188392263818</v>
      </c>
      <c r="BB253" s="6">
        <v>45.701865977335167</v>
      </c>
      <c r="BC253" s="6">
        <v>47.646864264213889</v>
      </c>
      <c r="BD253" s="6">
        <v>50</v>
      </c>
      <c r="BE253" s="6">
        <v>50</v>
      </c>
    </row>
    <row r="254" spans="29:57" x14ac:dyDescent="0.15">
      <c r="AC254" s="6">
        <v>251</v>
      </c>
      <c r="AD254" s="6">
        <f>[1]节奏总纲!AD254</f>
        <v>79.766676153548232</v>
      </c>
      <c r="AE254" s="6">
        <f>[1]节奏总纲!AE254</f>
        <v>81.871897680767717</v>
      </c>
      <c r="AF254" s="6">
        <f>[1]节奏总纲!AF254</f>
        <v>84.824684376256243</v>
      </c>
      <c r="AG254" s="6">
        <f>[1]节奏总纲!AG254</f>
        <v>89.733339394705041</v>
      </c>
      <c r="AH254" s="6">
        <f>[1]节奏总纲!AH254</f>
        <v>98.607720722756355</v>
      </c>
      <c r="AZ254" s="6">
        <v>251</v>
      </c>
      <c r="BA254" s="6">
        <v>44.223043838567726</v>
      </c>
      <c r="BB254" s="6">
        <v>45.729762081362793</v>
      </c>
      <c r="BC254" s="6">
        <v>47.674580981977748</v>
      </c>
      <c r="BD254" s="6">
        <v>50</v>
      </c>
      <c r="BE254" s="6">
        <v>50</v>
      </c>
    </row>
    <row r="255" spans="29:57" x14ac:dyDescent="0.15">
      <c r="AC255" s="6">
        <v>252</v>
      </c>
      <c r="AD255" s="6">
        <f>[1]节奏总纲!AD255</f>
        <v>79.825007115161171</v>
      </c>
      <c r="AE255" s="6">
        <f>[1]节奏总纲!AE255</f>
        <v>81.931450140503429</v>
      </c>
      <c r="AF255" s="6">
        <f>[1]节奏总纲!AF255</f>
        <v>84.884754872812707</v>
      </c>
      <c r="AG255" s="6">
        <f>[1]节奏总纲!AG255</f>
        <v>89.801946116248459</v>
      </c>
      <c r="AH255" s="6">
        <f>[1]节奏总纲!AH255</f>
        <v>98.667161309546714</v>
      </c>
      <c r="AZ255" s="6">
        <v>252</v>
      </c>
      <c r="BA255" s="6">
        <v>44.248899284871626</v>
      </c>
      <c r="BB255" s="6">
        <v>45.757658185390426</v>
      </c>
      <c r="BC255" s="6">
        <v>47.7022976997416</v>
      </c>
      <c r="BD255" s="6">
        <v>50</v>
      </c>
      <c r="BE255" s="6">
        <v>50</v>
      </c>
    </row>
    <row r="256" spans="29:57" x14ac:dyDescent="0.15">
      <c r="AC256" s="6">
        <v>253</v>
      </c>
      <c r="AD256" s="6">
        <f>[1]节奏总纲!AD256</f>
        <v>79.883338076774123</v>
      </c>
      <c r="AE256" s="6">
        <f>[1]节奏总纲!AE256</f>
        <v>81.991002600239142</v>
      </c>
      <c r="AF256" s="6">
        <f>[1]节奏总纲!AF256</f>
        <v>84.94482536936917</v>
      </c>
      <c r="AG256" s="6">
        <f>[1]节奏总纲!AG256</f>
        <v>89.870552837791877</v>
      </c>
      <c r="AH256" s="6">
        <f>[1]节奏总纲!AH256</f>
        <v>98.726601896337058</v>
      </c>
      <c r="AZ256" s="6">
        <v>253</v>
      </c>
      <c r="BA256" s="6">
        <v>44.274754731175527</v>
      </c>
      <c r="BB256" s="6">
        <v>45.785554289418052</v>
      </c>
      <c r="BC256" s="6">
        <v>47.730014417505458</v>
      </c>
      <c r="BD256" s="6">
        <v>50</v>
      </c>
      <c r="BE256" s="6">
        <v>50</v>
      </c>
    </row>
    <row r="257" spans="29:57" x14ac:dyDescent="0.15">
      <c r="AC257" s="6">
        <v>254</v>
      </c>
      <c r="AD257" s="6">
        <f>[1]节奏总纲!AD257</f>
        <v>79.941669038387062</v>
      </c>
      <c r="AE257" s="6">
        <f>[1]节奏总纲!AE257</f>
        <v>82.046165327855846</v>
      </c>
      <c r="AF257" s="6">
        <f>[1]节奏总纲!AF257</f>
        <v>85.004450307848032</v>
      </c>
      <c r="AG257" s="6">
        <f>[1]节奏总纲!AG257</f>
        <v>89.939159559335295</v>
      </c>
      <c r="AH257" s="6">
        <f>[1]节奏总纲!AH257</f>
        <v>98.786042483127417</v>
      </c>
      <c r="AZ257" s="6">
        <v>254</v>
      </c>
      <c r="BA257" s="6">
        <v>44.300610177479435</v>
      </c>
      <c r="BB257" s="6">
        <v>45.813450393445684</v>
      </c>
      <c r="BC257" s="6">
        <v>47.757731135269317</v>
      </c>
      <c r="BD257" s="6">
        <v>50</v>
      </c>
      <c r="BE257" s="6">
        <v>50</v>
      </c>
    </row>
    <row r="258" spans="29:57" x14ac:dyDescent="0.15">
      <c r="AC258" s="6">
        <v>255</v>
      </c>
      <c r="AD258" s="6">
        <f>[1]节奏总纲!AD258</f>
        <v>80</v>
      </c>
      <c r="AE258" s="6">
        <f>[1]节奏总纲!AE258</f>
        <v>82.100546804797787</v>
      </c>
      <c r="AF258" s="6">
        <f>[1]节奏总纲!AF258</f>
        <v>85.059053968634842</v>
      </c>
      <c r="AG258" s="6">
        <f>[1]节奏总纲!AG258</f>
        <v>90.006385600230558</v>
      </c>
      <c r="AH258" s="6">
        <f>[1]节奏总纲!AH258</f>
        <v>98.845483069917776</v>
      </c>
      <c r="AZ258" s="6">
        <v>255</v>
      </c>
      <c r="BA258" s="6">
        <v>44.326465623783335</v>
      </c>
      <c r="BB258" s="6">
        <v>45.84134649747331</v>
      </c>
      <c r="BC258" s="6">
        <v>47.785447853033176</v>
      </c>
      <c r="BD258" s="6">
        <v>50</v>
      </c>
      <c r="BE258" s="6">
        <v>50</v>
      </c>
    </row>
    <row r="259" spans="29:57" x14ac:dyDescent="0.15">
      <c r="AC259" s="6">
        <v>256</v>
      </c>
      <c r="AD259" s="6">
        <f>[1]节奏总纲!AD259</f>
        <v>80.054424711612938</v>
      </c>
      <c r="AE259" s="6">
        <f>[1]节奏总纲!AE259</f>
        <v>82.154928281739714</v>
      </c>
      <c r="AF259" s="6">
        <f>[1]节奏总纲!AF259</f>
        <v>85.113657629421638</v>
      </c>
      <c r="AG259" s="6">
        <f>[1]节奏总纲!AG259</f>
        <v>90.062795496260307</v>
      </c>
      <c r="AH259" s="6">
        <f>[1]节奏总纲!AH259</f>
        <v>98.904923656708121</v>
      </c>
      <c r="AZ259" s="6">
        <v>256</v>
      </c>
      <c r="BA259" s="6">
        <v>44.352321070087235</v>
      </c>
      <c r="BB259" s="6">
        <v>45.869242601500943</v>
      </c>
      <c r="BC259" s="6">
        <v>47.813164570797035</v>
      </c>
      <c r="BD259" s="6">
        <v>50</v>
      </c>
      <c r="BE259" s="6">
        <v>50</v>
      </c>
    </row>
    <row r="260" spans="29:57" x14ac:dyDescent="0.15">
      <c r="AC260" s="6">
        <v>257</v>
      </c>
      <c r="AD260" s="6">
        <f>[1]节奏总纲!AD260</f>
        <v>80.108849423225877</v>
      </c>
      <c r="AE260" s="6">
        <f>[1]节奏总纲!AE260</f>
        <v>82.209309758681655</v>
      </c>
      <c r="AF260" s="6">
        <f>[1]节奏总纲!AF260</f>
        <v>85.168261290208434</v>
      </c>
      <c r="AG260" s="6">
        <f>[1]节奏总纲!AG260</f>
        <v>90.119205392290041</v>
      </c>
      <c r="AH260" s="6">
        <f>[1]节奏总纲!AH260</f>
        <v>98.96436424349848</v>
      </c>
      <c r="AZ260" s="6">
        <v>257</v>
      </c>
      <c r="BA260" s="6">
        <v>44.378176516391136</v>
      </c>
      <c r="BB260" s="6">
        <v>45.897138705528576</v>
      </c>
      <c r="BC260" s="6">
        <v>47.840881288560894</v>
      </c>
      <c r="BD260" s="6">
        <v>50</v>
      </c>
      <c r="BE260" s="6">
        <v>50</v>
      </c>
    </row>
    <row r="261" spans="29:57" x14ac:dyDescent="0.15">
      <c r="AC261" s="6">
        <v>258</v>
      </c>
      <c r="AD261" s="6">
        <f>[1]节奏总纲!AD261</f>
        <v>80.163274134838829</v>
      </c>
      <c r="AE261" s="6">
        <f>[1]节奏总纲!AE261</f>
        <v>82.263691235623583</v>
      </c>
      <c r="AF261" s="6">
        <f>[1]节奏总纲!AF261</f>
        <v>85.222864950995231</v>
      </c>
      <c r="AG261" s="6">
        <f>[1]节奏总纲!AG261</f>
        <v>90.175615288319776</v>
      </c>
      <c r="AH261" s="6">
        <f>[1]节奏总纲!AH261</f>
        <v>99.023313221876677</v>
      </c>
      <c r="AZ261" s="6">
        <v>258</v>
      </c>
      <c r="BA261" s="6">
        <v>44.404031962695043</v>
      </c>
      <c r="BB261" s="6">
        <v>45.925034809556202</v>
      </c>
      <c r="BC261" s="6">
        <v>47.868598006324753</v>
      </c>
      <c r="BD261" s="6">
        <v>50</v>
      </c>
      <c r="BE261" s="6">
        <v>50</v>
      </c>
    </row>
    <row r="262" spans="29:57" x14ac:dyDescent="0.15">
      <c r="AC262" s="6">
        <v>259</v>
      </c>
      <c r="AD262" s="6">
        <f>[1]节奏总纲!AD262</f>
        <v>80.217698846451768</v>
      </c>
      <c r="AE262" s="6">
        <f>[1]节奏总纲!AE262</f>
        <v>82.318072712565524</v>
      </c>
      <c r="AF262" s="6">
        <f>[1]节奏总纲!AF262</f>
        <v>85.277468611782027</v>
      </c>
      <c r="AG262" s="6">
        <f>[1]节奏总纲!AG262</f>
        <v>90.23202518434951</v>
      </c>
      <c r="AH262" s="6">
        <f>[1]节奏总纲!AH262</f>
        <v>99.081526263999208</v>
      </c>
      <c r="AZ262" s="6">
        <v>259</v>
      </c>
      <c r="BA262" s="6">
        <v>44.429887408998944</v>
      </c>
      <c r="BB262" s="6">
        <v>45.952930913583835</v>
      </c>
      <c r="BC262" s="6">
        <v>47.896314724088612</v>
      </c>
      <c r="BD262" s="6">
        <v>50</v>
      </c>
      <c r="BE262" s="6">
        <v>50</v>
      </c>
    </row>
    <row r="263" spans="29:57" x14ac:dyDescent="0.15">
      <c r="AC263" s="6">
        <v>260</v>
      </c>
      <c r="AD263" s="6">
        <f>[1]节奏总纲!AD263</f>
        <v>80.272123558064706</v>
      </c>
      <c r="AE263" s="6">
        <f>[1]节奏总纲!AE263</f>
        <v>82.372454189507465</v>
      </c>
      <c r="AF263" s="6">
        <f>[1]节奏总纲!AF263</f>
        <v>85.332072272568837</v>
      </c>
      <c r="AG263" s="6">
        <f>[1]节奏总纲!AG263</f>
        <v>90.288435080379244</v>
      </c>
      <c r="AH263" s="6">
        <f>[1]节奏总纲!AH263</f>
        <v>99.139739306121726</v>
      </c>
      <c r="AZ263" s="6">
        <v>260</v>
      </c>
      <c r="BA263" s="6">
        <v>44.455742855302844</v>
      </c>
      <c r="BB263" s="6">
        <v>45.98082701761146</v>
      </c>
      <c r="BC263" s="6">
        <v>47.92403144185247</v>
      </c>
      <c r="BD263" s="6">
        <v>50</v>
      </c>
      <c r="BE263" s="6">
        <v>50</v>
      </c>
    </row>
    <row r="264" spans="29:57" x14ac:dyDescent="0.15">
      <c r="AC264" s="6">
        <v>261</v>
      </c>
      <c r="AD264" s="6">
        <f>[1]节奏总纲!AD264</f>
        <v>80.326548269677644</v>
      </c>
      <c r="AE264" s="6">
        <f>[1]节奏总纲!AE264</f>
        <v>82.426835666449392</v>
      </c>
      <c r="AF264" s="6">
        <f>[1]节奏总纲!AF264</f>
        <v>85.386675933355633</v>
      </c>
      <c r="AG264" s="6">
        <f>[1]节奏总纲!AG264</f>
        <v>90.344844976408993</v>
      </c>
      <c r="AH264" s="6">
        <f>[1]节奏总纲!AH264</f>
        <v>99.197952348244257</v>
      </c>
      <c r="AZ264" s="6">
        <v>261</v>
      </c>
      <c r="BA264" s="6">
        <v>44.481598301606752</v>
      </c>
      <c r="BB264" s="6">
        <v>46.007529841290832</v>
      </c>
      <c r="BC264" s="6">
        <v>47.951748159616329</v>
      </c>
      <c r="BD264" s="6">
        <v>50</v>
      </c>
      <c r="BE264" s="6">
        <v>50</v>
      </c>
    </row>
    <row r="265" spans="29:57" x14ac:dyDescent="0.15">
      <c r="AC265" s="6">
        <v>262</v>
      </c>
      <c r="AD265" s="6">
        <f>[1]节奏总纲!AD265</f>
        <v>80.380972981290597</v>
      </c>
      <c r="AE265" s="6">
        <f>[1]节奏总纲!AE265</f>
        <v>82.481217143391333</v>
      </c>
      <c r="AF265" s="6">
        <f>[1]节奏总纲!AF265</f>
        <v>85.441279594142429</v>
      </c>
      <c r="AG265" s="6">
        <f>[1]节奏总纲!AG265</f>
        <v>90.401254872438727</v>
      </c>
      <c r="AH265" s="6">
        <f>[1]节奏总纲!AH265</f>
        <v>99.256165390366789</v>
      </c>
      <c r="AZ265" s="6">
        <v>262</v>
      </c>
      <c r="BA265" s="6">
        <v>44.507453747910652</v>
      </c>
      <c r="BB265" s="6">
        <v>46.031609894814238</v>
      </c>
      <c r="BC265" s="6">
        <v>47.979464877380188</v>
      </c>
      <c r="BD265" s="6">
        <v>50</v>
      </c>
      <c r="BE265" s="6">
        <v>50</v>
      </c>
    </row>
    <row r="266" spans="29:57" x14ac:dyDescent="0.15">
      <c r="AC266" s="6">
        <v>263</v>
      </c>
      <c r="AD266" s="6">
        <f>[1]节奏总纲!AD266</f>
        <v>80.435397692903535</v>
      </c>
      <c r="AE266" s="6">
        <f>[1]节奏总纲!AE266</f>
        <v>82.535598620333275</v>
      </c>
      <c r="AF266" s="6">
        <f>[1]节奏总纲!AF266</f>
        <v>85.495883254929225</v>
      </c>
      <c r="AG266" s="6">
        <f>[1]节奏总纲!AG266</f>
        <v>90.457664768468462</v>
      </c>
      <c r="AH266" s="6">
        <f>[1]节奏总纲!AH266</f>
        <v>99.314378432489306</v>
      </c>
      <c r="AZ266" s="6">
        <v>263</v>
      </c>
      <c r="BA266" s="6">
        <v>44.533309194214553</v>
      </c>
      <c r="BB266" s="6">
        <v>46.055689948337651</v>
      </c>
      <c r="BC266" s="6">
        <v>48.006200084618079</v>
      </c>
      <c r="BD266" s="6">
        <v>50</v>
      </c>
      <c r="BE266" s="6">
        <v>50</v>
      </c>
    </row>
    <row r="267" spans="29:57" x14ac:dyDescent="0.15">
      <c r="AC267" s="6">
        <v>264</v>
      </c>
      <c r="AD267" s="6">
        <f>[1]节奏总纲!AD267</f>
        <v>80.489822404516474</v>
      </c>
      <c r="AE267" s="6">
        <f>[1]节奏总纲!AE267</f>
        <v>82.589980097275202</v>
      </c>
      <c r="AF267" s="6">
        <f>[1]节奏总纲!AF267</f>
        <v>85.550486915716021</v>
      </c>
      <c r="AG267" s="6">
        <f>[1]节奏总纲!AG267</f>
        <v>90.514074664498196</v>
      </c>
      <c r="AH267" s="6">
        <f>[1]节奏总纲!AH267</f>
        <v>99.372591474611838</v>
      </c>
      <c r="AZ267" s="6">
        <v>264</v>
      </c>
      <c r="BA267" s="6">
        <v>44.55916464051846</v>
      </c>
      <c r="BB267" s="6">
        <v>46.079770001861057</v>
      </c>
      <c r="BC267" s="6">
        <v>48.030128751164241</v>
      </c>
      <c r="BD267" s="6">
        <v>50</v>
      </c>
      <c r="BE267" s="6">
        <v>50</v>
      </c>
    </row>
    <row r="268" spans="29:57" x14ac:dyDescent="0.15">
      <c r="AC268" s="6">
        <v>265</v>
      </c>
      <c r="AD268" s="6">
        <f>[1]节奏总纲!AD268</f>
        <v>80.544247116129412</v>
      </c>
      <c r="AE268" s="6">
        <f>[1]节奏总纲!AE268</f>
        <v>82.644361574217143</v>
      </c>
      <c r="AF268" s="6">
        <f>[1]节奏总纲!AF268</f>
        <v>85.605090576502832</v>
      </c>
      <c r="AG268" s="6">
        <f>[1]节奏总纲!AG268</f>
        <v>90.57048456052793</v>
      </c>
      <c r="AH268" s="6">
        <f>[1]节奏总纲!AH268</f>
        <v>99.430804516734369</v>
      </c>
      <c r="AZ268" s="6">
        <v>265</v>
      </c>
      <c r="BA268" s="6">
        <v>44.585020086822361</v>
      </c>
      <c r="BB268" s="6">
        <v>46.10385005538447</v>
      </c>
      <c r="BC268" s="6">
        <v>48.054057417710396</v>
      </c>
      <c r="BD268" s="6">
        <v>50</v>
      </c>
      <c r="BE268" s="6">
        <v>50</v>
      </c>
    </row>
    <row r="269" spans="29:57" x14ac:dyDescent="0.15">
      <c r="AC269" s="6">
        <v>266</v>
      </c>
      <c r="AD269" s="6">
        <f>[1]节奏总纲!AD269</f>
        <v>80.598671827742351</v>
      </c>
      <c r="AE269" s="6">
        <f>[1]节奏总纲!AE269</f>
        <v>82.698743051159084</v>
      </c>
      <c r="AF269" s="6">
        <f>[1]节奏总纲!AF269</f>
        <v>85.659694237289628</v>
      </c>
      <c r="AG269" s="6">
        <f>[1]节奏总纲!AG269</f>
        <v>90.626894456557665</v>
      </c>
      <c r="AH269" s="6">
        <f>[1]节奏总纲!AH269</f>
        <v>99.489017558856887</v>
      </c>
      <c r="AZ269" s="6">
        <v>266</v>
      </c>
      <c r="BA269" s="6">
        <v>44.610875533126261</v>
      </c>
      <c r="BB269" s="6">
        <v>46.127930108907876</v>
      </c>
      <c r="BC269" s="6">
        <v>48.077986084256551</v>
      </c>
      <c r="BD269" s="6">
        <v>50</v>
      </c>
      <c r="BE269" s="6">
        <v>50</v>
      </c>
    </row>
    <row r="270" spans="29:57" x14ac:dyDescent="0.15">
      <c r="AC270" s="6">
        <v>267</v>
      </c>
      <c r="AD270" s="6">
        <f>[1]节奏总纲!AD270</f>
        <v>80.653096539355303</v>
      </c>
      <c r="AE270" s="6">
        <f>[1]节奏总纲!AE270</f>
        <v>82.753124528101011</v>
      </c>
      <c r="AF270" s="6">
        <f>[1]节奏总纲!AF270</f>
        <v>85.714297898076424</v>
      </c>
      <c r="AG270" s="6">
        <f>[1]节奏总纲!AG270</f>
        <v>90.683304352587413</v>
      </c>
      <c r="AH270" s="6">
        <f>[1]节奏总纲!AH270</f>
        <v>99.547230600979418</v>
      </c>
      <c r="AZ270" s="6">
        <v>267</v>
      </c>
      <c r="BA270" s="6">
        <v>44.636730979430169</v>
      </c>
      <c r="BB270" s="6">
        <v>46.152010162431289</v>
      </c>
      <c r="BC270" s="6">
        <v>48.101914750802706</v>
      </c>
      <c r="BD270" s="6">
        <v>50</v>
      </c>
      <c r="BE270" s="6">
        <v>50</v>
      </c>
    </row>
    <row r="271" spans="29:57" x14ac:dyDescent="0.15">
      <c r="AC271" s="6">
        <v>268</v>
      </c>
      <c r="AD271" s="6">
        <f>[1]节奏总纲!AD271</f>
        <v>80.707521250968242</v>
      </c>
      <c r="AE271" s="6">
        <f>[1]节奏总纲!AE271</f>
        <v>82.807506005042953</v>
      </c>
      <c r="AF271" s="6">
        <f>[1]节奏总纲!AF271</f>
        <v>85.76890155886322</v>
      </c>
      <c r="AG271" s="6">
        <f>[1]节奏总纲!AG271</f>
        <v>90.739714248617148</v>
      </c>
      <c r="AH271" s="6">
        <f>[1]节奏总纲!AH271</f>
        <v>99.605443643101935</v>
      </c>
      <c r="AZ271" s="6">
        <v>268</v>
      </c>
      <c r="BA271" s="6">
        <v>44.662586425734069</v>
      </c>
      <c r="BB271" s="6">
        <v>46.176090215954694</v>
      </c>
      <c r="BC271" s="6">
        <v>48.125843417348868</v>
      </c>
      <c r="BD271" s="6">
        <v>50</v>
      </c>
      <c r="BE271" s="6">
        <v>50</v>
      </c>
    </row>
    <row r="272" spans="29:57" x14ac:dyDescent="0.15">
      <c r="AC272" s="6">
        <v>269</v>
      </c>
      <c r="AD272" s="6">
        <f>[1]节奏总纲!AD272</f>
        <v>80.76194596258118</v>
      </c>
      <c r="AE272" s="6">
        <f>[1]节奏总纲!AE272</f>
        <v>82.861887481984894</v>
      </c>
      <c r="AF272" s="6">
        <f>[1]节奏总纲!AF272</f>
        <v>85.823505219650016</v>
      </c>
      <c r="AG272" s="6">
        <f>[1]节奏总纲!AG272</f>
        <v>90.796124144646882</v>
      </c>
      <c r="AH272" s="6">
        <f>[1]节奏总纲!AH272</f>
        <v>99.663656685224467</v>
      </c>
      <c r="AZ272" s="6">
        <v>269</v>
      </c>
      <c r="BA272" s="6">
        <v>44.68844187203797</v>
      </c>
      <c r="BB272" s="6">
        <v>46.200170269478107</v>
      </c>
      <c r="BC272" s="6">
        <v>48.149772083895023</v>
      </c>
      <c r="BD272" s="6">
        <v>50</v>
      </c>
      <c r="BE272" s="6">
        <v>50</v>
      </c>
    </row>
    <row r="273" spans="29:57" x14ac:dyDescent="0.15">
      <c r="AC273" s="6">
        <v>270</v>
      </c>
      <c r="AD273" s="6">
        <f>[1]节奏总纲!AD273</f>
        <v>80.816370674194118</v>
      </c>
      <c r="AE273" s="6">
        <f>[1]节奏总纲!AE273</f>
        <v>82.916268958926821</v>
      </c>
      <c r="AF273" s="6">
        <f>[1]节奏总纲!AF273</f>
        <v>85.878108880436827</v>
      </c>
      <c r="AG273" s="6">
        <f>[1]节奏总纲!AG273</f>
        <v>90.852534040676616</v>
      </c>
      <c r="AH273" s="6">
        <f>[1]节奏总纲!AH273</f>
        <v>99.721869727346999</v>
      </c>
      <c r="AZ273" s="6">
        <v>270</v>
      </c>
      <c r="BA273" s="6">
        <v>44.714297318341877</v>
      </c>
      <c r="BB273" s="6">
        <v>46.224250323001513</v>
      </c>
      <c r="BC273" s="6">
        <v>48.173700750441178</v>
      </c>
      <c r="BD273" s="6">
        <v>50</v>
      </c>
      <c r="BE273" s="6">
        <v>50</v>
      </c>
    </row>
    <row r="274" spans="29:57" x14ac:dyDescent="0.15">
      <c r="AC274" s="6">
        <v>271</v>
      </c>
      <c r="AD274" s="6">
        <f>[1]节奏总纲!AD274</f>
        <v>80.870795385807057</v>
      </c>
      <c r="AE274" s="6">
        <f>[1]节奏总纲!AE274</f>
        <v>82.970650435868762</v>
      </c>
      <c r="AF274" s="6">
        <f>[1]节奏总纲!AF274</f>
        <v>85.932712541223623</v>
      </c>
      <c r="AG274" s="6">
        <f>[1]节奏总纲!AG274</f>
        <v>90.908943936706351</v>
      </c>
      <c r="AH274" s="6">
        <f>[1]节奏总纲!AH274</f>
        <v>99.780082769469516</v>
      </c>
      <c r="AZ274" s="6">
        <v>271</v>
      </c>
      <c r="BA274" s="6">
        <v>44.740152764645778</v>
      </c>
      <c r="BB274" s="6">
        <v>46.248330376524919</v>
      </c>
      <c r="BC274" s="6">
        <v>48.19762941698734</v>
      </c>
      <c r="BD274" s="6">
        <v>50</v>
      </c>
      <c r="BE274" s="6">
        <v>50</v>
      </c>
    </row>
    <row r="275" spans="29:57" x14ac:dyDescent="0.15">
      <c r="AC275" s="6">
        <v>272</v>
      </c>
      <c r="AD275" s="6">
        <f>[1]节奏总纲!AD275</f>
        <v>80.925220097420009</v>
      </c>
      <c r="AE275" s="6">
        <f>[1]节奏总纲!AE275</f>
        <v>83.023342162088809</v>
      </c>
      <c r="AF275" s="6">
        <f>[1]节奏总纲!AF275</f>
        <v>85.987316202010419</v>
      </c>
      <c r="AG275" s="6">
        <f>[1]节奏总纲!AG275</f>
        <v>90.965353832736099</v>
      </c>
      <c r="AH275" s="6">
        <f>[1]节奏总纲!AH275</f>
        <v>99.838295811592047</v>
      </c>
      <c r="AZ275" s="6">
        <v>272</v>
      </c>
      <c r="BA275" s="6">
        <v>44.766008210949678</v>
      </c>
      <c r="BB275" s="6">
        <v>46.272410430048332</v>
      </c>
      <c r="BC275" s="6">
        <v>48.221558083533495</v>
      </c>
      <c r="BD275" s="6">
        <v>50</v>
      </c>
      <c r="BE275" s="6">
        <v>50</v>
      </c>
    </row>
    <row r="276" spans="29:57" x14ac:dyDescent="0.15">
      <c r="AC276" s="6">
        <v>273</v>
      </c>
      <c r="AD276" s="6">
        <f>[1]节奏总纲!AD276</f>
        <v>80.979644809032948</v>
      </c>
      <c r="AE276" s="6">
        <f>[1]节奏总纲!AE276</f>
        <v>83.07405267945947</v>
      </c>
      <c r="AF276" s="6">
        <f>[1]节奏总纲!AF276</f>
        <v>86.038061368689995</v>
      </c>
      <c r="AG276" s="6">
        <f>[1]节奏总纲!AG276</f>
        <v>91.020352770869948</v>
      </c>
      <c r="AH276" s="6">
        <f>[1]节奏总纲!AH276</f>
        <v>99.896508853714579</v>
      </c>
      <c r="AZ276" s="6">
        <v>273</v>
      </c>
      <c r="BA276" s="6">
        <v>44.791863657253586</v>
      </c>
      <c r="BB276" s="6">
        <v>46.296490483571738</v>
      </c>
      <c r="BC276" s="6">
        <v>48.24548675007965</v>
      </c>
      <c r="BD276" s="6">
        <v>50</v>
      </c>
      <c r="BE276" s="6">
        <v>50</v>
      </c>
    </row>
    <row r="277" spans="29:57" x14ac:dyDescent="0.15">
      <c r="AC277" s="6">
        <v>274</v>
      </c>
      <c r="AD277" s="6">
        <f>[1]节奏总纲!AD277</f>
        <v>81.031787986768464</v>
      </c>
      <c r="AE277" s="6">
        <f>[1]节奏总纲!AE277</f>
        <v>83.124763196830131</v>
      </c>
      <c r="AF277" s="6">
        <f>[1]节奏总纲!AF277</f>
        <v>86.087639061133402</v>
      </c>
      <c r="AG277" s="6">
        <f>[1]节奏总纲!AG277</f>
        <v>91.073105573528181</v>
      </c>
      <c r="AH277" s="6">
        <f>[1]节奏总纲!AH277</f>
        <v>99.954721895837096</v>
      </c>
      <c r="AZ277" s="6">
        <v>274</v>
      </c>
      <c r="BA277" s="6">
        <v>44.817719103557486</v>
      </c>
      <c r="BB277" s="6">
        <v>46.320570537095151</v>
      </c>
      <c r="BC277" s="6">
        <v>48.269415416625804</v>
      </c>
      <c r="BD277" s="6">
        <v>50</v>
      </c>
      <c r="BE277" s="6">
        <v>50</v>
      </c>
    </row>
    <row r="278" spans="29:57" x14ac:dyDescent="0.15">
      <c r="AC278" s="6">
        <v>275</v>
      </c>
      <c r="AD278" s="6">
        <f>[1]节奏总纲!AD278</f>
        <v>81.082568038258216</v>
      </c>
      <c r="AE278" s="6">
        <f>[1]节奏总纲!AE278</f>
        <v>83.175473714200777</v>
      </c>
      <c r="AF278" s="6">
        <f>[1]节奏总纲!AF278</f>
        <v>86.137216753576809</v>
      </c>
      <c r="AG278" s="6">
        <f>[1]节奏总纲!AG278</f>
        <v>91.125858376186414</v>
      </c>
      <c r="AH278" s="6">
        <f>[1]节奏总纲!AH278</f>
        <v>100.01191770041967</v>
      </c>
      <c r="AZ278" s="6">
        <v>275</v>
      </c>
      <c r="BA278" s="6">
        <v>44.843574549861387</v>
      </c>
      <c r="BB278" s="6">
        <v>46.344650590618556</v>
      </c>
      <c r="BC278" s="6">
        <v>48.293344083171966</v>
      </c>
      <c r="BD278" s="6">
        <v>50</v>
      </c>
      <c r="BE278" s="6">
        <v>50</v>
      </c>
    </row>
    <row r="279" spans="29:57" x14ac:dyDescent="0.15">
      <c r="AC279" s="6">
        <v>276</v>
      </c>
      <c r="AD279" s="6">
        <f>[1]节奏总纲!AD279</f>
        <v>81.133348089747955</v>
      </c>
      <c r="AE279" s="6">
        <f>[1]节奏总纲!AE279</f>
        <v>83.226184231571438</v>
      </c>
      <c r="AF279" s="6">
        <f>[1]节奏总纲!AF279</f>
        <v>86.186794446020215</v>
      </c>
      <c r="AG279" s="6">
        <f>[1]节奏总纲!AG279</f>
        <v>91.178611178844633</v>
      </c>
      <c r="AH279" s="6">
        <f>[1]节奏总纲!AH279</f>
        <v>100.06555271580974</v>
      </c>
      <c r="AZ279" s="6">
        <v>276</v>
      </c>
      <c r="BA279" s="6">
        <v>44.869429996165294</v>
      </c>
      <c r="BB279" s="6">
        <v>46.368730644141969</v>
      </c>
      <c r="BC279" s="6">
        <v>48.317272749718121</v>
      </c>
      <c r="BD279" s="6">
        <v>50</v>
      </c>
      <c r="BE279" s="6">
        <v>50</v>
      </c>
    </row>
    <row r="280" spans="29:57" x14ac:dyDescent="0.15">
      <c r="AC280" s="6">
        <v>277</v>
      </c>
      <c r="AD280" s="6">
        <f>[1]节奏总纲!AD280</f>
        <v>81.184128141237707</v>
      </c>
      <c r="AE280" s="6">
        <f>[1]节奏总纲!AE280</f>
        <v>83.276894748942098</v>
      </c>
      <c r="AF280" s="6">
        <f>[1]节奏总纲!AF280</f>
        <v>86.236372138463622</v>
      </c>
      <c r="AG280" s="6">
        <f>[1]节奏总纲!AG280</f>
        <v>91.231363981502867</v>
      </c>
      <c r="AH280" s="6">
        <f>[1]节奏总纲!AH280</f>
        <v>100.11918773119983</v>
      </c>
      <c r="AZ280" s="6">
        <v>277</v>
      </c>
      <c r="BA280" s="6">
        <v>44.895285442469195</v>
      </c>
      <c r="BB280" s="6">
        <v>46.392810697665375</v>
      </c>
      <c r="BC280" s="6">
        <v>48.341201416264276</v>
      </c>
      <c r="BD280" s="6">
        <v>50</v>
      </c>
      <c r="BE280" s="6">
        <v>50</v>
      </c>
    </row>
    <row r="281" spans="29:57" x14ac:dyDescent="0.15">
      <c r="AC281" s="6">
        <v>278</v>
      </c>
      <c r="AD281" s="6">
        <f>[1]节奏总纲!AD281</f>
        <v>81.23490819272746</v>
      </c>
      <c r="AE281" s="6">
        <f>[1]节奏总纲!AE281</f>
        <v>83.327605266312744</v>
      </c>
      <c r="AF281" s="6">
        <f>[1]节奏总纲!AF281</f>
        <v>86.285949830907029</v>
      </c>
      <c r="AG281" s="6">
        <f>[1]节奏总纲!AG281</f>
        <v>91.2841167841611</v>
      </c>
      <c r="AH281" s="6">
        <f>[1]节奏总纲!AH281</f>
        <v>100.1728227465899</v>
      </c>
      <c r="AZ281" s="6">
        <v>278</v>
      </c>
      <c r="BA281" s="6">
        <v>44.921140888773095</v>
      </c>
      <c r="BB281" s="6">
        <v>46.416890751188788</v>
      </c>
      <c r="BC281" s="6">
        <v>48.365130082810438</v>
      </c>
      <c r="BD281" s="6">
        <v>50</v>
      </c>
      <c r="BE281" s="6">
        <v>50</v>
      </c>
    </row>
    <row r="282" spans="29:57" x14ac:dyDescent="0.15">
      <c r="AC282" s="6">
        <v>279</v>
      </c>
      <c r="AD282" s="6">
        <f>[1]节奏总纲!AD282</f>
        <v>81.285688244217212</v>
      </c>
      <c r="AE282" s="6">
        <f>[1]节奏总纲!AE282</f>
        <v>83.378315783683405</v>
      </c>
      <c r="AF282" s="6">
        <f>[1]节奏总纲!AF282</f>
        <v>86.335527523350422</v>
      </c>
      <c r="AG282" s="6">
        <f>[1]节奏总纲!AG282</f>
        <v>91.336869586819319</v>
      </c>
      <c r="AH282" s="6">
        <f>[1]节奏总纲!AH282</f>
        <v>100.22645776197997</v>
      </c>
      <c r="AZ282" s="6">
        <v>279</v>
      </c>
      <c r="BA282" s="6">
        <v>44.946996335076996</v>
      </c>
      <c r="BB282" s="6">
        <v>46.440970804712194</v>
      </c>
      <c r="BC282" s="6">
        <v>48.389058749356593</v>
      </c>
      <c r="BD282" s="6">
        <v>50</v>
      </c>
      <c r="BE282" s="6">
        <v>50</v>
      </c>
    </row>
    <row r="283" spans="29:57" x14ac:dyDescent="0.15">
      <c r="AC283" s="6">
        <v>280</v>
      </c>
      <c r="AD283" s="6">
        <f>[1]节奏总纲!AD283</f>
        <v>81.336468295706965</v>
      </c>
      <c r="AE283" s="6">
        <f>[1]节奏总纲!AE283</f>
        <v>83.429026301054066</v>
      </c>
      <c r="AF283" s="6">
        <f>[1]节奏总纲!AF283</f>
        <v>86.385105215793828</v>
      </c>
      <c r="AG283" s="6">
        <f>[1]节奏总纲!AG283</f>
        <v>91.389622389477552</v>
      </c>
      <c r="AH283" s="6">
        <f>[1]节奏总纲!AH283</f>
        <v>100.28009277737006</v>
      </c>
      <c r="AZ283" s="6">
        <v>280</v>
      </c>
      <c r="BA283" s="6">
        <v>44.972851781380903</v>
      </c>
      <c r="BB283" s="6">
        <v>46.465050858235607</v>
      </c>
      <c r="BC283" s="6">
        <v>48.412987415902748</v>
      </c>
      <c r="BD283" s="6">
        <v>50</v>
      </c>
      <c r="BE283" s="6">
        <v>50</v>
      </c>
    </row>
    <row r="284" spans="29:57" x14ac:dyDescent="0.15">
      <c r="AC284" s="6">
        <v>281</v>
      </c>
      <c r="AD284" s="6">
        <f>[1]节奏总纲!AD284</f>
        <v>81.387248347196717</v>
      </c>
      <c r="AE284" s="6">
        <f>[1]节奏总纲!AE284</f>
        <v>83.479736818424712</v>
      </c>
      <c r="AF284" s="6">
        <f>[1]节奏总纲!AF284</f>
        <v>86.434682908237235</v>
      </c>
      <c r="AG284" s="6">
        <f>[1]节奏总纲!AG284</f>
        <v>91.442375192135771</v>
      </c>
      <c r="AH284" s="6">
        <f>[1]节奏总纲!AH284</f>
        <v>100.33372779276013</v>
      </c>
      <c r="AZ284" s="6">
        <v>281</v>
      </c>
      <c r="BA284" s="6">
        <v>44.998707227684804</v>
      </c>
      <c r="BB284" s="6">
        <v>46.489130911759013</v>
      </c>
      <c r="BC284" s="6">
        <v>48.43691608244891</v>
      </c>
      <c r="BD284" s="6">
        <v>50</v>
      </c>
      <c r="BE284" s="6">
        <v>50</v>
      </c>
    </row>
    <row r="285" spans="29:57" x14ac:dyDescent="0.15">
      <c r="AC285" s="6">
        <v>282</v>
      </c>
      <c r="AD285" s="6">
        <f>[1]节奏总纲!AD285</f>
        <v>81.43802839868647</v>
      </c>
      <c r="AE285" s="6">
        <f>[1]节奏总纲!AE285</f>
        <v>83.530447335795373</v>
      </c>
      <c r="AF285" s="6">
        <f>[1]节奏总纲!AF285</f>
        <v>86.484260600680642</v>
      </c>
      <c r="AG285" s="6">
        <f>[1]节奏总纲!AG285</f>
        <v>91.495127994794004</v>
      </c>
      <c r="AH285" s="6">
        <f>[1]节奏总纲!AH285</f>
        <v>100.3873628081502</v>
      </c>
      <c r="AZ285" s="6">
        <v>282</v>
      </c>
      <c r="BA285" s="6">
        <v>45.021201039060998</v>
      </c>
      <c r="BB285" s="6">
        <v>46.513210965282425</v>
      </c>
      <c r="BC285" s="6">
        <v>48.460844748995065</v>
      </c>
      <c r="BD285" s="6">
        <v>50</v>
      </c>
      <c r="BE285" s="6">
        <v>50</v>
      </c>
    </row>
    <row r="286" spans="29:57" x14ac:dyDescent="0.15">
      <c r="AC286" s="6">
        <v>283</v>
      </c>
      <c r="AD286" s="6">
        <f>[1]节奏总纲!AD286</f>
        <v>81.488808450176222</v>
      </c>
      <c r="AE286" s="6">
        <f>[1]节奏总纲!AE286</f>
        <v>83.581157853166033</v>
      </c>
      <c r="AF286" s="6">
        <f>[1]节奏总纲!AF286</f>
        <v>86.533838293124049</v>
      </c>
      <c r="AG286" s="6">
        <f>[1]节奏总纲!AG286</f>
        <v>91.547880797452237</v>
      </c>
      <c r="AH286" s="6">
        <f>[1]节奏总纲!AH286</f>
        <v>100.44099782354027</v>
      </c>
      <c r="AZ286" s="6">
        <v>283</v>
      </c>
      <c r="BA286" s="6">
        <v>45.043517922283101</v>
      </c>
      <c r="BB286" s="6">
        <v>46.537291018805831</v>
      </c>
      <c r="BC286" s="6">
        <v>48.48477341554122</v>
      </c>
      <c r="BD286" s="6">
        <v>50</v>
      </c>
      <c r="BE286" s="6">
        <v>50</v>
      </c>
    </row>
    <row r="287" spans="29:57" x14ac:dyDescent="0.15">
      <c r="AC287" s="6">
        <v>284</v>
      </c>
      <c r="AD287" s="6">
        <f>[1]节奏总纲!AD287</f>
        <v>81.539588501665975</v>
      </c>
      <c r="AE287" s="6">
        <f>[1]节奏总纲!AE287</f>
        <v>83.631868370536679</v>
      </c>
      <c r="AF287" s="6">
        <f>[1]节奏总纲!AF287</f>
        <v>86.583415985567456</v>
      </c>
      <c r="AG287" s="6">
        <f>[1]节奏总纲!AG287</f>
        <v>91.600633600110456</v>
      </c>
      <c r="AH287" s="6">
        <f>[1]节奏总纲!AH287</f>
        <v>100.49463283893036</v>
      </c>
      <c r="AZ287" s="6">
        <v>284</v>
      </c>
      <c r="BA287" s="6">
        <v>45.065834805505204</v>
      </c>
      <c r="BB287" s="6">
        <v>46.561371072329244</v>
      </c>
      <c r="BC287" s="6">
        <v>48.508702082087382</v>
      </c>
      <c r="BD287" s="6">
        <v>50</v>
      </c>
      <c r="BE287" s="6">
        <v>50</v>
      </c>
    </row>
    <row r="288" spans="29:57" x14ac:dyDescent="0.15">
      <c r="AC288" s="6">
        <v>285</v>
      </c>
      <c r="AD288" s="6">
        <f>[1]节奏总纲!AD288</f>
        <v>81.590368553155727</v>
      </c>
      <c r="AE288" s="6">
        <f>[1]节奏总纲!AE288</f>
        <v>83.68257888790734</v>
      </c>
      <c r="AF288" s="6">
        <f>[1]节奏总纲!AF288</f>
        <v>86.632993678010848</v>
      </c>
      <c r="AG288" s="6">
        <f>[1]节奏总纲!AG288</f>
        <v>91.653386402768689</v>
      </c>
      <c r="AH288" s="6">
        <f>[1]节奏总纲!AH288</f>
        <v>100.54826785432043</v>
      </c>
      <c r="AZ288" s="6">
        <v>285</v>
      </c>
      <c r="BA288" s="6">
        <v>45.088151688727308</v>
      </c>
      <c r="BB288" s="6">
        <v>46.58545112585265</v>
      </c>
      <c r="BC288" s="6">
        <v>48.532630748633537</v>
      </c>
      <c r="BD288" s="6">
        <v>50</v>
      </c>
      <c r="BE288" s="6">
        <v>50</v>
      </c>
    </row>
    <row r="289" spans="29:57" x14ac:dyDescent="0.15">
      <c r="AC289" s="6">
        <v>286</v>
      </c>
      <c r="AD289" s="6">
        <f>[1]节奏总纲!AD289</f>
        <v>81.64114860464548</v>
      </c>
      <c r="AE289" s="6">
        <f>[1]节奏总纲!AE289</f>
        <v>83.733289405278001</v>
      </c>
      <c r="AF289" s="6">
        <f>[1]节奏总纲!AF289</f>
        <v>86.682571370454255</v>
      </c>
      <c r="AG289" s="6">
        <f>[1]节奏总纲!AG289</f>
        <v>91.706139205426922</v>
      </c>
      <c r="AH289" s="6">
        <f>[1]节奏总纲!AH289</f>
        <v>100.6019028697105</v>
      </c>
      <c r="AZ289" s="6">
        <v>286</v>
      </c>
      <c r="BA289" s="6">
        <v>45.110468571949411</v>
      </c>
      <c r="BB289" s="6">
        <v>46.609531179376063</v>
      </c>
      <c r="BC289" s="6">
        <v>48.556559415179692</v>
      </c>
      <c r="BD289" s="6">
        <v>50</v>
      </c>
      <c r="BE289" s="6">
        <v>50</v>
      </c>
    </row>
    <row r="290" spans="29:57" x14ac:dyDescent="0.15">
      <c r="AC290" s="6">
        <v>287</v>
      </c>
      <c r="AD290" s="6">
        <f>[1]节奏总纲!AD290</f>
        <v>81.691928656135218</v>
      </c>
      <c r="AE290" s="6">
        <f>[1]节奏总纲!AE290</f>
        <v>83.783999922648647</v>
      </c>
      <c r="AF290" s="6">
        <f>[1]节奏总纲!AF290</f>
        <v>86.732149062897662</v>
      </c>
      <c r="AG290" s="6">
        <f>[1]节奏总纲!AG290</f>
        <v>91.758892008085141</v>
      </c>
      <c r="AH290" s="6">
        <f>[1]节奏总纲!AH290</f>
        <v>100.65553788510059</v>
      </c>
      <c r="AZ290" s="6">
        <v>287</v>
      </c>
      <c r="BA290" s="6">
        <v>45.132785455171515</v>
      </c>
      <c r="BB290" s="6">
        <v>46.633611232899469</v>
      </c>
      <c r="BC290" s="6">
        <v>48.580488081725846</v>
      </c>
      <c r="BD290" s="6">
        <v>50</v>
      </c>
      <c r="BE290" s="6">
        <v>50</v>
      </c>
    </row>
    <row r="291" spans="29:57" x14ac:dyDescent="0.15">
      <c r="AC291" s="6">
        <v>288</v>
      </c>
      <c r="AD291" s="6">
        <f>[1]节奏总纲!AD291</f>
        <v>81.742708707624971</v>
      </c>
      <c r="AE291" s="6">
        <f>[1]节奏总纲!AE291</f>
        <v>83.834710440019307</v>
      </c>
      <c r="AF291" s="6">
        <f>[1]节奏总纲!AF291</f>
        <v>86.781726755341069</v>
      </c>
      <c r="AG291" s="6">
        <f>[1]节奏总纲!AG291</f>
        <v>91.811644810743374</v>
      </c>
      <c r="AH291" s="6">
        <f>[1]节奏总纲!AH291</f>
        <v>100.70917290049066</v>
      </c>
      <c r="AZ291" s="6">
        <v>288</v>
      </c>
      <c r="BA291" s="6">
        <v>45.155102338393618</v>
      </c>
      <c r="BB291" s="6">
        <v>46.657691286422882</v>
      </c>
      <c r="BC291" s="6">
        <v>48.604416748272008</v>
      </c>
      <c r="BD291" s="6">
        <v>50</v>
      </c>
      <c r="BE291" s="6">
        <v>50</v>
      </c>
    </row>
    <row r="292" spans="29:57" x14ac:dyDescent="0.15">
      <c r="AC292" s="6">
        <v>289</v>
      </c>
      <c r="AD292" s="6">
        <f>[1]节奏总纲!AD292</f>
        <v>81.793488759114723</v>
      </c>
      <c r="AE292" s="6">
        <f>[1]节奏总纲!AE292</f>
        <v>83.885420957389968</v>
      </c>
      <c r="AF292" s="6">
        <f>[1]节奏总纲!AF292</f>
        <v>86.831304447784476</v>
      </c>
      <c r="AG292" s="6">
        <f>[1]节奏总纲!AG292</f>
        <v>91.864397613401607</v>
      </c>
      <c r="AH292" s="6">
        <f>[1]节奏总纲!AH292</f>
        <v>100.76280791588073</v>
      </c>
      <c r="AZ292" s="6">
        <v>289</v>
      </c>
      <c r="BA292" s="6">
        <v>45.177419221615722</v>
      </c>
      <c r="BB292" s="6">
        <v>46.681771339946287</v>
      </c>
      <c r="BC292" s="6">
        <v>48.628345414818163</v>
      </c>
      <c r="BD292" s="6">
        <v>50</v>
      </c>
      <c r="BE292" s="6">
        <v>50</v>
      </c>
    </row>
    <row r="293" spans="29:57" x14ac:dyDescent="0.15">
      <c r="AC293" s="6">
        <v>290</v>
      </c>
      <c r="AD293" s="6">
        <f>[1]节奏总纲!AD293</f>
        <v>81.844268810604476</v>
      </c>
      <c r="AE293" s="6">
        <f>[1]节奏总纲!AE293</f>
        <v>83.936131474760614</v>
      </c>
      <c r="AF293" s="6">
        <f>[1]节奏总纲!AF293</f>
        <v>86.880882140227882</v>
      </c>
      <c r="AG293" s="6">
        <f>[1]节奏总纲!AG293</f>
        <v>91.917150416059826</v>
      </c>
      <c r="AH293" s="6">
        <f>[1]节奏总纲!AH293</f>
        <v>100.8164429312708</v>
      </c>
      <c r="AZ293" s="6">
        <v>290</v>
      </c>
      <c r="BA293" s="6">
        <v>45.199736104837825</v>
      </c>
      <c r="BB293" s="6">
        <v>46.7058513934697</v>
      </c>
      <c r="BC293" s="6">
        <v>48.652274081364318</v>
      </c>
      <c r="BD293" s="6">
        <v>50</v>
      </c>
      <c r="BE293" s="6">
        <v>50</v>
      </c>
    </row>
    <row r="294" spans="29:57" x14ac:dyDescent="0.15">
      <c r="AC294" s="6">
        <v>291</v>
      </c>
      <c r="AD294" s="6">
        <f>[1]节奏总纲!AD294</f>
        <v>81.895048862094228</v>
      </c>
      <c r="AE294" s="6">
        <f>[1]节奏总纲!AE294</f>
        <v>83.986841992131275</v>
      </c>
      <c r="AF294" s="6">
        <f>[1]节奏总纲!AF294</f>
        <v>86.930459832671289</v>
      </c>
      <c r="AG294" s="6">
        <f>[1]节奏总纲!AG294</f>
        <v>91.969903218718059</v>
      </c>
      <c r="AH294" s="6">
        <f>[1]节奏总纲!AH294</f>
        <v>100.87007794666089</v>
      </c>
      <c r="AZ294" s="6">
        <v>291</v>
      </c>
      <c r="BA294" s="6">
        <v>45.222052988059936</v>
      </c>
      <c r="BB294" s="6">
        <v>46.729931446993106</v>
      </c>
      <c r="BC294" s="6">
        <v>48.67620274791048</v>
      </c>
      <c r="BD294" s="6">
        <v>50</v>
      </c>
      <c r="BE294" s="6">
        <v>50</v>
      </c>
    </row>
    <row r="295" spans="29:57" x14ac:dyDescent="0.15">
      <c r="AC295" s="6">
        <v>292</v>
      </c>
      <c r="AD295" s="6">
        <f>[1]节奏总纲!AD295</f>
        <v>81.945828913583981</v>
      </c>
      <c r="AE295" s="6">
        <f>[1]节奏总纲!AE295</f>
        <v>84.036191564035917</v>
      </c>
      <c r="AF295" s="6">
        <f>[1]节奏总纲!AF295</f>
        <v>86.980037525114682</v>
      </c>
      <c r="AG295" s="6">
        <f>[1]节奏总纲!AG295</f>
        <v>92.021521414287719</v>
      </c>
      <c r="AH295" s="6">
        <f>[1]节奏总纲!AH295</f>
        <v>100.92371296205096</v>
      </c>
      <c r="AZ295" s="6">
        <v>292</v>
      </c>
      <c r="BA295" s="6">
        <v>45.244369871282039</v>
      </c>
      <c r="BB295" s="6">
        <v>46.754011500516519</v>
      </c>
      <c r="BC295" s="6">
        <v>48.700131414456635</v>
      </c>
      <c r="BD295" s="6">
        <v>50</v>
      </c>
      <c r="BE295" s="6">
        <v>50</v>
      </c>
    </row>
    <row r="296" spans="29:57" x14ac:dyDescent="0.15">
      <c r="AC296" s="6">
        <v>293</v>
      </c>
      <c r="AD296" s="6">
        <f>[1]节奏总纲!AD296</f>
        <v>81.996608965073733</v>
      </c>
      <c r="AE296" s="6">
        <f>[1]节奏总纲!AE296</f>
        <v>84.085064274836242</v>
      </c>
      <c r="AF296" s="6">
        <f>[1]节奏总纲!AF296</f>
        <v>87.029133791498197</v>
      </c>
      <c r="AG296" s="6">
        <f>[1]节奏总纲!AG296</f>
        <v>92.071632371634976</v>
      </c>
      <c r="AH296" s="6">
        <f>[1]节奏总纲!AH296</f>
        <v>100.97734797744103</v>
      </c>
      <c r="AZ296" s="6">
        <v>293</v>
      </c>
      <c r="BA296" s="6">
        <v>45.266686754504143</v>
      </c>
      <c r="BB296" s="6">
        <v>46.778091554039925</v>
      </c>
      <c r="BC296" s="6">
        <v>48.72406008100279</v>
      </c>
      <c r="BD296" s="6">
        <v>50</v>
      </c>
      <c r="BE296" s="6">
        <v>50</v>
      </c>
    </row>
    <row r="297" spans="29:57" x14ac:dyDescent="0.15">
      <c r="AC297" s="6">
        <v>294</v>
      </c>
      <c r="AD297" s="6">
        <f>[1]节奏总纲!AD297</f>
        <v>82.044215515890215</v>
      </c>
      <c r="AE297" s="6">
        <f>[1]节奏总纲!AE297</f>
        <v>84.133936985636566</v>
      </c>
      <c r="AF297" s="6">
        <f>[1]节奏总纲!AF297</f>
        <v>87.077905547159801</v>
      </c>
      <c r="AG297" s="6">
        <f>[1]节奏总纲!AG297</f>
        <v>92.121743328982234</v>
      </c>
      <c r="AH297" s="6">
        <f>[1]节奏总纲!AH297</f>
        <v>101.02868392415382</v>
      </c>
      <c r="AZ297" s="6">
        <v>294</v>
      </c>
      <c r="BA297" s="6">
        <v>45.289003637726246</v>
      </c>
      <c r="BB297" s="6">
        <v>46.802171607563338</v>
      </c>
      <c r="BC297" s="6">
        <v>48.747988747548945</v>
      </c>
      <c r="BD297" s="6">
        <v>50</v>
      </c>
      <c r="BE297" s="6">
        <v>50</v>
      </c>
    </row>
    <row r="298" spans="29:57" x14ac:dyDescent="0.15">
      <c r="AC298" s="6">
        <v>295</v>
      </c>
      <c r="AD298" s="6">
        <f>[1]节奏总纲!AD298</f>
        <v>82.091594979242089</v>
      </c>
      <c r="AE298" s="6">
        <f>[1]节奏总纲!AE298</f>
        <v>84.182809696436891</v>
      </c>
      <c r="AF298" s="6">
        <f>[1]节奏总纲!AF298</f>
        <v>87.126677302821392</v>
      </c>
      <c r="AG298" s="6">
        <f>[1]节奏总纲!AG298</f>
        <v>92.171854286329506</v>
      </c>
      <c r="AH298" s="6">
        <f>[1]节奏总纲!AH298</f>
        <v>101.07833899530283</v>
      </c>
      <c r="AZ298" s="6">
        <v>295</v>
      </c>
      <c r="BA298" s="6">
        <v>45.31132052094835</v>
      </c>
      <c r="BB298" s="6">
        <v>46.826251661086744</v>
      </c>
      <c r="BC298" s="6">
        <v>48.771917414095107</v>
      </c>
      <c r="BD298" s="6">
        <v>50</v>
      </c>
      <c r="BE298" s="6">
        <v>50</v>
      </c>
    </row>
    <row r="299" spans="29:57" x14ac:dyDescent="0.15">
      <c r="AC299" s="6">
        <v>296</v>
      </c>
      <c r="AD299" s="6">
        <f>[1]节奏总纲!AD299</f>
        <v>82.138974442593963</v>
      </c>
      <c r="AE299" s="6">
        <f>[1]节奏总纲!AE299</f>
        <v>84.23168240723723</v>
      </c>
      <c r="AF299" s="6">
        <f>[1]节奏总纲!AF299</f>
        <v>87.175449058482982</v>
      </c>
      <c r="AG299" s="6">
        <f>[1]节奏总纲!AG299</f>
        <v>92.221965243676763</v>
      </c>
      <c r="AH299" s="6">
        <f>[1]节奏总纲!AH299</f>
        <v>101.12799406645185</v>
      </c>
      <c r="AZ299" s="6">
        <v>296</v>
      </c>
      <c r="BA299" s="6">
        <v>45.333637404170453</v>
      </c>
      <c r="BB299" s="6">
        <v>46.850331714610157</v>
      </c>
      <c r="BC299" s="6">
        <v>48.795846080641262</v>
      </c>
      <c r="BD299" s="6">
        <v>50</v>
      </c>
      <c r="BE299" s="6">
        <v>50</v>
      </c>
    </row>
    <row r="300" spans="29:57" x14ac:dyDescent="0.15">
      <c r="AC300" s="6">
        <v>297</v>
      </c>
      <c r="AD300" s="6">
        <f>[1]节奏总纲!AD300</f>
        <v>82.186353905945836</v>
      </c>
      <c r="AE300" s="6">
        <f>[1]节奏总纲!AE300</f>
        <v>84.280555118037555</v>
      </c>
      <c r="AF300" s="6">
        <f>[1]节奏总纲!AF300</f>
        <v>87.224220814144587</v>
      </c>
      <c r="AG300" s="6">
        <f>[1]节奏总纲!AG300</f>
        <v>92.272076201024021</v>
      </c>
      <c r="AH300" s="6">
        <f>[1]节奏总纲!AH300</f>
        <v>101.17764913760085</v>
      </c>
      <c r="AZ300" s="6">
        <v>297</v>
      </c>
      <c r="BA300" s="6">
        <v>45.355954287392557</v>
      </c>
      <c r="BB300" s="6">
        <v>46.874411768133562</v>
      </c>
      <c r="BC300" s="6">
        <v>48.819774747187417</v>
      </c>
      <c r="BD300" s="6">
        <v>50</v>
      </c>
      <c r="BE300" s="6">
        <v>50</v>
      </c>
    </row>
    <row r="301" spans="29:57" x14ac:dyDescent="0.15">
      <c r="AC301" s="6">
        <v>298</v>
      </c>
      <c r="AD301" s="6">
        <f>[1]节奏总纲!AD301</f>
        <v>82.23373336929771</v>
      </c>
      <c r="AE301" s="6">
        <f>[1]节奏总纲!AE301</f>
        <v>84.329427828837879</v>
      </c>
      <c r="AF301" s="6">
        <f>[1]节奏总纲!AF301</f>
        <v>87.272992569806178</v>
      </c>
      <c r="AG301" s="6">
        <f>[1]节奏总纲!AG301</f>
        <v>92.322187158371293</v>
      </c>
      <c r="AH301" s="6">
        <f>[1]节奏总纲!AH301</f>
        <v>101.22730420874987</v>
      </c>
      <c r="AZ301" s="6">
        <v>298</v>
      </c>
      <c r="BA301" s="6">
        <v>45.37827117061466</v>
      </c>
      <c r="BB301" s="6">
        <v>46.898491821656968</v>
      </c>
      <c r="BC301" s="6">
        <v>48.843703413733579</v>
      </c>
      <c r="BD301" s="6">
        <v>50</v>
      </c>
      <c r="BE301" s="6">
        <v>50</v>
      </c>
    </row>
    <row r="302" spans="29:57" x14ac:dyDescent="0.15">
      <c r="AC302" s="6">
        <v>299</v>
      </c>
      <c r="AD302" s="6">
        <f>[1]节奏总纲!AD302</f>
        <v>82.281112832649583</v>
      </c>
      <c r="AE302" s="6">
        <f>[1]节奏总纲!AE302</f>
        <v>84.378300539638204</v>
      </c>
      <c r="AF302" s="6">
        <f>[1]节奏总纲!AF302</f>
        <v>87.321764325467768</v>
      </c>
      <c r="AG302" s="6">
        <f>[1]节奏总纲!AG302</f>
        <v>92.37229811571855</v>
      </c>
      <c r="AH302" s="6">
        <f>[1]节奏总纲!AH302</f>
        <v>101.27695927989888</v>
      </c>
      <c r="AZ302" s="6">
        <v>299</v>
      </c>
      <c r="BA302" s="6">
        <v>45.400588053836763</v>
      </c>
      <c r="BB302" s="6">
        <v>46.922571875180381</v>
      </c>
      <c r="BC302" s="6">
        <v>48.867632080279733</v>
      </c>
      <c r="BD302" s="6">
        <v>50</v>
      </c>
      <c r="BE302" s="6">
        <v>50</v>
      </c>
    </row>
    <row r="303" spans="29:57" x14ac:dyDescent="0.15">
      <c r="AC303" s="6">
        <v>300</v>
      </c>
      <c r="AD303" s="6">
        <f>[1]节奏总纲!AD303</f>
        <v>82.328492296001457</v>
      </c>
      <c r="AE303" s="6">
        <f>[1]节奏总纲!AE303</f>
        <v>84.427173250438543</v>
      </c>
      <c r="AF303" s="6">
        <f>[1]节奏总纲!AF303</f>
        <v>87.370536081129359</v>
      </c>
      <c r="AG303" s="6">
        <f>[1]节奏总纲!AG303</f>
        <v>92.422409073065808</v>
      </c>
      <c r="AH303" s="6">
        <f>[1]节奏总纲!AH303</f>
        <v>101.32661435104789</v>
      </c>
      <c r="AZ303" s="6">
        <v>300</v>
      </c>
      <c r="BA303" s="6">
        <v>45.422904937058867</v>
      </c>
      <c r="BB303" s="6">
        <v>46.946651928703787</v>
      </c>
      <c r="BC303" s="6">
        <v>48.891560746825888</v>
      </c>
      <c r="BD303" s="6">
        <v>50</v>
      </c>
      <c r="BE303" s="6">
        <v>50</v>
      </c>
    </row>
    <row r="304" spans="29:57" x14ac:dyDescent="0.15">
      <c r="AC304" s="6">
        <v>301</v>
      </c>
      <c r="AD304" s="6">
        <f>[1]节奏总纲!AD304</f>
        <v>82.375871759353331</v>
      </c>
      <c r="AE304" s="6">
        <f>[1]节奏总纲!AE304</f>
        <v>84.476045961238867</v>
      </c>
      <c r="AF304" s="6">
        <f>[1]节奏总纲!AF304</f>
        <v>87.419307836790964</v>
      </c>
      <c r="AG304" s="6">
        <f>[1]节奏总纲!AG304</f>
        <v>92.472520030413079</v>
      </c>
      <c r="AH304" s="6">
        <f>[1]节奏总纲!AH304</f>
        <v>101.3762694221969</v>
      </c>
      <c r="AZ304" s="6">
        <v>301</v>
      </c>
      <c r="BA304" s="6">
        <v>45.44522182028097</v>
      </c>
      <c r="BB304" s="6">
        <v>46.9707319822272</v>
      </c>
      <c r="BC304" s="6">
        <v>48.91548941337205</v>
      </c>
      <c r="BD304" s="6">
        <v>50</v>
      </c>
      <c r="BE304" s="6">
        <v>50</v>
      </c>
    </row>
    <row r="305" spans="29:57" x14ac:dyDescent="0.15">
      <c r="AC305" s="6">
        <v>302</v>
      </c>
      <c r="AD305" s="6">
        <f>[1]节奏总纲!AD305</f>
        <v>82.423251222705204</v>
      </c>
      <c r="AE305" s="6">
        <f>[1]节奏总纲!AE305</f>
        <v>84.524918672039192</v>
      </c>
      <c r="AF305" s="6">
        <f>[1]节奏总纲!AF305</f>
        <v>87.468079592452554</v>
      </c>
      <c r="AG305" s="6">
        <f>[1]节奏总纲!AG305</f>
        <v>92.522630987760337</v>
      </c>
      <c r="AH305" s="6">
        <f>[1]节奏总纲!AH305</f>
        <v>101.42592449334592</v>
      </c>
      <c r="AZ305" s="6">
        <v>302</v>
      </c>
      <c r="BA305" s="6">
        <v>45.467538703503074</v>
      </c>
      <c r="BB305" s="6">
        <v>46.994812035750606</v>
      </c>
      <c r="BC305" s="6">
        <v>48.939418079918205</v>
      </c>
      <c r="BD305" s="6">
        <v>50</v>
      </c>
      <c r="BE305" s="6">
        <v>50</v>
      </c>
    </row>
    <row r="306" spans="29:57" x14ac:dyDescent="0.15">
      <c r="AC306" s="6">
        <v>303</v>
      </c>
      <c r="AD306" s="6">
        <f>[1]节奏总纲!AD306</f>
        <v>82.470630686057078</v>
      </c>
      <c r="AE306" s="6">
        <f>[1]节奏总纲!AE306</f>
        <v>84.573791382839516</v>
      </c>
      <c r="AF306" s="6">
        <f>[1]节奏总纲!AF306</f>
        <v>87.516851348114145</v>
      </c>
      <c r="AG306" s="6">
        <f>[1]节奏总纲!AG306</f>
        <v>92.572741945107595</v>
      </c>
      <c r="AH306" s="6">
        <f>[1]节奏总纲!AH306</f>
        <v>101.47557956449492</v>
      </c>
      <c r="AZ306" s="6">
        <v>303</v>
      </c>
      <c r="BA306" s="6">
        <v>45.489855586725177</v>
      </c>
      <c r="BB306" s="6">
        <v>47.016308935086101</v>
      </c>
      <c r="BC306" s="6">
        <v>48.96334674646436</v>
      </c>
      <c r="BD306" s="6">
        <v>50</v>
      </c>
      <c r="BE306" s="6">
        <v>50</v>
      </c>
    </row>
    <row r="307" spans="29:57" x14ac:dyDescent="0.15">
      <c r="AC307" s="6">
        <v>304</v>
      </c>
      <c r="AD307" s="6">
        <f>[1]节奏总纲!AD307</f>
        <v>82.518010149408951</v>
      </c>
      <c r="AE307" s="6">
        <f>[1]节奏总纲!AE307</f>
        <v>84.622664093639855</v>
      </c>
      <c r="AF307" s="6">
        <f>[1]节奏总纲!AF307</f>
        <v>87.565623103775735</v>
      </c>
      <c r="AG307" s="6">
        <f>[1]节奏总纲!AG307</f>
        <v>92.622852902454852</v>
      </c>
      <c r="AH307" s="6">
        <f>[1]节奏总纲!AH307</f>
        <v>101.52523463564394</v>
      </c>
      <c r="AZ307" s="6">
        <v>304</v>
      </c>
      <c r="BA307" s="6">
        <v>45.512172469947281</v>
      </c>
      <c r="BB307" s="6">
        <v>47.037096473408994</v>
      </c>
      <c r="BC307" s="6">
        <v>48.987275413010522</v>
      </c>
      <c r="BD307" s="6">
        <v>50</v>
      </c>
      <c r="BE307" s="6">
        <v>50</v>
      </c>
    </row>
    <row r="308" spans="29:57" x14ac:dyDescent="0.15">
      <c r="AC308" s="6">
        <v>305</v>
      </c>
      <c r="AD308" s="6">
        <f>[1]节奏总纲!AD308</f>
        <v>82.565389612760825</v>
      </c>
      <c r="AE308" s="6">
        <f>[1]节奏总纲!AE308</f>
        <v>84.67153680444018</v>
      </c>
      <c r="AF308" s="6">
        <f>[1]节奏总纲!AF308</f>
        <v>87.61439485943734</v>
      </c>
      <c r="AG308" s="6">
        <f>[1]节奏总纲!AG308</f>
        <v>92.672963859802124</v>
      </c>
      <c r="AH308" s="6">
        <f>[1]节奏总纲!AH308</f>
        <v>101.57488970679294</v>
      </c>
      <c r="AZ308" s="6">
        <v>305</v>
      </c>
      <c r="BA308" s="6">
        <v>45.534489353169384</v>
      </c>
      <c r="BB308" s="6">
        <v>47.057884011731893</v>
      </c>
      <c r="BC308" s="6">
        <v>49.009673493801003</v>
      </c>
      <c r="BD308" s="6">
        <v>50</v>
      </c>
      <c r="BE308" s="6">
        <v>50</v>
      </c>
    </row>
    <row r="309" spans="29:57" x14ac:dyDescent="0.15">
      <c r="AC309" s="6">
        <v>306</v>
      </c>
      <c r="AD309" s="6">
        <f>[1]节奏总纲!AD309</f>
        <v>82.612769076112698</v>
      </c>
      <c r="AE309" s="6">
        <f>[1]节奏总纲!AE309</f>
        <v>84.720409515240505</v>
      </c>
      <c r="AF309" s="6">
        <f>[1]节奏总纲!AF309</f>
        <v>87.66316661509893</v>
      </c>
      <c r="AG309" s="6">
        <f>[1]节奏总纲!AG309</f>
        <v>92.723074817149381</v>
      </c>
      <c r="AH309" s="6">
        <f>[1]节奏总纲!AH309</f>
        <v>101.62454477794196</v>
      </c>
      <c r="AZ309" s="6">
        <v>306</v>
      </c>
      <c r="BA309" s="6">
        <v>45.556806236391488</v>
      </c>
      <c r="BB309" s="6">
        <v>47.078671550054786</v>
      </c>
      <c r="BC309" s="6">
        <v>49.030333272797542</v>
      </c>
      <c r="BD309" s="6">
        <v>50</v>
      </c>
      <c r="BE309" s="6">
        <v>50</v>
      </c>
    </row>
    <row r="310" spans="29:57" x14ac:dyDescent="0.15">
      <c r="AC310" s="6">
        <v>307</v>
      </c>
      <c r="AD310" s="6">
        <f>[1]节奏总纲!AD310</f>
        <v>82.660148539464572</v>
      </c>
      <c r="AE310" s="6">
        <f>[1]节奏总纲!AE310</f>
        <v>84.769282226040829</v>
      </c>
      <c r="AF310" s="6">
        <f>[1]节奏总纲!AF310</f>
        <v>87.711938370760521</v>
      </c>
      <c r="AG310" s="6">
        <f>[1]节奏总纲!AG310</f>
        <v>92.773185774496639</v>
      </c>
      <c r="AH310" s="6">
        <f>[1]节奏总纲!AH310</f>
        <v>101.67419984909097</v>
      </c>
      <c r="AZ310" s="6">
        <v>307</v>
      </c>
      <c r="BA310" s="6">
        <v>45.579123119613591</v>
      </c>
      <c r="BB310" s="6">
        <v>47.099459088377678</v>
      </c>
      <c r="BC310" s="6">
        <v>49.05099305179408</v>
      </c>
      <c r="BD310" s="6">
        <v>50</v>
      </c>
      <c r="BE310" s="6">
        <v>50</v>
      </c>
    </row>
    <row r="311" spans="29:57" x14ac:dyDescent="0.15">
      <c r="AC311" s="6">
        <v>308</v>
      </c>
      <c r="AD311" s="6">
        <f>[1]节奏总纲!AD311</f>
        <v>82.707528002816446</v>
      </c>
      <c r="AE311" s="6">
        <f>[1]节奏总纲!AE311</f>
        <v>84.818154936841154</v>
      </c>
      <c r="AF311" s="6">
        <f>[1]节奏总纲!AF311</f>
        <v>87.760710126422126</v>
      </c>
      <c r="AG311" s="6">
        <f>[1]节奏总纲!AG311</f>
        <v>92.823296731843911</v>
      </c>
      <c r="AH311" s="6">
        <f>[1]节奏总纲!AH311</f>
        <v>101.72385492023999</v>
      </c>
      <c r="AZ311" s="6">
        <v>308</v>
      </c>
      <c r="BA311" s="6">
        <v>45.601440002835695</v>
      </c>
      <c r="BB311" s="6">
        <v>47.12024662670057</v>
      </c>
      <c r="BC311" s="6">
        <v>49.071652830790612</v>
      </c>
      <c r="BD311" s="6">
        <v>50</v>
      </c>
      <c r="BE311" s="6">
        <v>50</v>
      </c>
    </row>
    <row r="312" spans="29:57" x14ac:dyDescent="0.15">
      <c r="AC312" s="6">
        <v>309</v>
      </c>
      <c r="AD312" s="6">
        <f>[1]节奏总纲!AD312</f>
        <v>82.754907466168319</v>
      </c>
      <c r="AE312" s="6">
        <f>[1]节奏总纲!AE312</f>
        <v>84.867027647641493</v>
      </c>
      <c r="AF312" s="6">
        <f>[1]节奏总纲!AF312</f>
        <v>87.809481882083716</v>
      </c>
      <c r="AG312" s="6">
        <f>[1]节奏总纲!AG312</f>
        <v>92.873407689191168</v>
      </c>
      <c r="AH312" s="6">
        <f>[1]节奏总纲!AH312</f>
        <v>101.77350999138899</v>
      </c>
      <c r="AZ312" s="6">
        <v>309</v>
      </c>
      <c r="BA312" s="6">
        <v>45.623756886057798</v>
      </c>
      <c r="BB312" s="6">
        <v>47.14103416502347</v>
      </c>
      <c r="BC312" s="6">
        <v>49.09231260978715</v>
      </c>
      <c r="BD312" s="6">
        <v>50</v>
      </c>
      <c r="BE312" s="6">
        <v>50</v>
      </c>
    </row>
    <row r="313" spans="29:57" x14ac:dyDescent="0.15">
      <c r="AC313" s="6">
        <v>310</v>
      </c>
      <c r="AD313" s="6">
        <f>[1]节奏总纲!AD313</f>
        <v>82.802286929520193</v>
      </c>
      <c r="AE313" s="6">
        <f>[1]节奏总纲!AE313</f>
        <v>84.915900358441817</v>
      </c>
      <c r="AF313" s="6">
        <f>[1]节奏总纲!AF313</f>
        <v>87.858253637745307</v>
      </c>
      <c r="AG313" s="6">
        <f>[1]节奏总纲!AG313</f>
        <v>92.923518646538426</v>
      </c>
      <c r="AH313" s="6">
        <f>[1]节奏总纲!AH313</f>
        <v>101.82316506253801</v>
      </c>
      <c r="AZ313" s="6">
        <v>310</v>
      </c>
      <c r="BA313" s="6">
        <v>45.646073769279901</v>
      </c>
      <c r="BB313" s="6">
        <v>47.161821703346362</v>
      </c>
      <c r="BC313" s="6">
        <v>49.112972388783689</v>
      </c>
      <c r="BD313" s="6">
        <v>50</v>
      </c>
      <c r="BE313" s="6">
        <v>50</v>
      </c>
    </row>
    <row r="314" spans="29:57" x14ac:dyDescent="0.15">
      <c r="AC314" s="6">
        <v>311</v>
      </c>
      <c r="AD314" s="6">
        <f>[1]节奏总纲!AD314</f>
        <v>82.849666392872066</v>
      </c>
      <c r="AE314" s="6">
        <f>[1]节奏总纲!AE314</f>
        <v>84.964773069242142</v>
      </c>
      <c r="AF314" s="6">
        <f>[1]节奏总纲!AF314</f>
        <v>87.907025393406897</v>
      </c>
      <c r="AG314" s="6">
        <f>[1]节奏总纲!AG314</f>
        <v>92.973629603885698</v>
      </c>
      <c r="AH314" s="6">
        <f>[1]节奏总纲!AH314</f>
        <v>101.87282013368701</v>
      </c>
      <c r="AZ314" s="6">
        <v>311</v>
      </c>
      <c r="BA314" s="6">
        <v>45.668390652502012</v>
      </c>
      <c r="BB314" s="6">
        <v>47.182609241669255</v>
      </c>
      <c r="BC314" s="6">
        <v>49.133632167780227</v>
      </c>
      <c r="BD314" s="6">
        <v>50</v>
      </c>
      <c r="BE314" s="6">
        <v>50</v>
      </c>
    </row>
    <row r="315" spans="29:57" x14ac:dyDescent="0.15">
      <c r="AC315" s="6">
        <v>312</v>
      </c>
      <c r="AD315" s="6">
        <f>[1]节奏总纲!AD315</f>
        <v>82.89704585622394</v>
      </c>
      <c r="AE315" s="6">
        <f>[1]节奏总纲!AE315</f>
        <v>85.012531647506819</v>
      </c>
      <c r="AF315" s="6">
        <f>[1]节奏总纲!AF315</f>
        <v>87.955797149068502</v>
      </c>
      <c r="AG315" s="6">
        <f>[1]节奏总纲!AG315</f>
        <v>93.022367647203353</v>
      </c>
      <c r="AH315" s="6">
        <f>[1]节奏总纲!AH315</f>
        <v>101.92247520483603</v>
      </c>
      <c r="AZ315" s="6">
        <v>312</v>
      </c>
      <c r="BA315" s="6">
        <v>45.690707535724115</v>
      </c>
      <c r="BB315" s="6">
        <v>47.203396779992147</v>
      </c>
      <c r="BC315" s="6">
        <v>49.154291946776759</v>
      </c>
      <c r="BD315" s="6">
        <v>50</v>
      </c>
      <c r="BE315" s="6">
        <v>50</v>
      </c>
    </row>
    <row r="316" spans="29:57" x14ac:dyDescent="0.15">
      <c r="AC316" s="6">
        <v>313</v>
      </c>
      <c r="AD316" s="6">
        <f>[1]节奏总纲!AD316</f>
        <v>82.944425319575814</v>
      </c>
      <c r="AE316" s="6">
        <f>[1]节奏总纲!AE316</f>
        <v>85.057414064088832</v>
      </c>
      <c r="AF316" s="6">
        <f>[1]节奏总纲!AF316</f>
        <v>88.004756197276762</v>
      </c>
      <c r="AG316" s="6">
        <f>[1]节奏总纲!AG316</f>
        <v>93.069580693431178</v>
      </c>
      <c r="AH316" s="6">
        <f>[1]节奏总纲!AH316</f>
        <v>101.97213027598504</v>
      </c>
      <c r="AZ316" s="6">
        <v>313</v>
      </c>
      <c r="BA316" s="6">
        <v>45.713024418946219</v>
      </c>
      <c r="BB316" s="6">
        <v>47.224184318315039</v>
      </c>
      <c r="BC316" s="6">
        <v>49.174951725773298</v>
      </c>
      <c r="BD316" s="6">
        <v>50</v>
      </c>
      <c r="BE316" s="6">
        <v>50</v>
      </c>
    </row>
    <row r="317" spans="29:57" x14ac:dyDescent="0.15">
      <c r="AC317" s="6">
        <v>314</v>
      </c>
      <c r="AD317" s="6">
        <f>[1]节奏总纲!AD317</f>
        <v>82.991804782927687</v>
      </c>
      <c r="AE317" s="6">
        <f>[1]节奏总纲!AE317</f>
        <v>85.10229648067083</v>
      </c>
      <c r="AF317" s="6">
        <f>[1]节奏总纲!AF317</f>
        <v>88.05552724748766</v>
      </c>
      <c r="AG317" s="6">
        <f>[1]节奏总纲!AG317</f>
        <v>93.116793739659002</v>
      </c>
      <c r="AH317" s="6">
        <f>[1]节奏总纲!AH317</f>
        <v>102.01969836502204</v>
      </c>
      <c r="AZ317" s="6">
        <v>314</v>
      </c>
      <c r="BA317" s="6">
        <v>45.735341302168322</v>
      </c>
      <c r="BB317" s="6">
        <v>47.244971856637939</v>
      </c>
      <c r="BC317" s="6">
        <v>49.195611504769836</v>
      </c>
      <c r="BD317" s="6">
        <v>50</v>
      </c>
      <c r="BE317" s="6">
        <v>50</v>
      </c>
    </row>
    <row r="318" spans="29:57" x14ac:dyDescent="0.15">
      <c r="AC318" s="6">
        <v>315</v>
      </c>
      <c r="AD318" s="6">
        <f>[1]节奏总纲!AD318</f>
        <v>83.03656019452734</v>
      </c>
      <c r="AE318" s="6">
        <f>[1]节奏总纲!AE318</f>
        <v>85.147178897252829</v>
      </c>
      <c r="AF318" s="6">
        <f>[1]节奏总纲!AF318</f>
        <v>88.106298297698572</v>
      </c>
      <c r="AG318" s="6">
        <f>[1]节奏总纲!AG318</f>
        <v>93.164006785886826</v>
      </c>
      <c r="AH318" s="6">
        <f>[1]节奏总纲!AH318</f>
        <v>102.06459660376342</v>
      </c>
      <c r="AZ318" s="6">
        <v>315</v>
      </c>
      <c r="BA318" s="6">
        <v>45.757658185390426</v>
      </c>
      <c r="BB318" s="6">
        <v>47.265759394960831</v>
      </c>
      <c r="BC318" s="6">
        <v>49.216271283766375</v>
      </c>
      <c r="BD318" s="6">
        <v>50</v>
      </c>
      <c r="BE318" s="6">
        <v>50</v>
      </c>
    </row>
    <row r="319" spans="29:57" x14ac:dyDescent="0.15">
      <c r="AC319" s="6">
        <v>316</v>
      </c>
      <c r="AD319" s="6">
        <f>[1]节奏总纲!AD319</f>
        <v>83.080766796955942</v>
      </c>
      <c r="AE319" s="6">
        <f>[1]节奏总纲!AE319</f>
        <v>85.192061313834827</v>
      </c>
      <c r="AF319" s="6">
        <f>[1]节奏总纲!AF319</f>
        <v>88.15706934790947</v>
      </c>
      <c r="AG319" s="6">
        <f>[1]节奏总纲!AG319</f>
        <v>93.211219832114651</v>
      </c>
      <c r="AH319" s="6">
        <f>[1]节奏总纲!AH319</f>
        <v>102.1094948425048</v>
      </c>
      <c r="AZ319" s="6">
        <v>316</v>
      </c>
      <c r="BA319" s="6">
        <v>45.779975068612529</v>
      </c>
      <c r="BB319" s="6">
        <v>47.286546933283724</v>
      </c>
      <c r="BC319" s="6">
        <v>49.236931062762913</v>
      </c>
      <c r="BD319" s="6">
        <v>50</v>
      </c>
      <c r="BE319" s="6">
        <v>50</v>
      </c>
    </row>
    <row r="320" spans="29:57" x14ac:dyDescent="0.15">
      <c r="AC320" s="6">
        <v>317</v>
      </c>
      <c r="AD320" s="6">
        <f>[1]节奏总纲!AD320</f>
        <v>83.124973399384558</v>
      </c>
      <c r="AE320" s="6">
        <f>[1]节奏总纲!AE320</f>
        <v>85.236943730416826</v>
      </c>
      <c r="AF320" s="6">
        <f>[1]节奏总纲!AF320</f>
        <v>88.207840398120382</v>
      </c>
      <c r="AG320" s="6">
        <f>[1]节奏总纲!AG320</f>
        <v>93.258432878342475</v>
      </c>
      <c r="AH320" s="6">
        <f>[1]节奏总纲!AH320</f>
        <v>102.15439308124618</v>
      </c>
      <c r="AZ320" s="6">
        <v>317</v>
      </c>
      <c r="BA320" s="6">
        <v>45.802291951834633</v>
      </c>
      <c r="BB320" s="6">
        <v>47.307334471606616</v>
      </c>
      <c r="BC320" s="6">
        <v>49.257590841759445</v>
      </c>
      <c r="BD320" s="6">
        <v>50</v>
      </c>
      <c r="BE320" s="6">
        <v>50</v>
      </c>
    </row>
    <row r="321" spans="29:57" x14ac:dyDescent="0.15">
      <c r="AC321" s="6">
        <v>318</v>
      </c>
      <c r="AD321" s="6">
        <f>[1]节奏总纲!AD321</f>
        <v>83.16918000181316</v>
      </c>
      <c r="AE321" s="6">
        <f>[1]节奏总纲!AE321</f>
        <v>85.281826146998839</v>
      </c>
      <c r="AF321" s="6">
        <f>[1]节奏总纲!AF321</f>
        <v>88.258611448331294</v>
      </c>
      <c r="AG321" s="6">
        <f>[1]节奏总纲!AG321</f>
        <v>93.3056459245703</v>
      </c>
      <c r="AH321" s="6">
        <f>[1]节奏总纲!AH321</f>
        <v>102.19929131998755</v>
      </c>
      <c r="AZ321" s="6">
        <v>318</v>
      </c>
      <c r="BA321" s="6">
        <v>45.824608835056736</v>
      </c>
      <c r="BB321" s="6">
        <v>47.328122009929508</v>
      </c>
      <c r="BC321" s="6">
        <v>49.278250620755983</v>
      </c>
      <c r="BD321" s="6">
        <v>50</v>
      </c>
      <c r="BE321" s="6">
        <v>50</v>
      </c>
    </row>
    <row r="322" spans="29:57" x14ac:dyDescent="0.15">
      <c r="AC322" s="6">
        <v>319</v>
      </c>
      <c r="AD322" s="6">
        <f>[1]节奏总纲!AD322</f>
        <v>83.213386604241776</v>
      </c>
      <c r="AE322" s="6">
        <f>[1]节奏总纲!AE322</f>
        <v>85.326708563580837</v>
      </c>
      <c r="AF322" s="6">
        <f>[1]节奏总纲!AF322</f>
        <v>88.309382498542192</v>
      </c>
      <c r="AG322" s="6">
        <f>[1]节奏总纲!AG322</f>
        <v>93.352858970798124</v>
      </c>
      <c r="AH322" s="6">
        <f>[1]节奏总纲!AH322</f>
        <v>102.24418955872893</v>
      </c>
      <c r="AZ322" s="6">
        <v>319</v>
      </c>
      <c r="BA322" s="6">
        <v>45.84692571827884</v>
      </c>
      <c r="BB322" s="6">
        <v>47.348909548252408</v>
      </c>
      <c r="BC322" s="6">
        <v>49.298910399752522</v>
      </c>
      <c r="BD322" s="6">
        <v>50</v>
      </c>
      <c r="BE322" s="6">
        <v>50</v>
      </c>
    </row>
    <row r="323" spans="29:57" x14ac:dyDescent="0.15">
      <c r="AC323" s="6">
        <v>320</v>
      </c>
      <c r="AD323" s="6">
        <f>[1]节奏总纲!AD323</f>
        <v>83.257593206670379</v>
      </c>
      <c r="AE323" s="6">
        <f>[1]节奏总纲!AE323</f>
        <v>85.371590980162836</v>
      </c>
      <c r="AF323" s="6">
        <f>[1]节奏总纲!AF323</f>
        <v>88.360153548753104</v>
      </c>
      <c r="AG323" s="6">
        <f>[1]节奏总纲!AG323</f>
        <v>93.400072017025948</v>
      </c>
      <c r="AH323" s="6">
        <f>[1]节奏总纲!AH323</f>
        <v>102.28908779747032</v>
      </c>
      <c r="AZ323" s="6">
        <v>320</v>
      </c>
      <c r="BA323" s="6">
        <v>45.869242601500943</v>
      </c>
      <c r="BB323" s="6">
        <v>47.3696970865753</v>
      </c>
      <c r="BC323" s="6">
        <v>49.319570178749061</v>
      </c>
      <c r="BD323" s="6">
        <v>50</v>
      </c>
      <c r="BE323" s="6">
        <v>50</v>
      </c>
    </row>
    <row r="324" spans="29:57" x14ac:dyDescent="0.15">
      <c r="AC324" s="6">
        <v>321</v>
      </c>
      <c r="AD324" s="6">
        <f>[1]节奏总纲!AD324</f>
        <v>83.301799809098995</v>
      </c>
      <c r="AE324" s="6">
        <f>[1]节奏总纲!AE324</f>
        <v>85.416473396744834</v>
      </c>
      <c r="AF324" s="6">
        <f>[1]节奏总纲!AF324</f>
        <v>88.410924598964016</v>
      </c>
      <c r="AG324" s="6">
        <f>[1]节奏总纲!AG324</f>
        <v>93.447285063253773</v>
      </c>
      <c r="AH324" s="6">
        <f>[1]节奏总纲!AH324</f>
        <v>102.3339860362117</v>
      </c>
      <c r="AZ324" s="6">
        <v>321</v>
      </c>
      <c r="BA324" s="6">
        <v>45.891559484723047</v>
      </c>
      <c r="BB324" s="6">
        <v>47.390484624898193</v>
      </c>
      <c r="BC324" s="6">
        <v>49.340229957745592</v>
      </c>
      <c r="BD324" s="6">
        <v>50</v>
      </c>
      <c r="BE324" s="6">
        <v>50</v>
      </c>
    </row>
    <row r="325" spans="29:57" x14ac:dyDescent="0.15">
      <c r="AC325" s="6">
        <v>322</v>
      </c>
      <c r="AD325" s="6">
        <f>[1]节奏总纲!AD325</f>
        <v>83.346006411527597</v>
      </c>
      <c r="AE325" s="6">
        <f>[1]节奏总纲!AE325</f>
        <v>85.461355813326847</v>
      </c>
      <c r="AF325" s="6">
        <f>[1]节奏总纲!AF325</f>
        <v>88.461695649174914</v>
      </c>
      <c r="AG325" s="6">
        <f>[1]节奏总纲!AG325</f>
        <v>93.494498109481597</v>
      </c>
      <c r="AH325" s="6">
        <f>[1]节奏总纲!AH325</f>
        <v>102.37888427495307</v>
      </c>
      <c r="AZ325" s="6">
        <v>322</v>
      </c>
      <c r="BA325" s="6">
        <v>45.91387636794515</v>
      </c>
      <c r="BB325" s="6">
        <v>47.411272163221085</v>
      </c>
      <c r="BC325" s="6">
        <v>49.360889736742131</v>
      </c>
      <c r="BD325" s="6">
        <v>50</v>
      </c>
      <c r="BE325" s="6">
        <v>50</v>
      </c>
    </row>
    <row r="326" spans="29:57" x14ac:dyDescent="0.15">
      <c r="AC326" s="6">
        <v>323</v>
      </c>
      <c r="AD326" s="6">
        <f>[1]节奏总纲!AD326</f>
        <v>83.390213013956213</v>
      </c>
      <c r="AE326" s="6">
        <f>[1]节奏总纲!AE326</f>
        <v>85.506238229908845</v>
      </c>
      <c r="AF326" s="6">
        <f>[1]节奏总纲!AF326</f>
        <v>88.512466699385826</v>
      </c>
      <c r="AG326" s="6">
        <f>[1]节奏总纲!AG326</f>
        <v>93.541711155709422</v>
      </c>
      <c r="AH326" s="6">
        <f>[1]节奏总纲!AH326</f>
        <v>102.42378251369445</v>
      </c>
      <c r="AZ326" s="6">
        <v>323</v>
      </c>
      <c r="BA326" s="6">
        <v>45.936193251167253</v>
      </c>
      <c r="BB326" s="6">
        <v>47.432059701543984</v>
      </c>
      <c r="BC326" s="6">
        <v>49.381549515738669</v>
      </c>
      <c r="BD326" s="6">
        <v>50</v>
      </c>
      <c r="BE326" s="6">
        <v>50</v>
      </c>
    </row>
    <row r="327" spans="29:57" x14ac:dyDescent="0.15">
      <c r="AC327" s="6">
        <v>324</v>
      </c>
      <c r="AD327" s="6">
        <f>[1]节奏总纲!AD327</f>
        <v>83.434419616384815</v>
      </c>
      <c r="AE327" s="6">
        <f>[1]节奏总纲!AE327</f>
        <v>85.551120646490844</v>
      </c>
      <c r="AF327" s="6">
        <f>[1]节奏总纲!AF327</f>
        <v>88.563237749596723</v>
      </c>
      <c r="AG327" s="6">
        <f>[1]节奏总纲!AG327</f>
        <v>93.588924201937246</v>
      </c>
      <c r="AH327" s="6">
        <f>[1]节奏总纲!AH327</f>
        <v>102.46868075243583</v>
      </c>
      <c r="AZ327" s="6">
        <v>324</v>
      </c>
      <c r="BA327" s="6">
        <v>45.958510134389357</v>
      </c>
      <c r="BB327" s="6">
        <v>47.452847239866877</v>
      </c>
      <c r="BC327" s="6">
        <v>49.402209294735208</v>
      </c>
      <c r="BD327" s="6">
        <v>50</v>
      </c>
      <c r="BE327" s="6">
        <v>50</v>
      </c>
    </row>
    <row r="328" spans="29:57" x14ac:dyDescent="0.15">
      <c r="AC328" s="6">
        <v>325</v>
      </c>
      <c r="AD328" s="6">
        <f>[1]节奏总纲!AD328</f>
        <v>83.478626218813432</v>
      </c>
      <c r="AE328" s="6">
        <f>[1]节奏总纲!AE328</f>
        <v>85.596003063072843</v>
      </c>
      <c r="AF328" s="6">
        <f>[1]节奏总纲!AF328</f>
        <v>88.614008799807635</v>
      </c>
      <c r="AG328" s="6">
        <f>[1]节奏总纲!AG328</f>
        <v>93.63613724816507</v>
      </c>
      <c r="AH328" s="6">
        <f>[1]节奏总纲!AH328</f>
        <v>102.51357899117721</v>
      </c>
      <c r="AZ328" s="6">
        <v>325</v>
      </c>
      <c r="BA328" s="6">
        <v>45.98082701761146</v>
      </c>
      <c r="BB328" s="6">
        <v>47.473634778189769</v>
      </c>
      <c r="BC328" s="6">
        <v>49.422869073731739</v>
      </c>
      <c r="BD328" s="6">
        <v>50</v>
      </c>
      <c r="BE328" s="6">
        <v>50</v>
      </c>
    </row>
    <row r="329" spans="29:57" x14ac:dyDescent="0.15">
      <c r="AC329" s="6">
        <v>326</v>
      </c>
      <c r="AD329" s="6">
        <f>[1]节奏总纲!AD329</f>
        <v>83.522832821242034</v>
      </c>
      <c r="AE329" s="6">
        <f>[1]节奏总纲!AE329</f>
        <v>85.640885479654855</v>
      </c>
      <c r="AF329" s="6">
        <f>[1]节奏总纲!AF329</f>
        <v>88.664779850018547</v>
      </c>
      <c r="AG329" s="6">
        <f>[1]节奏总纲!AG329</f>
        <v>93.683350294392895</v>
      </c>
      <c r="AH329" s="6">
        <f>[1]节奏总纲!AH329</f>
        <v>102.55847722991859</v>
      </c>
      <c r="AZ329" s="6">
        <v>326</v>
      </c>
      <c r="BA329" s="6">
        <v>46.002713830586146</v>
      </c>
      <c r="BB329" s="6">
        <v>47.494422316512662</v>
      </c>
      <c r="BC329" s="6">
        <v>49.443528852728278</v>
      </c>
      <c r="BD329" s="6">
        <v>50</v>
      </c>
      <c r="BE329" s="6">
        <v>50</v>
      </c>
    </row>
    <row r="330" spans="29:57" x14ac:dyDescent="0.15">
      <c r="AC330" s="6">
        <v>327</v>
      </c>
      <c r="AD330" s="6">
        <f>[1]节奏总纲!AD330</f>
        <v>83.56703942367065</v>
      </c>
      <c r="AE330" s="6">
        <f>[1]节奏总纲!AE330</f>
        <v>85.685767896236854</v>
      </c>
      <c r="AF330" s="6">
        <f>[1]节奏总纲!AF330</f>
        <v>88.715550900229445</v>
      </c>
      <c r="AG330" s="6">
        <f>[1]节奏总纲!AG330</f>
        <v>93.730563340620719</v>
      </c>
      <c r="AH330" s="6">
        <f>[1]节奏总纲!AH330</f>
        <v>102.60337546865996</v>
      </c>
      <c r="AZ330" s="6">
        <v>327</v>
      </c>
      <c r="BA330" s="6">
        <v>46.021977873404879</v>
      </c>
      <c r="BB330" s="6">
        <v>47.515209854835554</v>
      </c>
      <c r="BC330" s="6">
        <v>49.464188631724817</v>
      </c>
      <c r="BD330" s="6">
        <v>50</v>
      </c>
      <c r="BE330" s="6">
        <v>50</v>
      </c>
    </row>
    <row r="331" spans="29:57" x14ac:dyDescent="0.15">
      <c r="AC331" s="6">
        <v>328</v>
      </c>
      <c r="AD331" s="6">
        <f>[1]节奏总纲!AD331</f>
        <v>83.611246026099252</v>
      </c>
      <c r="AE331" s="6">
        <f>[1]节奏总纲!AE331</f>
        <v>85.730650312818852</v>
      </c>
      <c r="AF331" s="6">
        <f>[1]节奏总纲!AF331</f>
        <v>88.766321950440357</v>
      </c>
      <c r="AG331" s="6">
        <f>[1]节奏总纲!AG331</f>
        <v>93.777776386848544</v>
      </c>
      <c r="AH331" s="6">
        <f>[1]节奏总纲!AH331</f>
        <v>102.64827370740134</v>
      </c>
      <c r="AZ331" s="6">
        <v>328</v>
      </c>
      <c r="BA331" s="6">
        <v>46.041241916223605</v>
      </c>
      <c r="BB331" s="6">
        <v>47.535997393158453</v>
      </c>
      <c r="BC331" s="6">
        <v>49.484848410721355</v>
      </c>
      <c r="BD331" s="6">
        <v>50</v>
      </c>
      <c r="BE331" s="6">
        <v>50</v>
      </c>
    </row>
    <row r="332" spans="29:57" x14ac:dyDescent="0.15">
      <c r="AC332" s="6">
        <v>329</v>
      </c>
      <c r="AD332" s="6">
        <f>[1]节奏总纲!AD332</f>
        <v>83.655452628527868</v>
      </c>
      <c r="AE332" s="6">
        <f>[1]节奏总纲!AE332</f>
        <v>85.775532729400851</v>
      </c>
      <c r="AF332" s="6">
        <f>[1]节奏总纲!AF332</f>
        <v>88.817093000651269</v>
      </c>
      <c r="AG332" s="6">
        <f>[1]节奏总纲!AG332</f>
        <v>93.824989433076368</v>
      </c>
      <c r="AH332" s="6">
        <f>[1]节奏总纲!AH332</f>
        <v>102.69317194614273</v>
      </c>
      <c r="AZ332" s="6">
        <v>329</v>
      </c>
      <c r="BA332" s="6">
        <v>46.060505959042331</v>
      </c>
      <c r="BB332" s="6">
        <v>47.556784931481346</v>
      </c>
      <c r="BC332" s="6">
        <v>49.505508189717887</v>
      </c>
      <c r="BD332" s="6">
        <v>50</v>
      </c>
      <c r="BE332" s="6">
        <v>50</v>
      </c>
    </row>
    <row r="333" spans="29:57" x14ac:dyDescent="0.15">
      <c r="AC333" s="6">
        <v>330</v>
      </c>
      <c r="AD333" s="6">
        <f>[1]节奏总纲!AD333</f>
        <v>83.69965923095647</v>
      </c>
      <c r="AE333" s="6">
        <f>[1]节奏总纲!AE333</f>
        <v>85.820415145982849</v>
      </c>
      <c r="AF333" s="6">
        <f>[1]节奏总纲!AF333</f>
        <v>88.867864050862167</v>
      </c>
      <c r="AG333" s="6">
        <f>[1]节奏总纲!AG333</f>
        <v>93.872202479304192</v>
      </c>
      <c r="AH333" s="6">
        <f>[1]节奏总纲!AH333</f>
        <v>102.73807018488411</v>
      </c>
      <c r="AZ333" s="6">
        <v>330</v>
      </c>
      <c r="BA333" s="6">
        <v>46.079770001861057</v>
      </c>
      <c r="BB333" s="6">
        <v>47.577572469804238</v>
      </c>
      <c r="BC333" s="6">
        <v>49.526167968714425</v>
      </c>
      <c r="BD333" s="6">
        <v>50</v>
      </c>
      <c r="BE333" s="6">
        <v>50</v>
      </c>
    </row>
    <row r="334" spans="29:57" x14ac:dyDescent="0.15">
      <c r="AC334" s="6">
        <v>331</v>
      </c>
      <c r="AD334" s="6">
        <f>[1]节奏总纲!AD334</f>
        <v>83.743865833385087</v>
      </c>
      <c r="AE334" s="6">
        <f>[1]节奏总纲!AE334</f>
        <v>85.865297562564862</v>
      </c>
      <c r="AF334" s="6">
        <f>[1]节奏总纲!AF334</f>
        <v>88.918635101073079</v>
      </c>
      <c r="AG334" s="6">
        <f>[1]节奏总纲!AG334</f>
        <v>93.919415525532017</v>
      </c>
      <c r="AH334" s="6">
        <f>[1]节奏总纲!AH334</f>
        <v>102.78296842362549</v>
      </c>
      <c r="AZ334" s="6">
        <v>331</v>
      </c>
      <c r="BA334" s="6">
        <v>46.099034044679783</v>
      </c>
      <c r="BB334" s="6">
        <v>47.598360008127131</v>
      </c>
      <c r="BC334" s="6">
        <v>49.546827747710964</v>
      </c>
      <c r="BD334" s="6">
        <v>50</v>
      </c>
      <c r="BE334" s="6">
        <v>50</v>
      </c>
    </row>
    <row r="335" spans="29:57" x14ac:dyDescent="0.15">
      <c r="AC335" s="6">
        <v>332</v>
      </c>
      <c r="AD335" s="6">
        <f>[1]节奏总纲!AD335</f>
        <v>83.788072435813689</v>
      </c>
      <c r="AE335" s="6">
        <f>[1]节奏总纲!AE335</f>
        <v>85.910179979146861</v>
      </c>
      <c r="AF335" s="6">
        <f>[1]节奏总纲!AF335</f>
        <v>88.969406151283977</v>
      </c>
      <c r="AG335" s="6">
        <f>[1]节奏总纲!AG335</f>
        <v>93.966628571759841</v>
      </c>
      <c r="AH335" s="6">
        <f>[1]节奏总纲!AH335</f>
        <v>102.82786666236686</v>
      </c>
      <c r="AZ335" s="6">
        <v>332</v>
      </c>
      <c r="BA335" s="6">
        <v>46.118298087498509</v>
      </c>
      <c r="BB335" s="6">
        <v>47.619147546450023</v>
      </c>
      <c r="BC335" s="6">
        <v>49.567487526707502</v>
      </c>
      <c r="BD335" s="6">
        <v>50</v>
      </c>
      <c r="BE335" s="6">
        <v>50</v>
      </c>
    </row>
    <row r="336" spans="29:57" x14ac:dyDescent="0.15">
      <c r="AC336" s="6">
        <v>333</v>
      </c>
      <c r="AD336" s="6">
        <f>[1]节奏总纲!AD336</f>
        <v>83.832279038242305</v>
      </c>
      <c r="AE336" s="6">
        <f>[1]节奏总纲!AE336</f>
        <v>85.955062395728859</v>
      </c>
      <c r="AF336" s="6">
        <f>[1]节奏总纲!AF336</f>
        <v>89.018466905731287</v>
      </c>
      <c r="AG336" s="6">
        <f>[1]节奏总纲!AG336</f>
        <v>94.012923283729691</v>
      </c>
      <c r="AH336" s="6">
        <f>[1]节奏总纲!AH336</f>
        <v>102.87276490110824</v>
      </c>
      <c r="AZ336" s="6">
        <v>333</v>
      </c>
      <c r="BA336" s="6">
        <v>46.137562130317242</v>
      </c>
      <c r="BB336" s="6">
        <v>47.639935084772922</v>
      </c>
      <c r="BC336" s="6">
        <v>49.588147305704041</v>
      </c>
      <c r="BD336" s="6">
        <v>50</v>
      </c>
      <c r="BE336" s="6">
        <v>50</v>
      </c>
    </row>
    <row r="337" spans="29:57" x14ac:dyDescent="0.15">
      <c r="AC337" s="6">
        <v>334</v>
      </c>
      <c r="AD337" s="6">
        <f>[1]节奏总纲!AD337</f>
        <v>83.876485640670907</v>
      </c>
      <c r="AE337" s="6">
        <f>[1]节奏总纲!AE337</f>
        <v>85.999944812310858</v>
      </c>
      <c r="AF337" s="6">
        <f>[1]节奏总纲!AF337</f>
        <v>89.064934410075779</v>
      </c>
      <c r="AG337" s="6">
        <f>[1]节奏总纲!AG337</f>
        <v>94.057003939090123</v>
      </c>
      <c r="AH337" s="6">
        <f>[1]节奏总纲!AH337</f>
        <v>102.91766313984962</v>
      </c>
      <c r="AZ337" s="6">
        <v>334</v>
      </c>
      <c r="BA337" s="6">
        <v>46.156826173135968</v>
      </c>
      <c r="BB337" s="6">
        <v>47.660722623095815</v>
      </c>
      <c r="BC337" s="6">
        <v>49.608807084700572</v>
      </c>
      <c r="BD337" s="6">
        <v>50</v>
      </c>
      <c r="BE337" s="6">
        <v>50</v>
      </c>
    </row>
    <row r="338" spans="29:57" x14ac:dyDescent="0.15">
      <c r="AC338" s="6">
        <v>335</v>
      </c>
      <c r="AD338" s="6">
        <f>[1]节奏总纲!AD338</f>
        <v>83.920692243099523</v>
      </c>
      <c r="AE338" s="6">
        <f>[1]节奏总纲!AE338</f>
        <v>86.041129946887025</v>
      </c>
      <c r="AF338" s="6">
        <f>[1]节奏总纲!AF338</f>
        <v>89.11140191442027</v>
      </c>
      <c r="AG338" s="6">
        <f>[1]节奏总纲!AG338</f>
        <v>94.101084594450555</v>
      </c>
      <c r="AH338" s="6">
        <f>[1]节奏总纲!AH338</f>
        <v>102.962561378591</v>
      </c>
      <c r="AZ338" s="6">
        <v>335</v>
      </c>
      <c r="BA338" s="6">
        <v>46.176090215954694</v>
      </c>
      <c r="BB338" s="6">
        <v>47.681510161418707</v>
      </c>
      <c r="BC338" s="6">
        <v>49.629466863697111</v>
      </c>
      <c r="BD338" s="6">
        <v>50</v>
      </c>
      <c r="BE338" s="6">
        <v>50</v>
      </c>
    </row>
    <row r="339" spans="29:57" x14ac:dyDescent="0.15">
      <c r="AC339" s="6">
        <v>336</v>
      </c>
      <c r="AD339" s="6">
        <f>[1]节奏总纲!AD339</f>
        <v>83.964898845528126</v>
      </c>
      <c r="AE339" s="6">
        <f>[1]节奏总纲!AE339</f>
        <v>86.082310529666103</v>
      </c>
      <c r="AF339" s="6">
        <f>[1]节奏总纲!AF339</f>
        <v>89.157869418764761</v>
      </c>
      <c r="AG339" s="6">
        <f>[1]节奏总纲!AG339</f>
        <v>94.145165249810972</v>
      </c>
      <c r="AH339" s="6">
        <f>[1]节奏总纲!AH339</f>
        <v>103.00673656424885</v>
      </c>
      <c r="AZ339" s="6">
        <v>336</v>
      </c>
      <c r="BA339" s="6">
        <v>46.19535425877342</v>
      </c>
      <c r="BB339" s="6">
        <v>47.7022976997416</v>
      </c>
      <c r="BC339" s="6">
        <v>49.65012664269365</v>
      </c>
      <c r="BD339" s="6">
        <v>50</v>
      </c>
      <c r="BE339" s="6">
        <v>50</v>
      </c>
    </row>
    <row r="340" spans="29:57" x14ac:dyDescent="0.15">
      <c r="AC340" s="6">
        <v>337</v>
      </c>
      <c r="AD340" s="6">
        <f>[1]节奏总纲!AD340</f>
        <v>84.008495683346354</v>
      </c>
      <c r="AE340" s="6">
        <f>[1]节奏总纲!AE340</f>
        <v>86.12349111244518</v>
      </c>
      <c r="AF340" s="6">
        <f>[1]节奏总纲!AF340</f>
        <v>89.204336923109267</v>
      </c>
      <c r="AG340" s="6">
        <f>[1]节奏总纲!AG340</f>
        <v>94.189245905171404</v>
      </c>
      <c r="AH340" s="6">
        <f>[1]节奏总纲!AH340</f>
        <v>103.04728286259964</v>
      </c>
      <c r="AZ340" s="6">
        <v>337</v>
      </c>
      <c r="BA340" s="6">
        <v>46.214618301592147</v>
      </c>
      <c r="BB340" s="6">
        <v>47.723085238064499</v>
      </c>
      <c r="BC340" s="6">
        <v>49.670786421690188</v>
      </c>
      <c r="BD340" s="6">
        <v>50</v>
      </c>
      <c r="BE340" s="6">
        <v>50</v>
      </c>
    </row>
    <row r="341" spans="29:57" x14ac:dyDescent="0.15">
      <c r="AC341" s="6">
        <v>338</v>
      </c>
      <c r="AD341" s="6">
        <f>[1]节奏总纲!AD341</f>
        <v>84.049741901856009</v>
      </c>
      <c r="AE341" s="6">
        <f>[1]节奏总纲!AE341</f>
        <v>86.164671695224243</v>
      </c>
      <c r="AF341" s="6">
        <f>[1]节奏总纲!AF341</f>
        <v>89.250804427453758</v>
      </c>
      <c r="AG341" s="6">
        <f>[1]节奏总纲!AG341</f>
        <v>94.233326560531836</v>
      </c>
      <c r="AH341" s="6">
        <f>[1]节奏总纲!AH341</f>
        <v>103.08782916095045</v>
      </c>
      <c r="AZ341" s="6">
        <v>338</v>
      </c>
      <c r="BA341" s="6">
        <v>46.23388234441088</v>
      </c>
      <c r="BB341" s="6">
        <v>47.743872776387391</v>
      </c>
      <c r="BC341" s="6">
        <v>49.69144620068672</v>
      </c>
      <c r="BD341" s="6">
        <v>50</v>
      </c>
      <c r="BE341" s="6">
        <v>50</v>
      </c>
    </row>
    <row r="342" spans="29:57" x14ac:dyDescent="0.15">
      <c r="AC342" s="6">
        <v>339</v>
      </c>
      <c r="AD342" s="6">
        <f>[1]节奏总纲!AD342</f>
        <v>84.090988120365651</v>
      </c>
      <c r="AE342" s="6">
        <f>[1]节奏总纲!AE342</f>
        <v>86.20585227800332</v>
      </c>
      <c r="AF342" s="6">
        <f>[1]节奏总纲!AF342</f>
        <v>89.29727193179825</v>
      </c>
      <c r="AG342" s="6">
        <f>[1]节奏总纲!AG342</f>
        <v>94.277407215892268</v>
      </c>
      <c r="AH342" s="6">
        <f>[1]节奏总纲!AH342</f>
        <v>103.12837545930124</v>
      </c>
      <c r="AZ342" s="6">
        <v>339</v>
      </c>
      <c r="BA342" s="6">
        <v>46.253146387229606</v>
      </c>
      <c r="BB342" s="6">
        <v>47.764660314710284</v>
      </c>
      <c r="BC342" s="6">
        <v>49.712105979683258</v>
      </c>
      <c r="BD342" s="6">
        <v>50</v>
      </c>
      <c r="BE342" s="6">
        <v>50</v>
      </c>
    </row>
    <row r="343" spans="29:57" x14ac:dyDescent="0.15">
      <c r="AC343" s="6">
        <v>340</v>
      </c>
      <c r="AD343" s="6">
        <f>[1]节奏总纲!AD343</f>
        <v>84.132234338875293</v>
      </c>
      <c r="AE343" s="6">
        <f>[1]节奏总纲!AE343</f>
        <v>86.247032860782397</v>
      </c>
      <c r="AF343" s="6">
        <f>[1]节奏总纲!AF343</f>
        <v>89.343739436142741</v>
      </c>
      <c r="AG343" s="6">
        <f>[1]节奏总纲!AG343</f>
        <v>94.3214878712527</v>
      </c>
      <c r="AH343" s="6">
        <f>[1]节奏总纲!AH343</f>
        <v>103.16892175765203</v>
      </c>
      <c r="AZ343" s="6">
        <v>340</v>
      </c>
      <c r="BA343" s="6">
        <v>46.272410430048332</v>
      </c>
      <c r="BB343" s="6">
        <v>47.785447853033176</v>
      </c>
      <c r="BC343" s="6">
        <v>49.732765758679797</v>
      </c>
      <c r="BD343" s="6">
        <v>50</v>
      </c>
      <c r="BE343" s="6">
        <v>50</v>
      </c>
    </row>
    <row r="344" spans="29:57" x14ac:dyDescent="0.15">
      <c r="AC344" s="6">
        <v>341</v>
      </c>
      <c r="AD344" s="6">
        <f>[1]节奏总纲!AD344</f>
        <v>84.173480557384934</v>
      </c>
      <c r="AE344" s="6">
        <f>[1]节奏总纲!AE344</f>
        <v>86.288213443561474</v>
      </c>
      <c r="AF344" s="6">
        <f>[1]节奏总纲!AF344</f>
        <v>89.390206940487232</v>
      </c>
      <c r="AG344" s="6">
        <f>[1]节奏总纲!AG344</f>
        <v>94.365568526613131</v>
      </c>
      <c r="AH344" s="6">
        <f>[1]节奏总纲!AH344</f>
        <v>103.20946805600283</v>
      </c>
      <c r="AZ344" s="6">
        <v>341</v>
      </c>
      <c r="BA344" s="6">
        <v>46.291674472867058</v>
      </c>
      <c r="BB344" s="6">
        <v>47.806235391356068</v>
      </c>
      <c r="BC344" s="6">
        <v>49.753425537676335</v>
      </c>
      <c r="BD344" s="6">
        <v>50</v>
      </c>
      <c r="BE344" s="6">
        <v>50</v>
      </c>
    </row>
    <row r="345" spans="29:57" x14ac:dyDescent="0.15">
      <c r="AC345" s="6">
        <v>342</v>
      </c>
      <c r="AD345" s="6">
        <f>[1]节奏总纲!AD345</f>
        <v>84.214726775894576</v>
      </c>
      <c r="AE345" s="6">
        <f>[1]节奏总纲!AE345</f>
        <v>86.329394026340537</v>
      </c>
      <c r="AF345" s="6">
        <f>[1]节奏总纲!AF345</f>
        <v>89.436674444831723</v>
      </c>
      <c r="AG345" s="6">
        <f>[1]节奏总纲!AG345</f>
        <v>94.409649181973549</v>
      </c>
      <c r="AH345" s="6">
        <f>[1]节奏总纲!AH345</f>
        <v>103.25001435435362</v>
      </c>
      <c r="AZ345" s="6">
        <v>342</v>
      </c>
      <c r="BA345" s="6">
        <v>46.310938515685784</v>
      </c>
      <c r="BB345" s="6">
        <v>47.827022929678968</v>
      </c>
      <c r="BC345" s="6">
        <v>49.774085316672867</v>
      </c>
      <c r="BD345" s="6">
        <v>50</v>
      </c>
      <c r="BE345" s="6">
        <v>50</v>
      </c>
    </row>
    <row r="346" spans="29:57" x14ac:dyDescent="0.15">
      <c r="AC346" s="6">
        <v>343</v>
      </c>
      <c r="AD346" s="6">
        <f>[1]节奏总纲!AD346</f>
        <v>84.255972994404218</v>
      </c>
      <c r="AE346" s="6">
        <f>[1]节奏总纲!AE346</f>
        <v>86.370574609119615</v>
      </c>
      <c r="AF346" s="6">
        <f>[1]节奏总纲!AF346</f>
        <v>89.483141949176215</v>
      </c>
      <c r="AG346" s="6">
        <f>[1]节奏总纲!AG346</f>
        <v>94.453729837333981</v>
      </c>
      <c r="AH346" s="6">
        <f>[1]节奏总纲!AH346</f>
        <v>103.29056065270443</v>
      </c>
      <c r="AZ346" s="6">
        <v>343</v>
      </c>
      <c r="BA346" s="6">
        <v>46.330202558504517</v>
      </c>
      <c r="BB346" s="6">
        <v>47.84781046800186</v>
      </c>
      <c r="BC346" s="6">
        <v>49.794745095669406</v>
      </c>
      <c r="BD346" s="6">
        <v>50</v>
      </c>
      <c r="BE346" s="6">
        <v>50</v>
      </c>
    </row>
    <row r="347" spans="29:57" x14ac:dyDescent="0.15">
      <c r="AC347" s="6">
        <v>344</v>
      </c>
      <c r="AD347" s="6">
        <f>[1]节奏总纲!AD347</f>
        <v>84.297219212913859</v>
      </c>
      <c r="AE347" s="6">
        <f>[1]节奏总纲!AE347</f>
        <v>86.411755191898692</v>
      </c>
      <c r="AF347" s="6">
        <f>[1]节奏总纲!AF347</f>
        <v>89.529609453520706</v>
      </c>
      <c r="AG347" s="6">
        <f>[1]节奏总纲!AG347</f>
        <v>94.497810492694413</v>
      </c>
      <c r="AH347" s="6">
        <f>[1]节奏总纲!AH347</f>
        <v>103.33110695105522</v>
      </c>
      <c r="AZ347" s="6">
        <v>344</v>
      </c>
      <c r="BA347" s="6">
        <v>46.349466601323243</v>
      </c>
      <c r="BB347" s="6">
        <v>47.868598006324753</v>
      </c>
      <c r="BC347" s="6">
        <v>49.815404874665944</v>
      </c>
      <c r="BD347" s="6">
        <v>50</v>
      </c>
      <c r="BE347" s="6">
        <v>50</v>
      </c>
    </row>
    <row r="348" spans="29:57" x14ac:dyDescent="0.15">
      <c r="AC348" s="6">
        <v>345</v>
      </c>
      <c r="AD348" s="6">
        <f>[1]节奏总纲!AD348</f>
        <v>84.338465431423501</v>
      </c>
      <c r="AE348" s="6">
        <f>[1]节奏总纲!AE348</f>
        <v>86.452935774677769</v>
      </c>
      <c r="AF348" s="6">
        <f>[1]节奏总纲!AF348</f>
        <v>89.576076957865197</v>
      </c>
      <c r="AG348" s="6">
        <f>[1]节奏总纲!AG348</f>
        <v>94.541891148054845</v>
      </c>
      <c r="AH348" s="6">
        <f>[1]节奏总纲!AH348</f>
        <v>103.37165324940601</v>
      </c>
      <c r="AZ348" s="6">
        <v>345</v>
      </c>
      <c r="BA348" s="6">
        <v>46.368730644141969</v>
      </c>
      <c r="BB348" s="6">
        <v>47.889385544647645</v>
      </c>
      <c r="BC348" s="6">
        <v>49.836064653662483</v>
      </c>
      <c r="BD348" s="6">
        <v>50</v>
      </c>
      <c r="BE348" s="6">
        <v>50</v>
      </c>
    </row>
    <row r="349" spans="29:57" x14ac:dyDescent="0.15">
      <c r="AC349" s="6">
        <v>346</v>
      </c>
      <c r="AD349" s="6">
        <f>[1]节奏总纲!AD349</f>
        <v>84.379711649933142</v>
      </c>
      <c r="AE349" s="6">
        <f>[1]节奏总纲!AE349</f>
        <v>86.494116357456846</v>
      </c>
      <c r="AF349" s="6">
        <f>[1]节奏总纲!AF349</f>
        <v>89.622544462209689</v>
      </c>
      <c r="AG349" s="6">
        <f>[1]节奏总纲!AG349</f>
        <v>94.585971803415276</v>
      </c>
      <c r="AH349" s="6">
        <f>[1]节奏总纲!AH349</f>
        <v>103.41219954775681</v>
      </c>
      <c r="AZ349" s="6">
        <v>346</v>
      </c>
      <c r="BA349" s="6">
        <v>46.387994686960695</v>
      </c>
      <c r="BB349" s="6">
        <v>47.910173082970537</v>
      </c>
      <c r="BC349" s="6">
        <v>49.856724432659014</v>
      </c>
      <c r="BD349" s="6">
        <v>50</v>
      </c>
      <c r="BE349" s="6">
        <v>50</v>
      </c>
    </row>
    <row r="350" spans="29:57" x14ac:dyDescent="0.15">
      <c r="AC350" s="6">
        <v>347</v>
      </c>
      <c r="AD350" s="6">
        <f>[1]节奏总纲!AD350</f>
        <v>84.420957868442784</v>
      </c>
      <c r="AE350" s="6">
        <f>[1]节奏总纲!AE350</f>
        <v>86.535296940235909</v>
      </c>
      <c r="AF350" s="6">
        <f>[1]节奏总纲!AF350</f>
        <v>89.66901196655418</v>
      </c>
      <c r="AG350" s="6">
        <f>[1]节奏总纲!AG350</f>
        <v>94.630052458775694</v>
      </c>
      <c r="AH350" s="6">
        <f>[1]节奏总纲!AH350</f>
        <v>103.4527458461076</v>
      </c>
      <c r="AZ350" s="6">
        <v>347</v>
      </c>
      <c r="BA350" s="6">
        <v>46.407258729779421</v>
      </c>
      <c r="BB350" s="6">
        <v>47.930960621293437</v>
      </c>
      <c r="BC350" s="6">
        <v>49.877384211655553</v>
      </c>
      <c r="BD350" s="6">
        <v>50</v>
      </c>
      <c r="BE350" s="6">
        <v>50</v>
      </c>
    </row>
    <row r="351" spans="29:57" x14ac:dyDescent="0.15">
      <c r="AC351" s="6">
        <v>348</v>
      </c>
      <c r="AD351" s="6">
        <f>[1]节奏总纲!AD351</f>
        <v>84.462204086952426</v>
      </c>
      <c r="AE351" s="6">
        <f>[1]节奏总纲!AE351</f>
        <v>86.576477523014987</v>
      </c>
      <c r="AF351" s="6">
        <f>[1]节奏总纲!AF351</f>
        <v>89.715479470898671</v>
      </c>
      <c r="AG351" s="6">
        <f>[1]节奏总纲!AG351</f>
        <v>94.674133114136126</v>
      </c>
      <c r="AH351" s="6">
        <f>[1]节奏总纲!AH351</f>
        <v>103.49329214445841</v>
      </c>
      <c r="AZ351" s="6">
        <v>348</v>
      </c>
      <c r="BA351" s="6">
        <v>46.426522772598148</v>
      </c>
      <c r="BB351" s="6">
        <v>47.951748159616329</v>
      </c>
      <c r="BC351" s="6">
        <v>49.898043990652091</v>
      </c>
      <c r="BD351" s="6">
        <v>50</v>
      </c>
      <c r="BE351" s="6">
        <v>50</v>
      </c>
    </row>
    <row r="352" spans="29:57" x14ac:dyDescent="0.15">
      <c r="AC352" s="6">
        <v>349</v>
      </c>
      <c r="AD352" s="6">
        <f>[1]节奏总纲!AD352</f>
        <v>84.503450305462081</v>
      </c>
      <c r="AE352" s="6">
        <f>[1]节奏总纲!AE352</f>
        <v>86.617658105794064</v>
      </c>
      <c r="AF352" s="6">
        <f>[1]节奏总纲!AF352</f>
        <v>89.761946975243163</v>
      </c>
      <c r="AG352" s="6">
        <f>[1]节奏总纲!AG352</f>
        <v>94.718213769496558</v>
      </c>
      <c r="AH352" s="6">
        <f>[1]节奏总纲!AH352</f>
        <v>103.5338384428092</v>
      </c>
      <c r="AZ352" s="6">
        <v>349</v>
      </c>
      <c r="BA352" s="6">
        <v>46.445786815416881</v>
      </c>
      <c r="BB352" s="6">
        <v>47.972535697939222</v>
      </c>
      <c r="BC352" s="6">
        <v>49.91870376964863</v>
      </c>
      <c r="BD352" s="6">
        <v>50</v>
      </c>
      <c r="BE352" s="6">
        <v>50</v>
      </c>
    </row>
    <row r="353" spans="29:57" x14ac:dyDescent="0.15">
      <c r="AC353" s="6">
        <v>350</v>
      </c>
      <c r="AD353" s="6">
        <f>[1]节奏总纲!AD353</f>
        <v>84.544696523971723</v>
      </c>
      <c r="AE353" s="6">
        <f>[1]节奏总纲!AE353</f>
        <v>86.658838688573141</v>
      </c>
      <c r="AF353" s="6">
        <f>[1]节奏总纲!AF353</f>
        <v>89.808414479587654</v>
      </c>
      <c r="AG353" s="6">
        <f>[1]节奏总纲!AG353</f>
        <v>94.762294424856989</v>
      </c>
      <c r="AH353" s="6">
        <f>[1]节奏总纲!AH353</f>
        <v>103.57438474115999</v>
      </c>
      <c r="AZ353" s="6">
        <v>350</v>
      </c>
      <c r="BA353" s="6">
        <v>46.465050858235607</v>
      </c>
      <c r="BB353" s="6">
        <v>47.993323236262114</v>
      </c>
      <c r="BC353" s="6">
        <v>49.939363548645169</v>
      </c>
      <c r="BD353" s="6">
        <v>50</v>
      </c>
      <c r="BE353" s="6">
        <v>50</v>
      </c>
    </row>
    <row r="354" spans="29:57" x14ac:dyDescent="0.15">
      <c r="AC354" s="6">
        <v>351</v>
      </c>
      <c r="AD354" s="6">
        <f>[1]节奏总纲!AD354</f>
        <v>84.585942742481365</v>
      </c>
      <c r="AE354" s="6">
        <f>[1]节奏总纲!AE354</f>
        <v>86.700019271352204</v>
      </c>
      <c r="AF354" s="6">
        <f>[1]节奏总纲!AF354</f>
        <v>89.854881983932145</v>
      </c>
      <c r="AG354" s="6">
        <f>[1]节奏总纲!AG354</f>
        <v>94.806375080217421</v>
      </c>
      <c r="AH354" s="6">
        <f>[1]节奏总纲!AH354</f>
        <v>103.61493103951079</v>
      </c>
      <c r="AZ354" s="6">
        <v>351</v>
      </c>
      <c r="BA354" s="6">
        <v>46.484314901054333</v>
      </c>
      <c r="BB354" s="6">
        <v>48.012182251254622</v>
      </c>
      <c r="BC354" s="6">
        <v>49.9600233276417</v>
      </c>
      <c r="BD354" s="6">
        <v>50</v>
      </c>
      <c r="BE354" s="6">
        <v>50</v>
      </c>
    </row>
    <row r="355" spans="29:57" x14ac:dyDescent="0.15">
      <c r="AC355" s="6">
        <v>352</v>
      </c>
      <c r="AD355" s="6">
        <f>[1]节奏总纲!AD355</f>
        <v>84.627188960991006</v>
      </c>
      <c r="AE355" s="6">
        <f>[1]节奏总纲!AE355</f>
        <v>86.741199854131281</v>
      </c>
      <c r="AF355" s="6">
        <f>[1]节奏总纲!AF355</f>
        <v>89.901349488276637</v>
      </c>
      <c r="AG355" s="6">
        <f>[1]节奏总纲!AG355</f>
        <v>94.850455735577853</v>
      </c>
      <c r="AH355" s="6">
        <f>[1]节奏总纲!AH355</f>
        <v>103.65547733786158</v>
      </c>
      <c r="AZ355" s="6">
        <v>352</v>
      </c>
      <c r="BA355" s="6">
        <v>46.503578943873059</v>
      </c>
      <c r="BB355" s="6">
        <v>48.030128751164234</v>
      </c>
      <c r="BC355" s="6">
        <v>49.980683106638239</v>
      </c>
      <c r="BD355" s="6">
        <v>50</v>
      </c>
      <c r="BE355" s="6">
        <v>50</v>
      </c>
    </row>
    <row r="356" spans="29:57" x14ac:dyDescent="0.15">
      <c r="AC356" s="6">
        <v>353</v>
      </c>
      <c r="AD356" s="6">
        <f>[1]节奏总纲!AD356</f>
        <v>84.668435179500648</v>
      </c>
      <c r="AE356" s="6">
        <f>[1]节奏总纲!AE356</f>
        <v>86.782380436910358</v>
      </c>
      <c r="AF356" s="6">
        <f>[1]节奏总纲!AF356</f>
        <v>89.947816992621142</v>
      </c>
      <c r="AG356" s="6">
        <f>[1]节奏总纲!AG356</f>
        <v>94.894536390938271</v>
      </c>
      <c r="AH356" s="6">
        <f>[1]节奏总纲!AH356</f>
        <v>103.69602363621237</v>
      </c>
      <c r="AZ356" s="6">
        <v>353</v>
      </c>
      <c r="BA356" s="6">
        <v>46.522842986691785</v>
      </c>
      <c r="BB356" s="6">
        <v>48.048075251073854</v>
      </c>
      <c r="BC356" s="6">
        <v>50</v>
      </c>
      <c r="BD356" s="6">
        <v>50</v>
      </c>
      <c r="BE356" s="6">
        <v>50</v>
      </c>
    </row>
    <row r="357" spans="29:57" x14ac:dyDescent="0.15">
      <c r="AC357" s="6">
        <v>354</v>
      </c>
      <c r="AD357" s="6">
        <f>[1]节奏总纲!AD357</f>
        <v>84.709681398010289</v>
      </c>
      <c r="AE357" s="6">
        <f>[1]节奏总纲!AE357</f>
        <v>86.823561019689436</v>
      </c>
      <c r="AF357" s="6">
        <f>[1]节奏总纲!AF357</f>
        <v>89.994284496965633</v>
      </c>
      <c r="AG357" s="6">
        <f>[1]节奏总纲!AG357</f>
        <v>94.938617046298702</v>
      </c>
      <c r="AH357" s="6">
        <f>[1]节奏总纲!AH357</f>
        <v>103.73656993456318</v>
      </c>
      <c r="AZ357" s="6">
        <v>354</v>
      </c>
      <c r="BA357" s="6">
        <v>46.542107029510518</v>
      </c>
      <c r="BB357" s="6">
        <v>48.066021750983474</v>
      </c>
      <c r="BC357" s="6">
        <v>50</v>
      </c>
      <c r="BD357" s="6">
        <v>50</v>
      </c>
      <c r="BE357" s="6">
        <v>50</v>
      </c>
    </row>
    <row r="358" spans="29:57" x14ac:dyDescent="0.15">
      <c r="AC358" s="6">
        <v>355</v>
      </c>
      <c r="AD358" s="6">
        <f>[1]节奏总纲!AD358</f>
        <v>84.750927616519931</v>
      </c>
      <c r="AE358" s="6">
        <f>[1]节奏总纲!AE358</f>
        <v>86.864741602468499</v>
      </c>
      <c r="AF358" s="6">
        <f>[1]节奏总纲!AF358</f>
        <v>90.036066635925749</v>
      </c>
      <c r="AG358" s="6">
        <f>[1]节奏总纲!AG358</f>
        <v>94.982697701659134</v>
      </c>
      <c r="AH358" s="6">
        <f>[1]节奏总纲!AH358</f>
        <v>103.77711623291397</v>
      </c>
      <c r="AZ358" s="6">
        <v>355</v>
      </c>
      <c r="BA358" s="6">
        <v>46.561371072329244</v>
      </c>
      <c r="BB358" s="6">
        <v>48.083968250893093</v>
      </c>
      <c r="BC358" s="6">
        <v>50</v>
      </c>
      <c r="BD358" s="6">
        <v>50</v>
      </c>
      <c r="BE358" s="6">
        <v>50</v>
      </c>
    </row>
    <row r="359" spans="29:57" x14ac:dyDescent="0.15">
      <c r="AC359" s="6">
        <v>356</v>
      </c>
      <c r="AD359" s="6">
        <f>[1]节奏总纲!AD359</f>
        <v>84.792173835029573</v>
      </c>
      <c r="AE359" s="6">
        <f>[1]节奏总纲!AE359</f>
        <v>86.905922185247576</v>
      </c>
      <c r="AF359" s="6">
        <f>[1]节奏总纲!AF359</f>
        <v>90.077191648383845</v>
      </c>
      <c r="AG359" s="6">
        <f>[1]节奏总纲!AG359</f>
        <v>95.024001308619916</v>
      </c>
      <c r="AH359" s="6">
        <f>[1]节奏总纲!AH359</f>
        <v>103.81766253126477</v>
      </c>
      <c r="AZ359" s="6">
        <v>356</v>
      </c>
      <c r="BA359" s="6">
        <v>46.58063511514797</v>
      </c>
      <c r="BB359" s="6">
        <v>48.101914750802706</v>
      </c>
      <c r="BC359" s="6">
        <v>50</v>
      </c>
      <c r="BD359" s="6">
        <v>50</v>
      </c>
      <c r="BE359" s="6">
        <v>50</v>
      </c>
    </row>
    <row r="360" spans="29:57" x14ac:dyDescent="0.15">
      <c r="AC360" s="6">
        <v>357</v>
      </c>
      <c r="AD360" s="6">
        <f>[1]节奏总纲!AD360</f>
        <v>84.833420053539214</v>
      </c>
      <c r="AE360" s="6">
        <f>[1]节奏总纲!AE360</f>
        <v>86.947102768026653</v>
      </c>
      <c r="AF360" s="6">
        <f>[1]节奏总纲!AF360</f>
        <v>90.118316660841927</v>
      </c>
      <c r="AG360" s="6">
        <f>[1]节奏总纲!AG360</f>
        <v>95.063510581451752</v>
      </c>
      <c r="AH360" s="6">
        <f>[1]节奏总纲!AH360</f>
        <v>103.85820882961556</v>
      </c>
      <c r="AZ360" s="6">
        <v>357</v>
      </c>
      <c r="BA360" s="6">
        <v>46.599899157966696</v>
      </c>
      <c r="BB360" s="6">
        <v>48.119861250712326</v>
      </c>
      <c r="BC360" s="6">
        <v>50</v>
      </c>
      <c r="BD360" s="6">
        <v>50</v>
      </c>
      <c r="BE360" s="6">
        <v>50</v>
      </c>
    </row>
    <row r="361" spans="29:57" x14ac:dyDescent="0.15">
      <c r="AC361" s="6">
        <v>358</v>
      </c>
      <c r="AD361" s="6">
        <f>[1]节奏总纲!AD361</f>
        <v>84.874666272048856</v>
      </c>
      <c r="AE361" s="6">
        <f>[1]节奏总纲!AE361</f>
        <v>86.98828335080573</v>
      </c>
      <c r="AF361" s="6">
        <f>[1]节奏总纲!AF361</f>
        <v>90.159441673300023</v>
      </c>
      <c r="AG361" s="6">
        <f>[1]节奏总纲!AG361</f>
        <v>95.103019854283588</v>
      </c>
      <c r="AH361" s="6">
        <f>[1]节奏总纲!AH361</f>
        <v>103.89875512796635</v>
      </c>
      <c r="AZ361" s="6">
        <v>358</v>
      </c>
      <c r="BA361" s="6">
        <v>46.619163200785422</v>
      </c>
      <c r="BB361" s="6">
        <v>48.137807750621946</v>
      </c>
      <c r="BC361" s="6">
        <v>50</v>
      </c>
      <c r="BD361" s="6">
        <v>50</v>
      </c>
      <c r="BE361" s="6">
        <v>50</v>
      </c>
    </row>
    <row r="362" spans="29:57" x14ac:dyDescent="0.15">
      <c r="AC362" s="6">
        <v>359</v>
      </c>
      <c r="AD362" s="6">
        <f>[1]节奏总纲!AD362</f>
        <v>84.915912490558497</v>
      </c>
      <c r="AE362" s="6">
        <f>[1]节奏总纲!AE362</f>
        <v>87.027010646912942</v>
      </c>
      <c r="AF362" s="6">
        <f>[1]节奏总纲!AF362</f>
        <v>90.200566685758119</v>
      </c>
      <c r="AG362" s="6">
        <f>[1]节奏总纲!AG362</f>
        <v>95.142529127115409</v>
      </c>
      <c r="AH362" s="6">
        <f>[1]节奏总纲!AH362</f>
        <v>103.93930142631716</v>
      </c>
      <c r="AZ362" s="6">
        <v>359</v>
      </c>
      <c r="BA362" s="6">
        <v>46.638427243604156</v>
      </c>
      <c r="BB362" s="6">
        <v>48.155754250531558</v>
      </c>
      <c r="BC362" s="6">
        <v>50</v>
      </c>
      <c r="BD362" s="6">
        <v>50</v>
      </c>
      <c r="BE362" s="6">
        <v>50</v>
      </c>
    </row>
    <row r="363" spans="29:57" x14ac:dyDescent="0.15">
      <c r="AC363" s="6">
        <v>360</v>
      </c>
      <c r="AD363" s="6">
        <f>[1]节奏总纲!AD363</f>
        <v>84.957158709068153</v>
      </c>
      <c r="AE363" s="6">
        <f>[1]节奏总纲!AE363</f>
        <v>87.064762367263285</v>
      </c>
      <c r="AF363" s="6">
        <f>[1]节奏总纲!AF363</f>
        <v>90.241691698216215</v>
      </c>
      <c r="AG363" s="6">
        <f>[1]节奏总纲!AG363</f>
        <v>95.182038399947245</v>
      </c>
      <c r="AH363" s="6">
        <f>[1]节奏总纲!AH363</f>
        <v>103.97984772466795</v>
      </c>
      <c r="AZ363" s="6">
        <v>360</v>
      </c>
      <c r="BA363" s="6">
        <v>46.657691286422882</v>
      </c>
      <c r="BB363" s="6">
        <v>48.173700750441178</v>
      </c>
      <c r="BC363" s="6">
        <v>50</v>
      </c>
      <c r="BD363" s="6">
        <v>50</v>
      </c>
      <c r="BE363" s="6">
        <v>50</v>
      </c>
    </row>
  </sheetData>
  <mergeCells count="13">
    <mergeCell ref="AD2:AH2"/>
    <mergeCell ref="AM2:AQ2"/>
    <mergeCell ref="AT2:AX2"/>
    <mergeCell ref="BA2:BE2"/>
    <mergeCell ref="B6:D6"/>
    <mergeCell ref="K1:K2"/>
    <mergeCell ref="P2:T2"/>
    <mergeCell ref="W2:AA2"/>
    <mergeCell ref="B22:D22"/>
    <mergeCell ref="F1:F2"/>
    <mergeCell ref="G1:G2"/>
    <mergeCell ref="I1:I2"/>
    <mergeCell ref="J1:J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104EA-CC85-4275-B93B-EB59559C9C35}">
  <sheetPr codeName="Sheet1"/>
  <dimension ref="B1:AX503"/>
  <sheetViews>
    <sheetView topLeftCell="AA1" workbookViewId="0">
      <selection activeCell="AL4" sqref="AL4:AP163"/>
    </sheetView>
  </sheetViews>
  <sheetFormatPr defaultRowHeight="11.25" x14ac:dyDescent="0.15"/>
  <cols>
    <col min="1" max="16384" width="9" style="14"/>
  </cols>
  <sheetData>
    <row r="1" spans="2:50" x14ac:dyDescent="0.15">
      <c r="AC1" s="17"/>
      <c r="AK1" s="17"/>
      <c r="AS1" s="17"/>
    </row>
    <row r="2" spans="2:50" x14ac:dyDescent="0.15">
      <c r="B2" s="50" t="s">
        <v>219</v>
      </c>
      <c r="C2" s="50"/>
      <c r="D2" s="50"/>
      <c r="E2" s="50"/>
      <c r="F2" s="50"/>
      <c r="G2" s="50"/>
      <c r="I2" s="50" t="s">
        <v>220</v>
      </c>
      <c r="J2" s="50"/>
      <c r="K2" s="50"/>
      <c r="L2" s="50"/>
      <c r="M2" s="50"/>
      <c r="N2" s="50"/>
      <c r="Q2" s="50" t="s">
        <v>221</v>
      </c>
      <c r="R2" s="50"/>
      <c r="S2" s="50"/>
      <c r="T2" s="50"/>
      <c r="U2" s="50"/>
      <c r="V2" s="50" t="s">
        <v>222</v>
      </c>
      <c r="W2" s="50"/>
      <c r="X2" s="50"/>
      <c r="Y2" s="50"/>
      <c r="Z2" s="50"/>
      <c r="AC2" s="17"/>
      <c r="AD2" s="51" t="s">
        <v>223</v>
      </c>
      <c r="AE2" s="51"/>
      <c r="AF2" s="51"/>
      <c r="AG2" s="51"/>
      <c r="AH2" s="51"/>
      <c r="AK2" s="45"/>
      <c r="AL2" s="49" t="s">
        <v>320</v>
      </c>
      <c r="AM2" s="49"/>
      <c r="AN2" s="49"/>
      <c r="AO2" s="49"/>
      <c r="AP2" s="49"/>
      <c r="AS2" s="17"/>
      <c r="AT2" s="49" t="s">
        <v>319</v>
      </c>
      <c r="AU2" s="49"/>
      <c r="AV2" s="49"/>
      <c r="AW2" s="49"/>
      <c r="AX2" s="49"/>
    </row>
    <row r="3" spans="2:50" x14ac:dyDescent="0.15">
      <c r="B3" s="14" t="s">
        <v>136</v>
      </c>
      <c r="C3" s="14" t="s">
        <v>127</v>
      </c>
      <c r="D3" s="14" t="s">
        <v>128</v>
      </c>
      <c r="E3" s="14" t="s">
        <v>129</v>
      </c>
      <c r="F3" s="14" t="s">
        <v>130</v>
      </c>
      <c r="G3" s="14" t="s">
        <v>131</v>
      </c>
      <c r="I3" s="14" t="s">
        <v>132</v>
      </c>
      <c r="J3" s="14" t="s">
        <v>127</v>
      </c>
      <c r="K3" s="14" t="s">
        <v>128</v>
      </c>
      <c r="L3" s="14" t="s">
        <v>129</v>
      </c>
      <c r="M3" s="14" t="s">
        <v>130</v>
      </c>
      <c r="N3" s="14" t="s">
        <v>131</v>
      </c>
      <c r="P3" s="14" t="s">
        <v>136</v>
      </c>
      <c r="Q3" s="14" t="s">
        <v>127</v>
      </c>
      <c r="R3" s="14" t="s">
        <v>128</v>
      </c>
      <c r="S3" s="14" t="s">
        <v>129</v>
      </c>
      <c r="T3" s="14" t="s">
        <v>130</v>
      </c>
      <c r="U3" s="14" t="s">
        <v>131</v>
      </c>
      <c r="V3" s="14" t="s">
        <v>127</v>
      </c>
      <c r="W3" s="14" t="s">
        <v>128</v>
      </c>
      <c r="X3" s="14" t="s">
        <v>129</v>
      </c>
      <c r="Y3" s="14" t="s">
        <v>130</v>
      </c>
      <c r="Z3" s="14" t="s">
        <v>131</v>
      </c>
      <c r="AC3" s="14" t="s">
        <v>136</v>
      </c>
      <c r="AD3" s="17" t="s">
        <v>127</v>
      </c>
      <c r="AE3" s="17" t="s">
        <v>128</v>
      </c>
      <c r="AF3" s="17" t="s">
        <v>129</v>
      </c>
      <c r="AG3" s="17" t="s">
        <v>130</v>
      </c>
      <c r="AH3" s="17" t="s">
        <v>131</v>
      </c>
      <c r="AK3" s="45" t="s">
        <v>136</v>
      </c>
      <c r="AL3" s="45" t="s">
        <v>127</v>
      </c>
      <c r="AM3" s="45" t="s">
        <v>128</v>
      </c>
      <c r="AN3" s="45" t="s">
        <v>129</v>
      </c>
      <c r="AO3" s="45" t="s">
        <v>130</v>
      </c>
      <c r="AP3" s="45" t="s">
        <v>131</v>
      </c>
      <c r="AS3" s="14" t="s">
        <v>136</v>
      </c>
      <c r="AT3" s="45" t="s">
        <v>127</v>
      </c>
      <c r="AU3" s="45" t="s">
        <v>128</v>
      </c>
      <c r="AV3" s="45" t="s">
        <v>129</v>
      </c>
      <c r="AW3" s="45" t="s">
        <v>130</v>
      </c>
      <c r="AX3" s="45" t="s">
        <v>131</v>
      </c>
    </row>
    <row r="4" spans="2:50" x14ac:dyDescent="0.15">
      <c r="B4" s="14">
        <v>1</v>
      </c>
      <c r="C4" s="14">
        <f>'[1]资源-钻石'!L4</f>
        <v>1040.8352879799568</v>
      </c>
      <c r="D4" s="14">
        <f>'[1]资源-钻石'!M4</f>
        <v>1168.9516338298708</v>
      </c>
      <c r="E4" s="14">
        <f>'[1]资源-钻石'!N4</f>
        <v>1452.2172869047899</v>
      </c>
      <c r="F4" s="14">
        <f>'[1]资源-钻石'!O4</f>
        <v>2510.7422303165949</v>
      </c>
      <c r="G4" s="14">
        <f>'[1]资源-钻石'!P4</f>
        <v>3045.4164117374748</v>
      </c>
      <c r="I4" s="14">
        <v>1</v>
      </c>
      <c r="J4" s="14">
        <f>'[1]资源-钻石'!T4</f>
        <v>14501.673058529761</v>
      </c>
      <c r="K4" s="14">
        <f>'[1]资源-钻石'!U4</f>
        <v>19413.896977599055</v>
      </c>
      <c r="L4" s="14">
        <f>'[1]资源-钻石'!V4</f>
        <v>30743.578088908678</v>
      </c>
      <c r="M4" s="14">
        <f>'[1]资源-钻石'!W4</f>
        <v>76075.906172330011</v>
      </c>
      <c r="N4" s="14">
        <f>'[1]资源-钻石'!X4</f>
        <v>177081.7886017682</v>
      </c>
      <c r="P4" s="14">
        <v>1</v>
      </c>
      <c r="Q4" s="14">
        <f>'[1]功能-行军令'!N4</f>
        <v>3.301579276669484</v>
      </c>
      <c r="R4" s="14">
        <f>'[1]功能-行军令'!O4</f>
        <v>4.0057487176130557</v>
      </c>
      <c r="S4" s="14">
        <f>'[1]功能-行军令'!P4</f>
        <v>4.2565036636761029</v>
      </c>
      <c r="T4" s="14">
        <f>'[1]功能-行军令'!Q4</f>
        <v>3.3562706551221395</v>
      </c>
      <c r="U4" s="14">
        <f>'[1]功能-行军令'!R4</f>
        <v>1.7550190606299467</v>
      </c>
      <c r="V4" s="14">
        <f>'[1]功能-行军令'!S4</f>
        <v>3.301579276669484</v>
      </c>
      <c r="W4" s="14">
        <f>'[1]功能-行军令'!T4</f>
        <v>4.0057487176130557</v>
      </c>
      <c r="X4" s="14">
        <f>'[1]功能-行军令'!U4</f>
        <v>4.2565036636761029</v>
      </c>
      <c r="Y4" s="14">
        <f>'[1]功能-行军令'!V4</f>
        <v>3.3562706551221395</v>
      </c>
      <c r="Z4" s="14">
        <f>'[1]功能-行军令'!W4</f>
        <v>1.7550190606299467</v>
      </c>
      <c r="AC4" s="14">
        <v>1</v>
      </c>
      <c r="AD4" s="14">
        <v>22716</v>
      </c>
      <c r="AE4" s="14">
        <v>22782</v>
      </c>
      <c r="AF4" s="14">
        <v>22866</v>
      </c>
      <c r="AG4" s="14">
        <v>22956</v>
      </c>
      <c r="AH4" s="14">
        <v>23034</v>
      </c>
      <c r="AK4" s="14">
        <v>1</v>
      </c>
      <c r="AL4" s="14">
        <f>'[1]功能-付费相关'!AH6</f>
        <v>3.2348184451616933E-2</v>
      </c>
      <c r="AM4" s="14">
        <f>'[1]功能-付费相关'!AI6</f>
        <v>3.2348184451616933E-2</v>
      </c>
      <c r="AN4" s="14">
        <f>'[1]功能-付费相关'!AJ6</f>
        <v>3.2348184451616933E-2</v>
      </c>
      <c r="AO4" s="14">
        <f>'[1]功能-付费相关'!AK6</f>
        <v>3.2348184451616933E-2</v>
      </c>
      <c r="AP4" s="14">
        <f>'[1]功能-付费相关'!AL6</f>
        <v>3.2348184451616933E-2</v>
      </c>
      <c r="AS4" s="14">
        <v>1</v>
      </c>
      <c r="AT4" s="14">
        <f>'[1]功能-城建'!GF4</f>
        <v>1282.2865007752878</v>
      </c>
      <c r="AU4" s="14">
        <f>'[1]功能-城建'!GG4</f>
        <v>1070.6227314952807</v>
      </c>
      <c r="AV4" s="14">
        <f>'[1]功能-城建'!GH4</f>
        <v>839.54843216941822</v>
      </c>
      <c r="AW4" s="14">
        <f>'[1]功能-城建'!GI4</f>
        <v>586.2131053783794</v>
      </c>
      <c r="AX4" s="14">
        <f>'[1]功能-城建'!GJ4</f>
        <v>307.22330181344796</v>
      </c>
    </row>
    <row r="5" spans="2:50" x14ac:dyDescent="0.15">
      <c r="B5" s="14">
        <v>2</v>
      </c>
      <c r="C5" s="14">
        <f>'[1]资源-钻石'!L5</f>
        <v>2156.3749285081976</v>
      </c>
      <c r="D5" s="14">
        <f>'[1]资源-钻石'!M5</f>
        <v>2445.0615859519603</v>
      </c>
      <c r="E5" s="14">
        <f>'[1]资源-钻石'!N5</f>
        <v>3068.6815757732184</v>
      </c>
      <c r="F5" s="14">
        <f>'[1]资源-钻石'!O5</f>
        <v>5380.4255785215355</v>
      </c>
      <c r="G5" s="14">
        <f>'[1]资源-钻石'!P5</f>
        <v>6628.3385775485367</v>
      </c>
      <c r="I5" s="14">
        <v>2</v>
      </c>
      <c r="J5" s="14">
        <f>'[1]资源-钻石'!T5</f>
        <v>23031.394540905989</v>
      </c>
      <c r="K5" s="14">
        <f>'[1]资源-钻石'!U5</f>
        <v>30854.533994996593</v>
      </c>
      <c r="L5" s="14">
        <f>'[1]资源-钻石'!V5</f>
        <v>48567.987394496246</v>
      </c>
      <c r="M5" s="14">
        <f>'[1]资源-钻石'!W5</f>
        <v>119204.78613394586</v>
      </c>
      <c r="N5" s="14">
        <f>'[1]资源-钻石'!X5</f>
        <v>275220.26474734046</v>
      </c>
      <c r="P5" s="14">
        <v>2</v>
      </c>
      <c r="Q5" s="14">
        <f>'[1]功能-行军令'!N5</f>
        <v>6.840124329863615</v>
      </c>
      <c r="R5" s="14">
        <f>'[1]功能-行军令'!O5</f>
        <v>8.3787062090179365</v>
      </c>
      <c r="S5" s="14">
        <f>'[1]功能-行军令'!P5</f>
        <v>8.9944214875541597</v>
      </c>
      <c r="T5" s="14">
        <f>'[1]功能-行军令'!Q5</f>
        <v>7.192360993180591</v>
      </c>
      <c r="U5" s="14">
        <f>'[1]功能-行军令'!R5</f>
        <v>3.819793082834837</v>
      </c>
      <c r="V5" s="14">
        <f>'[1]功能-行军令'!S5</f>
        <v>3.5385450531941309</v>
      </c>
      <c r="W5" s="14">
        <f>'[1]功能-行军令'!T5</f>
        <v>4.3729574914048808</v>
      </c>
      <c r="X5" s="14">
        <f>'[1]功能-行军令'!U5</f>
        <v>4.7379178238780568</v>
      </c>
      <c r="Y5" s="14">
        <f>'[1]功能-行军令'!V5</f>
        <v>3.8360903380584515</v>
      </c>
      <c r="Z5" s="14">
        <f>'[1]功能-行军令'!W5</f>
        <v>2.0647740222048903</v>
      </c>
      <c r="AC5" s="14">
        <v>2</v>
      </c>
      <c r="AD5" s="14">
        <v>27276</v>
      </c>
      <c r="AE5" s="14">
        <v>27450</v>
      </c>
      <c r="AF5" s="14">
        <v>27714</v>
      </c>
      <c r="AG5" s="14">
        <v>28086</v>
      </c>
      <c r="AH5" s="14">
        <v>28314</v>
      </c>
      <c r="AK5" s="14">
        <v>2</v>
      </c>
      <c r="AL5" s="14">
        <f>'[1]功能-付费相关'!AH7</f>
        <v>3.1392151119474958E-2</v>
      </c>
      <c r="AM5" s="14">
        <f>'[1]功能-付费相关'!AI7</f>
        <v>3.1392151119474958E-2</v>
      </c>
      <c r="AN5" s="14">
        <f>'[1]功能-付费相关'!AJ7</f>
        <v>3.1392151119474958E-2</v>
      </c>
      <c r="AO5" s="14">
        <f>'[1]功能-付费相关'!AK7</f>
        <v>3.1392151119474958E-2</v>
      </c>
      <c r="AP5" s="14">
        <f>'[1]功能-付费相关'!AL7</f>
        <v>3.1392151119474958E-2</v>
      </c>
      <c r="AS5" s="14">
        <v>2</v>
      </c>
      <c r="AT5" s="14">
        <f>'[1]功能-城建'!GF5</f>
        <v>1504.5854804031799</v>
      </c>
      <c r="AU5" s="14">
        <f>'[1]功能-城建'!GG5</f>
        <v>1343.2851665956687</v>
      </c>
      <c r="AV5" s="14">
        <f>'[1]功能-城建'!GH5</f>
        <v>1134.447707928432</v>
      </c>
      <c r="AW5" s="14">
        <f>'[1]功能-城建'!GI5</f>
        <v>857.29613473057884</v>
      </c>
      <c r="AX5" s="14">
        <f>'[1]功能-城建'!GJ5</f>
        <v>484.8715880888285</v>
      </c>
    </row>
    <row r="6" spans="2:50" x14ac:dyDescent="0.15">
      <c r="B6" s="14">
        <v>3</v>
      </c>
      <c r="C6" s="14">
        <f>'[1]资源-钻石'!L6</f>
        <v>3351.9807116336397</v>
      </c>
      <c r="D6" s="14">
        <f>'[1]资源-钻石'!M6</f>
        <v>3828.7498339345493</v>
      </c>
      <c r="E6" s="14">
        <f>'[1]资源-钻石'!N6</f>
        <v>4848.3395205770648</v>
      </c>
      <c r="F6" s="14">
        <f>'[1]资源-钻石'!O6</f>
        <v>8568.4276587872155</v>
      </c>
      <c r="G6" s="14">
        <f>'[1]资源-钻石'!P6</f>
        <v>10613.278887857712</v>
      </c>
      <c r="I6" s="14">
        <v>3</v>
      </c>
      <c r="J6" s="14">
        <f>'[1]资源-钻石'!T6</f>
        <v>31561.116023282215</v>
      </c>
      <c r="K6" s="14">
        <f>'[1]资源-钻石'!U6</f>
        <v>42157.227625610445</v>
      </c>
      <c r="L6" s="14">
        <f>'[1]资源-钻石'!V6</f>
        <v>66088.950388171492</v>
      </c>
      <c r="M6" s="14">
        <f>'[1]资源-钻石'!W6</f>
        <v>161357.84542698861</v>
      </c>
      <c r="N6" s="14">
        <f>'[1]资源-钻石'!X6</f>
        <v>371708.62996968755</v>
      </c>
      <c r="P6" s="14">
        <v>3</v>
      </c>
      <c r="Q6" s="14">
        <f>'[1]功能-行军令'!N6</f>
        <v>10.632643013866151</v>
      </c>
      <c r="R6" s="14">
        <f>'[1]功能-行军令'!O6</f>
        <v>13.120311648049476</v>
      </c>
      <c r="S6" s="14">
        <f>'[1]功能-行军令'!P6</f>
        <v>14.210666074680118</v>
      </c>
      <c r="T6" s="14">
        <f>'[1]功能-行军令'!Q6</f>
        <v>11.453968457804642</v>
      </c>
      <c r="U6" s="14">
        <f>'[1]功能-行军令'!R6</f>
        <v>6.1162429781958272</v>
      </c>
      <c r="V6" s="14">
        <f>'[1]功能-行军令'!S6</f>
        <v>3.7925186840025358</v>
      </c>
      <c r="W6" s="14">
        <f>'[1]功能-行军令'!T6</f>
        <v>4.7416054390315399</v>
      </c>
      <c r="X6" s="14">
        <f>'[1]功能-行军令'!U6</f>
        <v>5.2162445871259582</v>
      </c>
      <c r="Y6" s="14">
        <f>'[1]功能-行军令'!V6</f>
        <v>4.2616074646240509</v>
      </c>
      <c r="Z6" s="14">
        <f>'[1]功能-行军令'!W6</f>
        <v>2.2964498953609902</v>
      </c>
      <c r="AC6" s="14">
        <v>3</v>
      </c>
      <c r="AD6" s="14">
        <v>31857</v>
      </c>
      <c r="AE6" s="14">
        <v>32166</v>
      </c>
      <c r="AF6" s="14">
        <v>32676</v>
      </c>
      <c r="AG6" s="14">
        <v>33426</v>
      </c>
      <c r="AH6" s="14">
        <v>33876</v>
      </c>
      <c r="AK6" s="14">
        <v>3</v>
      </c>
      <c r="AL6" s="14">
        <f>'[1]功能-付费相关'!AH8</f>
        <v>3.0464372842374271E-2</v>
      </c>
      <c r="AM6" s="14">
        <f>'[1]功能-付费相关'!AI8</f>
        <v>3.0464372842374271E-2</v>
      </c>
      <c r="AN6" s="14">
        <f>'[1]功能-付费相关'!AJ8</f>
        <v>3.0464372842374271E-2</v>
      </c>
      <c r="AO6" s="14">
        <f>'[1]功能-付费相关'!AK8</f>
        <v>3.0464372842374271E-2</v>
      </c>
      <c r="AP6" s="14">
        <f>'[1]功能-付费相关'!AL8</f>
        <v>3.0464372842374271E-2</v>
      </c>
      <c r="AS6" s="14">
        <v>3</v>
      </c>
      <c r="AT6" s="14">
        <f>'[1]功能-城建'!GF6</f>
        <v>2807.3039695353036</v>
      </c>
      <c r="AU6" s="14">
        <f>'[1]功能-城建'!GG6</f>
        <v>2572.0216257824545</v>
      </c>
      <c r="AV6" s="14">
        <f>'[1]功能-城建'!GH6</f>
        <v>2200.3168562977953</v>
      </c>
      <c r="AW6" s="14">
        <f>'[1]功能-城建'!GI6</f>
        <v>1671.4651381389144</v>
      </c>
      <c r="AX6" s="14">
        <f>'[1]功能-城建'!GJ6</f>
        <v>942.25938142492282</v>
      </c>
    </row>
    <row r="7" spans="2:50" x14ac:dyDescent="0.15">
      <c r="B7" s="14">
        <v>4</v>
      </c>
      <c r="C7" s="14">
        <f>'[1]资源-钻石'!L7</f>
        <v>4633.3992616424111</v>
      </c>
      <c r="D7" s="14">
        <f>'[1]资源-钻石'!M7</f>
        <v>5317.4188778006173</v>
      </c>
      <c r="E7" s="14">
        <f>'[1]资源-钻石'!N7</f>
        <v>6773.2188891002043</v>
      </c>
      <c r="F7" s="14">
        <f>'[1]资源-钻石'!O7</f>
        <v>12026.203815149966</v>
      </c>
      <c r="G7" s="14">
        <f>'[1]资源-钻石'!P7</f>
        <v>15024.655902480066</v>
      </c>
      <c r="I7" s="14">
        <v>4</v>
      </c>
      <c r="J7" s="14">
        <f>'[1]资源-钻石'!T7</f>
        <v>40090.837505658441</v>
      </c>
      <c r="K7" s="14">
        <f>'[1]资源-钻石'!U7</f>
        <v>53459.921256224297</v>
      </c>
      <c r="L7" s="14">
        <f>'[1]资源-钻石'!V7</f>
        <v>83609.913381846723</v>
      </c>
      <c r="M7" s="14">
        <f>'[1]资源-钻石'!W7</f>
        <v>203510.90472003139</v>
      </c>
      <c r="N7" s="14">
        <f>'[1]资源-钻石'!X7</f>
        <v>468196.99519203458</v>
      </c>
      <c r="P7" s="14">
        <v>4</v>
      </c>
      <c r="Q7" s="14">
        <f>'[1]功能-行军令'!N7</f>
        <v>14.697363895553133</v>
      </c>
      <c r="R7" s="14">
        <f>'[1]功能-行军令'!O7</f>
        <v>18.221663954542464</v>
      </c>
      <c r="S7" s="14">
        <f>'[1]功能-行军令'!P7</f>
        <v>19.852560134291625</v>
      </c>
      <c r="T7" s="14">
        <f>'[1]功能-行军令'!Q7</f>
        <v>16.076200284493559</v>
      </c>
      <c r="U7" s="14">
        <f>'[1]功能-行军令'!R7</f>
        <v>8.6584407264078909</v>
      </c>
      <c r="V7" s="14">
        <f>'[1]功能-行军令'!S7</f>
        <v>4.0647208816869824</v>
      </c>
      <c r="W7" s="14">
        <f>'[1]功能-行军令'!T7</f>
        <v>5.1013523064929878</v>
      </c>
      <c r="X7" s="14">
        <f>'[1]功能-行军令'!U7</f>
        <v>5.6418940596115075</v>
      </c>
      <c r="Y7" s="14">
        <f>'[1]功能-行军令'!V7</f>
        <v>4.6222318266889175</v>
      </c>
      <c r="Z7" s="14">
        <f>'[1]功能-行军令'!W7</f>
        <v>2.5421977482120637</v>
      </c>
      <c r="AC7" s="14">
        <v>4</v>
      </c>
      <c r="AD7" s="14">
        <v>42955.5</v>
      </c>
      <c r="AE7" s="14">
        <v>43515.5</v>
      </c>
      <c r="AF7" s="14">
        <v>44464</v>
      </c>
      <c r="AG7" s="14">
        <v>45860.5</v>
      </c>
      <c r="AH7" s="14">
        <v>46704</v>
      </c>
      <c r="AK7" s="14">
        <v>4</v>
      </c>
      <c r="AL7" s="14">
        <f>'[1]功能-付费相关'!AH9</f>
        <v>2.9564014557238585E-2</v>
      </c>
      <c r="AM7" s="14">
        <f>'[1]功能-付费相关'!AI9</f>
        <v>2.9564014557238585E-2</v>
      </c>
      <c r="AN7" s="14">
        <f>'[1]功能-付费相关'!AJ9</f>
        <v>2.9564014557238585E-2</v>
      </c>
      <c r="AO7" s="14">
        <f>'[1]功能-付费相关'!AK9</f>
        <v>2.9564014557238585E-2</v>
      </c>
      <c r="AP7" s="14">
        <f>'[1]功能-付费相关'!AL9</f>
        <v>2.9564014557238585E-2</v>
      </c>
      <c r="AS7" s="14">
        <v>4</v>
      </c>
      <c r="AT7" s="14">
        <f>'[1]功能-城建'!GF7</f>
        <v>4164.5533364744651</v>
      </c>
      <c r="AU7" s="14">
        <f>'[1]功能-城建'!GG7</f>
        <v>3645.5376794684225</v>
      </c>
      <c r="AV7" s="14">
        <f>'[1]功能-城建'!GH7</f>
        <v>3014.2694285218768</v>
      </c>
      <c r="AW7" s="14">
        <f>'[1]功能-城建'!GI7</f>
        <v>2213.65042183884</v>
      </c>
      <c r="AX7" s="14">
        <f>'[1]功能-城建'!GJ7</f>
        <v>1233.5034242668369</v>
      </c>
    </row>
    <row r="8" spans="2:50" x14ac:dyDescent="0.15">
      <c r="B8" s="14">
        <v>5</v>
      </c>
      <c r="C8" s="14">
        <f>'[1]资源-钻石'!L8</f>
        <v>6006.789657943551</v>
      </c>
      <c r="D8" s="14">
        <f>'[1]资源-钻石'!M8</f>
        <v>6890.3207409975184</v>
      </c>
      <c r="E8" s="14">
        <f>'[1]资源-钻石'!N8</f>
        <v>8791.163388022298</v>
      </c>
      <c r="F8" s="14">
        <f>'[1]资源-钻石'!O8</f>
        <v>15638.776428266865</v>
      </c>
      <c r="G8" s="14">
        <f>'[1]资源-钻石'!P8</f>
        <v>19574.3719490816</v>
      </c>
      <c r="I8" s="14">
        <v>5</v>
      </c>
      <c r="J8" s="14">
        <f>'[1]资源-钻石'!T8</f>
        <v>48620.558988034674</v>
      </c>
      <c r="K8" s="14">
        <f>'[1]资源-钻石'!U8</f>
        <v>64762.61488683815</v>
      </c>
      <c r="L8" s="14">
        <f>'[1]资源-钻石'!V8</f>
        <v>101130.87637552196</v>
      </c>
      <c r="M8" s="14">
        <f>'[1]资源-钻石'!W8</f>
        <v>245663.96401307415</v>
      </c>
      <c r="N8" s="14">
        <f>'[1]资源-钻石'!X8</f>
        <v>564685.3604143816</v>
      </c>
      <c r="P8" s="14">
        <v>5</v>
      </c>
      <c r="Q8" s="14">
        <f>'[1]功能-行军令'!N8</f>
        <v>19.053823869162375</v>
      </c>
      <c r="R8" s="14">
        <f>'[1]功能-行军令'!O8</f>
        <v>23.611664224090969</v>
      </c>
      <c r="S8" s="14">
        <f>'[1]功能-行军令'!P8</f>
        <v>25.76723160268055</v>
      </c>
      <c r="T8" s="14">
        <f>'[1]功能-行军令'!Q8</f>
        <v>20.905358492970112</v>
      </c>
      <c r="U8" s="14">
        <f>'[1]功能-行军令'!R8</f>
        <v>11.280360786818976</v>
      </c>
      <c r="V8" s="14">
        <f>'[1]功能-行军令'!S8</f>
        <v>4.3564599736092422</v>
      </c>
      <c r="W8" s="14">
        <f>'[1]功能-行军令'!T8</f>
        <v>5.390000269548505</v>
      </c>
      <c r="X8" s="14">
        <f>'[1]功能-行军令'!U8</f>
        <v>5.9146714683889243</v>
      </c>
      <c r="Y8" s="14">
        <f>'[1]功能-行军令'!V8</f>
        <v>4.829158208476553</v>
      </c>
      <c r="Z8" s="14">
        <f>'[1]功能-行军令'!W8</f>
        <v>2.6219200604110853</v>
      </c>
      <c r="AC8" s="14">
        <v>5</v>
      </c>
      <c r="AD8" s="14">
        <v>56256</v>
      </c>
      <c r="AE8" s="14">
        <v>57168</v>
      </c>
      <c r="AF8" s="14">
        <v>58724</v>
      </c>
      <c r="AG8" s="14">
        <v>61028</v>
      </c>
      <c r="AH8" s="14">
        <v>62428</v>
      </c>
      <c r="AK8" s="14">
        <v>5</v>
      </c>
      <c r="AL8" s="14">
        <f>'[1]功能-付费相关'!AH10</f>
        <v>2.8690265880835262E-2</v>
      </c>
      <c r="AM8" s="14">
        <f>'[1]功能-付费相关'!AI10</f>
        <v>2.8690265880835262E-2</v>
      </c>
      <c r="AN8" s="14">
        <f>'[1]功能-付费相关'!AJ10</f>
        <v>2.8690265880835262E-2</v>
      </c>
      <c r="AO8" s="14">
        <f>'[1]功能-付费相关'!AK10</f>
        <v>2.8690265880835262E-2</v>
      </c>
      <c r="AP8" s="14">
        <f>'[1]功能-付费相关'!AL10</f>
        <v>2.8690265880835262E-2</v>
      </c>
      <c r="AS8" s="14">
        <v>5</v>
      </c>
      <c r="AT8" s="14">
        <f>'[1]功能-城建'!GF8</f>
        <v>4773.1648406501281</v>
      </c>
      <c r="AU8" s="14">
        <f>'[1]功能-城建'!GG8</f>
        <v>4094.6430440142776</v>
      </c>
      <c r="AV8" s="14">
        <f>'[1]功能-城建'!GH8</f>
        <v>3373.7229833502479</v>
      </c>
      <c r="AW8" s="14">
        <f>'[1]功能-城建'!GI8</f>
        <v>2479.3729145736452</v>
      </c>
      <c r="AX8" s="14">
        <f>'[1]功能-城建'!GJ8</f>
        <v>1370.0712896781979</v>
      </c>
    </row>
    <row r="9" spans="2:50" x14ac:dyDescent="0.15">
      <c r="B9" s="14">
        <v>6</v>
      </c>
      <c r="C9" s="14">
        <f>'[1]资源-钻石'!L9</f>
        <v>7478.7530384013098</v>
      </c>
      <c r="D9" s="14">
        <f>'[1]资源-钻石'!M9</f>
        <v>8590.893200390401</v>
      </c>
      <c r="E9" s="14">
        <f>'[1]资源-钻石'!N9</f>
        <v>10971.055697648706</v>
      </c>
      <c r="F9" s="14">
        <f>'[1]资源-钻石'!O9</f>
        <v>19602.189096576229</v>
      </c>
      <c r="G9" s="14">
        <f>'[1]资源-钻石'!P9</f>
        <v>24730.552915572829</v>
      </c>
      <c r="I9" s="14">
        <v>6</v>
      </c>
      <c r="J9" s="14">
        <f>'[1]资源-钻石'!T9</f>
        <v>57150.2804704109</v>
      </c>
      <c r="K9" s="14">
        <f>'[1]资源-钻石'!U9</f>
        <v>76065.308517452009</v>
      </c>
      <c r="L9" s="14">
        <f>'[1]资源-钻石'!V9</f>
        <v>118651.8393691972</v>
      </c>
      <c r="M9" s="14">
        <f>'[1]资源-钻石'!W9</f>
        <v>287817.02330611687</v>
      </c>
      <c r="N9" s="14">
        <f>'[1]资源-钻石'!X9</f>
        <v>661173.72563672857</v>
      </c>
      <c r="P9" s="14">
        <v>6</v>
      </c>
      <c r="Q9" s="14">
        <f>'[1]功能-行军令'!N9</f>
        <v>23.722962059478306</v>
      </c>
      <c r="R9" s="14">
        <f>'[1]功能-行军令'!O9</f>
        <v>29.439164482679558</v>
      </c>
      <c r="S9" s="14">
        <f>'[1]功能-行军令'!P9</f>
        <v>32.156578214936147</v>
      </c>
      <c r="T9" s="14">
        <f>'[1]功能-行军令'!Q9</f>
        <v>26.203507172736675</v>
      </c>
      <c r="U9" s="14">
        <f>'[1]功能-行军令'!R9</f>
        <v>14.251775743858198</v>
      </c>
      <c r="V9" s="14">
        <f>'[1]功能-行军令'!S9</f>
        <v>4.6691381903159304</v>
      </c>
      <c r="W9" s="14">
        <f>'[1]功能-行军令'!T9</f>
        <v>5.8275002585885893</v>
      </c>
      <c r="X9" s="14">
        <f>'[1]功能-行军令'!U9</f>
        <v>6.3893466122555971</v>
      </c>
      <c r="Y9" s="14">
        <f>'[1]功能-行军令'!V9</f>
        <v>5.2981486797665625</v>
      </c>
      <c r="Z9" s="14">
        <f>'[1]功能-行军令'!W9</f>
        <v>2.9714149570392223</v>
      </c>
      <c r="AC9" s="14">
        <v>6</v>
      </c>
      <c r="AD9" s="14">
        <v>63984</v>
      </c>
      <c r="AE9" s="14">
        <v>65212</v>
      </c>
      <c r="AF9" s="14">
        <v>67324</v>
      </c>
      <c r="AG9" s="14">
        <v>70456</v>
      </c>
      <c r="AH9" s="14">
        <v>72368</v>
      </c>
      <c r="AK9" s="14">
        <v>6</v>
      </c>
      <c r="AL9" s="14">
        <f>'[1]功能-付费相关'!AH11</f>
        <v>2.7842340380375731E-2</v>
      </c>
      <c r="AM9" s="14">
        <f>'[1]功能-付费相关'!AI11</f>
        <v>2.7842340380375731E-2</v>
      </c>
      <c r="AN9" s="14">
        <f>'[1]功能-付费相关'!AJ11</f>
        <v>2.7842340380375731E-2</v>
      </c>
      <c r="AO9" s="14">
        <f>'[1]功能-付费相关'!AK11</f>
        <v>2.7842340380375731E-2</v>
      </c>
      <c r="AP9" s="14">
        <f>'[1]功能-付费相关'!AL11</f>
        <v>2.7842340380375731E-2</v>
      </c>
      <c r="AS9" s="14">
        <v>6</v>
      </c>
      <c r="AT9" s="14">
        <f>'[1]功能-城建'!GF9</f>
        <v>5436.567599393773</v>
      </c>
      <c r="AU9" s="14">
        <f>'[1]功能-城建'!GG9</f>
        <v>4696.7912531908078</v>
      </c>
      <c r="AV9" s="14">
        <f>'[1]功能-城建'!GH9</f>
        <v>3849.93584161326</v>
      </c>
      <c r="AW9" s="14">
        <f>'[1]功能-城建'!GI9</f>
        <v>2918.2882064448586</v>
      </c>
      <c r="AX9" s="14">
        <f>'[1]功能-城建'!GJ9</f>
        <v>1688.4306369784099</v>
      </c>
    </row>
    <row r="10" spans="2:50" x14ac:dyDescent="0.15">
      <c r="B10" s="14">
        <v>7</v>
      </c>
      <c r="C10" s="14">
        <f>'[1]资源-钻石'!L10</f>
        <v>9056.364327401152</v>
      </c>
      <c r="D10" s="14">
        <f>'[1]资源-钻石'!M10</f>
        <v>10443.399467293943</v>
      </c>
      <c r="E10" s="14">
        <f>'[1]资源-钻石'!N10</f>
        <v>13372.604016402558</v>
      </c>
      <c r="F10" s="14">
        <f>'[1]资源-钻石'!O10</f>
        <v>23847.861989582831</v>
      </c>
      <c r="G10" s="14">
        <f>'[1]资源-钻石'!P10</f>
        <v>29846.901310823479</v>
      </c>
      <c r="I10" s="14">
        <v>7</v>
      </c>
      <c r="J10" s="14">
        <f>'[1]资源-钻石'!T10</f>
        <v>65680.001952787134</v>
      </c>
      <c r="K10" s="14">
        <f>'[1]资源-钻石'!U10</f>
        <v>87013.612097199526</v>
      </c>
      <c r="L10" s="14">
        <f>'[1]资源-钻石'!V10</f>
        <v>135833.17555775886</v>
      </c>
      <c r="M10" s="14">
        <f>'[1]资源-钻石'!W10</f>
        <v>329495.38453408948</v>
      </c>
      <c r="N10" s="14">
        <f>'[1]资源-钻石'!X10</f>
        <v>757274.01349916705</v>
      </c>
      <c r="P10" s="14">
        <v>7</v>
      </c>
      <c r="Q10" s="14">
        <f>'[1]功能-行军令'!N10</f>
        <v>28.727220464773662</v>
      </c>
      <c r="R10" s="14">
        <f>'[1]功能-行军令'!O10</f>
        <v>35.787309596867416</v>
      </c>
      <c r="S10" s="14">
        <f>'[1]功能-行军令'!P10</f>
        <v>39.195606953575002</v>
      </c>
      <c r="T10" s="14">
        <f>'[1]功能-行军令'!Q10</f>
        <v>31.878971252634962</v>
      </c>
      <c r="U10" s="14">
        <f>'[1]功能-行军令'!R10</f>
        <v>17.200235901845417</v>
      </c>
      <c r="V10" s="14">
        <f>'[1]功能-行军令'!S10</f>
        <v>5.0042584052953565</v>
      </c>
      <c r="W10" s="14">
        <f>'[1]功能-行军令'!T10</f>
        <v>6.348145114187858</v>
      </c>
      <c r="X10" s="14">
        <f>'[1]功能-行军令'!U10</f>
        <v>7.039028738638855</v>
      </c>
      <c r="Y10" s="14">
        <f>'[1]功能-行军令'!V10</f>
        <v>5.6754640798982869</v>
      </c>
      <c r="Z10" s="14">
        <f>'[1]功能-行军令'!W10</f>
        <v>2.9484601579872187</v>
      </c>
      <c r="AC10" s="14">
        <v>7</v>
      </c>
      <c r="AD10" s="14">
        <v>72304</v>
      </c>
      <c r="AE10" s="14">
        <v>73888</v>
      </c>
      <c r="AF10" s="14">
        <v>76652</v>
      </c>
      <c r="AG10" s="14">
        <v>80644</v>
      </c>
      <c r="AH10" s="14">
        <v>82920</v>
      </c>
      <c r="AK10" s="14">
        <v>7</v>
      </c>
      <c r="AL10" s="14">
        <f>'[1]功能-付费相关'!AH12</f>
        <v>2.7019474865672907E-2</v>
      </c>
      <c r="AM10" s="14">
        <f>'[1]功能-付费相关'!AI12</f>
        <v>2.7019474865672907E-2</v>
      </c>
      <c r="AN10" s="14">
        <f>'[1]功能-付费相关'!AJ12</f>
        <v>2.7019474865672907E-2</v>
      </c>
      <c r="AO10" s="14">
        <f>'[1]功能-付费相关'!AK12</f>
        <v>2.7019474865672907E-2</v>
      </c>
      <c r="AP10" s="14">
        <f>'[1]功能-付费相关'!AL12</f>
        <v>2.7019474865672907E-2</v>
      </c>
      <c r="AS10" s="14">
        <v>7</v>
      </c>
      <c r="AT10" s="14">
        <f>'[1]功能-城建'!GF10</f>
        <v>6163.9948971041376</v>
      </c>
      <c r="AU10" s="14">
        <f>'[1]功能-城建'!GG10</f>
        <v>5534.4496321198894</v>
      </c>
      <c r="AV10" s="14">
        <f>'[1]功能-城建'!GH10</f>
        <v>4594.7066711554689</v>
      </c>
      <c r="AW10" s="14">
        <f>'[1]功能-城建'!GI10</f>
        <v>3324.3593311668646</v>
      </c>
      <c r="AX10" s="14">
        <f>'[1]功能-城建'!GJ10</f>
        <v>1792.1340510136524</v>
      </c>
    </row>
    <row r="11" spans="2:50" x14ac:dyDescent="0.15">
      <c r="B11" s="14">
        <v>8</v>
      </c>
      <c r="C11" s="14">
        <f>'[1]资源-钻石'!L11</f>
        <v>10747.20624114886</v>
      </c>
      <c r="D11" s="14">
        <f>'[1]资源-钻石'!M11</f>
        <v>12335.24414104376</v>
      </c>
      <c r="E11" s="14">
        <f>'[1]资源-钻石'!N11</f>
        <v>15694.428505331771</v>
      </c>
      <c r="F11" s="14">
        <f>'[1]资源-钻石'!O11</f>
        <v>27889.164573650749</v>
      </c>
      <c r="G11" s="14">
        <f>'[1]资源-钻石'!P11</f>
        <v>34995.512475748721</v>
      </c>
      <c r="I11" s="14">
        <v>8</v>
      </c>
      <c r="J11" s="14">
        <f>'[1]资源-钻石'!T11</f>
        <v>71369.493447807283</v>
      </c>
      <c r="K11" s="14">
        <f>'[1]资源-钻石'!U11</f>
        <v>95426.442792588015</v>
      </c>
      <c r="L11" s="14">
        <f>'[1]资源-钻石'!V11</f>
        <v>149807.08707184682</v>
      </c>
      <c r="M11" s="14">
        <f>'[1]资源-钻石'!W11</f>
        <v>366417.79577903147</v>
      </c>
      <c r="N11" s="14">
        <f>'[1]资源-钻石'!X11</f>
        <v>844742.07535693469</v>
      </c>
      <c r="P11" s="14">
        <v>8</v>
      </c>
      <c r="Q11" s="14">
        <f>'[1]功能-行军令'!N11</f>
        <v>34.090651823243419</v>
      </c>
      <c r="R11" s="14">
        <f>'[1]功能-行军令'!O11</f>
        <v>42.270259067554726</v>
      </c>
      <c r="S11" s="14">
        <f>'[1]功能-行军令'!P11</f>
        <v>46.0009621388201</v>
      </c>
      <c r="T11" s="14">
        <f>'[1]功能-行军令'!Q11</f>
        <v>37.281240393448371</v>
      </c>
      <c r="U11" s="14">
        <f>'[1]功能-行军令'!R11</f>
        <v>20.167288517504215</v>
      </c>
      <c r="V11" s="14">
        <f>'[1]功能-行军令'!S11</f>
        <v>5.3634313584697573</v>
      </c>
      <c r="W11" s="14">
        <f>'[1]功能-行军令'!T11</f>
        <v>6.4829494706873092</v>
      </c>
      <c r="X11" s="14">
        <f>'[1]功能-行军令'!U11</f>
        <v>6.805355185245098</v>
      </c>
      <c r="Y11" s="14">
        <f>'[1]功能-行军令'!V11</f>
        <v>5.4022691408134094</v>
      </c>
      <c r="Z11" s="14">
        <f>'[1]功能-行军令'!W11</f>
        <v>2.9670526156587975</v>
      </c>
      <c r="AC11" s="14">
        <v>8</v>
      </c>
      <c r="AD11" s="14">
        <v>81240</v>
      </c>
      <c r="AE11" s="14">
        <v>83092</v>
      </c>
      <c r="AF11" s="14">
        <v>86368</v>
      </c>
      <c r="AG11" s="14">
        <v>91236</v>
      </c>
      <c r="AH11" s="14">
        <v>94124</v>
      </c>
      <c r="AK11" s="14">
        <v>8</v>
      </c>
      <c r="AL11" s="14">
        <f>'[1]功能-付费相关'!AH13</f>
        <v>2.6220928702218448E-2</v>
      </c>
      <c r="AM11" s="14">
        <f>'[1]功能-付费相关'!AI13</f>
        <v>2.6220928702218448E-2</v>
      </c>
      <c r="AN11" s="14">
        <f>'[1]功能-付费相关'!AJ13</f>
        <v>2.6220928702218448E-2</v>
      </c>
      <c r="AO11" s="14">
        <f>'[1]功能-付费相关'!AK13</f>
        <v>2.6220928702218448E-2</v>
      </c>
      <c r="AP11" s="14">
        <f>'[1]功能-付费相关'!AL13</f>
        <v>2.6220928702218448E-2</v>
      </c>
      <c r="AS11" s="14">
        <v>8</v>
      </c>
      <c r="AT11" s="14">
        <f>'[1]功能-城建'!GF11</f>
        <v>6925.8222324587732</v>
      </c>
      <c r="AU11" s="14">
        <f>'[1]功能-城建'!GG11</f>
        <v>5914.4268287107661</v>
      </c>
      <c r="AV11" s="14">
        <f>'[1]功能-城建'!GH11</f>
        <v>4741.9043247603004</v>
      </c>
      <c r="AW11" s="14">
        <f>'[1]功能-城建'!GI11</f>
        <v>3398.7091293661015</v>
      </c>
      <c r="AX11" s="14">
        <f>'[1]功能-城建'!GJ11</f>
        <v>1914.5467405723066</v>
      </c>
    </row>
    <row r="12" spans="2:50" x14ac:dyDescent="0.15">
      <c r="B12" s="14">
        <v>9</v>
      </c>
      <c r="C12" s="14">
        <f>'[1]资源-钻石'!L12</f>
        <v>12559.405733647733</v>
      </c>
      <c r="D12" s="14">
        <f>'[1]资源-钻石'!M12</f>
        <v>14410.139453011971</v>
      </c>
      <c r="E12" s="14">
        <f>'[1]资源-钻石'!N12</f>
        <v>18405.364234952573</v>
      </c>
      <c r="F12" s="14">
        <f>'[1]资源-钻石'!O12</f>
        <v>32952.202123758485</v>
      </c>
      <c r="G12" s="14">
        <f>'[1]资源-钻石'!P12</f>
        <v>41453.73097236536</v>
      </c>
      <c r="I12" s="14">
        <v>9</v>
      </c>
      <c r="J12" s="14">
        <f>'[1]资源-钻石'!T12</f>
        <v>77058.984942827432</v>
      </c>
      <c r="K12" s="14">
        <f>'[1]资源-钻石'!U12</f>
        <v>103484.8834371102</v>
      </c>
      <c r="L12" s="14">
        <f>'[1]资源-钻石'!V12</f>
        <v>163441.37178082121</v>
      </c>
      <c r="M12" s="14">
        <f>'[1]资源-钻石'!W12</f>
        <v>402865.50895890332</v>
      </c>
      <c r="N12" s="14">
        <f>'[1]资源-钻石'!X12</f>
        <v>931822.0598547936</v>
      </c>
      <c r="P12" s="14">
        <v>9</v>
      </c>
      <c r="Q12" s="14">
        <f>'[1]功能-行军令'!N12</f>
        <v>39.839035221386283</v>
      </c>
      <c r="R12" s="14">
        <f>'[1]功能-行军令'!O12</f>
        <v>49.380484156908295</v>
      </c>
      <c r="S12" s="14">
        <f>'[1]功能-行军令'!P12</f>
        <v>53.946817052663931</v>
      </c>
      <c r="T12" s="14">
        <f>'[1]功能-行军令'!Q12</f>
        <v>44.049328391500353</v>
      </c>
      <c r="U12" s="14">
        <f>'[1]功能-行军令'!R12</f>
        <v>23.889044437512744</v>
      </c>
      <c r="V12" s="14">
        <f>'[1]功能-行军令'!S12</f>
        <v>5.7483833981428631</v>
      </c>
      <c r="W12" s="14">
        <f>'[1]功能-行军令'!T12</f>
        <v>7.1102250893535697</v>
      </c>
      <c r="X12" s="14">
        <f>'[1]功能-行军令'!U12</f>
        <v>7.9458549138438315</v>
      </c>
      <c r="Y12" s="14">
        <f>'[1]功能-行军令'!V12</f>
        <v>6.7680879980519819</v>
      </c>
      <c r="Z12" s="14">
        <f>'[1]功能-行军令'!W12</f>
        <v>3.7217559200085297</v>
      </c>
      <c r="AC12" s="14">
        <v>9</v>
      </c>
      <c r="AD12" s="14">
        <v>99413.6</v>
      </c>
      <c r="AE12" s="14">
        <v>101864.40000000001</v>
      </c>
      <c r="AF12" s="14">
        <v>106304</v>
      </c>
      <c r="AG12" s="14">
        <v>112882.00000000001</v>
      </c>
      <c r="AH12" s="14">
        <v>116820</v>
      </c>
      <c r="AK12" s="14">
        <v>9</v>
      </c>
      <c r="AL12" s="14">
        <f>'[1]功能-付费相关'!AH14</f>
        <v>2.5445983144561774E-2</v>
      </c>
      <c r="AM12" s="14">
        <f>'[1]功能-付费相关'!AI14</f>
        <v>2.5445983144561774E-2</v>
      </c>
      <c r="AN12" s="14">
        <f>'[1]功能-付费相关'!AJ14</f>
        <v>2.5445983144561774E-2</v>
      </c>
      <c r="AO12" s="14">
        <f>'[1]功能-付费相关'!AK14</f>
        <v>2.5445983144561774E-2</v>
      </c>
      <c r="AP12" s="14">
        <f>'[1]功能-付费相关'!AL14</f>
        <v>2.5445983144561774E-2</v>
      </c>
      <c r="AS12" s="14">
        <v>9</v>
      </c>
      <c r="AT12" s="14">
        <f>'[1]功能-城建'!GF12</f>
        <v>8049.6687835906996</v>
      </c>
      <c r="AU12" s="14">
        <f>'[1]功能-城建'!GG12</f>
        <v>6876.7550117927058</v>
      </c>
      <c r="AV12" s="14">
        <f>'[1]功能-城建'!GH12</f>
        <v>5831.1329515895231</v>
      </c>
      <c r="AW12" s="14">
        <f>'[1]功能-城建'!GI12</f>
        <v>4548.5278559936014</v>
      </c>
      <c r="AX12" s="14">
        <f>'[1]功能-城建'!GJ12</f>
        <v>2541.5367063421436</v>
      </c>
    </row>
    <row r="13" spans="2:50" x14ac:dyDescent="0.15">
      <c r="B13" s="14">
        <v>10</v>
      </c>
      <c r="C13" s="14">
        <f>'[1]资源-钻石'!L13</f>
        <v>14501.673058529761</v>
      </c>
      <c r="D13" s="14">
        <f>'[1]资源-钻石'!M13</f>
        <v>16712.913143474369</v>
      </c>
      <c r="E13" s="14">
        <f>'[1]资源-钻石'!N13</f>
        <v>21406.923324366089</v>
      </c>
      <c r="F13" s="14">
        <f>'[1]资源-钻石'!O13</f>
        <v>38510.453075083373</v>
      </c>
      <c r="G13" s="14">
        <f>'[1]资源-钻石'!P13</f>
        <v>48829.554950228208</v>
      </c>
      <c r="I13" s="14">
        <v>10</v>
      </c>
      <c r="J13" s="14">
        <f>'[1]资源-钻石'!T13</f>
        <v>82748.476437847581</v>
      </c>
      <c r="K13" s="14">
        <f>'[1]资源-钻石'!U13</f>
        <v>111543.32408163235</v>
      </c>
      <c r="L13" s="14">
        <f>'[1]资源-钻石'!V13</f>
        <v>177075.6564897956</v>
      </c>
      <c r="M13" s="14">
        <f>'[1]资源-钻石'!W13</f>
        <v>439313.22213877511</v>
      </c>
      <c r="N13" s="14">
        <f>'[1]资源-钻石'!X13</f>
        <v>1018902.0443526527</v>
      </c>
      <c r="P13" s="14">
        <v>10</v>
      </c>
      <c r="Q13" s="14">
        <f>'[1]功能-行军令'!N13</f>
        <v>46</v>
      </c>
      <c r="R13" s="14">
        <f>'[1]功能-行军令'!O13</f>
        <v>57.271599999999999</v>
      </c>
      <c r="S13" s="14">
        <f>'[1]功能-行军令'!P13</f>
        <v>62.744500000000002</v>
      </c>
      <c r="T13" s="14">
        <f>'[1]功能-行军令'!Q13</f>
        <v>51.479400000000005</v>
      </c>
      <c r="U13" s="14">
        <f>'[1]功能-行军令'!R13</f>
        <v>28.139600000000002</v>
      </c>
      <c r="V13" s="14">
        <f>'[1]功能-行军令'!S13</f>
        <v>6.1609647786137174</v>
      </c>
      <c r="W13" s="14">
        <f>'[1]功能-行军令'!T13</f>
        <v>7.8911158430917041</v>
      </c>
      <c r="X13" s="14">
        <f>'[1]功能-行军令'!U13</f>
        <v>8.7976829473360709</v>
      </c>
      <c r="Y13" s="14">
        <f>'[1]功能-行军令'!V13</f>
        <v>7.4300716084996523</v>
      </c>
      <c r="Z13" s="14">
        <f>'[1]功能-行军令'!W13</f>
        <v>4.2505555624872571</v>
      </c>
      <c r="AC13" s="14">
        <v>10</v>
      </c>
      <c r="AD13" s="14">
        <v>120374.39999999999</v>
      </c>
      <c r="AE13" s="14">
        <v>123321.59999999999</v>
      </c>
      <c r="AF13" s="14">
        <v>129148.79999999999</v>
      </c>
      <c r="AG13" s="14">
        <v>137803.20000000001</v>
      </c>
      <c r="AH13" s="14">
        <v>143035.20000000001</v>
      </c>
      <c r="AK13" s="14">
        <v>10</v>
      </c>
      <c r="AL13" s="14">
        <f>'[1]功能-付费相关'!AH15</f>
        <v>2.4693940689390591E-2</v>
      </c>
      <c r="AM13" s="14">
        <f>'[1]功能-付费相关'!AI15</f>
        <v>2.4693940689390591E-2</v>
      </c>
      <c r="AN13" s="14">
        <f>'[1]功能-付费相关'!AJ15</f>
        <v>2.4693940689390591E-2</v>
      </c>
      <c r="AO13" s="14">
        <f>'[1]功能-付费相关'!AK15</f>
        <v>2.4693940689390591E-2</v>
      </c>
      <c r="AP13" s="14">
        <f>'[1]功能-付费相关'!AL15</f>
        <v>2.4693940689390591E-2</v>
      </c>
      <c r="AS13" s="14">
        <v>10</v>
      </c>
      <c r="AT13" s="14">
        <f>'[1]功能-城建'!GF13</f>
        <v>9031.834335166408</v>
      </c>
      <c r="AU13" s="14">
        <f>'[1]功能-城建'!GG13</f>
        <v>8210.2526072714463</v>
      </c>
      <c r="AV13" s="14">
        <f>'[1]功能-城建'!GH13</f>
        <v>6786.7839879449712</v>
      </c>
      <c r="AW13" s="14">
        <f>'[1]功能-城建'!GI13</f>
        <v>5267.9624983380709</v>
      </c>
      <c r="AX13" s="14">
        <f>'[1]功能-城建'!GJ13</f>
        <v>3119.8252478061804</v>
      </c>
    </row>
    <row r="14" spans="2:50" x14ac:dyDescent="0.15">
      <c r="B14" s="14">
        <v>11</v>
      </c>
      <c r="C14" s="14">
        <f>'[1]资源-钻石'!L14</f>
        <v>15726.088349050451</v>
      </c>
      <c r="D14" s="14">
        <f>'[1]资源-钻石'!M14</f>
        <v>19167.896551545822</v>
      </c>
      <c r="E14" s="14">
        <f>'[1]资源-钻石'!N14</f>
        <v>24667.991108060392</v>
      </c>
      <c r="F14" s="14">
        <f>'[1]资源-钻石'!O14</f>
        <v>44364.525578775363</v>
      </c>
      <c r="G14" s="14">
        <f>'[1]资源-钻石'!P14</f>
        <v>56779.073660921611</v>
      </c>
      <c r="I14" s="14">
        <v>11</v>
      </c>
      <c r="J14" s="14">
        <f>'[1]资源-钻石'!T14</f>
        <v>88437.96793286773</v>
      </c>
      <c r="K14" s="14">
        <f>'[1]资源-钻石'!U14</f>
        <v>119601.76472615452</v>
      </c>
      <c r="L14" s="14">
        <f>'[1]资源-钻石'!V14</f>
        <v>190709.94119876999</v>
      </c>
      <c r="M14" s="14">
        <f>'[1]资源-钻石'!W14</f>
        <v>475760.93531864701</v>
      </c>
      <c r="N14" s="14">
        <f>'[1]资源-钻石'!X14</f>
        <v>1105982.0288505116</v>
      </c>
      <c r="P14" s="14">
        <v>11</v>
      </c>
      <c r="Q14" s="14">
        <f>'[1]功能-行军令'!N14</f>
        <v>52.603158553338972</v>
      </c>
      <c r="R14" s="14">
        <f>'[1]功能-行军令'!O14</f>
        <v>65.684306183936783</v>
      </c>
      <c r="S14" s="14">
        <f>'[1]功能-行军令'!P14</f>
        <v>72.302812722179397</v>
      </c>
      <c r="T14" s="14">
        <f>'[1]功能-行军令'!Q14</f>
        <v>59.304915307726851</v>
      </c>
      <c r="U14" s="14">
        <f>'[1]功能-行军令'!R14</f>
        <v>32.720765585871938</v>
      </c>
      <c r="V14" s="14">
        <f>'[1]功能-行军令'!S14</f>
        <v>6.6031585533389716</v>
      </c>
      <c r="W14" s="14">
        <f>'[1]功能-行军令'!T14</f>
        <v>8.412706183936784</v>
      </c>
      <c r="X14" s="14">
        <f>'[1]功能-行军令'!U14</f>
        <v>9.5583127221793944</v>
      </c>
      <c r="Y14" s="14">
        <f>'[1]功能-行军令'!V14</f>
        <v>7.825515307726846</v>
      </c>
      <c r="Z14" s="14">
        <f>'[1]功能-行军令'!W14</f>
        <v>4.5811655858719362</v>
      </c>
      <c r="AC14" s="14">
        <v>11</v>
      </c>
      <c r="AD14" s="14">
        <v>139670</v>
      </c>
      <c r="AE14" s="14">
        <v>143150</v>
      </c>
      <c r="AF14" s="14">
        <v>149965</v>
      </c>
      <c r="AG14" s="14">
        <v>160575</v>
      </c>
      <c r="AH14" s="14">
        <v>166840</v>
      </c>
      <c r="AK14" s="14">
        <v>11</v>
      </c>
      <c r="AL14" s="14">
        <f>'[1]功能-付费相关'!AH16</f>
        <v>2.396412444773087E-2</v>
      </c>
      <c r="AM14" s="14">
        <f>'[1]功能-付费相关'!AI16</f>
        <v>2.396412444773087E-2</v>
      </c>
      <c r="AN14" s="14">
        <f>'[1]功能-付费相关'!AJ16</f>
        <v>2.396412444773087E-2</v>
      </c>
      <c r="AO14" s="14">
        <f>'[1]功能-付费相关'!AK16</f>
        <v>2.396412444773087E-2</v>
      </c>
      <c r="AP14" s="14">
        <f>'[1]功能-付费相关'!AL16</f>
        <v>2.396412444773087E-2</v>
      </c>
      <c r="AS14" s="14">
        <v>11</v>
      </c>
      <c r="AT14" s="14">
        <f>'[1]功能-城建'!GF14</f>
        <v>10076.99414009555</v>
      </c>
      <c r="AU14" s="14">
        <f>'[1]功能-城建'!GG14</f>
        <v>9118.5699736714305</v>
      </c>
      <c r="AV14" s="14">
        <f>'[1]功能-城建'!GH14</f>
        <v>7921.6300262802106</v>
      </c>
      <c r="AW14" s="14">
        <f>'[1]功能-城建'!GI14</f>
        <v>5987.5835562468274</v>
      </c>
      <c r="AX14" s="14">
        <f>'[1]功能-城建'!GJ14</f>
        <v>4315.8718815997781</v>
      </c>
    </row>
    <row r="15" spans="2:50" x14ac:dyDescent="0.15">
      <c r="B15" s="14">
        <v>12</v>
      </c>
      <c r="C15" s="14">
        <f>'[1]资源-钻石'!L15</f>
        <v>17038.384164554194</v>
      </c>
      <c r="D15" s="14">
        <f>'[1]资源-钻石'!M15</f>
        <v>20825.059623865094</v>
      </c>
      <c r="E15" s="14">
        <f>'[1]资源-钻石'!N15</f>
        <v>28123.71056574865</v>
      </c>
      <c r="F15" s="14">
        <f>'[1]资源-钻石'!O15</f>
        <v>51022.981683163329</v>
      </c>
      <c r="G15" s="14">
        <f>'[1]资源-钻石'!P15</f>
        <v>65345.525077267288</v>
      </c>
      <c r="I15" s="14">
        <v>12</v>
      </c>
      <c r="J15" s="14">
        <f>'[1]资源-钻石'!T15</f>
        <v>94127.459427887894</v>
      </c>
      <c r="K15" s="14">
        <f>'[1]资源-钻石'!U15</f>
        <v>127660.20537067669</v>
      </c>
      <c r="L15" s="14">
        <f>'[1]资源-钻石'!V15</f>
        <v>204344.22590774437</v>
      </c>
      <c r="M15" s="14">
        <f>'[1]资源-钻石'!W15</f>
        <v>512208.6484985188</v>
      </c>
      <c r="N15" s="14">
        <f>'[1]资源-钻石'!X15</f>
        <v>1193062.0133483706</v>
      </c>
      <c r="P15" s="14">
        <v>12</v>
      </c>
      <c r="Q15" s="14">
        <f>'[1]功能-行军令'!N15</f>
        <v>59.680248659727226</v>
      </c>
      <c r="R15" s="14">
        <f>'[1]功能-行军令'!O15</f>
        <v>74.54737703889127</v>
      </c>
      <c r="S15" s="14">
        <f>'[1]功能-行军令'!P15</f>
        <v>82.431656845525254</v>
      </c>
      <c r="T15" s="14">
        <f>'[1]功能-行军令'!Q15</f>
        <v>68.205701920440248</v>
      </c>
      <c r="U15" s="14">
        <f>'[1]功能-行军令'!R15</f>
        <v>37.657458466261879</v>
      </c>
      <c r="V15" s="14">
        <f>'[1]功能-行军令'!S15</f>
        <v>7.0770901063882548</v>
      </c>
      <c r="W15" s="14">
        <f>'[1]功能-行军令'!T15</f>
        <v>8.8630708549544863</v>
      </c>
      <c r="X15" s="14">
        <f>'[1]功能-行军令'!U15</f>
        <v>10.128844123345857</v>
      </c>
      <c r="Y15" s="14">
        <f>'[1]功能-行军令'!V15</f>
        <v>8.9007866127133966</v>
      </c>
      <c r="Z15" s="14">
        <f>'[1]功能-行军令'!W15</f>
        <v>4.9366928803899413</v>
      </c>
      <c r="AC15" s="14">
        <v>12</v>
      </c>
      <c r="AD15" s="14">
        <v>151540</v>
      </c>
      <c r="AE15" s="14">
        <v>155810</v>
      </c>
      <c r="AF15" s="14">
        <v>162825</v>
      </c>
      <c r="AG15" s="14">
        <v>174615</v>
      </c>
      <c r="AH15" s="14">
        <v>182040</v>
      </c>
      <c r="AK15" s="14">
        <v>12</v>
      </c>
      <c r="AL15" s="14">
        <f>'[1]功能-付费相关'!AH17</f>
        <v>2.3255877535701037E-2</v>
      </c>
      <c r="AM15" s="14">
        <f>'[1]功能-付费相关'!AI17</f>
        <v>2.3255877535701037E-2</v>
      </c>
      <c r="AN15" s="14">
        <f>'[1]功能-付费相关'!AJ17</f>
        <v>2.3255877535701037E-2</v>
      </c>
      <c r="AO15" s="14">
        <f>'[1]功能-付费相关'!AK17</f>
        <v>2.3255877535701037E-2</v>
      </c>
      <c r="AP15" s="14">
        <f>'[1]功能-付费相关'!AL17</f>
        <v>2.3255877535701037E-2</v>
      </c>
      <c r="AS15" s="14">
        <v>12</v>
      </c>
      <c r="AT15" s="14">
        <f>'[1]功能-城建'!GF15</f>
        <v>11568.826999828627</v>
      </c>
      <c r="AU15" s="14">
        <f>'[1]功能-城建'!GG15</f>
        <v>10000.718755739697</v>
      </c>
      <c r="AV15" s="14">
        <f>'[1]功能-城建'!GH15</f>
        <v>9957.7311323542963</v>
      </c>
      <c r="AW15" s="14">
        <f>'[1]功能-城建'!GI15</f>
        <v>8945.031299564951</v>
      </c>
      <c r="AX15" s="14">
        <f>'[1]功能-城建'!GJ15</f>
        <v>5580.6308489107505</v>
      </c>
    </row>
    <row r="16" spans="2:50" x14ac:dyDescent="0.15">
      <c r="B16" s="14">
        <v>13</v>
      </c>
      <c r="C16" s="14">
        <f>'[1]资源-钻石'!L16</f>
        <v>18444.867994608529</v>
      </c>
      <c r="D16" s="14">
        <f>'[1]资源-钻石'!M16</f>
        <v>22522.557065644731</v>
      </c>
      <c r="E16" s="14">
        <f>'[1]资源-钻石'!N16</f>
        <v>31563.040133767903</v>
      </c>
      <c r="F16" s="14">
        <f>'[1]资源-钻石'!O16</f>
        <v>58217.56000155623</v>
      </c>
      <c r="G16" s="14">
        <f>'[1]资源-钻石'!P16</f>
        <v>74826.697957350567</v>
      </c>
      <c r="I16" s="14">
        <v>13</v>
      </c>
      <c r="J16" s="14">
        <f>'[1]资源-钻石'!T16</f>
        <v>99816.950922908043</v>
      </c>
      <c r="K16" s="14">
        <f>'[1]资源-钻石'!U16</f>
        <v>135718.64601519887</v>
      </c>
      <c r="L16" s="14">
        <f>'[1]资源-钻石'!V16</f>
        <v>217978.51061671876</v>
      </c>
      <c r="M16" s="14">
        <f>'[1]资源-钻石'!W16</f>
        <v>548656.36167839065</v>
      </c>
      <c r="N16" s="14">
        <f>'[1]资源-钻石'!X16</f>
        <v>1280141.9978462297</v>
      </c>
      <c r="P16" s="14">
        <v>13</v>
      </c>
      <c r="Q16" s="14">
        <f>'[1]功能-行军令'!N16</f>
        <v>67.265286027732301</v>
      </c>
      <c r="R16" s="14">
        <f>'[1]功能-行军令'!O16</f>
        <v>84.609786258865753</v>
      </c>
      <c r="S16" s="14">
        <f>'[1]功能-行军令'!P16</f>
        <v>93.680071393057432</v>
      </c>
      <c r="T16" s="14">
        <f>'[1]功能-行军令'!Q16</f>
        <v>77.82315758531557</v>
      </c>
      <c r="U16" s="14">
        <f>'[1]功能-行军令'!R16</f>
        <v>43.121288981373802</v>
      </c>
      <c r="V16" s="14">
        <f>'[1]功能-行军令'!S16</f>
        <v>7.5850373680050751</v>
      </c>
      <c r="W16" s="14">
        <f>'[1]功能-行军令'!T16</f>
        <v>10.062409219974484</v>
      </c>
      <c r="X16" s="14">
        <f>'[1]功能-行军令'!U16</f>
        <v>11.248414547532178</v>
      </c>
      <c r="Y16" s="14">
        <f>'[1]功能-行军令'!V16</f>
        <v>9.6174556648753224</v>
      </c>
      <c r="Z16" s="14">
        <f>'[1]功能-行军令'!W16</f>
        <v>5.4638305151119226</v>
      </c>
      <c r="AC16" s="14">
        <v>13</v>
      </c>
      <c r="AD16" s="14">
        <v>164035</v>
      </c>
      <c r="AE16" s="14">
        <v>168685</v>
      </c>
      <c r="AF16" s="14">
        <v>176830</v>
      </c>
      <c r="AG16" s="14">
        <v>189140</v>
      </c>
      <c r="AH16" s="14">
        <v>197870</v>
      </c>
      <c r="AK16" s="14">
        <v>13</v>
      </c>
      <c r="AL16" s="14">
        <f>'[1]功能-付费相关'!AH18</f>
        <v>2.2568562483272155E-2</v>
      </c>
      <c r="AM16" s="14">
        <f>'[1]功能-付费相关'!AI18</f>
        <v>2.2568562483272155E-2</v>
      </c>
      <c r="AN16" s="14">
        <f>'[1]功能-付费相关'!AJ18</f>
        <v>2.2568562483272155E-2</v>
      </c>
      <c r="AO16" s="14">
        <f>'[1]功能-付费相关'!AK18</f>
        <v>2.2568562483272155E-2</v>
      </c>
      <c r="AP16" s="14">
        <f>'[1]功能-付费相关'!AL18</f>
        <v>2.2568562483272155E-2</v>
      </c>
      <c r="AS16" s="14">
        <v>13</v>
      </c>
      <c r="AT16" s="14">
        <f>'[1]功能-城建'!GF16</f>
        <v>13713.127251795435</v>
      </c>
      <c r="AU16" s="14">
        <f>'[1]功能-城建'!GG16</f>
        <v>14947.688433365605</v>
      </c>
      <c r="AV16" s="14">
        <f>'[1]功能-城建'!GH16</f>
        <v>12795.009743342314</v>
      </c>
      <c r="AW16" s="14">
        <f>'[1]功能-城建'!GI16</f>
        <v>11670.850489936398</v>
      </c>
      <c r="AX16" s="14">
        <f>'[1]功能-城建'!GJ16</f>
        <v>7161.331257670965</v>
      </c>
    </row>
    <row r="17" spans="2:50" x14ac:dyDescent="0.15">
      <c r="B17" s="14">
        <v>14</v>
      </c>
      <c r="C17" s="14">
        <f>'[1]资源-钻石'!L17</f>
        <v>19952.300039147165</v>
      </c>
      <c r="D17" s="14">
        <f>'[1]资源-钻石'!M17</f>
        <v>24227.212538513926</v>
      </c>
      <c r="E17" s="14">
        <f>'[1]资源-钻石'!N17</f>
        <v>33754.411692335707</v>
      </c>
      <c r="F17" s="14">
        <f>'[1]资源-钻石'!O17</f>
        <v>65190.381474620808</v>
      </c>
      <c r="G17" s="14">
        <f>'[1]资源-钻石'!P17</f>
        <v>83664.923820554817</v>
      </c>
      <c r="I17" s="14">
        <v>14</v>
      </c>
      <c r="J17" s="14">
        <f>'[1]资源-钻石'!T17</f>
        <v>105506.43551656598</v>
      </c>
      <c r="K17" s="14">
        <f>'[1]资源-钻石'!U17</f>
        <v>143763.35342501907</v>
      </c>
      <c r="L17" s="14">
        <f>'[1]资源-钻石'!V17</f>
        <v>231399.60984942626</v>
      </c>
      <c r="M17" s="14">
        <f>'[1]资源-钻石'!W17</f>
        <v>584412.16485232592</v>
      </c>
      <c r="N17" s="14">
        <f>'[1]资源-钻石'!X17</f>
        <v>1365888.7106964437</v>
      </c>
      <c r="P17" s="14">
        <v>14</v>
      </c>
      <c r="Q17" s="14">
        <f>'[1]功能-行军令'!N17</f>
        <v>75.394727791106263</v>
      </c>
      <c r="R17" s="14">
        <f>'[1]功能-行军令'!O17</f>
        <v>94.714626787577259</v>
      </c>
      <c r="S17" s="14">
        <f>'[1]功能-行军令'!P17</f>
        <v>105.06156976741366</v>
      </c>
      <c r="T17" s="14">
        <f>'[1]功能-行军令'!Q17</f>
        <v>87.144176609439413</v>
      </c>
      <c r="U17" s="14">
        <f>'[1]功能-行军令'!R17</f>
        <v>48.214600619248152</v>
      </c>
      <c r="V17" s="14">
        <f>'[1]功能-行军令'!S17</f>
        <v>8.1294417633739613</v>
      </c>
      <c r="W17" s="14">
        <f>'[1]功能-行军令'!T17</f>
        <v>10.104840528711506</v>
      </c>
      <c r="X17" s="14">
        <f>'[1]功能-行军令'!U17</f>
        <v>11.381498374356227</v>
      </c>
      <c r="Y17" s="14">
        <f>'[1]功能-行军令'!V17</f>
        <v>9.3210190241238422</v>
      </c>
      <c r="Z17" s="14">
        <f>'[1]功能-行军令'!W17</f>
        <v>5.0933116378743506</v>
      </c>
      <c r="AC17" s="14">
        <v>14</v>
      </c>
      <c r="AD17" s="14">
        <v>177040</v>
      </c>
      <c r="AE17" s="14">
        <v>182085</v>
      </c>
      <c r="AF17" s="14">
        <v>190610</v>
      </c>
      <c r="AG17" s="14">
        <v>204025</v>
      </c>
      <c r="AH17" s="14">
        <v>213720</v>
      </c>
      <c r="AK17" s="14">
        <v>14</v>
      </c>
      <c r="AL17" s="14">
        <f>'[1]功能-付费相关'!AH19</f>
        <v>2.1901560660501897E-2</v>
      </c>
      <c r="AM17" s="14">
        <f>'[1]功能-付费相关'!AI19</f>
        <v>2.1901560660501897E-2</v>
      </c>
      <c r="AN17" s="14">
        <f>'[1]功能-付费相关'!AJ19</f>
        <v>2.1901560660501897E-2</v>
      </c>
      <c r="AO17" s="14">
        <f>'[1]功能-付费相关'!AK19</f>
        <v>2.1901560660501897E-2</v>
      </c>
      <c r="AP17" s="14">
        <f>'[1]功能-付费相关'!AL19</f>
        <v>2.1901560660501897E-2</v>
      </c>
      <c r="AS17" s="14">
        <v>14</v>
      </c>
      <c r="AT17" s="14">
        <f>'[1]功能-城建'!GF17</f>
        <v>18293.364691529699</v>
      </c>
      <c r="AU17" s="14">
        <f>'[1]功能-城建'!GG17</f>
        <v>16553.310218783488</v>
      </c>
      <c r="AV17" s="14">
        <f>'[1]功能-城建'!GH17</f>
        <v>16621.556627340236</v>
      </c>
      <c r="AW17" s="14">
        <f>'[1]功能-城建'!GI17</f>
        <v>12282.317239210322</v>
      </c>
      <c r="AX17" s="14">
        <f>'[1]功能-城建'!GJ17</f>
        <v>7195.2112407856002</v>
      </c>
    </row>
    <row r="18" spans="2:50" x14ac:dyDescent="0.15">
      <c r="B18" s="14">
        <v>15</v>
      </c>
      <c r="C18" s="14">
        <f>'[1]资源-钻石'!L18</f>
        <v>21567.925701060507</v>
      </c>
      <c r="D18" s="14">
        <f>'[1]资源-钻石'!M18</f>
        <v>26100.568500456058</v>
      </c>
      <c r="E18" s="14">
        <f>'[1]资源-钻石'!N18</f>
        <v>36178.578407986883</v>
      </c>
      <c r="F18" s="14">
        <f>'[1]资源-钻石'!O18</f>
        <v>73118.519562145026</v>
      </c>
      <c r="G18" s="14">
        <f>'[1]资源-钻石'!P18</f>
        <v>94215.936382830361</v>
      </c>
      <c r="I18" s="14">
        <v>15</v>
      </c>
      <c r="J18" s="14">
        <f>'[1]资源-钻石'!T18</f>
        <v>111195.83045140664</v>
      </c>
      <c r="K18" s="14">
        <f>'[1]资源-钻石'!U18</f>
        <v>151610.41349654732</v>
      </c>
      <c r="L18" s="14">
        <f>'[1]资源-钻石'!V18</f>
        <v>244403.20484620208</v>
      </c>
      <c r="M18" s="14">
        <f>'[1]资源-钻石'!W18</f>
        <v>617942.27533082222</v>
      </c>
      <c r="N18" s="14">
        <f>'[1]资源-钻石'!X18</f>
        <v>1444458.0653639045</v>
      </c>
      <c r="P18" s="14">
        <v>15</v>
      </c>
      <c r="Q18" s="14">
        <f>'[1]功能-行军令'!N18</f>
        <v>84.107647738324729</v>
      </c>
      <c r="R18" s="14">
        <f>'[1]功能-行军令'!O18</f>
        <v>105.81948847383583</v>
      </c>
      <c r="S18" s="14">
        <f>'[1]功能-行军令'!P18</f>
        <v>117.65215461163081</v>
      </c>
      <c r="T18" s="14">
        <f>'[1]功能-行军令'!Q18</f>
        <v>97.742228807557069</v>
      </c>
      <c r="U18" s="14">
        <f>'[1]功能-行军令'!R18</f>
        <v>54.294960626625631</v>
      </c>
      <c r="V18" s="14">
        <f>'[1]功能-行军令'!S18</f>
        <v>8.7129199472184666</v>
      </c>
      <c r="W18" s="14">
        <f>'[1]功能-行军令'!T18</f>
        <v>11.104861686258573</v>
      </c>
      <c r="X18" s="14">
        <f>'[1]功能-行军令'!U18</f>
        <v>12.590584844217148</v>
      </c>
      <c r="Y18" s="14">
        <f>'[1]功能-行军令'!V18</f>
        <v>10.598052198117657</v>
      </c>
      <c r="Z18" s="14">
        <f>'[1]功能-行军令'!W18</f>
        <v>6.0803600073774788</v>
      </c>
      <c r="AC18" s="14">
        <v>15</v>
      </c>
      <c r="AD18" s="14">
        <v>190580</v>
      </c>
      <c r="AE18" s="14">
        <v>195980</v>
      </c>
      <c r="AF18" s="14">
        <v>205125</v>
      </c>
      <c r="AG18" s="14">
        <v>219415</v>
      </c>
      <c r="AH18" s="14">
        <v>231460</v>
      </c>
      <c r="AK18" s="14">
        <v>15</v>
      </c>
      <c r="AL18" s="14">
        <f>'[1]功能-付费相关'!AH20</f>
        <v>2.1254271720725776E-2</v>
      </c>
      <c r="AM18" s="14">
        <f>'[1]功能-付费相关'!AI20</f>
        <v>2.1254271720725776E-2</v>
      </c>
      <c r="AN18" s="14">
        <f>'[1]功能-付费相关'!AJ20</f>
        <v>2.1254271720725776E-2</v>
      </c>
      <c r="AO18" s="14">
        <f>'[1]功能-付费相关'!AK20</f>
        <v>2.1254271720725776E-2</v>
      </c>
      <c r="AP18" s="14">
        <f>'[1]功能-付费相关'!AL20</f>
        <v>2.1254271720725776E-2</v>
      </c>
      <c r="AS18" s="14">
        <v>15</v>
      </c>
      <c r="AT18" s="14">
        <f>'[1]功能-城建'!GF18</f>
        <v>22715.777082889399</v>
      </c>
      <c r="AU18" s="14">
        <f>'[1]功能-城建'!GG18</f>
        <v>22375.46757678967</v>
      </c>
      <c r="AV18" s="14">
        <f>'[1]功能-城建'!GH18</f>
        <v>19033.453008515688</v>
      </c>
      <c r="AW18" s="14">
        <f>'[1]功能-城建'!GI18</f>
        <v>15001.903014422875</v>
      </c>
      <c r="AX18" s="14">
        <f>'[1]功能-城建'!GJ18</f>
        <v>8816.2726892644423</v>
      </c>
    </row>
    <row r="19" spans="2:50" x14ac:dyDescent="0.15">
      <c r="B19" s="14">
        <v>16</v>
      </c>
      <c r="C19" s="14">
        <f>'[1]资源-钻石'!L19</f>
        <v>23299.51041089186</v>
      </c>
      <c r="D19" s="14">
        <f>'[1]资源-钻石'!M19</f>
        <v>28126.195578776875</v>
      </c>
      <c r="E19" s="14">
        <f>'[1]资源-钻石'!N19</f>
        <v>38754.142180374445</v>
      </c>
      <c r="F19" s="14">
        <f>'[1]资源-钻石'!O19</f>
        <v>79658.054654546926</v>
      </c>
      <c r="G19" s="14">
        <f>'[1]资源-钻石'!P19</f>
        <v>106274.07289769812</v>
      </c>
      <c r="I19" s="14">
        <v>16</v>
      </c>
      <c r="J19" s="14">
        <f>'[1]资源-钻石'!T19</f>
        <v>116885.21848488509</v>
      </c>
      <c r="K19" s="14">
        <f>'[1]资源-钻石'!U19</f>
        <v>159443.74033337363</v>
      </c>
      <c r="L19" s="14">
        <f>'[1]资源-钻石'!V19</f>
        <v>257193.614366711</v>
      </c>
      <c r="M19" s="14">
        <f>'[1]资源-钻石'!W19</f>
        <v>650780.475803382</v>
      </c>
      <c r="N19" s="14">
        <f>'[1]资源-钻石'!X19</f>
        <v>1521694.1483837203</v>
      </c>
      <c r="P19" s="14">
        <v>16</v>
      </c>
      <c r="Q19" s="14">
        <f>'[1]功能-行军令'!N19</f>
        <v>93.445924118956611</v>
      </c>
      <c r="R19" s="14">
        <f>'[1]功能-行军令'!O19</f>
        <v>117.82698143815891</v>
      </c>
      <c r="S19" s="14">
        <f>'[1]功能-行军令'!P19</f>
        <v>131.02906222634775</v>
      </c>
      <c r="T19" s="14">
        <f>'[1]功能-行军令'!Q19</f>
        <v>109.36850015888693</v>
      </c>
      <c r="U19" s="14">
        <f>'[1]功能-行军令'!R19</f>
        <v>61.243849237624261</v>
      </c>
      <c r="V19" s="14">
        <f>'[1]功能-行军令'!S19</f>
        <v>9.338276380631882</v>
      </c>
      <c r="W19" s="14">
        <f>'[1]功能-行军令'!T19</f>
        <v>12.007492964323077</v>
      </c>
      <c r="X19" s="14">
        <f>'[1]功能-行军令'!U19</f>
        <v>13.376907614716941</v>
      </c>
      <c r="Y19" s="14">
        <f>'[1]功能-行军令'!V19</f>
        <v>11.626271351329862</v>
      </c>
      <c r="Z19" s="14">
        <f>'[1]功能-行军令'!W19</f>
        <v>6.9488886109986296</v>
      </c>
      <c r="AC19" s="14">
        <v>16</v>
      </c>
      <c r="AD19" s="14">
        <v>216944.9</v>
      </c>
      <c r="AE19" s="14">
        <v>223071.7</v>
      </c>
      <c r="AF19" s="14">
        <v>233258.3</v>
      </c>
      <c r="AG19" s="14">
        <v>251294.2</v>
      </c>
      <c r="AH19" s="14">
        <v>264427.59999999998</v>
      </c>
      <c r="AK19" s="14">
        <v>16</v>
      </c>
      <c r="AL19" s="14">
        <f>'[1]功能-付费相关'!AH21</f>
        <v>2.0626113060204693E-2</v>
      </c>
      <c r="AM19" s="14">
        <f>'[1]功能-付费相关'!AI21</f>
        <v>2.0626113060204693E-2</v>
      </c>
      <c r="AN19" s="14">
        <f>'[1]功能-付费相关'!AJ21</f>
        <v>2.0626113060204693E-2</v>
      </c>
      <c r="AO19" s="14">
        <f>'[1]功能-付费相关'!AK21</f>
        <v>2.0626113060204693E-2</v>
      </c>
      <c r="AP19" s="14">
        <f>'[1]功能-付费相关'!AL21</f>
        <v>2.0626113060204693E-2</v>
      </c>
      <c r="AS19" s="14">
        <v>16</v>
      </c>
      <c r="AT19" s="14">
        <f>'[1]功能-城建'!GF19</f>
        <v>27405.811117071833</v>
      </c>
      <c r="AU19" s="14">
        <f>'[1]功能-城建'!GG19</f>
        <v>25043.208204712413</v>
      </c>
      <c r="AV19" s="14">
        <f>'[1]功能-城建'!GH19</f>
        <v>21432.451980502548</v>
      </c>
      <c r="AW19" s="14">
        <f>'[1]功能-城建'!GI19</f>
        <v>16957.652534387977</v>
      </c>
      <c r="AX19" s="14">
        <f>'[1]功能-城建'!GJ19</f>
        <v>10565.009286236753</v>
      </c>
    </row>
    <row r="20" spans="2:50" x14ac:dyDescent="0.15">
      <c r="B20" s="14">
        <v>17</v>
      </c>
      <c r="C20" s="14">
        <f>'[1]资源-钻石'!L20</f>
        <v>25155.376951022714</v>
      </c>
      <c r="D20" s="14">
        <f>'[1]资源-钻石'!M20</f>
        <v>30214.453217745926</v>
      </c>
      <c r="E20" s="14">
        <f>'[1]资源-钻石'!N20</f>
        <v>41393.145668975973</v>
      </c>
      <c r="F20" s="14">
        <f>'[1]资源-钻石'!O20</f>
        <v>84395.12297073126</v>
      </c>
      <c r="G20" s="14">
        <f>'[1]资源-钻石'!P20</f>
        <v>116732.01692544734</v>
      </c>
      <c r="I20" s="14">
        <v>17</v>
      </c>
      <c r="J20" s="14">
        <f>'[1]资源-钻石'!T20</f>
        <v>122574.60651836354</v>
      </c>
      <c r="K20" s="14">
        <f>'[1]资源-钻石'!U20</f>
        <v>167277.06717019991</v>
      </c>
      <c r="L20" s="14">
        <f>'[1]资源-钻石'!V20</f>
        <v>269984.0238872199</v>
      </c>
      <c r="M20" s="14">
        <f>'[1]资源-钻石'!W20</f>
        <v>683618.67627594189</v>
      </c>
      <c r="N20" s="14">
        <f>'[1]资源-钻石'!X20</f>
        <v>1598930.2314035362</v>
      </c>
      <c r="P20" s="14">
        <v>17</v>
      </c>
      <c r="Q20" s="14">
        <f>'[1]功能-行军令'!N20</f>
        <v>103.45444092954733</v>
      </c>
      <c r="R20" s="14">
        <f>'[1]功能-行军令'!O20</f>
        <v>130.20573524530138</v>
      </c>
      <c r="S20" s="14">
        <f>'[1]功能-行军令'!P20</f>
        <v>144.73546167193922</v>
      </c>
      <c r="T20" s="14">
        <f>'[1]功能-行军令'!Q20</f>
        <v>120.9434141686873</v>
      </c>
      <c r="U20" s="14">
        <f>'[1]功能-行军令'!R20</f>
        <v>67.270575511562512</v>
      </c>
      <c r="V20" s="14">
        <f>'[1]功能-行军令'!S20</f>
        <v>10.00851681059072</v>
      </c>
      <c r="W20" s="14">
        <f>'[1]功能-行军令'!T20</f>
        <v>12.378753807142473</v>
      </c>
      <c r="X20" s="14">
        <f>'[1]功能-行军令'!U20</f>
        <v>13.706399445591472</v>
      </c>
      <c r="Y20" s="14">
        <f>'[1]功能-行军令'!V20</f>
        <v>11.574914009800366</v>
      </c>
      <c r="Z20" s="14">
        <f>'[1]功能-行军令'!W20</f>
        <v>6.0267262739382517</v>
      </c>
      <c r="AC20" s="14">
        <v>17</v>
      </c>
      <c r="AD20" s="14">
        <v>245548.79999999999</v>
      </c>
      <c r="AE20" s="14">
        <v>252397.59999999998</v>
      </c>
      <c r="AF20" s="14">
        <v>264807.19999999995</v>
      </c>
      <c r="AG20" s="14">
        <v>284513.59999999998</v>
      </c>
      <c r="AH20" s="14">
        <v>299661.59999999998</v>
      </c>
      <c r="AK20" s="14">
        <v>17</v>
      </c>
      <c r="AL20" s="14">
        <f>'[1]功能-付费相关'!AH22</f>
        <v>2.0016519293742197E-2</v>
      </c>
      <c r="AM20" s="14">
        <f>'[1]功能-付费相关'!AI22</f>
        <v>2.0016519293742197E-2</v>
      </c>
      <c r="AN20" s="14">
        <f>'[1]功能-付费相关'!AJ22</f>
        <v>2.0016519293742197E-2</v>
      </c>
      <c r="AO20" s="14">
        <f>'[1]功能-付费相关'!AK22</f>
        <v>2.0016519293742197E-2</v>
      </c>
      <c r="AP20" s="14">
        <f>'[1]功能-付费相关'!AL22</f>
        <v>2.0016519293742197E-2</v>
      </c>
      <c r="AS20" s="14">
        <v>17</v>
      </c>
      <c r="AT20" s="14">
        <f>'[1]功能-城建'!GF20</f>
        <v>30982.124597149086</v>
      </c>
      <c r="AU20" s="14">
        <f>'[1]功能-城建'!GG20</f>
        <v>26937.646344498091</v>
      </c>
      <c r="AV20" s="14">
        <f>'[1]功能-城建'!GH20</f>
        <v>22686.516474802658</v>
      </c>
      <c r="AW20" s="14">
        <f>'[1]功能-城建'!GI20</f>
        <v>17598.364407133369</v>
      </c>
      <c r="AX20" s="14">
        <f>'[1]功能-城建'!GJ20</f>
        <v>9724.0412040462397</v>
      </c>
    </row>
    <row r="21" spans="2:50" x14ac:dyDescent="0.15">
      <c r="B21" s="14">
        <v>18</v>
      </c>
      <c r="C21" s="14">
        <f>'[1]资源-钻石'!L21</f>
        <v>27144.445458744009</v>
      </c>
      <c r="D21" s="14">
        <f>'[1]资源-钻石'!M21</f>
        <v>32567.716194017077</v>
      </c>
      <c r="E21" s="14">
        <f>'[1]资源-钻石'!N21</f>
        <v>44521.793369274732</v>
      </c>
      <c r="F21" s="14">
        <f>'[1]资源-钻石'!O21</f>
        <v>89977.172780918947</v>
      </c>
      <c r="G21" s="14">
        <f>'[1]资源-钻石'!P21</f>
        <v>129678.52194244512</v>
      </c>
      <c r="I21" s="14">
        <v>18</v>
      </c>
      <c r="J21" s="14">
        <f>'[1]资源-钻石'!T21</f>
        <v>128263.99455184198</v>
      </c>
      <c r="K21" s="14">
        <f>'[1]资源-钻石'!U21</f>
        <v>175110.39400702619</v>
      </c>
      <c r="L21" s="14">
        <f>'[1]资源-钻石'!V21</f>
        <v>282774.43340772885</v>
      </c>
      <c r="M21" s="14">
        <f>'[1]资源-钻石'!W21</f>
        <v>716456.87674850167</v>
      </c>
      <c r="N21" s="14">
        <f>'[1]资源-钻石'!X21</f>
        <v>1676166.314423352</v>
      </c>
      <c r="P21" s="14">
        <v>18</v>
      </c>
      <c r="Q21" s="14">
        <f>'[1]功能-行军令'!N21</f>
        <v>114.18130364648684</v>
      </c>
      <c r="R21" s="14">
        <f>'[1]功能-行军令'!O21</f>
        <v>144.15538517504154</v>
      </c>
      <c r="S21" s="14">
        <f>'[1]功能-行军令'!P21</f>
        <v>160.98496467185777</v>
      </c>
      <c r="T21" s="14">
        <f>'[1]功能-行军令'!Q21</f>
        <v>134.58302040586085</v>
      </c>
      <c r="U21" s="14">
        <f>'[1]功能-行军令'!R21</f>
        <v>74.731415016400319</v>
      </c>
      <c r="V21" s="14">
        <f>'[1]功能-行军令'!S21</f>
        <v>10.726862716939507</v>
      </c>
      <c r="W21" s="14">
        <f>'[1]功能-行军令'!T21</f>
        <v>13.949649929740161</v>
      </c>
      <c r="X21" s="14">
        <f>'[1]功能-行军令'!U21</f>
        <v>16.249502999918548</v>
      </c>
      <c r="Y21" s="14">
        <f>'[1]功能-行军令'!V21</f>
        <v>13.639606237173552</v>
      </c>
      <c r="Z21" s="14">
        <f>'[1]功能-行军令'!W21</f>
        <v>7.4608395048378071</v>
      </c>
      <c r="AC21" s="14">
        <v>18</v>
      </c>
      <c r="AD21" s="14">
        <v>276686.40000000002</v>
      </c>
      <c r="AE21" s="14">
        <v>285453.80000000005</v>
      </c>
      <c r="AF21" s="14">
        <v>298658</v>
      </c>
      <c r="AG21" s="14">
        <v>320842</v>
      </c>
      <c r="AH21" s="14">
        <v>338247</v>
      </c>
      <c r="AK21" s="14">
        <v>18</v>
      </c>
      <c r="AL21" s="14">
        <f>'[1]功能-付费相关'!AH23</f>
        <v>1.9424941745799656E-2</v>
      </c>
      <c r="AM21" s="14">
        <f>'[1]功能-付费相关'!AI23</f>
        <v>1.9424941745799656E-2</v>
      </c>
      <c r="AN21" s="14">
        <f>'[1]功能-付费相关'!AJ23</f>
        <v>1.9424941745799656E-2</v>
      </c>
      <c r="AO21" s="14">
        <f>'[1]功能-付费相关'!AK23</f>
        <v>1.9424941745799656E-2</v>
      </c>
      <c r="AP21" s="14">
        <f>'[1]功能-付费相关'!AL23</f>
        <v>1.9424941745799656E-2</v>
      </c>
      <c r="AS21" s="14">
        <v>18</v>
      </c>
      <c r="AT21" s="14">
        <f>'[1]功能-城建'!GF21</f>
        <v>33999.490959343064</v>
      </c>
      <c r="AU21" s="14">
        <f>'[1]功能-城建'!GG21</f>
        <v>31658.101945815928</v>
      </c>
      <c r="AV21" s="14">
        <f>'[1]功能-城建'!GH21</f>
        <v>27963.430437222472</v>
      </c>
      <c r="AW21" s="14">
        <f>'[1]功能-城建'!GI21</f>
        <v>21865.144610455973</v>
      </c>
      <c r="AX21" s="14">
        <f>'[1]功能-城建'!GJ21</f>
        <v>12322.119707252117</v>
      </c>
    </row>
    <row r="22" spans="2:50" x14ac:dyDescent="0.15">
      <c r="B22" s="14">
        <v>19</v>
      </c>
      <c r="C22" s="14">
        <f>'[1]资源-钻石'!L22</f>
        <v>29276.276300486359</v>
      </c>
      <c r="D22" s="14">
        <f>'[1]资源-钻石'!M22</f>
        <v>35074.994145464443</v>
      </c>
      <c r="E22" s="14">
        <f>'[1]资源-钻石'!N22</f>
        <v>47709.730679362823</v>
      </c>
      <c r="F22" s="14">
        <f>'[1]资源-钻石'!O22</f>
        <v>95580.53961916102</v>
      </c>
      <c r="G22" s="14">
        <f>'[1]资源-钻石'!P22</f>
        <v>143468.16217514762</v>
      </c>
      <c r="I22" s="14">
        <v>19</v>
      </c>
      <c r="J22" s="14">
        <f>'[1]资源-钻石'!T22</f>
        <v>133953.38258532042</v>
      </c>
      <c r="K22" s="14">
        <f>'[1]资源-钻石'!U22</f>
        <v>182943.7208438525</v>
      </c>
      <c r="L22" s="14">
        <f>'[1]资源-钻石'!V22</f>
        <v>295564.84292823775</v>
      </c>
      <c r="M22" s="14">
        <f>'[1]资源-钻石'!W22</f>
        <v>749295.07722106157</v>
      </c>
      <c r="N22" s="14">
        <f>'[1]资源-钻石'!X22</f>
        <v>1753402.3974431679</v>
      </c>
      <c r="P22" s="14">
        <v>19</v>
      </c>
      <c r="Q22" s="14">
        <f>'[1]功能-行军令'!N22</f>
        <v>125.67807044277257</v>
      </c>
      <c r="R22" s="14">
        <f>'[1]功能-行军令'!O22</f>
        <v>159.01800361247061</v>
      </c>
      <c r="S22" s="14">
        <f>'[1]功能-行军令'!P22</f>
        <v>177.54240476934203</v>
      </c>
      <c r="T22" s="14">
        <f>'[1]功能-行军令'!Q22</f>
        <v>148.27471429518647</v>
      </c>
      <c r="U22" s="14">
        <f>'[1]功能-行军令'!R22</f>
        <v>82.678138280367776</v>
      </c>
      <c r="V22" s="14">
        <f>'[1]功能-行军令'!S22</f>
        <v>11.496766796285726</v>
      </c>
      <c r="W22" s="14">
        <f>'[1]功能-行军令'!T22</f>
        <v>14.862618437429063</v>
      </c>
      <c r="X22" s="14">
        <f>'[1]功能-行军令'!U22</f>
        <v>16.55744009748426</v>
      </c>
      <c r="Y22" s="14">
        <f>'[1]功能-行军令'!V22</f>
        <v>13.69169388932562</v>
      </c>
      <c r="Z22" s="14">
        <f>'[1]功能-行军令'!W22</f>
        <v>7.9467232639674563</v>
      </c>
      <c r="AC22" s="14">
        <v>19</v>
      </c>
      <c r="AD22" s="14">
        <v>301464</v>
      </c>
      <c r="AE22" s="14">
        <v>310092</v>
      </c>
      <c r="AF22" s="14">
        <v>324372</v>
      </c>
      <c r="AG22" s="14">
        <v>348276</v>
      </c>
      <c r="AH22" s="14">
        <v>367608</v>
      </c>
      <c r="AK22" s="14">
        <v>19</v>
      </c>
      <c r="AL22" s="14">
        <f>'[1]功能-付费相关'!AH24</f>
        <v>1.8850847956651238E-2</v>
      </c>
      <c r="AM22" s="14">
        <f>'[1]功能-付费相关'!AI24</f>
        <v>1.8850847956651238E-2</v>
      </c>
      <c r="AN22" s="14">
        <f>'[1]功能-付费相关'!AJ24</f>
        <v>1.8850847956651238E-2</v>
      </c>
      <c r="AO22" s="14">
        <f>'[1]功能-付费相关'!AK24</f>
        <v>1.8850847956651238E-2</v>
      </c>
      <c r="AP22" s="14">
        <f>'[1]功能-付费相关'!AL24</f>
        <v>1.8850847956651238E-2</v>
      </c>
      <c r="AS22" s="14">
        <v>19</v>
      </c>
      <c r="AT22" s="14">
        <f>'[1]功能-城建'!GF22</f>
        <v>38528.040644115972</v>
      </c>
      <c r="AU22" s="14">
        <f>'[1]功能-城建'!GG22</f>
        <v>34738.597720916325</v>
      </c>
      <c r="AV22" s="14">
        <f>'[1]功能-城建'!GH22</f>
        <v>30064.140336461074</v>
      </c>
      <c r="AW22" s="14">
        <f>'[1]功能-城建'!GI22</f>
        <v>22612.829426222917</v>
      </c>
      <c r="AX22" s="14">
        <f>'[1]功能-城建'!GJ22</f>
        <v>14047.198622289317</v>
      </c>
    </row>
    <row r="23" spans="2:50" x14ac:dyDescent="0.15">
      <c r="B23" s="14">
        <v>20</v>
      </c>
      <c r="C23" s="14">
        <f>'[1]资源-钻石'!L23</f>
        <v>31561.116023282215</v>
      </c>
      <c r="D23" s="14">
        <f>'[1]资源-钻石'!M23</f>
        <v>37677.97013979817</v>
      </c>
      <c r="E23" s="14">
        <f>'[1]资源-钻石'!N23</f>
        <v>50971.863517228492</v>
      </c>
      <c r="F23" s="14">
        <f>'[1]资源-钻石'!O23</f>
        <v>101504.7165367972</v>
      </c>
      <c r="G23" s="14">
        <f>'[1]资源-钻石'!P23</f>
        <v>157266.19839204173</v>
      </c>
      <c r="I23" s="14">
        <v>20</v>
      </c>
      <c r="J23" s="14">
        <f>'[1]资源-钻石'!T23</f>
        <v>139642.77061879888</v>
      </c>
      <c r="K23" s="14">
        <f>'[1]资源-钻石'!U23</f>
        <v>190777.04768067878</v>
      </c>
      <c r="L23" s="14">
        <f>'[1]资源-钻石'!V23</f>
        <v>308355.25244874664</v>
      </c>
      <c r="M23" s="14">
        <f>'[1]资源-钻石'!W23</f>
        <v>782133.27769362135</v>
      </c>
      <c r="N23" s="14">
        <f>'[1]资源-钻石'!X23</f>
        <v>1830638.4804629835</v>
      </c>
      <c r="P23" s="14">
        <v>20</v>
      </c>
      <c r="Q23" s="14">
        <f>'[1]功能-行军令'!N23</f>
        <v>138</v>
      </c>
      <c r="R23" s="14">
        <f>'[1]功能-行军令'!O23</f>
        <v>174.4479</v>
      </c>
      <c r="S23" s="14">
        <f>'[1]功能-行军令'!P23</f>
        <v>194.48519999999999</v>
      </c>
      <c r="T23" s="14">
        <f>'[1]功能-行军令'!Q23</f>
        <v>162.75029999999998</v>
      </c>
      <c r="U23" s="14">
        <f>'[1]功能-行军令'!R23</f>
        <v>90.6297</v>
      </c>
      <c r="V23" s="14">
        <f>'[1]功能-行军令'!S23</f>
        <v>12.321929557227435</v>
      </c>
      <c r="W23" s="14">
        <f>'[1]功能-行军令'!T23</f>
        <v>15.429896387529396</v>
      </c>
      <c r="X23" s="14">
        <f>'[1]功能-行军令'!U23</f>
        <v>16.942795230657964</v>
      </c>
      <c r="Y23" s="14">
        <f>'[1]功能-行军令'!V23</f>
        <v>14.475585704813511</v>
      </c>
      <c r="Z23" s="14">
        <f>'[1]功能-行军令'!W23</f>
        <v>7.9515617196322239</v>
      </c>
      <c r="AC23" s="14">
        <v>20</v>
      </c>
      <c r="AD23" s="14">
        <v>321720</v>
      </c>
      <c r="AE23" s="14">
        <v>329778</v>
      </c>
      <c r="AF23" s="14">
        <v>345072</v>
      </c>
      <c r="AG23" s="14">
        <v>369540</v>
      </c>
      <c r="AH23" s="14">
        <v>390030</v>
      </c>
      <c r="AK23" s="14">
        <v>20</v>
      </c>
      <c r="AL23" s="14">
        <f>'[1]功能-付费相关'!AH25</f>
        <v>1.8293721203134217E-2</v>
      </c>
      <c r="AM23" s="14">
        <f>'[1]功能-付费相关'!AI25</f>
        <v>1.8293721203134217E-2</v>
      </c>
      <c r="AN23" s="14">
        <f>'[1]功能-付费相关'!AJ25</f>
        <v>1.8293721203134217E-2</v>
      </c>
      <c r="AO23" s="14">
        <f>'[1]功能-付费相关'!AK25</f>
        <v>1.8293721203134217E-2</v>
      </c>
      <c r="AP23" s="14">
        <f>'[1]功能-付费相关'!AL25</f>
        <v>1.8293721203134217E-2</v>
      </c>
      <c r="AS23" s="14">
        <v>20</v>
      </c>
      <c r="AT23" s="14">
        <f>'[1]功能-城建'!GF23</f>
        <v>41948.134101343807</v>
      </c>
      <c r="AU23" s="14">
        <f>'[1]功能-城建'!GG23</f>
        <v>38190.587550373224</v>
      </c>
      <c r="AV23" s="14">
        <f>'[1]功能-城建'!GH23</f>
        <v>31672.2283766779</v>
      </c>
      <c r="AW23" s="14">
        <f>'[1]功能-城建'!GI23</f>
        <v>25411.440427160909</v>
      </c>
      <c r="AX23" s="14">
        <f>'[1]功能-城建'!GJ23</f>
        <v>14183.863982467432</v>
      </c>
    </row>
    <row r="24" spans="2:50" x14ac:dyDescent="0.15">
      <c r="B24" s="14">
        <v>21</v>
      </c>
      <c r="C24" s="14">
        <f>'[1]资源-钻石'!L24</f>
        <v>34009.946604323595</v>
      </c>
      <c r="D24" s="14">
        <f>'[1]资源-钻石'!M24</f>
        <v>40483.1023076743</v>
      </c>
      <c r="E24" s="14">
        <f>'[1]资源-钻石'!N24</f>
        <v>54641.739591638812</v>
      </c>
      <c r="F24" s="14">
        <f>'[1]资源-钻石'!O24</f>
        <v>108100.47658500832</v>
      </c>
      <c r="G24" s="14">
        <f>'[1]资源-钻石'!P24</f>
        <v>173667.52080389639</v>
      </c>
      <c r="I24" s="14">
        <v>21</v>
      </c>
      <c r="J24" s="14">
        <f>'[1]资源-钻石'!T24</f>
        <v>145332.15865227731</v>
      </c>
      <c r="K24" s="14">
        <f>'[1]资源-钻石'!U24</f>
        <v>198610.37451750509</v>
      </c>
      <c r="L24" s="14">
        <f>'[1]资源-钻石'!V24</f>
        <v>321145.6619692556</v>
      </c>
      <c r="M24" s="14">
        <f>'[1]资源-钻石'!W24</f>
        <v>814971.47816618124</v>
      </c>
      <c r="N24" s="14">
        <f>'[1]资源-钻石'!X24</f>
        <v>1907874.5634827993</v>
      </c>
      <c r="P24" s="14">
        <v>21</v>
      </c>
      <c r="Q24" s="14">
        <f>'[1]功能-行军令'!N24</f>
        <v>151.20631710667794</v>
      </c>
      <c r="R24" s="14">
        <f>'[1]功能-行军令'!O24</f>
        <v>191.07613583385876</v>
      </c>
      <c r="S24" s="14">
        <f>'[1]功能-行军令'!P24</f>
        <v>213.54572326529612</v>
      </c>
      <c r="T24" s="14">
        <f>'[1]功能-行军令'!Q24</f>
        <v>178.86688314626454</v>
      </c>
      <c r="U24" s="14">
        <f>'[1]功能-行军令'!R24</f>
        <v>100.08148903660003</v>
      </c>
      <c r="V24" s="14">
        <f>'[1]功能-行军令'!S24</f>
        <v>13.206317106677943</v>
      </c>
      <c r="W24" s="14">
        <f>'[1]功能-行军令'!T24</f>
        <v>16.628235833858753</v>
      </c>
      <c r="X24" s="14">
        <f>'[1]功能-行军令'!U24</f>
        <v>19.060523265296126</v>
      </c>
      <c r="Y24" s="14">
        <f>'[1]功能-行军令'!V24</f>
        <v>16.11658314626456</v>
      </c>
      <c r="Z24" s="14">
        <f>'[1]功能-行军令'!W24</f>
        <v>9.451789036600033</v>
      </c>
      <c r="AC24" s="14">
        <v>21</v>
      </c>
      <c r="AD24" s="14">
        <v>341610</v>
      </c>
      <c r="AE24" s="14">
        <v>350520</v>
      </c>
      <c r="AF24" s="14">
        <v>367146</v>
      </c>
      <c r="AG24" s="14">
        <v>393450</v>
      </c>
      <c r="AH24" s="14">
        <v>415728</v>
      </c>
      <c r="AK24" s="14">
        <v>21</v>
      </c>
      <c r="AL24" s="14">
        <f>'[1]功能-付费相关'!AH26</f>
        <v>1.775306003356324E-2</v>
      </c>
      <c r="AM24" s="14">
        <f>'[1]功能-付费相关'!AI26</f>
        <v>1.775306003356324E-2</v>
      </c>
      <c r="AN24" s="14">
        <f>'[1]功能-付费相关'!AJ26</f>
        <v>1.775306003356324E-2</v>
      </c>
      <c r="AO24" s="14">
        <f>'[1]功能-付费相关'!AK26</f>
        <v>1.775306003356324E-2</v>
      </c>
      <c r="AP24" s="14">
        <f>'[1]功能-付费相关'!AL26</f>
        <v>1.775306003356324E-2</v>
      </c>
      <c r="AS24" s="14">
        <v>21</v>
      </c>
      <c r="AT24" s="14">
        <f>'[1]功能-城建'!GF24</f>
        <v>48055.220356565434</v>
      </c>
      <c r="AU24" s="14">
        <f>'[1]功能-城建'!GG24</f>
        <v>42218.842599543044</v>
      </c>
      <c r="AV24" s="14">
        <f>'[1]功能-城建'!GH24</f>
        <v>37570.081892219954</v>
      </c>
      <c r="AW24" s="14">
        <f>'[1]功能-城建'!GI24</f>
        <v>28728.200637419155</v>
      </c>
      <c r="AX24" s="14">
        <f>'[1]功能-城建'!GJ24</f>
        <v>18087.971267789369</v>
      </c>
    </row>
    <row r="25" spans="2:50" x14ac:dyDescent="0.15">
      <c r="B25" s="14">
        <v>22</v>
      </c>
      <c r="C25" s="14">
        <f>'[1]资源-钻石'!L25</f>
        <v>36634.538235331078</v>
      </c>
      <c r="D25" s="14">
        <f>'[1]资源-钻石'!M25</f>
        <v>43561.417331527664</v>
      </c>
      <c r="E25" s="14">
        <f>'[1]资源-钻石'!N25</f>
        <v>58641.674296658151</v>
      </c>
      <c r="F25" s="14">
        <f>'[1]资源-钻石'!O25</f>
        <v>115316.45592085565</v>
      </c>
      <c r="G25" s="14">
        <f>'[1]资源-钻石'!P25</f>
        <v>185363.74592555995</v>
      </c>
      <c r="I25" s="14">
        <v>22</v>
      </c>
      <c r="J25" s="14">
        <f>'[1]资源-钻石'!T25</f>
        <v>151021.54668575578</v>
      </c>
      <c r="K25" s="14">
        <f>'[1]资源-钻石'!U25</f>
        <v>206443.70135433137</v>
      </c>
      <c r="L25" s="14">
        <f>'[1]资源-钻石'!V25</f>
        <v>333936.07148976449</v>
      </c>
      <c r="M25" s="14">
        <f>'[1]资源-钻石'!W25</f>
        <v>847809.67863874102</v>
      </c>
      <c r="N25" s="14">
        <f>'[1]资源-钻石'!X25</f>
        <v>1985110.6465026152</v>
      </c>
      <c r="P25" s="14">
        <v>22</v>
      </c>
      <c r="Q25" s="14">
        <f>'[1]功能-行军令'!N25</f>
        <v>165.36049731945442</v>
      </c>
      <c r="R25" s="14">
        <f>'[1]功能-行军令'!O25</f>
        <v>209.32374240788337</v>
      </c>
      <c r="S25" s="14">
        <f>'[1]功能-行军令'!P25</f>
        <v>234.3204979331129</v>
      </c>
      <c r="T25" s="14">
        <f>'[1]功能-行军令'!Q25</f>
        <v>196.49895740273368</v>
      </c>
      <c r="U25" s="14">
        <f>'[1]功能-行军令'!R25</f>
        <v>110.07940462753481</v>
      </c>
      <c r="V25" s="14">
        <f>'[1]功能-行军令'!S25</f>
        <v>14.154180212776481</v>
      </c>
      <c r="W25" s="14">
        <f>'[1]功能-行军令'!T25</f>
        <v>18.247606574024616</v>
      </c>
      <c r="X25" s="14">
        <f>'[1]功能-行军令'!U25</f>
        <v>20.774774667816786</v>
      </c>
      <c r="Y25" s="14">
        <f>'[1]功能-行军令'!V25</f>
        <v>17.632074256469139</v>
      </c>
      <c r="Z25" s="14">
        <f>'[1]功能-行军令'!W25</f>
        <v>9.997915590934781</v>
      </c>
      <c r="AC25" s="14">
        <v>22</v>
      </c>
      <c r="AD25" s="14">
        <v>362166</v>
      </c>
      <c r="AE25" s="14">
        <v>371898</v>
      </c>
      <c r="AF25" s="14">
        <v>389718</v>
      </c>
      <c r="AG25" s="14">
        <v>417816</v>
      </c>
      <c r="AH25" s="14">
        <v>443802</v>
      </c>
      <c r="AK25" s="14">
        <v>22</v>
      </c>
      <c r="AL25" s="14">
        <f>'[1]功能-付费相关'!AH27</f>
        <v>1.7228377816389976E-2</v>
      </c>
      <c r="AM25" s="14">
        <f>'[1]功能-付费相关'!AI27</f>
        <v>1.7228377816389976E-2</v>
      </c>
      <c r="AN25" s="14">
        <f>'[1]功能-付费相关'!AJ27</f>
        <v>1.7228377816389976E-2</v>
      </c>
      <c r="AO25" s="14">
        <f>'[1]功能-付费相关'!AK27</f>
        <v>1.7228377816389976E-2</v>
      </c>
      <c r="AP25" s="14">
        <f>'[1]功能-付费相关'!AL27</f>
        <v>1.7228377816389976E-2</v>
      </c>
      <c r="AS25" s="14">
        <v>22</v>
      </c>
      <c r="AT25" s="14">
        <f>'[1]功能-城建'!GF25</f>
        <v>52343.389225126826</v>
      </c>
      <c r="AU25" s="14">
        <f>'[1]功能-城建'!GG25</f>
        <v>48853.217473600816</v>
      </c>
      <c r="AV25" s="14">
        <f>'[1]功能-城建'!GH25</f>
        <v>41914.820099023753</v>
      </c>
      <c r="AW25" s="14">
        <f>'[1]功能-城建'!GI25</f>
        <v>33448.817961677734</v>
      </c>
      <c r="AX25" s="14">
        <f>'[1]功能-城建'!GJ25</f>
        <v>19385.756772587643</v>
      </c>
    </row>
    <row r="26" spans="2:50" x14ac:dyDescent="0.15">
      <c r="B26" s="14">
        <v>23</v>
      </c>
      <c r="C26" s="14">
        <f>'[1]资源-钻石'!L26</f>
        <v>39447.505895439739</v>
      </c>
      <c r="D26" s="14">
        <f>'[1]资源-钻石'!M26</f>
        <v>46769.893451378055</v>
      </c>
      <c r="E26" s="14">
        <f>'[1]资源-钻石'!N26</f>
        <v>62698.039224057815</v>
      </c>
      <c r="F26" s="14">
        <f>'[1]资源-钻石'!O26</f>
        <v>122561.59014963175</v>
      </c>
      <c r="G26" s="14">
        <f>'[1]资源-钻石'!P26</f>
        <v>194255.91934723043</v>
      </c>
      <c r="I26" s="14">
        <v>23</v>
      </c>
      <c r="J26" s="14">
        <f>'[1]资源-钻石'!T26</f>
        <v>156710.93471923424</v>
      </c>
      <c r="K26" s="14">
        <f>'[1]资源-钻石'!U26</f>
        <v>214277.02819115765</v>
      </c>
      <c r="L26" s="14">
        <f>'[1]资源-钻石'!V26</f>
        <v>346726.48101027345</v>
      </c>
      <c r="M26" s="14">
        <f>'[1]资源-钻石'!W26</f>
        <v>880647.87911130092</v>
      </c>
      <c r="N26" s="14">
        <f>'[1]资源-钻石'!X26</f>
        <v>2062346.729522431</v>
      </c>
      <c r="P26" s="14">
        <v>23</v>
      </c>
      <c r="Q26" s="14">
        <f>'[1]功能-行军令'!N26</f>
        <v>180.53057205546457</v>
      </c>
      <c r="R26" s="14">
        <f>'[1]功能-行军令'!O26</f>
        <v>228.34291669105832</v>
      </c>
      <c r="S26" s="14">
        <f>'[1]功能-行军令'!P26</f>
        <v>255.38835867379359</v>
      </c>
      <c r="T26" s="14">
        <f>'[1]功能-行军令'!Q26</f>
        <v>214.20227094816607</v>
      </c>
      <c r="U26" s="14">
        <f>'[1]功能-行军令'!R26</f>
        <v>119.57167719657959</v>
      </c>
      <c r="V26" s="14">
        <f>'[1]功能-行军令'!S26</f>
        <v>15.17007473601015</v>
      </c>
      <c r="W26" s="14">
        <f>'[1]功能-行军令'!T26</f>
        <v>19.019174283174948</v>
      </c>
      <c r="X26" s="14">
        <f>'[1]功能-行军令'!U26</f>
        <v>21.067860740680686</v>
      </c>
      <c r="Y26" s="14">
        <f>'[1]功能-行军令'!V26</f>
        <v>17.703313545432394</v>
      </c>
      <c r="Z26" s="14">
        <f>'[1]功能-行军令'!W26</f>
        <v>9.492272569044772</v>
      </c>
      <c r="AC26" s="14">
        <v>23</v>
      </c>
      <c r="AD26" s="14">
        <v>383184</v>
      </c>
      <c r="AE26" s="14">
        <v>393888</v>
      </c>
      <c r="AF26" s="14">
        <v>412470</v>
      </c>
      <c r="AG26" s="14">
        <v>442890</v>
      </c>
      <c r="AH26" s="14">
        <v>471960</v>
      </c>
      <c r="AK26" s="14">
        <v>23</v>
      </c>
      <c r="AL26" s="14">
        <f>'[1]功能-付费相关'!AH28</f>
        <v>1.6719202302201853E-2</v>
      </c>
      <c r="AM26" s="14">
        <f>'[1]功能-付费相关'!AI28</f>
        <v>1.6719202302201853E-2</v>
      </c>
      <c r="AN26" s="14">
        <f>'[1]功能-付费相关'!AJ28</f>
        <v>1.6719202302201853E-2</v>
      </c>
      <c r="AO26" s="14">
        <f>'[1]功能-付费相关'!AK28</f>
        <v>1.6719202302201853E-2</v>
      </c>
      <c r="AP26" s="14">
        <f>'[1]功能-付费相关'!AL28</f>
        <v>1.6719202302201853E-2</v>
      </c>
      <c r="AS26" s="14">
        <v>23</v>
      </c>
      <c r="AT26" s="14">
        <f>'[1]功能-城建'!GF26</f>
        <v>59513.878369880433</v>
      </c>
      <c r="AU26" s="14">
        <f>'[1]功能-城建'!GG26</f>
        <v>52118.214901357016</v>
      </c>
      <c r="AV26" s="14">
        <f>'[1]功能-城建'!GH26</f>
        <v>44789.517225767078</v>
      </c>
      <c r="AW26" s="14">
        <f>'[1]功能-城建'!GI26</f>
        <v>33878.985821041453</v>
      </c>
      <c r="AX26" s="14">
        <f>'[1]功能-城建'!GJ26</f>
        <v>19408.471874182811</v>
      </c>
    </row>
    <row r="27" spans="2:50" x14ac:dyDescent="0.15">
      <c r="B27" s="14">
        <v>24</v>
      </c>
      <c r="C27" s="14">
        <f>'[1]资源-钻石'!L27</f>
        <v>42462.369984517027</v>
      </c>
      <c r="D27" s="14">
        <f>'[1]资源-钻石'!M27</f>
        <v>50311.665879092536</v>
      </c>
      <c r="E27" s="14">
        <f>'[1]资源-钻石'!N27</f>
        <v>67313.937400448282</v>
      </c>
      <c r="F27" s="14">
        <f>'[1]资源-钻石'!O27</f>
        <v>130763.22334191311</v>
      </c>
      <c r="G27" s="14">
        <f>'[1]资源-钻石'!P27</f>
        <v>204715.44326334211</v>
      </c>
      <c r="I27" s="14">
        <v>24</v>
      </c>
      <c r="J27" s="14">
        <f>'[1]资源-钻石'!T27</f>
        <v>162400.32275271267</v>
      </c>
      <c r="K27" s="14">
        <f>'[1]资源-钻石'!U27</f>
        <v>222110.35502798393</v>
      </c>
      <c r="L27" s="14">
        <f>'[1]资源-钻石'!V27</f>
        <v>359516.8905307824</v>
      </c>
      <c r="M27" s="14">
        <f>'[1]资源-钻石'!W27</f>
        <v>913486.0795838607</v>
      </c>
      <c r="N27" s="14">
        <f>'[1]资源-钻石'!X27</f>
        <v>2139582.8125422467</v>
      </c>
      <c r="P27" s="14">
        <v>24</v>
      </c>
      <c r="Q27" s="14">
        <f>'[1]功能-行军令'!N27</f>
        <v>196.78945558221253</v>
      </c>
      <c r="R27" s="14">
        <f>'[1]功能-行军令'!O27</f>
        <v>249.3378016637993</v>
      </c>
      <c r="S27" s="14">
        <f>'[1]功能-行军令'!P27</f>
        <v>279.36231114450891</v>
      </c>
      <c r="T27" s="14">
        <f>'[1]功能-行军令'!Q27</f>
        <v>234.24276701115065</v>
      </c>
      <c r="U27" s="14">
        <f>'[1]功能-行军令'!R27</f>
        <v>130.73707481604291</v>
      </c>
      <c r="V27" s="14">
        <f>'[1]功能-行军令'!S27</f>
        <v>16.258883526747951</v>
      </c>
      <c r="W27" s="14">
        <f>'[1]功能-行军令'!T27</f>
        <v>20.994884972740977</v>
      </c>
      <c r="X27" s="14">
        <f>'[1]功能-行军令'!U27</f>
        <v>23.973952470715318</v>
      </c>
      <c r="Y27" s="14">
        <f>'[1]功能-行军令'!V27</f>
        <v>20.040496062984573</v>
      </c>
      <c r="Z27" s="14">
        <f>'[1]功能-行军令'!W27</f>
        <v>11.16539761946332</v>
      </c>
      <c r="AC27" s="14">
        <v>24</v>
      </c>
      <c r="AD27" s="14">
        <v>404598</v>
      </c>
      <c r="AE27" s="14">
        <v>416208</v>
      </c>
      <c r="AF27" s="14">
        <v>436200</v>
      </c>
      <c r="AG27" s="14">
        <v>469680</v>
      </c>
      <c r="AH27" s="14">
        <v>501624</v>
      </c>
      <c r="AK27" s="14">
        <v>24</v>
      </c>
      <c r="AL27" s="14">
        <f>'[1]功能-付费相关'!AH29</f>
        <v>1.6225075198665721E-2</v>
      </c>
      <c r="AM27" s="14">
        <f>'[1]功能-付费相关'!AI29</f>
        <v>1.6225075198665721E-2</v>
      </c>
      <c r="AN27" s="14">
        <f>'[1]功能-付费相关'!AJ29</f>
        <v>1.6225075198665721E-2</v>
      </c>
      <c r="AO27" s="14">
        <f>'[1]功能-付费相关'!AK29</f>
        <v>1.6225075198665721E-2</v>
      </c>
      <c r="AP27" s="14">
        <f>'[1]功能-付费相关'!AL29</f>
        <v>1.6225075198665721E-2</v>
      </c>
      <c r="AS27" s="14">
        <v>24</v>
      </c>
      <c r="AT27" s="14">
        <f>'[1]功能-城建'!GF27</f>
        <v>64894.152511107095</v>
      </c>
      <c r="AU27" s="14">
        <f>'[1]功能-城建'!GG27</f>
        <v>60299.829449869751</v>
      </c>
      <c r="AV27" s="14">
        <f>'[1]功能-城建'!GH27</f>
        <v>51929.161751732288</v>
      </c>
      <c r="AW27" s="14">
        <f>'[1]功能-城建'!GI27</f>
        <v>40701.303897217673</v>
      </c>
      <c r="AX27" s="14">
        <f>'[1]功能-城建'!GJ27</f>
        <v>23120.906098138978</v>
      </c>
    </row>
    <row r="28" spans="2:50" x14ac:dyDescent="0.15">
      <c r="B28" s="14">
        <v>25</v>
      </c>
      <c r="C28" s="14">
        <f>'[1]资源-钻石'!L28</f>
        <v>45693.621308343718</v>
      </c>
      <c r="D28" s="14">
        <f>'[1]资源-钻石'!M28</f>
        <v>54073.175003945638</v>
      </c>
      <c r="E28" s="14">
        <f>'[1]资源-钻石'!N28</f>
        <v>72125.845879448229</v>
      </c>
      <c r="F28" s="14">
        <f>'[1]资源-钻石'!O28</f>
        <v>139369.87523300829</v>
      </c>
      <c r="G28" s="14">
        <f>'[1]资源-钻石'!P28</f>
        <v>215425.61427332016</v>
      </c>
      <c r="I28" s="14">
        <v>25</v>
      </c>
      <c r="J28" s="14">
        <f>'[1]资源-钻石'!T28</f>
        <v>168089.71078619111</v>
      </c>
      <c r="K28" s="14">
        <f>'[1]资源-钻石'!U28</f>
        <v>229943.68186481023</v>
      </c>
      <c r="L28" s="14">
        <f>'[1]资源-钻石'!V28</f>
        <v>372307.3000512913</v>
      </c>
      <c r="M28" s="14">
        <f>'[1]资源-钻石'!W28</f>
        <v>946324.28005642048</v>
      </c>
      <c r="N28" s="14">
        <f>'[1]资源-钻石'!X28</f>
        <v>2216818.8955620625</v>
      </c>
      <c r="P28" s="14">
        <v>25</v>
      </c>
      <c r="Q28" s="14">
        <f>'[1]功能-行军令'!N28</f>
        <v>214.21529547664952</v>
      </c>
      <c r="R28" s="14">
        <f>'[1]功能-行军令'!O28</f>
        <v>271.6352397437405</v>
      </c>
      <c r="S28" s="14">
        <f>'[1]功能-行军令'!P28</f>
        <v>304.3542977006739</v>
      </c>
      <c r="T28" s="14">
        <f>'[1]功能-行军令'!Q28</f>
        <v>255.27291665272404</v>
      </c>
      <c r="U28" s="14">
        <f>'[1]功能-行军令'!R28</f>
        <v>142.17003475360278</v>
      </c>
      <c r="V28" s="14">
        <f>'[1]功能-行军令'!S28</f>
        <v>17.42583989443699</v>
      </c>
      <c r="W28" s="14">
        <f>'[1]功能-行军令'!T28</f>
        <v>22.297438079941202</v>
      </c>
      <c r="X28" s="14">
        <f>'[1]功能-行军令'!U28</f>
        <v>24.991986556164989</v>
      </c>
      <c r="Y28" s="14">
        <f>'[1]功能-行军令'!V28</f>
        <v>21.030149641573388</v>
      </c>
      <c r="Z28" s="14">
        <f>'[1]功能-行军令'!W28</f>
        <v>11.432959937559872</v>
      </c>
      <c r="AC28" s="14">
        <v>25</v>
      </c>
      <c r="AD28" s="14">
        <v>426354</v>
      </c>
      <c r="AE28" s="14">
        <v>439026</v>
      </c>
      <c r="AF28" s="14">
        <v>461166</v>
      </c>
      <c r="AG28" s="14">
        <v>497610</v>
      </c>
      <c r="AH28" s="14">
        <v>531798</v>
      </c>
      <c r="AK28" s="14">
        <v>25</v>
      </c>
      <c r="AL28" s="14">
        <f>'[1]功能-付费相关'!AH30</f>
        <v>1.5745551758033823E-2</v>
      </c>
      <c r="AM28" s="14">
        <f>'[1]功能-付费相关'!AI30</f>
        <v>1.5745551758033823E-2</v>
      </c>
      <c r="AN28" s="14">
        <f>'[1]功能-付费相关'!AJ30</f>
        <v>1.5745551758033823E-2</v>
      </c>
      <c r="AO28" s="14">
        <f>'[1]功能-付费相关'!AK30</f>
        <v>1.5745551758033823E-2</v>
      </c>
      <c r="AP28" s="14">
        <f>'[1]功能-付费相关'!AL30</f>
        <v>1.5745551758033823E-2</v>
      </c>
      <c r="AS28" s="14">
        <v>25</v>
      </c>
      <c r="AT28" s="14">
        <f>'[1]功能-城建'!GF28</f>
        <v>73079.262245089281</v>
      </c>
      <c r="AU28" s="14">
        <f>'[1]功能-城建'!GG28</f>
        <v>65598.397236020362</v>
      </c>
      <c r="AV28" s="14">
        <f>'[1]功能-城建'!GH28</f>
        <v>56758.417818082264</v>
      </c>
      <c r="AW28" s="14">
        <f>'[1]功能-城建'!GI28</f>
        <v>42999.509849663649</v>
      </c>
      <c r="AX28" s="14">
        <f>'[1]功能-城建'!GJ28</f>
        <v>25174.711784840561</v>
      </c>
    </row>
    <row r="29" spans="2:50" x14ac:dyDescent="0.15">
      <c r="B29" s="14">
        <v>26</v>
      </c>
      <c r="C29" s="14">
        <f>'[1]资源-钻石'!L29</f>
        <v>49156.790728006417</v>
      </c>
      <c r="D29" s="14">
        <f>'[1]资源-钻石'!M29</f>
        <v>58079.828833926251</v>
      </c>
      <c r="E29" s="14">
        <f>'[1]资源-钻石'!N29</f>
        <v>77252.661931416835</v>
      </c>
      <c r="F29" s="14">
        <f>'[1]资源-钻石'!O29</f>
        <v>148350.2420406632</v>
      </c>
      <c r="G29" s="14">
        <f>'[1]资源-钻石'!P29</f>
        <v>226939.51188803394</v>
      </c>
      <c r="I29" s="14">
        <v>26</v>
      </c>
      <c r="J29" s="14">
        <f>'[1]资源-钻石'!T29</f>
        <v>173779.09881966957</v>
      </c>
      <c r="K29" s="14">
        <f>'[1]资源-钻石'!U29</f>
        <v>237777.00870163651</v>
      </c>
      <c r="L29" s="14">
        <f>'[1]资源-钻石'!V29</f>
        <v>385097.70957180019</v>
      </c>
      <c r="M29" s="14">
        <f>'[1]资源-钻石'!W29</f>
        <v>979162.48052898038</v>
      </c>
      <c r="N29" s="14">
        <f>'[1]资源-钻石'!X29</f>
        <v>2294054.9785818784</v>
      </c>
      <c r="P29" s="14">
        <v>26</v>
      </c>
      <c r="Q29" s="14">
        <f>'[1]功能-行军令'!N29</f>
        <v>232.89184823791322</v>
      </c>
      <c r="R29" s="14">
        <f>'[1]功能-行军令'!O29</f>
        <v>295.38584427942419</v>
      </c>
      <c r="S29" s="14">
        <f>'[1]功能-行军令'!P29</f>
        <v>330.98184442270946</v>
      </c>
      <c r="T29" s="14">
        <f>'[1]功能-行军令'!Q29</f>
        <v>277.21622982385412</v>
      </c>
      <c r="U29" s="14">
        <f>'[1]功能-行军令'!R29</f>
        <v>154.46096176415654</v>
      </c>
      <c r="V29" s="14">
        <f>'[1]功能-行军令'!S29</f>
        <v>18.676552761263707</v>
      </c>
      <c r="W29" s="14">
        <f>'[1]功能-行军令'!T29</f>
        <v>23.750604535683692</v>
      </c>
      <c r="X29" s="14">
        <f>'[1]功能-行军令'!U29</f>
        <v>26.627546722035561</v>
      </c>
      <c r="Y29" s="14">
        <f>'[1]功能-行军令'!V29</f>
        <v>21.943313171130086</v>
      </c>
      <c r="Z29" s="14">
        <f>'[1]功能-行军令'!W29</f>
        <v>12.290927010553759</v>
      </c>
      <c r="AC29" s="14">
        <v>26</v>
      </c>
      <c r="AD29" s="14">
        <v>448692</v>
      </c>
      <c r="AE29" s="14">
        <v>463062</v>
      </c>
      <c r="AF29" s="14">
        <v>487296</v>
      </c>
      <c r="AG29" s="14">
        <v>525990</v>
      </c>
      <c r="AH29" s="14">
        <v>563244</v>
      </c>
      <c r="AK29" s="14">
        <v>26</v>
      </c>
      <c r="AL29" s="14">
        <f>'[1]功能-付费相关'!AH31</f>
        <v>1.5280200376840785E-2</v>
      </c>
      <c r="AM29" s="14">
        <f>'[1]功能-付费相关'!AI31</f>
        <v>1.5280200376840785E-2</v>
      </c>
      <c r="AN29" s="14">
        <f>'[1]功能-付费相关'!AJ31</f>
        <v>1.5280200376840785E-2</v>
      </c>
      <c r="AO29" s="14">
        <f>'[1]功能-付费相关'!AK31</f>
        <v>1.5280200376840785E-2</v>
      </c>
      <c r="AP29" s="14">
        <f>'[1]功能-付费相关'!AL31</f>
        <v>1.5280200376840785E-2</v>
      </c>
      <c r="AS29" s="14">
        <v>26</v>
      </c>
      <c r="AT29" s="14">
        <f>'[1]功能-城建'!GF29</f>
        <v>80029.840606048238</v>
      </c>
      <c r="AU29" s="14">
        <f>'[1]功能-城建'!GG29</f>
        <v>72689.107893709908</v>
      </c>
      <c r="AV29" s="14">
        <f>'[1]功能-城建'!GH29</f>
        <v>61623.750985282357</v>
      </c>
      <c r="AW29" s="14">
        <f>'[1]功能-城建'!GI29</f>
        <v>47925.481862575922</v>
      </c>
      <c r="AX29" s="14">
        <f>'[1]功能-城建'!GJ29</f>
        <v>27247.347971580544</v>
      </c>
    </row>
    <row r="30" spans="2:50" x14ac:dyDescent="0.15">
      <c r="B30" s="14">
        <v>27</v>
      </c>
      <c r="C30" s="14">
        <f>'[1]资源-钻石'!L30</f>
        <v>52868.523808268132</v>
      </c>
      <c r="D30" s="14">
        <f>'[1]资源-钻石'!M30</f>
        <v>62368.985766527236</v>
      </c>
      <c r="E30" s="14">
        <f>'[1]资源-钻石'!N30</f>
        <v>82720.324513717162</v>
      </c>
      <c r="F30" s="14">
        <f>'[1]资源-钻石'!O30</f>
        <v>158008.69143623821</v>
      </c>
      <c r="G30" s="14">
        <f>'[1]资源-钻石'!P30</f>
        <v>239429.1677670764</v>
      </c>
      <c r="I30" s="14">
        <v>27</v>
      </c>
      <c r="J30" s="14">
        <f>'[1]资源-钻石'!T30</f>
        <v>179468.486853148</v>
      </c>
      <c r="K30" s="14">
        <f>'[1]资源-钻石'!U30</f>
        <v>245610.33553846279</v>
      </c>
      <c r="L30" s="14">
        <f>'[1]资源-钻石'!V30</f>
        <v>397888.11909230915</v>
      </c>
      <c r="M30" s="14">
        <f>'[1]资源-钻石'!W30</f>
        <v>1012000.6810015402</v>
      </c>
      <c r="N30" s="14">
        <f>'[1]资源-钻石'!X30</f>
        <v>2371291.0616016942</v>
      </c>
      <c r="P30" s="14">
        <v>27</v>
      </c>
      <c r="Q30" s="14">
        <f>'[1]功能-行军令'!N30</f>
        <v>252.90888185909469</v>
      </c>
      <c r="R30" s="14">
        <f>'[1]功能-行军令'!O30</f>
        <v>320.81106802484203</v>
      </c>
      <c r="S30" s="14">
        <f>'[1]功能-行军令'!P30</f>
        <v>359.37967250835402</v>
      </c>
      <c r="T30" s="14">
        <f>'[1]功能-行军令'!Q30</f>
        <v>300.81642170621222</v>
      </c>
      <c r="U30" s="14">
        <f>'[1]功能-行军令'!R30</f>
        <v>167.79349727325055</v>
      </c>
      <c r="V30" s="14">
        <f>'[1]功能-行军令'!S30</f>
        <v>20.017033621181469</v>
      </c>
      <c r="W30" s="14">
        <f>'[1]功能-行军令'!T30</f>
        <v>25.425223745417838</v>
      </c>
      <c r="X30" s="14">
        <f>'[1]功能-行军令'!U30</f>
        <v>28.397828085644562</v>
      </c>
      <c r="Y30" s="14">
        <f>'[1]功能-行军令'!V30</f>
        <v>23.600191882358104</v>
      </c>
      <c r="Z30" s="14">
        <f>'[1]功能-行军令'!W30</f>
        <v>13.332535509094015</v>
      </c>
      <c r="AC30" s="14">
        <v>27</v>
      </c>
      <c r="AD30" s="14">
        <v>472170</v>
      </c>
      <c r="AE30" s="14">
        <v>488310</v>
      </c>
      <c r="AF30" s="14">
        <v>514092</v>
      </c>
      <c r="AG30" s="14">
        <v>555504</v>
      </c>
      <c r="AH30" s="14">
        <v>595536</v>
      </c>
      <c r="AK30" s="14">
        <v>27</v>
      </c>
      <c r="AL30" s="14">
        <f>'[1]功能-付费相关'!AH32</f>
        <v>1.4828602207431372E-2</v>
      </c>
      <c r="AM30" s="14">
        <f>'[1]功能-付费相关'!AI32</f>
        <v>1.4828602207431372E-2</v>
      </c>
      <c r="AN30" s="14">
        <f>'[1]功能-付费相关'!AJ32</f>
        <v>1.4828602207431372E-2</v>
      </c>
      <c r="AO30" s="14">
        <f>'[1]功能-付费相关'!AK32</f>
        <v>1.4828602207431372E-2</v>
      </c>
      <c r="AP30" s="14">
        <f>'[1]功能-付费相关'!AL32</f>
        <v>1.4828602207431372E-2</v>
      </c>
      <c r="AS30" s="14">
        <v>27</v>
      </c>
      <c r="AT30" s="14">
        <f>'[1]功能-城建'!GF30</f>
        <v>89119.141948995413</v>
      </c>
      <c r="AU30" s="14">
        <f>'[1]功能-城建'!GG30</f>
        <v>79918.68836992525</v>
      </c>
      <c r="AV30" s="14">
        <f>'[1]功能-城建'!GH30</f>
        <v>68884.963475286611</v>
      </c>
      <c r="AW30" s="14">
        <f>'[1]功能-城建'!GI30</f>
        <v>51966.247756493452</v>
      </c>
      <c r="AX30" s="14">
        <f>'[1]功能-城建'!GJ30</f>
        <v>31454.428434076166</v>
      </c>
    </row>
    <row r="31" spans="2:50" x14ac:dyDescent="0.15">
      <c r="B31" s="14">
        <v>28</v>
      </c>
      <c r="C31" s="14">
        <f>'[1]资源-钻石'!L31</f>
        <v>56846.660823710707</v>
      </c>
      <c r="D31" s="14">
        <f>'[1]资源-钻石'!M31</f>
        <v>66926.150305849689</v>
      </c>
      <c r="E31" s="14">
        <f>'[1]资源-钻石'!N31</f>
        <v>88433.174310601171</v>
      </c>
      <c r="F31" s="14">
        <f>'[1]资源-钻石'!O31</f>
        <v>168326.14538209527</v>
      </c>
      <c r="G31" s="14">
        <f>'[1]资源-钻石'!P31</f>
        <v>253395.93774105425</v>
      </c>
      <c r="I31" s="14">
        <v>28</v>
      </c>
      <c r="J31" s="14">
        <f>'[1]资源-钻石'!T31</f>
        <v>185157.87488662647</v>
      </c>
      <c r="K31" s="14">
        <f>'[1]资源-钻石'!U31</f>
        <v>253443.6623752891</v>
      </c>
      <c r="L31" s="14">
        <f>'[1]资源-钻石'!V31</f>
        <v>410678.5286128181</v>
      </c>
      <c r="M31" s="14">
        <f>'[1]资源-钻石'!W31</f>
        <v>1044838.8814741001</v>
      </c>
      <c r="N31" s="14">
        <f>'[1]资源-钻石'!X31</f>
        <v>2448527.1446215101</v>
      </c>
      <c r="P31" s="14">
        <v>28</v>
      </c>
      <c r="Q31" s="14">
        <f>'[1]功能-行军令'!N31</f>
        <v>274.36260729297362</v>
      </c>
      <c r="R31" s="14">
        <f>'[1]功能-行军令'!O31</f>
        <v>347.82498471701922</v>
      </c>
      <c r="S31" s="14">
        <f>'[1]功能-行军令'!P31</f>
        <v>389.05094866504174</v>
      </c>
      <c r="T31" s="14">
        <f>'[1]功能-行军令'!Q31</f>
        <v>326.02687556759241</v>
      </c>
      <c r="U31" s="14">
        <f>'[1]功能-行军令'!R31</f>
        <v>182.70283171999623</v>
      </c>
      <c r="V31" s="14">
        <f>'[1]功能-行军令'!S31</f>
        <v>21.45372543387893</v>
      </c>
      <c r="W31" s="14">
        <f>'[1]功能-行军令'!T31</f>
        <v>27.01391669217719</v>
      </c>
      <c r="X31" s="14">
        <f>'[1]功能-行军令'!U31</f>
        <v>29.671276156687725</v>
      </c>
      <c r="Y31" s="14">
        <f>'[1]功能-行军令'!V31</f>
        <v>25.210453861380188</v>
      </c>
      <c r="Z31" s="14">
        <f>'[1]功能-行军令'!W31</f>
        <v>14.909334446745675</v>
      </c>
      <c r="AC31" s="14">
        <v>28</v>
      </c>
      <c r="AD31" s="14">
        <v>496812</v>
      </c>
      <c r="AE31" s="14">
        <v>515586</v>
      </c>
      <c r="AF31" s="14">
        <v>544182</v>
      </c>
      <c r="AG31" s="14">
        <v>596388</v>
      </c>
      <c r="AH31" s="14">
        <v>643812</v>
      </c>
      <c r="AK31" s="14">
        <v>28</v>
      </c>
      <c r="AL31" s="14">
        <f>'[1]功能-付费相关'!AH33</f>
        <v>1.4390350780969324E-2</v>
      </c>
      <c r="AM31" s="14">
        <f>'[1]功能-付费相关'!AI33</f>
        <v>1.4390350780969324E-2</v>
      </c>
      <c r="AN31" s="14">
        <f>'[1]功能-付费相关'!AJ33</f>
        <v>1.4390350780969324E-2</v>
      </c>
      <c r="AO31" s="14">
        <f>'[1]功能-付费相关'!AK33</f>
        <v>1.4390350780969324E-2</v>
      </c>
      <c r="AP31" s="14">
        <f>'[1]功能-付费相关'!AL33</f>
        <v>1.4390350780969324E-2</v>
      </c>
      <c r="AS31" s="14">
        <v>28</v>
      </c>
      <c r="AT31" s="14">
        <f>'[1]功能-城建'!GF31</f>
        <v>98220.751660324051</v>
      </c>
      <c r="AU31" s="14">
        <f>'[1]功能-城建'!GG31</f>
        <v>87929.0945592348</v>
      </c>
      <c r="AV31" s="14">
        <f>'[1]功能-城建'!GH31</f>
        <v>73949.949805898592</v>
      </c>
      <c r="AW31" s="14">
        <f>'[1]功能-城建'!GI31</f>
        <v>58569.129601512221</v>
      </c>
      <c r="AX31" s="14">
        <f>'[1]功能-城建'!GJ31</f>
        <v>35572.581014589348</v>
      </c>
    </row>
    <row r="32" spans="2:50" x14ac:dyDescent="0.15">
      <c r="B32" s="14">
        <v>29</v>
      </c>
      <c r="C32" s="14">
        <f>'[1]资源-钻石'!L32</f>
        <v>61110.3225071954</v>
      </c>
      <c r="D32" s="14">
        <f>'[1]资源-钻石'!M32</f>
        <v>71909.456860487029</v>
      </c>
      <c r="E32" s="14">
        <f>'[1]资源-钻石'!N32</f>
        <v>95016.724322714377</v>
      </c>
      <c r="F32" s="14">
        <f>'[1]资源-钻石'!O32</f>
        <v>180462.02468798024</v>
      </c>
      <c r="G32" s="14">
        <f>'[1]资源-钻石'!P32</f>
        <v>269111.9215568311</v>
      </c>
      <c r="I32" s="14">
        <v>29</v>
      </c>
      <c r="J32" s="14">
        <f>'[1]资源-钻石'!T32</f>
        <v>190863.14162790234</v>
      </c>
      <c r="K32" s="14">
        <f>'[1]资源-钻石'!U32</f>
        <v>261290.21329832528</v>
      </c>
      <c r="L32" s="14">
        <f>'[1]资源-钻石'!V32</f>
        <v>423468.938133327</v>
      </c>
      <c r="M32" s="14">
        <f>'[1]资源-钻石'!W32</f>
        <v>1077932.6215086782</v>
      </c>
      <c r="N32" s="14">
        <f>'[1]资源-钻石'!X32</f>
        <v>2525763.2276413259</v>
      </c>
      <c r="P32" s="14">
        <v>29</v>
      </c>
      <c r="Q32" s="14">
        <f>'[1]功能-行军令'!N32</f>
        <v>297.35614088554507</v>
      </c>
      <c r="R32" s="14">
        <f>'[1]功能-行军令'!O32</f>
        <v>377.36498200194677</v>
      </c>
      <c r="S32" s="14">
        <f>'[1]功能-行军令'!P32</f>
        <v>423.24444883501349</v>
      </c>
      <c r="T32" s="14">
        <f>'[1]功能-行军令'!Q32</f>
        <v>355.68060864106502</v>
      </c>
      <c r="U32" s="14">
        <f>'[1]功能-行军令'!R32</f>
        <v>199.4794278338882</v>
      </c>
      <c r="V32" s="14">
        <f>'[1]功能-行军令'!S32</f>
        <v>22.993533592571453</v>
      </c>
      <c r="W32" s="14">
        <f>'[1]功能-行军令'!T32</f>
        <v>29.539997284927551</v>
      </c>
      <c r="X32" s="14">
        <f>'[1]功能-行军令'!U32</f>
        <v>34.193500169971742</v>
      </c>
      <c r="Y32" s="14">
        <f>'[1]功能-行军令'!V32</f>
        <v>29.653733073472608</v>
      </c>
      <c r="Z32" s="14">
        <f>'[1]功能-行军令'!W32</f>
        <v>16.776596113891969</v>
      </c>
      <c r="AC32" s="14">
        <v>29</v>
      </c>
      <c r="AD32" s="14">
        <v>525918</v>
      </c>
      <c r="AE32" s="14">
        <v>548682</v>
      </c>
      <c r="AF32" s="14">
        <v>584442</v>
      </c>
      <c r="AG32" s="14">
        <v>645012</v>
      </c>
      <c r="AH32" s="14">
        <v>697092</v>
      </c>
      <c r="AK32" s="14">
        <v>29</v>
      </c>
      <c r="AL32" s="14">
        <f>'[1]功能-付费相关'!AH34</f>
        <v>1.3965051641587968E-2</v>
      </c>
      <c r="AM32" s="14">
        <f>'[1]功能-付费相关'!AI34</f>
        <v>1.3965051641587968E-2</v>
      </c>
      <c r="AN32" s="14">
        <f>'[1]功能-付费相关'!AJ34</f>
        <v>1.3965051641587968E-2</v>
      </c>
      <c r="AO32" s="14">
        <f>'[1]功能-付费相关'!AK34</f>
        <v>1.3965051641587968E-2</v>
      </c>
      <c r="AP32" s="14">
        <f>'[1]功能-付费相关'!AL34</f>
        <v>1.3965051641587968E-2</v>
      </c>
      <c r="AS32" s="14">
        <v>29</v>
      </c>
      <c r="AT32" s="14">
        <f>'[1]功能-城建'!GF32</f>
        <v>108636.12990158994</v>
      </c>
      <c r="AU32" s="14">
        <f>'[1]功能-城建'!GG32</f>
        <v>99995.095286889002</v>
      </c>
      <c r="AV32" s="14">
        <f>'[1]功能-城建'!GH32</f>
        <v>88236.285464117769</v>
      </c>
      <c r="AW32" s="14">
        <f>'[1]功能-城建'!GI32</f>
        <v>69959.778027707245</v>
      </c>
      <c r="AX32" s="14">
        <f>'[1]功能-城建'!GJ32</f>
        <v>49254.783153795404</v>
      </c>
    </row>
    <row r="33" spans="2:50" x14ac:dyDescent="0.15">
      <c r="B33" s="14">
        <v>30</v>
      </c>
      <c r="C33" s="14">
        <f>'[1]资源-钻石'!L33</f>
        <v>65680.001952787134</v>
      </c>
      <c r="D33" s="14">
        <f>'[1]资源-钻石'!M33</f>
        <v>77224.964883952984</v>
      </c>
      <c r="E33" s="14">
        <f>'[1]资源-钻石'!N33</f>
        <v>101868.50891755569</v>
      </c>
      <c r="F33" s="14">
        <f>'[1]资源-钻石'!O33</f>
        <v>192673.35317579008</v>
      </c>
      <c r="G33" s="14">
        <f>'[1]资源-钻石'!P33</f>
        <v>284936.6431252308</v>
      </c>
      <c r="I33" s="14">
        <v>30</v>
      </c>
      <c r="J33" s="14">
        <f>'[1]资源-钻石'!T33</f>
        <v>196663.61286678724</v>
      </c>
      <c r="K33" s="14">
        <f>'[1]资源-钻石'!U33</f>
        <v>269307.76347360696</v>
      </c>
      <c r="L33" s="14">
        <f>'[1]资源-钻石'!V33</f>
        <v>436498.61926985084</v>
      </c>
      <c r="M33" s="14">
        <f>'[1]资源-钻石'!W33</f>
        <v>1111368.2906063378</v>
      </c>
      <c r="N33" s="14">
        <f>'[1]资源-钻石'!X33</f>
        <v>2603895.6752189337</v>
      </c>
      <c r="P33" s="14">
        <v>30</v>
      </c>
      <c r="Q33" s="14">
        <f>'[1]功能-行军令'!N33</f>
        <v>322</v>
      </c>
      <c r="R33" s="14">
        <f>'[1]功能-行军令'!O33</f>
        <v>408.87419999999997</v>
      </c>
      <c r="S33" s="14">
        <f>'[1]功能-行军令'!P33</f>
        <v>458.83110000000005</v>
      </c>
      <c r="T33" s="14">
        <f>'[1]功能-行军令'!Q33</f>
        <v>385.51869999999997</v>
      </c>
      <c r="U33" s="14">
        <f>'[1]功能-行军令'!R33</f>
        <v>216.37209999999999</v>
      </c>
      <c r="V33" s="14">
        <f>'[1]功能-行军令'!S33</f>
        <v>24.643859114454926</v>
      </c>
      <c r="W33" s="14">
        <f>'[1]功能-行军令'!T33</f>
        <v>31.509217998053202</v>
      </c>
      <c r="X33" s="14">
        <f>'[1]功能-行军令'!U33</f>
        <v>35.586651164986563</v>
      </c>
      <c r="Y33" s="14">
        <f>'[1]功能-行军令'!V33</f>
        <v>29.838091358934946</v>
      </c>
      <c r="Z33" s="14">
        <f>'[1]功能-行军令'!W33</f>
        <v>16.892672166111794</v>
      </c>
      <c r="AC33" s="14">
        <v>30</v>
      </c>
      <c r="AD33" s="14">
        <v>556056</v>
      </c>
      <c r="AE33" s="14">
        <v>583032</v>
      </c>
      <c r="AF33" s="14">
        <v>626334</v>
      </c>
      <c r="AG33" s="14">
        <v>695784</v>
      </c>
      <c r="AH33" s="14">
        <v>753228</v>
      </c>
      <c r="AK33" s="14">
        <v>30</v>
      </c>
      <c r="AL33" s="14">
        <f>'[1]功能-付费相关'!AH35</f>
        <v>1.3552321991353306E-2</v>
      </c>
      <c r="AM33" s="14">
        <f>'[1]功能-付费相关'!AI35</f>
        <v>1.3552321991353306E-2</v>
      </c>
      <c r="AN33" s="14">
        <f>'[1]功能-付费相关'!AJ35</f>
        <v>1.3552321991353306E-2</v>
      </c>
      <c r="AO33" s="14">
        <f>'[1]功能-付费相关'!AK35</f>
        <v>1.3552321991353306E-2</v>
      </c>
      <c r="AP33" s="14">
        <f>'[1]功能-付费相关'!AL35</f>
        <v>1.3552321991353306E-2</v>
      </c>
      <c r="AS33" s="14">
        <v>30</v>
      </c>
      <c r="AT33" s="14">
        <f>'[1]功能-城建'!GF33</f>
        <v>121504.94015561696</v>
      </c>
      <c r="AU33" s="14">
        <f>'[1]功能-城建'!GG33</f>
        <v>109081.50501777825</v>
      </c>
      <c r="AV33" s="14">
        <f>'[1]功能-城建'!GH33</f>
        <v>95028.090473535471</v>
      </c>
      <c r="AW33" s="14">
        <f>'[1]功能-城建'!GI33</f>
        <v>82790.152619151748</v>
      </c>
      <c r="AX33" s="14">
        <f>'[1]功能-城建'!GJ33</f>
        <v>49971.788879531377</v>
      </c>
    </row>
    <row r="34" spans="2:50" x14ac:dyDescent="0.15">
      <c r="B34" s="14">
        <v>31</v>
      </c>
      <c r="C34" s="14">
        <f>'[1]资源-钻石'!L34</f>
        <v>68946.837990134227</v>
      </c>
      <c r="D34" s="14">
        <f>'[1]资源-钻石'!M34</f>
        <v>82977.001107809148</v>
      </c>
      <c r="E34" s="14">
        <f>'[1]资源-钻石'!N34</f>
        <v>109247.66551910572</v>
      </c>
      <c r="F34" s="14">
        <f>'[1]资源-钻石'!O34</f>
        <v>205710.89057429146</v>
      </c>
      <c r="G34" s="14">
        <f>'[1]资源-钻石'!P34</f>
        <v>302074.48782038403</v>
      </c>
      <c r="I34" s="14">
        <v>31</v>
      </c>
      <c r="J34" s="14">
        <f>'[1]资源-钻石'!T34</f>
        <v>202464.08410567214</v>
      </c>
      <c r="K34" s="14">
        <f>'[1]资源-钻石'!U34</f>
        <v>277325.31364888867</v>
      </c>
      <c r="L34" s="14">
        <f>'[1]资源-钻石'!V34</f>
        <v>449825.11207035818</v>
      </c>
      <c r="M34" s="14">
        <f>'[1]资源-钻石'!W34</f>
        <v>1145354.6959446499</v>
      </c>
      <c r="N34" s="14">
        <f>'[1]资源-钻石'!X34</f>
        <v>2685591.9040212682</v>
      </c>
      <c r="P34" s="14">
        <v>31</v>
      </c>
      <c r="Q34" s="14">
        <f>'[1]功能-行军令'!N34</f>
        <v>348.41263421335577</v>
      </c>
      <c r="R34" s="14">
        <f>'[1]功能-行军令'!O34</f>
        <v>442.97106572009051</v>
      </c>
      <c r="S34" s="14">
        <f>'[1]功能-行军令'!P34</f>
        <v>497.15680452796772</v>
      </c>
      <c r="T34" s="14">
        <f>'[1]功能-行军令'!Q34</f>
        <v>417.37561322449938</v>
      </c>
      <c r="U34" s="14">
        <f>'[1]功能-行军令'!R34</f>
        <v>234.66651300547557</v>
      </c>
      <c r="V34" s="14">
        <f>'[1]功能-行军令'!S34</f>
        <v>26.412634213355773</v>
      </c>
      <c r="W34" s="14">
        <f>'[1]功能-行军令'!T34</f>
        <v>34.096865720090534</v>
      </c>
      <c r="X34" s="14">
        <f>'[1]功能-行军令'!U34</f>
        <v>38.325704527967673</v>
      </c>
      <c r="Y34" s="14">
        <f>'[1]功能-行军令'!V34</f>
        <v>31.856913224499408</v>
      </c>
      <c r="Z34" s="14">
        <f>'[1]功能-行军令'!W34</f>
        <v>18.294413005475576</v>
      </c>
      <c r="AC34" s="14">
        <v>31</v>
      </c>
      <c r="AD34" s="14">
        <v>591696</v>
      </c>
      <c r="AE34" s="14">
        <v>623130</v>
      </c>
      <c r="AF34" s="14">
        <v>674964</v>
      </c>
      <c r="AG34" s="14">
        <v>754374</v>
      </c>
      <c r="AH34" s="14">
        <v>817290</v>
      </c>
      <c r="AK34" s="14">
        <v>31</v>
      </c>
      <c r="AL34" s="14">
        <f>'[1]功能-付费相关'!AH36</f>
        <v>1.3151790345720039E-2</v>
      </c>
      <c r="AM34" s="14">
        <f>'[1]功能-付费相关'!AI36</f>
        <v>1.3151790345720039E-2</v>
      </c>
      <c r="AN34" s="14">
        <f>'[1]功能-付费相关'!AJ36</f>
        <v>1.3151790345720039E-2</v>
      </c>
      <c r="AO34" s="14">
        <f>'[1]功能-付费相关'!AK36</f>
        <v>1.3151790345720039E-2</v>
      </c>
      <c r="AP34" s="14">
        <f>'[1]功能-付费相关'!AL36</f>
        <v>1.3151790345720039E-2</v>
      </c>
      <c r="AS34" s="14">
        <v>31</v>
      </c>
      <c r="AT34" s="14">
        <f>'[1]功能-城建'!GF34</f>
        <v>132375.52449578978</v>
      </c>
      <c r="AU34" s="14">
        <f>'[1]功能-城建'!GG34</f>
        <v>123664.75179077627</v>
      </c>
      <c r="AV34" s="14">
        <f>'[1]功能-城建'!GH34</f>
        <v>111960.76262053638</v>
      </c>
      <c r="AW34" s="14">
        <f>'[1]功能-城建'!GI34</f>
        <v>93529.422903773026</v>
      </c>
      <c r="AX34" s="14">
        <f>'[1]功能-城建'!GJ34</f>
        <v>65220.470442821679</v>
      </c>
    </row>
    <row r="35" spans="2:50" x14ac:dyDescent="0.15">
      <c r="B35" s="14">
        <v>32</v>
      </c>
      <c r="C35" s="14">
        <f>'[1]资源-钻石'!L35</f>
        <v>72448.146161420067</v>
      </c>
      <c r="D35" s="14">
        <f>'[1]资源-钻石'!M35</f>
        <v>88592.612648810507</v>
      </c>
      <c r="E35" s="14">
        <f>'[1]资源-钻石'!N35</f>
        <v>117010.65127352798</v>
      </c>
      <c r="F35" s="14">
        <f>'[1]资源-钻石'!O35</f>
        <v>219761.91033099376</v>
      </c>
      <c r="G35" s="14">
        <f>'[1]资源-钻石'!P35</f>
        <v>320093.68795940961</v>
      </c>
      <c r="I35" s="14">
        <v>32</v>
      </c>
      <c r="J35" s="14">
        <f>'[1]资源-钻石'!T35</f>
        <v>208391.51725776092</v>
      </c>
      <c r="K35" s="14">
        <f>'[1]资源-钻石'!U35</f>
        <v>285510.66898353701</v>
      </c>
      <c r="L35" s="14">
        <f>'[1]资源-钻石'!V35</f>
        <v>463203.73588189075</v>
      </c>
      <c r="M35" s="14">
        <f>'[1]资源-钻石'!W35</f>
        <v>1180194.1094700799</v>
      </c>
      <c r="N35" s="14">
        <f>'[1]资源-钻石'!X35</f>
        <v>2767356.0204170877</v>
      </c>
      <c r="P35" s="14">
        <v>32</v>
      </c>
      <c r="Q35" s="14">
        <f>'[1]功能-行军令'!N35</f>
        <v>376.72099463890885</v>
      </c>
      <c r="R35" s="14">
        <f>'[1]功能-行军令'!O35</f>
        <v>479.18173455253606</v>
      </c>
      <c r="S35" s="14">
        <f>'[1]功能-行军令'!P35</f>
        <v>537.4760326381712</v>
      </c>
      <c r="T35" s="14">
        <f>'[1]功能-行军令'!Q35</f>
        <v>451.70894653915161</v>
      </c>
      <c r="U35" s="14">
        <f>'[1]功能-行军令'!R35</f>
        <v>253.90176079978457</v>
      </c>
      <c r="V35" s="14">
        <f>'[1]功能-行军令'!S35</f>
        <v>28.308360425553076</v>
      </c>
      <c r="W35" s="14">
        <f>'[1]功能-行军令'!T35</f>
        <v>36.210668832445549</v>
      </c>
      <c r="X35" s="14">
        <f>'[1]功能-行军令'!U35</f>
        <v>40.319228110203483</v>
      </c>
      <c r="Y35" s="14">
        <f>'[1]功能-行军令'!V35</f>
        <v>34.333333314652236</v>
      </c>
      <c r="Z35" s="14">
        <f>'[1]功能-行军令'!W35</f>
        <v>19.235247794309004</v>
      </c>
      <c r="AC35" s="14">
        <v>32</v>
      </c>
      <c r="AD35" s="14">
        <v>628506</v>
      </c>
      <c r="AE35" s="14">
        <v>665118</v>
      </c>
      <c r="AF35" s="14">
        <v>725868</v>
      </c>
      <c r="AG35" s="14">
        <v>816108</v>
      </c>
      <c r="AH35" s="14">
        <v>885180</v>
      </c>
      <c r="AK35" s="14">
        <v>32</v>
      </c>
      <c r="AL35" s="14">
        <f>'[1]功能-付费相关'!AH37</f>
        <v>1.2763096199170399E-2</v>
      </c>
      <c r="AM35" s="14">
        <f>'[1]功能-付费相关'!AI37</f>
        <v>1.2763096199170399E-2</v>
      </c>
      <c r="AN35" s="14">
        <f>'[1]功能-付费相关'!AJ37</f>
        <v>1.2763096199170399E-2</v>
      </c>
      <c r="AO35" s="14">
        <f>'[1]功能-付费相关'!AK37</f>
        <v>1.2763096199170399E-2</v>
      </c>
      <c r="AP35" s="14">
        <f>'[1]功能-付费相关'!AL37</f>
        <v>1.2763096199170399E-2</v>
      </c>
      <c r="AS35" s="14">
        <v>32</v>
      </c>
      <c r="AT35" s="14">
        <f>'[1]功能-城建'!GF35</f>
        <v>149541.99094368238</v>
      </c>
      <c r="AU35" s="14">
        <f>'[1]功能-城建'!GG35</f>
        <v>136292.36772156181</v>
      </c>
      <c r="AV35" s="14">
        <f>'[1]功能-城建'!GH35</f>
        <v>133983.89648929145</v>
      </c>
      <c r="AW35" s="14">
        <f>'[1]功能-城建'!GI35</f>
        <v>113483.65003113518</v>
      </c>
      <c r="AX35" s="14">
        <f>'[1]功能-城建'!GJ35</f>
        <v>68574.592136604595</v>
      </c>
    </row>
    <row r="36" spans="2:50" x14ac:dyDescent="0.15">
      <c r="B36" s="14">
        <v>33</v>
      </c>
      <c r="C36" s="14">
        <f>'[1]资源-钻石'!L36</f>
        <v>76200.755343565717</v>
      </c>
      <c r="D36" s="14">
        <f>'[1]资源-钻石'!M36</f>
        <v>93105.924956101415</v>
      </c>
      <c r="E36" s="14">
        <f>'[1]资源-钻石'!N36</f>
        <v>125127.9725742256</v>
      </c>
      <c r="F36" s="14">
        <f>'[1]资源-钻石'!O36</f>
        <v>234538.41940298415</v>
      </c>
      <c r="G36" s="14">
        <f>'[1]资源-钻石'!P36</f>
        <v>339164.14952323883</v>
      </c>
      <c r="I36" s="14">
        <v>33</v>
      </c>
      <c r="J36" s="14">
        <f>'[1]资源-钻石'!T36</f>
        <v>214318.9504098497</v>
      </c>
      <c r="K36" s="14">
        <f>'[1]资源-钻石'!U36</f>
        <v>293710.84545083466</v>
      </c>
      <c r="L36" s="14">
        <f>'[1]资源-钻石'!V36</f>
        <v>476675.92999591812</v>
      </c>
      <c r="M36" s="14">
        <f>'[1]资源-钻石'!W36</f>
        <v>1215033.5229955099</v>
      </c>
      <c r="N36" s="14">
        <f>'[1]资源-钻石'!X36</f>
        <v>2849534.3752950612</v>
      </c>
      <c r="P36" s="14">
        <v>33</v>
      </c>
      <c r="Q36" s="14">
        <f>'[1]功能-行军令'!N36</f>
        <v>407.06114411092915</v>
      </c>
      <c r="R36" s="14">
        <f>'[1]功能-行军令'!O36</f>
        <v>516.70660293933065</v>
      </c>
      <c r="S36" s="14">
        <f>'[1]功能-行军令'!P36</f>
        <v>579.63560107228818</v>
      </c>
      <c r="T36" s="14">
        <f>'[1]功能-行军令'!Q36</f>
        <v>487.81499577829209</v>
      </c>
      <c r="U36" s="14">
        <f>'[1]功能-行军令'!R36</f>
        <v>274.25921567579985</v>
      </c>
      <c r="V36" s="14">
        <f>'[1]功能-行军令'!S36</f>
        <v>30.3401494720203</v>
      </c>
      <c r="W36" s="14">
        <f>'[1]功能-行军令'!T36</f>
        <v>37.524868386794594</v>
      </c>
      <c r="X36" s="14">
        <f>'[1]功能-行军令'!U36</f>
        <v>42.159568434116977</v>
      </c>
      <c r="Y36" s="14">
        <f>'[1]功能-行军令'!V36</f>
        <v>36.106049239140475</v>
      </c>
      <c r="Z36" s="14">
        <f>'[1]功能-行军令'!W36</f>
        <v>20.357454876015282</v>
      </c>
      <c r="AC36" s="14">
        <v>33</v>
      </c>
      <c r="AD36" s="14">
        <v>667008</v>
      </c>
      <c r="AE36" s="14">
        <v>708552</v>
      </c>
      <c r="AF36" s="14">
        <v>779322</v>
      </c>
      <c r="AG36" s="14">
        <v>881070</v>
      </c>
      <c r="AH36" s="14">
        <v>956034</v>
      </c>
      <c r="AK36" s="14">
        <v>33</v>
      </c>
      <c r="AL36" s="14">
        <f>'[1]功能-付费相关'!AH38</f>
        <v>1.2385889700734858E-2</v>
      </c>
      <c r="AM36" s="14">
        <f>'[1]功能-付费相关'!AI38</f>
        <v>1.2385889700734858E-2</v>
      </c>
      <c r="AN36" s="14">
        <f>'[1]功能-付费相关'!AJ38</f>
        <v>1.2385889700734858E-2</v>
      </c>
      <c r="AO36" s="14">
        <f>'[1]功能-付费相关'!AK38</f>
        <v>1.2385889700734858E-2</v>
      </c>
      <c r="AP36" s="14">
        <f>'[1]功能-付费相关'!AL38</f>
        <v>1.2385889700734858E-2</v>
      </c>
      <c r="AS36" s="14">
        <v>33</v>
      </c>
      <c r="AT36" s="14">
        <f>'[1]功能-城建'!GF36</f>
        <v>161082.89322142233</v>
      </c>
      <c r="AU36" s="14">
        <f>'[1]功能-城建'!GG36</f>
        <v>169365.97313681617</v>
      </c>
      <c r="AV36" s="14">
        <f>'[1]功能-城建'!GH36</f>
        <v>145603.56024578703</v>
      </c>
      <c r="AW36" s="14">
        <f>'[1]功能-城建'!GI36</f>
        <v>128719.8182583726</v>
      </c>
      <c r="AX36" s="14">
        <f>'[1]功能-城建'!GJ36</f>
        <v>77179.627820417052</v>
      </c>
    </row>
    <row r="37" spans="2:50" x14ac:dyDescent="0.15">
      <c r="B37" s="14">
        <v>34</v>
      </c>
      <c r="C37" s="14">
        <f>'[1]资源-钻石'!L37</f>
        <v>80222.702280259429</v>
      </c>
      <c r="D37" s="14">
        <f>'[1]资源-钻石'!M37</f>
        <v>98093.593024921094</v>
      </c>
      <c r="E37" s="14">
        <f>'[1]资源-钻石'!N37</f>
        <v>134277.60959034087</v>
      </c>
      <c r="F37" s="14">
        <f>'[1]资源-钻石'!O37</f>
        <v>251090.71369793112</v>
      </c>
      <c r="G37" s="14">
        <f>'[1]资源-钻石'!P37</f>
        <v>360241.28502284456</v>
      </c>
      <c r="I37" s="14">
        <v>34</v>
      </c>
      <c r="J37" s="14">
        <f>'[1]资源-钻石'!T37</f>
        <v>220246.38356193848</v>
      </c>
      <c r="K37" s="14">
        <f>'[1]资源-钻石'!U37</f>
        <v>301911.02191813232</v>
      </c>
      <c r="L37" s="14">
        <f>'[1]资源-钻石'!V37</f>
        <v>490148.12410994555</v>
      </c>
      <c r="M37" s="14">
        <f>'[1]资源-钻石'!W37</f>
        <v>1249872.9365209402</v>
      </c>
      <c r="N37" s="14">
        <f>'[1]资源-钻石'!X37</f>
        <v>2931712.7301730346</v>
      </c>
      <c r="P37" s="14">
        <v>34</v>
      </c>
      <c r="Q37" s="14">
        <f>'[1]功能-行军令'!N37</f>
        <v>439.57891116442499</v>
      </c>
      <c r="R37" s="14">
        <f>'[1]功能-行军令'!O37</f>
        <v>558.17539018392961</v>
      </c>
      <c r="S37" s="14">
        <f>'[1]功能-行军令'!P37</f>
        <v>627.15678862157131</v>
      </c>
      <c r="T37" s="14">
        <f>'[1]功能-行军令'!Q37</f>
        <v>528.26013406653317</v>
      </c>
      <c r="U37" s="14">
        <f>'[1]功能-行军令'!R37</f>
        <v>296.75876732077467</v>
      </c>
      <c r="V37" s="14">
        <f>'[1]功能-行军令'!S37</f>
        <v>32.517767053495845</v>
      </c>
      <c r="W37" s="14">
        <f>'[1]功能-行军令'!T37</f>
        <v>41.468787244598957</v>
      </c>
      <c r="X37" s="14">
        <f>'[1]功能-行军令'!U37</f>
        <v>47.521187549283127</v>
      </c>
      <c r="Y37" s="14">
        <f>'[1]功能-行军令'!V37</f>
        <v>40.445138288241083</v>
      </c>
      <c r="Z37" s="14">
        <f>'[1]功能-行军令'!W37</f>
        <v>22.499551644974815</v>
      </c>
      <c r="AC37" s="14">
        <v>34</v>
      </c>
      <c r="AD37" s="14">
        <v>706812</v>
      </c>
      <c r="AE37" s="14">
        <v>754236</v>
      </c>
      <c r="AF37" s="14">
        <v>835308</v>
      </c>
      <c r="AG37" s="14">
        <v>944994</v>
      </c>
      <c r="AH37" s="14">
        <v>1021758</v>
      </c>
      <c r="AK37" s="14">
        <v>34</v>
      </c>
      <c r="AL37" s="14">
        <f>'[1]功能-付费相关'!AH39</f>
        <v>1.201983133910261E-2</v>
      </c>
      <c r="AM37" s="14">
        <f>'[1]功能-付费相关'!AI39</f>
        <v>1.201983133910261E-2</v>
      </c>
      <c r="AN37" s="14">
        <f>'[1]功能-付费相关'!AJ39</f>
        <v>1.201983133910261E-2</v>
      </c>
      <c r="AO37" s="14">
        <f>'[1]功能-付费相关'!AK39</f>
        <v>1.201983133910261E-2</v>
      </c>
      <c r="AP37" s="14">
        <f>'[1]功能-付费相关'!AL39</f>
        <v>1.201983133910261E-2</v>
      </c>
      <c r="AS37" s="14">
        <v>34</v>
      </c>
      <c r="AT37" s="14">
        <f>'[1]功能-城建'!GF37</f>
        <v>213768.97297776397</v>
      </c>
      <c r="AU37" s="14">
        <f>'[1]功能-城建'!GG37</f>
        <v>187166.58601144352</v>
      </c>
      <c r="AV37" s="14">
        <f>'[1]功能-城建'!GH37</f>
        <v>191755.82492414</v>
      </c>
      <c r="AW37" s="14">
        <f>'[1]功能-城建'!GI37</f>
        <v>148441.10832930822</v>
      </c>
      <c r="AX37" s="14">
        <f>'[1]功能-城建'!GJ37</f>
        <v>85716.738499884726</v>
      </c>
    </row>
    <row r="38" spans="2:50" x14ac:dyDescent="0.15">
      <c r="B38" s="14">
        <v>35</v>
      </c>
      <c r="C38" s="14">
        <f>'[1]资源-钻石'!L38</f>
        <v>84533.318274736914</v>
      </c>
      <c r="D38" s="14">
        <f>'[1]资源-钻石'!M38</f>
        <v>103524.36085513508</v>
      </c>
      <c r="E38" s="14">
        <f>'[1]资源-钻石'!N38</f>
        <v>142372.9729246567</v>
      </c>
      <c r="F38" s="14">
        <f>'[1]资源-钻石'!O38</f>
        <v>268448.71290335787</v>
      </c>
      <c r="G38" s="14">
        <f>'[1]资源-钻石'!P38</f>
        <v>382381.64063262125</v>
      </c>
      <c r="I38" s="14">
        <v>35</v>
      </c>
      <c r="J38" s="14">
        <f>'[1]资源-钻石'!T38</f>
        <v>226173.81671402726</v>
      </c>
      <c r="K38" s="14">
        <f>'[1]资源-钻石'!U38</f>
        <v>310111.19838542998</v>
      </c>
      <c r="L38" s="14">
        <f>'[1]资源-钻石'!V38</f>
        <v>503620.31822397298</v>
      </c>
      <c r="M38" s="14">
        <f>'[1]资源-钻石'!W38</f>
        <v>1284712.3500463704</v>
      </c>
      <c r="N38" s="14">
        <f>'[1]资源-钻石'!X38</f>
        <v>3013891.0850510076</v>
      </c>
      <c r="P38" s="14">
        <v>35</v>
      </c>
      <c r="Q38" s="14">
        <f>'[1]功能-行军令'!N38</f>
        <v>474.43059095329892</v>
      </c>
      <c r="R38" s="14">
        <f>'[1]功能-行军令'!O38</f>
        <v>603.32822566106074</v>
      </c>
      <c r="S38" s="14">
        <f>'[1]功能-行军令'!P38</f>
        <v>678.38211377902269</v>
      </c>
      <c r="T38" s="14">
        <f>'[1]功能-行军令'!Q38</f>
        <v>570.67399318242508</v>
      </c>
      <c r="U38" s="14">
        <f>'[1]功能-行军令'!R38</f>
        <v>320.39329177926174</v>
      </c>
      <c r="V38" s="14">
        <f>'[1]功能-行军令'!S38</f>
        <v>34.851679788873923</v>
      </c>
      <c r="W38" s="14">
        <f>'[1]功能-行军令'!T38</f>
        <v>45.152835477131134</v>
      </c>
      <c r="X38" s="14">
        <f>'[1]功能-行军令'!U38</f>
        <v>51.22532515745138</v>
      </c>
      <c r="Y38" s="14">
        <f>'[1]功能-行军令'!V38</f>
        <v>42.41385911589191</v>
      </c>
      <c r="Z38" s="14">
        <f>'[1]功能-行军令'!W38</f>
        <v>23.634524458487078</v>
      </c>
      <c r="AC38" s="14">
        <v>35</v>
      </c>
      <c r="AD38" s="14">
        <v>752040</v>
      </c>
      <c r="AE38" s="14">
        <v>803034</v>
      </c>
      <c r="AF38" s="14">
        <v>886218</v>
      </c>
      <c r="AG38" s="14">
        <v>1001940</v>
      </c>
      <c r="AH38" s="14">
        <v>1083246</v>
      </c>
      <c r="AK38" s="14">
        <v>35</v>
      </c>
      <c r="AL38" s="14">
        <f>'[1]功能-付费相关'!AH40</f>
        <v>1.1664591637038512E-2</v>
      </c>
      <c r="AM38" s="14">
        <f>'[1]功能-付费相关'!AI40</f>
        <v>1.1664591637038512E-2</v>
      </c>
      <c r="AN38" s="14">
        <f>'[1]功能-付费相关'!AJ40</f>
        <v>1.1664591637038512E-2</v>
      </c>
      <c r="AO38" s="14">
        <f>'[1]功能-付费相关'!AK40</f>
        <v>1.1664591637038512E-2</v>
      </c>
      <c r="AP38" s="14">
        <f>'[1]功能-付费相关'!AL40</f>
        <v>1.1664591637038512E-2</v>
      </c>
      <c r="AS38" s="14">
        <v>35</v>
      </c>
      <c r="AT38" s="14">
        <f>'[1]功能-城建'!GF38</f>
        <v>229111.91235120595</v>
      </c>
      <c r="AU38" s="14">
        <f>'[1]功能-城建'!GG38</f>
        <v>244315.16018308024</v>
      </c>
      <c r="AV38" s="14">
        <f>'[1]功能-城建'!GH38</f>
        <v>207074.29302250058</v>
      </c>
      <c r="AW38" s="14">
        <f>'[1]功能-城建'!GI38</f>
        <v>161584.44968034979</v>
      </c>
      <c r="AX38" s="14">
        <f>'[1]功能-城建'!GJ38</f>
        <v>94537.090339256334</v>
      </c>
    </row>
    <row r="39" spans="2:50" x14ac:dyDescent="0.15">
      <c r="B39" s="14">
        <v>36</v>
      </c>
      <c r="C39" s="14">
        <f>'[1]资源-钻石'!L39</f>
        <v>89153.322104802355</v>
      </c>
      <c r="D39" s="14">
        <f>'[1]资源-钻石'!M39</f>
        <v>109336.24112426533</v>
      </c>
      <c r="E39" s="14">
        <f>'[1]资源-钻石'!N39</f>
        <v>150360.18774897605</v>
      </c>
      <c r="F39" s="14">
        <f>'[1]资源-钻石'!O39</f>
        <v>286555.30116916471</v>
      </c>
      <c r="G39" s="14">
        <f>'[1]资源-钻石'!P39</f>
        <v>404402.00785357563</v>
      </c>
      <c r="I39" s="14">
        <v>36</v>
      </c>
      <c r="J39" s="14">
        <f>'[1]资源-钻石'!T39</f>
        <v>232101.24986611604</v>
      </c>
      <c r="K39" s="14">
        <f>'[1]资源-钻石'!U39</f>
        <v>318311.37485272769</v>
      </c>
      <c r="L39" s="14">
        <f>'[1]资源-钻石'!V39</f>
        <v>517092.51233800041</v>
      </c>
      <c r="M39" s="14">
        <f>'[1]资源-钻石'!W39</f>
        <v>1319551.7635718007</v>
      </c>
      <c r="N39" s="14">
        <f>'[1]资源-钻石'!X39</f>
        <v>3096069.439928981</v>
      </c>
      <c r="P39" s="14">
        <v>36</v>
      </c>
      <c r="Q39" s="14">
        <f>'[1]功能-行军令'!N39</f>
        <v>511.78369647582645</v>
      </c>
      <c r="R39" s="14">
        <f>'[1]功能-行军令'!O39</f>
        <v>651.64973042965698</v>
      </c>
      <c r="S39" s="14">
        <f>'[1]功能-行军令'!P39</f>
        <v>731.69158798522301</v>
      </c>
      <c r="T39" s="14">
        <f>'[1]功能-行军令'!Q39</f>
        <v>614.91701190173114</v>
      </c>
      <c r="U39" s="14">
        <f>'[1]功能-行军令'!R39</f>
        <v>343.89973028645079</v>
      </c>
      <c r="V39" s="14">
        <f>'[1]功能-行军令'!S39</f>
        <v>37.353105522527528</v>
      </c>
      <c r="W39" s="14">
        <f>'[1]功能-行军令'!T39</f>
        <v>48.321504768596242</v>
      </c>
      <c r="X39" s="14">
        <f>'[1]功能-行军令'!U39</f>
        <v>53.309474206200321</v>
      </c>
      <c r="Y39" s="14">
        <f>'[1]功能-行军令'!V39</f>
        <v>44.243018719306065</v>
      </c>
      <c r="Z39" s="14">
        <f>'[1]功能-行军令'!W39</f>
        <v>23.506438507189046</v>
      </c>
      <c r="AC39" s="14">
        <v>36</v>
      </c>
      <c r="AD39" s="14">
        <v>804312</v>
      </c>
      <c r="AE39" s="14">
        <v>854748</v>
      </c>
      <c r="AF39" s="14">
        <v>936318</v>
      </c>
      <c r="AG39" s="14">
        <v>1060956</v>
      </c>
      <c r="AH39" s="14">
        <v>1146486</v>
      </c>
      <c r="AK39" s="14">
        <v>36</v>
      </c>
      <c r="AL39" s="14">
        <f>'[1]功能-付费相关'!AH41</f>
        <v>1.1319850854831304E-2</v>
      </c>
      <c r="AM39" s="14">
        <f>'[1]功能-付费相关'!AI41</f>
        <v>1.1319850854831304E-2</v>
      </c>
      <c r="AN39" s="14">
        <f>'[1]功能-付费相关'!AJ41</f>
        <v>1.1319850854831304E-2</v>
      </c>
      <c r="AO39" s="14">
        <f>'[1]功能-付费相关'!AK41</f>
        <v>1.1319850854831304E-2</v>
      </c>
      <c r="AP39" s="14">
        <f>'[1]功能-付费相关'!AL41</f>
        <v>1.1319850854831304E-2</v>
      </c>
      <c r="AS39" s="14">
        <v>36</v>
      </c>
      <c r="AT39" s="14">
        <f>'[1]功能-城建'!GF39</f>
        <v>287757.81294812541</v>
      </c>
      <c r="AU39" s="14">
        <f>'[1]功能-城建'!GG39</f>
        <v>264830.69479147065</v>
      </c>
      <c r="AV39" s="14">
        <f>'[1]功能-城建'!GH39</f>
        <v>229875.13932431862</v>
      </c>
      <c r="AW39" s="14">
        <f>'[1]功能-城建'!GI39</f>
        <v>171216.63256864692</v>
      </c>
      <c r="AX39" s="14">
        <f>'[1]功能-城建'!GJ39</f>
        <v>95303.773986428743</v>
      </c>
    </row>
    <row r="40" spans="2:50" x14ac:dyDescent="0.15">
      <c r="B40" s="14">
        <v>37</v>
      </c>
      <c r="C40" s="14">
        <f>'[1]资源-钻石'!L40</f>
        <v>94104.919606682539</v>
      </c>
      <c r="D40" s="14">
        <f>'[1]资源-钻石'!M40</f>
        <v>115438.27391491983</v>
      </c>
      <c r="E40" s="14">
        <f>'[1]资源-钻石'!N40</f>
        <v>158903.03243934349</v>
      </c>
      <c r="F40" s="14">
        <f>'[1]资源-钻石'!O40</f>
        <v>305381.39836842776</v>
      </c>
      <c r="G40" s="14">
        <f>'[1]资源-钻石'!P40</f>
        <v>429602.7207360816</v>
      </c>
      <c r="I40" s="14">
        <v>37</v>
      </c>
      <c r="J40" s="14">
        <f>'[1]资源-钻石'!T40</f>
        <v>238028.68301820479</v>
      </c>
      <c r="K40" s="14">
        <f>'[1]资源-钻石'!U40</f>
        <v>326511.55132002529</v>
      </c>
      <c r="L40" s="14">
        <f>'[1]资源-钻石'!V40</f>
        <v>530564.70645202789</v>
      </c>
      <c r="M40" s="14">
        <f>'[1]资源-钻石'!W40</f>
        <v>1354391.1770972307</v>
      </c>
      <c r="N40" s="14">
        <f>'[1]资源-钻石'!X40</f>
        <v>3178247.794806954</v>
      </c>
      <c r="P40" s="14">
        <v>37</v>
      </c>
      <c r="Q40" s="14">
        <f>'[1]功能-行军令'!N40</f>
        <v>551.81776371818933</v>
      </c>
      <c r="R40" s="14">
        <f>'[1]功能-行军令'!O40</f>
        <v>702.3836397563656</v>
      </c>
      <c r="S40" s="14">
        <f>'[1]功能-行军令'!P40</f>
        <v>788.70953087090561</v>
      </c>
      <c r="T40" s="14">
        <f>'[1]功能-行军令'!Q40</f>
        <v>660.91813362444623</v>
      </c>
      <c r="U40" s="14">
        <f>'[1]功能-行军令'!R40</f>
        <v>370.80114395344231</v>
      </c>
      <c r="V40" s="14">
        <f>'[1]功能-行军令'!S40</f>
        <v>40.03406724236288</v>
      </c>
      <c r="W40" s="14">
        <f>'[1]功能-行军令'!T40</f>
        <v>50.733909326708613</v>
      </c>
      <c r="X40" s="14">
        <f>'[1]功能-行军令'!U40</f>
        <v>57.017942885682601</v>
      </c>
      <c r="Y40" s="14">
        <f>'[1]功能-行军令'!V40</f>
        <v>46.001121722715084</v>
      </c>
      <c r="Z40" s="14">
        <f>'[1]功能-行军令'!W40</f>
        <v>26.901413666991516</v>
      </c>
      <c r="AC40" s="14">
        <v>37</v>
      </c>
      <c r="AD40" s="14">
        <v>858912</v>
      </c>
      <c r="AE40" s="14">
        <v>908160</v>
      </c>
      <c r="AF40" s="14">
        <v>988356</v>
      </c>
      <c r="AG40" s="14">
        <v>1121298</v>
      </c>
      <c r="AH40" s="14">
        <v>1212690</v>
      </c>
      <c r="AK40" s="14">
        <v>37</v>
      </c>
      <c r="AL40" s="14">
        <f>'[1]功能-付费相关'!AH42</f>
        <v>1.0985298702506304E-2</v>
      </c>
      <c r="AM40" s="14">
        <f>'[1]功能-付费相关'!AI42</f>
        <v>1.0985298702506304E-2</v>
      </c>
      <c r="AN40" s="14">
        <f>'[1]功能-付费相关'!AJ42</f>
        <v>1.0985298702506304E-2</v>
      </c>
      <c r="AO40" s="14">
        <f>'[1]功能-付费相关'!AK42</f>
        <v>1.0985298702506304E-2</v>
      </c>
      <c r="AP40" s="14">
        <f>'[1]功能-付费相关'!AL42</f>
        <v>1.0985298702506304E-2</v>
      </c>
      <c r="AS40" s="14">
        <v>37</v>
      </c>
      <c r="AT40" s="14">
        <f>'[1]功能-城建'!GF40</f>
        <v>319576.29329120927</v>
      </c>
      <c r="AU40" s="14">
        <f>'[1]功能-城建'!GG40</f>
        <v>292248.22726310184</v>
      </c>
      <c r="AV40" s="14">
        <f>'[1]功能-城建'!GH40</f>
        <v>245866.38228947064</v>
      </c>
      <c r="AW40" s="14">
        <f>'[1]功能-城建'!GI40</f>
        <v>186505.51875151321</v>
      </c>
      <c r="AX40" s="14">
        <f>'[1]功能-城建'!GJ40</f>
        <v>112525.03662247653</v>
      </c>
    </row>
    <row r="41" spans="2:50" x14ac:dyDescent="0.15">
      <c r="B41" s="14">
        <v>38</v>
      </c>
      <c r="C41" s="14">
        <f>'[1]资源-钻石'!L41</f>
        <v>99411.910406358715</v>
      </c>
      <c r="D41" s="14">
        <f>'[1]资源-钻石'!M41</f>
        <v>121955.00500168031</v>
      </c>
      <c r="E41" s="14">
        <f>'[1]资源-钻石'!N41</f>
        <v>167791.87483036291</v>
      </c>
      <c r="F41" s="14">
        <f>'[1]资源-钻石'!O41</f>
        <v>325595.7216859844</v>
      </c>
      <c r="G41" s="14">
        <f>'[1]资源-钻石'!P41</f>
        <v>455738.94028841017</v>
      </c>
      <c r="I41" s="14">
        <v>38</v>
      </c>
      <c r="J41" s="14">
        <f>'[1]资源-钻石'!T41</f>
        <v>243956.11617029356</v>
      </c>
      <c r="K41" s="14">
        <f>'[1]资源-钻石'!U41</f>
        <v>334711.72778732295</v>
      </c>
      <c r="L41" s="14">
        <f>'[1]资源-钻石'!V41</f>
        <v>544036.90056605532</v>
      </c>
      <c r="M41" s="14">
        <f>'[1]资源-钻石'!W41</f>
        <v>1389230.5906226609</v>
      </c>
      <c r="N41" s="14">
        <f>'[1]资源-钻石'!X41</f>
        <v>3260426.149684927</v>
      </c>
      <c r="P41" s="14">
        <v>38</v>
      </c>
      <c r="Q41" s="14">
        <f>'[1]功能-行军令'!N41</f>
        <v>594.72521458594724</v>
      </c>
      <c r="R41" s="14">
        <f>'[1]功能-行军令'!O41</f>
        <v>756.5654600455988</v>
      </c>
      <c r="S41" s="14">
        <f>'[1]功能-行军令'!P41</f>
        <v>848.03678381072007</v>
      </c>
      <c r="T41" s="14">
        <f>'[1]功能-行军令'!Q41</f>
        <v>710.3113529216273</v>
      </c>
      <c r="U41" s="14">
        <f>'[1]功能-行军令'!R41</f>
        <v>398.70119809661651</v>
      </c>
      <c r="V41" s="14">
        <f>'[1]功能-行军令'!S41</f>
        <v>42.907450867757916</v>
      </c>
      <c r="W41" s="14">
        <f>'[1]功能-行军令'!T41</f>
        <v>54.181820289233201</v>
      </c>
      <c r="X41" s="14">
        <f>'[1]功能-行军令'!U41</f>
        <v>59.327252939814457</v>
      </c>
      <c r="Y41" s="14">
        <f>'[1]功能-行军令'!V41</f>
        <v>49.393219297181076</v>
      </c>
      <c r="Z41" s="14">
        <f>'[1]功能-行军令'!W41</f>
        <v>27.900054143174202</v>
      </c>
      <c r="AC41" s="14">
        <v>38</v>
      </c>
      <c r="AD41" s="14">
        <v>915660</v>
      </c>
      <c r="AE41" s="14">
        <v>963684</v>
      </c>
      <c r="AF41" s="14">
        <v>1041756</v>
      </c>
      <c r="AG41" s="14">
        <v>1184154</v>
      </c>
      <c r="AH41" s="14">
        <v>1281396</v>
      </c>
      <c r="AK41" s="14">
        <v>38</v>
      </c>
      <c r="AL41" s="14">
        <f>'[1]功能-付费相关'!AH43</f>
        <v>1.0660634060543463E-2</v>
      </c>
      <c r="AM41" s="14">
        <f>'[1]功能-付费相关'!AI43</f>
        <v>1.0660634060543463E-2</v>
      </c>
      <c r="AN41" s="14">
        <f>'[1]功能-付费相关'!AJ43</f>
        <v>1.0660634060543463E-2</v>
      </c>
      <c r="AO41" s="14">
        <f>'[1]功能-付费相关'!AK43</f>
        <v>1.0660634060543463E-2</v>
      </c>
      <c r="AP41" s="14">
        <f>'[1]功能-付费相关'!AL43</f>
        <v>1.0660634060543463E-2</v>
      </c>
      <c r="AS41" s="14">
        <v>38</v>
      </c>
      <c r="AT41" s="14">
        <f>'[1]功能-城建'!GF41</f>
        <v>355839.37752623064</v>
      </c>
      <c r="AU41" s="14">
        <f>'[1]功能-城建'!GG41</f>
        <v>317327.5564402258</v>
      </c>
      <c r="AV41" s="14">
        <f>'[1]功能-城建'!GH41</f>
        <v>268992.13882244751</v>
      </c>
      <c r="AW41" s="14">
        <f>'[1]功能-城建'!GI41</f>
        <v>200258.3337718721</v>
      </c>
      <c r="AX41" s="14">
        <f>'[1]功能-城建'!GJ41</f>
        <v>119943.14538444206</v>
      </c>
    </row>
    <row r="42" spans="2:50" x14ac:dyDescent="0.15">
      <c r="B42" s="14">
        <v>39</v>
      </c>
      <c r="C42" s="14">
        <f>'[1]资源-钻石'!L42</f>
        <v>105099.80231137591</v>
      </c>
      <c r="D42" s="14">
        <f>'[1]资源-钻石'!M42</f>
        <v>128845.35339229734</v>
      </c>
      <c r="E42" s="14">
        <f>'[1]资源-钻石'!N42</f>
        <v>177293.86486455292</v>
      </c>
      <c r="F42" s="14">
        <f>'[1]资源-钻石'!O42</f>
        <v>345268.16438133456</v>
      </c>
      <c r="G42" s="14">
        <f>'[1]资源-钻石'!P42</f>
        <v>484619.43485490943</v>
      </c>
      <c r="I42" s="14">
        <v>39</v>
      </c>
      <c r="J42" s="14">
        <f>'[1]资源-钻石'!T42</f>
        <v>249883.54932238234</v>
      </c>
      <c r="K42" s="14">
        <f>'[1]资源-钻石'!U42</f>
        <v>342911.9042546206</v>
      </c>
      <c r="L42" s="14">
        <f>'[1]资源-钻石'!V42</f>
        <v>557509.09468008275</v>
      </c>
      <c r="M42" s="14">
        <f>'[1]资源-钻石'!W42</f>
        <v>1424070.004148091</v>
      </c>
      <c r="N42" s="14">
        <f>'[1]资源-钻石'!X42</f>
        <v>3342604.5045629004</v>
      </c>
      <c r="P42" s="14">
        <v>39</v>
      </c>
      <c r="Q42" s="14">
        <f>'[1]功能-行军令'!N42</f>
        <v>640.71228177109015</v>
      </c>
      <c r="R42" s="14">
        <f>'[1]功能-行军令'!O42</f>
        <v>813.85363309743559</v>
      </c>
      <c r="S42" s="14">
        <f>'[1]功能-行军令'!P42</f>
        <v>911.45639925575597</v>
      </c>
      <c r="T42" s="14">
        <f>'[1]功能-行军令'!Q42</f>
        <v>764.23185972705107</v>
      </c>
      <c r="U42" s="14">
        <f>'[1]功能-行军令'!R42</f>
        <v>429.53072799376594</v>
      </c>
      <c r="V42" s="14">
        <f>'[1]功能-行军令'!S42</f>
        <v>45.987067185142905</v>
      </c>
      <c r="W42" s="14">
        <f>'[1]功能-行军令'!T42</f>
        <v>57.288173051836793</v>
      </c>
      <c r="X42" s="14">
        <f>'[1]功能-行军令'!U42</f>
        <v>63.419615445035902</v>
      </c>
      <c r="Y42" s="14">
        <f>'[1]功能-行军令'!V42</f>
        <v>53.92050680542377</v>
      </c>
      <c r="Z42" s="14">
        <f>'[1]功能-行军令'!W42</f>
        <v>30.829529897149428</v>
      </c>
      <c r="AC42" s="14">
        <v>39</v>
      </c>
      <c r="AD42" s="14">
        <v>974850</v>
      </c>
      <c r="AE42" s="14">
        <v>1021116</v>
      </c>
      <c r="AF42" s="14">
        <v>1097148</v>
      </c>
      <c r="AG42" s="14">
        <v>1249662</v>
      </c>
      <c r="AH42" s="14">
        <v>1353084</v>
      </c>
      <c r="AK42" s="14">
        <v>39</v>
      </c>
      <c r="AL42" s="14">
        <f>'[1]功能-付费相关'!AH44</f>
        <v>1.0345564708849501E-2</v>
      </c>
      <c r="AM42" s="14">
        <f>'[1]功能-付费相关'!AI44</f>
        <v>1.0345564708849501E-2</v>
      </c>
      <c r="AN42" s="14">
        <f>'[1]功能-付费相关'!AJ44</f>
        <v>1.0345564708849501E-2</v>
      </c>
      <c r="AO42" s="14">
        <f>'[1]功能-付费相关'!AK44</f>
        <v>1.0345564708849501E-2</v>
      </c>
      <c r="AP42" s="14">
        <f>'[1]功能-付费相关'!AL44</f>
        <v>1.0345564708849501E-2</v>
      </c>
      <c r="AS42" s="14">
        <v>39</v>
      </c>
      <c r="AT42" s="14">
        <f>'[1]功能-城建'!GF42</f>
        <v>392289.6774663059</v>
      </c>
      <c r="AU42" s="14">
        <f>'[1]功能-城建'!GG42</f>
        <v>346062.53032459691</v>
      </c>
      <c r="AV42" s="14">
        <f>'[1]功能-城建'!GH42</f>
        <v>291033.31219612062</v>
      </c>
      <c r="AW42" s="14">
        <f>'[1]功能-城建'!GI42</f>
        <v>231063.74467351474</v>
      </c>
      <c r="AX42" s="14">
        <f>'[1]功能-城建'!GJ42</f>
        <v>134677.7681161752</v>
      </c>
    </row>
    <row r="43" spans="2:50" x14ac:dyDescent="0.15">
      <c r="B43" s="14">
        <v>40</v>
      </c>
      <c r="C43" s="14">
        <f>'[1]资源-钻石'!L43</f>
        <v>111195.83045140664</v>
      </c>
      <c r="D43" s="14">
        <f>'[1]资源-钻石'!M43</f>
        <v>136194.09401322569</v>
      </c>
      <c r="E43" s="14">
        <f>'[1]资源-钻石'!N43</f>
        <v>187737.66713221357</v>
      </c>
      <c r="F43" s="14">
        <f>'[1]资源-钻石'!O43</f>
        <v>366454.24349221133</v>
      </c>
      <c r="G43" s="14">
        <f>'[1]资源-钻石'!P43</f>
        <v>516441.17780320806</v>
      </c>
      <c r="I43" s="14">
        <v>40</v>
      </c>
      <c r="J43" s="14">
        <f>'[1]资源-钻石'!T43</f>
        <v>255810.98247447115</v>
      </c>
      <c r="K43" s="14">
        <f>'[1]资源-钻石'!U43</f>
        <v>351112.08072191826</v>
      </c>
      <c r="L43" s="14">
        <f>'[1]资源-钻石'!V43</f>
        <v>570981.28879411006</v>
      </c>
      <c r="M43" s="14">
        <f>'[1]资源-钻石'!W43</f>
        <v>1458909.4176735212</v>
      </c>
      <c r="N43" s="14">
        <f>'[1]资源-钻石'!X43</f>
        <v>3424782.8594408734</v>
      </c>
      <c r="P43" s="14">
        <v>40</v>
      </c>
      <c r="Q43" s="14">
        <f>'[1]功能-行军令'!N43</f>
        <v>690</v>
      </c>
      <c r="R43" s="14">
        <f>'[1]功能-行军令'!O43</f>
        <v>874.95300000000009</v>
      </c>
      <c r="S43" s="14">
        <f>'[1]功能-行军令'!P43</f>
        <v>981.16200000000003</v>
      </c>
      <c r="T43" s="14">
        <f>'[1]功能-行军令'!Q43</f>
        <v>824.10299999999995</v>
      </c>
      <c r="U43" s="14">
        <f>'[1]功能-行军令'!R43</f>
        <v>463.5</v>
      </c>
      <c r="V43" s="14">
        <f>'[1]功能-行军令'!S43</f>
        <v>49.287718228909853</v>
      </c>
      <c r="W43" s="14">
        <f>'[1]功能-行军令'!T43</f>
        <v>61.099366902564498</v>
      </c>
      <c r="X43" s="14">
        <f>'[1]功能-行军令'!U43</f>
        <v>69.705600744244066</v>
      </c>
      <c r="Y43" s="14">
        <f>'[1]功能-行军令'!V43</f>
        <v>59.871140272948878</v>
      </c>
      <c r="Z43" s="14">
        <f>'[1]功能-行军令'!W43</f>
        <v>33.969272006234064</v>
      </c>
      <c r="AC43" s="14">
        <v>40</v>
      </c>
      <c r="AD43" s="14">
        <v>1036722</v>
      </c>
      <c r="AE43" s="14">
        <v>1077168</v>
      </c>
      <c r="AF43" s="14">
        <v>1154214</v>
      </c>
      <c r="AG43" s="14">
        <v>1318908</v>
      </c>
      <c r="AH43" s="14">
        <v>1428234</v>
      </c>
      <c r="AK43" s="14">
        <v>40</v>
      </c>
      <c r="AL43" s="14">
        <f>'[1]功能-付费相关'!AH45</f>
        <v>1.003980706374007E-2</v>
      </c>
      <c r="AM43" s="14">
        <f>'[1]功能-付费相关'!AI45</f>
        <v>1.003980706374007E-2</v>
      </c>
      <c r="AN43" s="14">
        <f>'[1]功能-付费相关'!AJ45</f>
        <v>1.003980706374007E-2</v>
      </c>
      <c r="AO43" s="14">
        <f>'[1]功能-付费相关'!AK45</f>
        <v>1.003980706374007E-2</v>
      </c>
      <c r="AP43" s="14">
        <f>'[1]功能-付费相关'!AL45</f>
        <v>1.003980706374007E-2</v>
      </c>
      <c r="AS43" s="14">
        <v>40</v>
      </c>
      <c r="AT43" s="14">
        <f>'[1]功能-城建'!GF43</f>
        <v>428990.42101276945</v>
      </c>
      <c r="AU43" s="14">
        <f>'[1]功能-城建'!GG43</f>
        <v>380822.32266434189</v>
      </c>
      <c r="AV43" s="14">
        <f>'[1]功能-城建'!GH43</f>
        <v>329795.67064063856</v>
      </c>
      <c r="AW43" s="14">
        <f>'[1]功能-城建'!GI43</f>
        <v>257387.77585302666</v>
      </c>
      <c r="AX43" s="14">
        <f>'[1]功能-城建'!GJ43</f>
        <v>154345.81843609246</v>
      </c>
    </row>
    <row r="44" spans="2:50" x14ac:dyDescent="0.15">
      <c r="B44" s="14">
        <v>41</v>
      </c>
      <c r="C44" s="14">
        <f>'[1]资源-钻石'!L44</f>
        <v>117729.3837134114</v>
      </c>
      <c r="D44" s="14">
        <f>'[1]资源-钻石'!M44</f>
        <v>144288.09353151682</v>
      </c>
      <c r="E44" s="14">
        <f>'[1]资源-钻石'!N44</f>
        <v>199190.2723509311</v>
      </c>
      <c r="F44" s="14">
        <f>'[1]资源-钻石'!O44</f>
        <v>389368.62240997958</v>
      </c>
      <c r="G44" s="14">
        <f>'[1]资源-钻石'!P44</f>
        <v>551240.76766568329</v>
      </c>
      <c r="I44" s="14">
        <v>41</v>
      </c>
      <c r="J44" s="14">
        <f>'[1]资源-钻石'!T44</f>
        <v>261738.41562655996</v>
      </c>
      <c r="K44" s="14">
        <f>'[1]资源-钻石'!U44</f>
        <v>359312.25718921592</v>
      </c>
      <c r="L44" s="14">
        <f>'[1]资源-钻石'!V44</f>
        <v>584453.48290813749</v>
      </c>
      <c r="M44" s="14">
        <f>'[1]资源-钻石'!W44</f>
        <v>1493748.8311989512</v>
      </c>
      <c r="N44" s="14">
        <f>'[1]资源-钻石'!X44</f>
        <v>3506961.2143188468</v>
      </c>
      <c r="P44" s="14">
        <v>41</v>
      </c>
      <c r="Q44" s="14">
        <f>'[1]功能-行军令'!N44</f>
        <v>742.82526842671143</v>
      </c>
      <c r="R44" s="14">
        <f>'[1]功能-行军令'!O44</f>
        <v>942.37074325168692</v>
      </c>
      <c r="S44" s="14">
        <f>'[1]功能-行军令'!P44</f>
        <v>1057.6007055976104</v>
      </c>
      <c r="T44" s="14">
        <f>'[1]功能-行军令'!Q44</f>
        <v>888.85825684924259</v>
      </c>
      <c r="U44" s="14">
        <f>'[1]功能-行军令'!R44</f>
        <v>500.64808254420291</v>
      </c>
      <c r="V44" s="14">
        <f>'[1]功能-行军令'!S44</f>
        <v>52.825268426711432</v>
      </c>
      <c r="W44" s="14">
        <f>'[1]功能-行军令'!T44</f>
        <v>67.417743251686829</v>
      </c>
      <c r="X44" s="14">
        <f>'[1]功能-行军令'!U44</f>
        <v>76.438705597610351</v>
      </c>
      <c r="Y44" s="14">
        <f>'[1]功能-行军令'!V44</f>
        <v>64.755256849242642</v>
      </c>
      <c r="Z44" s="14">
        <f>'[1]功能-行军令'!W44</f>
        <v>37.148082544202907</v>
      </c>
      <c r="AC44" s="14">
        <v>41</v>
      </c>
      <c r="AD44" s="14">
        <v>1079778</v>
      </c>
      <c r="AE44" s="14">
        <v>1121358</v>
      </c>
      <c r="AF44" s="14">
        <v>1204560</v>
      </c>
      <c r="AG44" s="14">
        <v>1382262</v>
      </c>
      <c r="AH44" s="14">
        <v>1498692</v>
      </c>
      <c r="AK44" s="14">
        <v>41</v>
      </c>
      <c r="AL44" s="14">
        <f>'[1]功能-付费相关'!AH46</f>
        <v>9.7430859226953128E-3</v>
      </c>
      <c r="AM44" s="14">
        <f>'[1]功能-付费相关'!AI46</f>
        <v>9.7430859226953128E-3</v>
      </c>
      <c r="AN44" s="14">
        <f>'[1]功能-付费相关'!AJ46</f>
        <v>9.7430859226953128E-3</v>
      </c>
      <c r="AO44" s="14">
        <f>'[1]功能-付费相关'!AK46</f>
        <v>9.7430859226953128E-3</v>
      </c>
      <c r="AP44" s="14">
        <f>'[1]功能-付费相关'!AL46</f>
        <v>9.7430859226953128E-3</v>
      </c>
      <c r="AS44" s="14">
        <v>41</v>
      </c>
      <c r="AT44" s="14">
        <f>'[1]功能-城建'!GF44</f>
        <v>479561.56728249323</v>
      </c>
      <c r="AU44" s="14">
        <f>'[1]功能-城建'!GG44</f>
        <v>425593.65021839645</v>
      </c>
      <c r="AV44" s="14">
        <f>'[1]功能-城建'!GH44</f>
        <v>371945.70152331749</v>
      </c>
      <c r="AW44" s="14">
        <f>'[1]功能-城建'!GI44</f>
        <v>289956.26863666298</v>
      </c>
      <c r="AX44" s="14">
        <f>'[1]功能-城建'!GJ44</f>
        <v>170106.08835402108</v>
      </c>
    </row>
    <row r="45" spans="2:50" x14ac:dyDescent="0.15">
      <c r="B45" s="14">
        <v>42</v>
      </c>
      <c r="C45" s="14">
        <f>'[1]资源-钻石'!L45</f>
        <v>124731.87271569562</v>
      </c>
      <c r="D45" s="14">
        <f>'[1]资源-钻石'!M45</f>
        <v>153039.57363793612</v>
      </c>
      <c r="E45" s="14">
        <f>'[1]资源-钻石'!N45</f>
        <v>211812.58801458497</v>
      </c>
      <c r="F45" s="14">
        <f>'[1]资源-钻石'!O45</f>
        <v>414608.5525433803</v>
      </c>
      <c r="G45" s="14">
        <f>'[1]资源-钻石'!P45</f>
        <v>588663.72760539316</v>
      </c>
      <c r="I45" s="14">
        <v>42</v>
      </c>
      <c r="J45" s="14">
        <f>'[1]资源-钻石'!T45</f>
        <v>267665.84877864871</v>
      </c>
      <c r="K45" s="14">
        <f>'[1]资源-钻石'!U45</f>
        <v>367512.43365651357</v>
      </c>
      <c r="L45" s="14">
        <f>'[1]资源-钻石'!V45</f>
        <v>597925.67702216492</v>
      </c>
      <c r="M45" s="14">
        <f>'[1]资源-钻石'!W45</f>
        <v>1528588.2447243815</v>
      </c>
      <c r="N45" s="14">
        <f>'[1]资源-钻石'!X45</f>
        <v>3589139.5691968198</v>
      </c>
      <c r="P45" s="14">
        <v>42</v>
      </c>
      <c r="Q45" s="14">
        <f>'[1]功能-行军令'!N45</f>
        <v>799.4419892778177</v>
      </c>
      <c r="R45" s="14">
        <f>'[1]功能-行军令'!O45</f>
        <v>1017.2238904960392</v>
      </c>
      <c r="S45" s="14">
        <f>'[1]功能-行军令'!P45</f>
        <v>1141.846469120243</v>
      </c>
      <c r="T45" s="14">
        <f>'[1]功能-行军令'!Q45</f>
        <v>960.18544247843488</v>
      </c>
      <c r="U45" s="14">
        <f>'[1]功能-行军令'!R45</f>
        <v>540.59657648860423</v>
      </c>
      <c r="V45" s="14">
        <f>'[1]功能-行军令'!S45</f>
        <v>56.616720851106265</v>
      </c>
      <c r="W45" s="14">
        <f>'[1]功能-行军令'!T45</f>
        <v>74.853147244352272</v>
      </c>
      <c r="X45" s="14">
        <f>'[1]功能-行军令'!U45</f>
        <v>84.245763522632615</v>
      </c>
      <c r="Y45" s="14">
        <f>'[1]功能-行军令'!V45</f>
        <v>71.327185629192286</v>
      </c>
      <c r="Z45" s="14">
        <f>'[1]功能-行军令'!W45</f>
        <v>39.948493944401321</v>
      </c>
      <c r="AC45" s="14">
        <v>42</v>
      </c>
      <c r="AD45" s="14">
        <v>1124562</v>
      </c>
      <c r="AE45" s="14">
        <v>1167252</v>
      </c>
      <c r="AF45" s="14">
        <v>1256418</v>
      </c>
      <c r="AG45" s="14">
        <v>1448796</v>
      </c>
      <c r="AH45" s="14">
        <v>1570800</v>
      </c>
      <c r="AK45" s="14">
        <v>42</v>
      </c>
      <c r="AL45" s="14">
        <f>'[1]功能-付费相关'!AH47</f>
        <v>9.4551342166590124E-3</v>
      </c>
      <c r="AM45" s="14">
        <f>'[1]功能-付费相关'!AI47</f>
        <v>9.4551342166590124E-3</v>
      </c>
      <c r="AN45" s="14">
        <f>'[1]功能-付费相关'!AJ47</f>
        <v>9.4551342166590124E-3</v>
      </c>
      <c r="AO45" s="14">
        <f>'[1]功能-付费相关'!AK47</f>
        <v>9.4551342166590124E-3</v>
      </c>
      <c r="AP45" s="14">
        <f>'[1]功能-付费相关'!AL47</f>
        <v>9.4551342166590124E-3</v>
      </c>
      <c r="AS45" s="14">
        <v>42</v>
      </c>
      <c r="AT45" s="14">
        <f>'[1]功能-城建'!GF45</f>
        <v>515619.04291664902</v>
      </c>
      <c r="AU45" s="14">
        <f>'[1]功能-城建'!GG45</f>
        <v>494701.098504466</v>
      </c>
      <c r="AV45" s="14">
        <f>'[1]功能-城建'!GH45</f>
        <v>417292.9177155639</v>
      </c>
      <c r="AW45" s="14">
        <f>'[1]功能-城建'!GI45</f>
        <v>324088.57159671839</v>
      </c>
      <c r="AX45" s="14">
        <f>'[1]功能-城建'!GJ45</f>
        <v>192683.60962697654</v>
      </c>
    </row>
    <row r="46" spans="2:50" x14ac:dyDescent="0.15">
      <c r="B46" s="14">
        <v>43</v>
      </c>
      <c r="C46" s="14">
        <f>'[1]资源-钻石'!L46</f>
        <v>132236.95460004604</v>
      </c>
      <c r="D46" s="14">
        <f>'[1]资源-钻石'!M46</f>
        <v>162095.97801082022</v>
      </c>
      <c r="E46" s="14">
        <f>'[1]资源-钻石'!N46</f>
        <v>224925.57977297233</v>
      </c>
      <c r="F46" s="14">
        <f>'[1]资源-钻石'!O46</f>
        <v>440057.65420750715</v>
      </c>
      <c r="G46" s="14">
        <f>'[1]资源-钻石'!P46</f>
        <v>626381.0324356982</v>
      </c>
      <c r="I46" s="14">
        <v>43</v>
      </c>
      <c r="J46" s="14">
        <f>'[1]资源-钻石'!T46</f>
        <v>273593.28193073749</v>
      </c>
      <c r="K46" s="14">
        <f>'[1]资源-钻石'!U46</f>
        <v>375712.61012381123</v>
      </c>
      <c r="L46" s="14">
        <f>'[1]资源-钻石'!V46</f>
        <v>611397.87113619235</v>
      </c>
      <c r="M46" s="14">
        <f>'[1]资源-钻石'!W46</f>
        <v>1563427.6582498117</v>
      </c>
      <c r="N46" s="14">
        <f>'[1]资源-钻石'!X46</f>
        <v>3671317.9240747932</v>
      </c>
      <c r="P46" s="14">
        <v>43</v>
      </c>
      <c r="Q46" s="14">
        <f>'[1]功能-行军令'!N46</f>
        <v>860.12228822185841</v>
      </c>
      <c r="R46" s="14">
        <f>'[1]功能-行军令'!O46</f>
        <v>1094.6851155442046</v>
      </c>
      <c r="S46" s="14">
        <f>'[1]功能-行军令'!P46</f>
        <v>1229.3671770623182</v>
      </c>
      <c r="T46" s="14">
        <f>'[1]功能-行军令'!Q46</f>
        <v>1032.1037397518191</v>
      </c>
      <c r="U46" s="14">
        <f>'[1]功能-行军令'!R46</f>
        <v>580.8592795468345</v>
      </c>
      <c r="V46" s="14">
        <f>'[1]功能-行军令'!S46</f>
        <v>60.680298944040715</v>
      </c>
      <c r="W46" s="14">
        <f>'[1]功能-行军令'!T46</f>
        <v>77.461225048165375</v>
      </c>
      <c r="X46" s="14">
        <f>'[1]功能-行军令'!U46</f>
        <v>87.520707942075205</v>
      </c>
      <c r="Y46" s="14">
        <f>'[1]功能-行军令'!V46</f>
        <v>71.918297273384269</v>
      </c>
      <c r="Z46" s="14">
        <f>'[1]功能-行军令'!W46</f>
        <v>40.262703058230272</v>
      </c>
      <c r="AC46" s="14">
        <v>43</v>
      </c>
      <c r="AD46" s="14">
        <v>1170996</v>
      </c>
      <c r="AE46" s="14">
        <v>1214496</v>
      </c>
      <c r="AF46" s="14">
        <v>1309428</v>
      </c>
      <c r="AG46" s="14">
        <v>1517478</v>
      </c>
      <c r="AH46" s="14">
        <v>1646832</v>
      </c>
      <c r="AK46" s="14">
        <v>43</v>
      </c>
      <c r="AL46" s="14">
        <f>'[1]功能-付费相关'!AH48</f>
        <v>9.1756927696584108E-3</v>
      </c>
      <c r="AM46" s="14">
        <f>'[1]功能-付费相关'!AI48</f>
        <v>9.1756927696584108E-3</v>
      </c>
      <c r="AN46" s="14">
        <f>'[1]功能-付费相关'!AJ48</f>
        <v>9.1756927696584108E-3</v>
      </c>
      <c r="AO46" s="14">
        <f>'[1]功能-付费相关'!AK48</f>
        <v>9.1756927696584108E-3</v>
      </c>
      <c r="AP46" s="14">
        <f>'[1]功能-付费相关'!AL48</f>
        <v>9.1756927696584108E-3</v>
      </c>
      <c r="AS46" s="14">
        <v>43</v>
      </c>
      <c r="AT46" s="14">
        <f>'[1]功能-城建'!GF46</f>
        <v>584113.83418307081</v>
      </c>
      <c r="AU46" s="14">
        <f>'[1]功能-城建'!GG46</f>
        <v>511937.76793026272</v>
      </c>
      <c r="AV46" s="14">
        <f>'[1]功能-城建'!GH46</f>
        <v>450106.49798781564</v>
      </c>
      <c r="AW46" s="14">
        <f>'[1]功能-城建'!GI46</f>
        <v>338022.04091072362</v>
      </c>
      <c r="AX46" s="14">
        <f>'[1]功能-城建'!GJ46</f>
        <v>194199.13475076458</v>
      </c>
    </row>
    <row r="47" spans="2:50" x14ac:dyDescent="0.15">
      <c r="B47" s="14">
        <v>44</v>
      </c>
      <c r="C47" s="14">
        <f>'[1]资源-钻石'!L47</f>
        <v>140280.7021978547</v>
      </c>
      <c r="D47" s="14">
        <f>'[1]资源-钻石'!M47</f>
        <v>171773.21033300663</v>
      </c>
      <c r="E47" s="14">
        <f>'[1]资源-钻石'!N47</f>
        <v>238276.02804493564</v>
      </c>
      <c r="F47" s="14">
        <f>'[1]资源-钻石'!O47</f>
        <v>467306.25284793961</v>
      </c>
      <c r="G47" s="14">
        <f>'[1]资源-钻石'!P47</f>
        <v>666359.98475052416</v>
      </c>
      <c r="I47" s="14">
        <v>44</v>
      </c>
      <c r="J47" s="14">
        <f>'[1]资源-钻石'!T47</f>
        <v>279520.71508282627</v>
      </c>
      <c r="K47" s="14">
        <f>'[1]资源-钻石'!U47</f>
        <v>383912.78659110889</v>
      </c>
      <c r="L47" s="14">
        <f>'[1]资源-钻石'!V47</f>
        <v>624870.06525021978</v>
      </c>
      <c r="M47" s="14">
        <f>'[1]资源-钻石'!W47</f>
        <v>1598267.071775242</v>
      </c>
      <c r="N47" s="14">
        <f>'[1]资源-钻石'!X47</f>
        <v>3753496.2789527662</v>
      </c>
      <c r="P47" s="14">
        <v>44</v>
      </c>
      <c r="Q47" s="14">
        <f>'[1]功能-行军令'!N47</f>
        <v>925.1578223288501</v>
      </c>
      <c r="R47" s="14">
        <f>'[1]功能-行军令'!O47</f>
        <v>1177.4564053285565</v>
      </c>
      <c r="S47" s="14">
        <f>'[1]功能-行军令'!P47</f>
        <v>1321.4069400576111</v>
      </c>
      <c r="T47" s="14">
        <f>'[1]功能-行军令'!Q47</f>
        <v>1109.1073543850268</v>
      </c>
      <c r="U47" s="14">
        <f>'[1]功能-行军令'!R47</f>
        <v>623.53626012307257</v>
      </c>
      <c r="V47" s="14">
        <f>'[1]功能-行军令'!S47</f>
        <v>65.03553410699169</v>
      </c>
      <c r="W47" s="14">
        <f>'[1]功能-行军令'!T47</f>
        <v>82.771289784351893</v>
      </c>
      <c r="X47" s="14">
        <f>'[1]功能-行军令'!U47</f>
        <v>92.039762995292904</v>
      </c>
      <c r="Y47" s="14">
        <f>'[1]功能-行军令'!V47</f>
        <v>77.00361463320769</v>
      </c>
      <c r="Z47" s="14">
        <f>'[1]功能-行军令'!W47</f>
        <v>42.676980576238066</v>
      </c>
      <c r="AC47" s="14">
        <v>44</v>
      </c>
      <c r="AD47" s="14">
        <v>1219194</v>
      </c>
      <c r="AE47" s="14">
        <v>1263564</v>
      </c>
      <c r="AF47" s="14">
        <v>1366146</v>
      </c>
      <c r="AG47" s="14">
        <v>1590864</v>
      </c>
      <c r="AH47" s="14">
        <v>1723338</v>
      </c>
      <c r="AK47" s="14">
        <v>44</v>
      </c>
      <c r="AL47" s="14">
        <f>'[1]功能-付费相关'!AH49</f>
        <v>8.9045100655283475E-3</v>
      </c>
      <c r="AM47" s="14">
        <f>'[1]功能-付费相关'!AI49</f>
        <v>8.9045100655283475E-3</v>
      </c>
      <c r="AN47" s="14">
        <f>'[1]功能-付费相关'!AJ49</f>
        <v>8.9045100655283475E-3</v>
      </c>
      <c r="AO47" s="14">
        <f>'[1]功能-付费相关'!AK49</f>
        <v>8.9045100655283475E-3</v>
      </c>
      <c r="AP47" s="14">
        <f>'[1]功能-付费相关'!AL49</f>
        <v>8.9045100655283475E-3</v>
      </c>
      <c r="AS47" s="14">
        <v>44</v>
      </c>
      <c r="AT47" s="14">
        <f>'[1]功能-城建'!GF47</f>
        <v>626037.70657773782</v>
      </c>
      <c r="AU47" s="14">
        <f>'[1]功能-城建'!GG47</f>
        <v>578102.54752426501</v>
      </c>
      <c r="AV47" s="14">
        <f>'[1]功能-城建'!GH47</f>
        <v>475539.98489977885</v>
      </c>
      <c r="AW47" s="14">
        <f>'[1]功能-城建'!GI47</f>
        <v>371411.60922114179</v>
      </c>
      <c r="AX47" s="14">
        <f>'[1]功能-城建'!GJ47</f>
        <v>216895.92467785976</v>
      </c>
    </row>
    <row r="48" spans="2:50" x14ac:dyDescent="0.15">
      <c r="B48" s="14">
        <v>45</v>
      </c>
      <c r="C48" s="14">
        <f>'[1]资源-钻石'!L48</f>
        <v>148901.77741252608</v>
      </c>
      <c r="D48" s="14">
        <f>'[1]资源-钻石'!M48</f>
        <v>182161.95258932267</v>
      </c>
      <c r="E48" s="14">
        <f>'[1]资源-钻石'!N48</f>
        <v>252130.93191686951</v>
      </c>
      <c r="F48" s="14">
        <f>'[1]资源-钻石'!O48</f>
        <v>496639.30931567377</v>
      </c>
      <c r="G48" s="14">
        <f>'[1]资源-钻石'!P48</f>
        <v>709325.16439252812</v>
      </c>
      <c r="I48" s="14">
        <v>45</v>
      </c>
      <c r="J48" s="14">
        <f>'[1]资源-钻石'!T48</f>
        <v>285448.14823491505</v>
      </c>
      <c r="K48" s="14">
        <f>'[1]资源-钻石'!U48</f>
        <v>392112.96305840655</v>
      </c>
      <c r="L48" s="14">
        <f>'[1]资源-钻石'!V48</f>
        <v>638342.25936424721</v>
      </c>
      <c r="M48" s="14">
        <f>'[1]资源-钻石'!W48</f>
        <v>1633106.485300672</v>
      </c>
      <c r="N48" s="14">
        <f>'[1]资源-钻石'!X48</f>
        <v>3835674.6338307397</v>
      </c>
      <c r="P48" s="14">
        <v>45</v>
      </c>
      <c r="Q48" s="14">
        <f>'[1]功能-行军令'!N48</f>
        <v>994.86118190659784</v>
      </c>
      <c r="R48" s="14">
        <f>'[1]功能-行军令'!O48</f>
        <v>1266.3133808732127</v>
      </c>
      <c r="S48" s="14">
        <f>'[1]功能-行军令'!P48</f>
        <v>1419.9805041271859</v>
      </c>
      <c r="T48" s="14">
        <f>'[1]功能-行军令'!Q48</f>
        <v>1192.0015760681895</v>
      </c>
      <c r="U48" s="14">
        <f>'[1]功能-行军令'!R48</f>
        <v>669.40099721265346</v>
      </c>
      <c r="V48" s="14">
        <f>'[1]功能-行军令'!S48</f>
        <v>69.703359577747733</v>
      </c>
      <c r="W48" s="14">
        <f>'[1]功能-行军令'!T48</f>
        <v>88.856975544656279</v>
      </c>
      <c r="X48" s="14">
        <f>'[1]功能-行军令'!U48</f>
        <v>98.573564069574786</v>
      </c>
      <c r="Y48" s="14">
        <f>'[1]功能-行军令'!V48</f>
        <v>82.894221683162641</v>
      </c>
      <c r="Z48" s="14">
        <f>'[1]功能-行军令'!W48</f>
        <v>45.864737089580899</v>
      </c>
      <c r="AC48" s="14">
        <v>45</v>
      </c>
      <c r="AD48" s="14">
        <v>1268034</v>
      </c>
      <c r="AE48" s="14">
        <v>1315602</v>
      </c>
      <c r="AF48" s="14">
        <v>1425408</v>
      </c>
      <c r="AG48" s="14">
        <v>1665804</v>
      </c>
      <c r="AH48" s="14">
        <v>1802010</v>
      </c>
      <c r="AK48" s="14">
        <v>45</v>
      </c>
      <c r="AL48" s="14">
        <f>'[1]功能-付费相关'!AH50</f>
        <v>8.641342021529717E-3</v>
      </c>
      <c r="AM48" s="14">
        <f>'[1]功能-付费相关'!AI50</f>
        <v>8.641342021529717E-3</v>
      </c>
      <c r="AN48" s="14">
        <f>'[1]功能-付费相关'!AJ50</f>
        <v>8.641342021529717E-3</v>
      </c>
      <c r="AO48" s="14">
        <f>'[1]功能-付费相关'!AK50</f>
        <v>8.641342021529717E-3</v>
      </c>
      <c r="AP48" s="14">
        <f>'[1]功能-付费相关'!AL50</f>
        <v>8.641342021529717E-3</v>
      </c>
      <c r="AS48" s="14">
        <v>45</v>
      </c>
      <c r="AT48" s="14">
        <f>'[1]功能-城建'!GF48</f>
        <v>701239.75793532096</v>
      </c>
      <c r="AU48" s="14">
        <f>'[1]功能-城建'!GG48</f>
        <v>620672.60529700201</v>
      </c>
      <c r="AV48" s="14">
        <f>'[1]功能-城建'!GH48</f>
        <v>538146.6662611505</v>
      </c>
      <c r="AW48" s="14">
        <f>'[1]功能-城建'!GI48</f>
        <v>406529.30798989302</v>
      </c>
      <c r="AX48" s="14">
        <f>'[1]功能-城建'!GJ48</f>
        <v>234043.7457697452</v>
      </c>
    </row>
    <row r="49" spans="2:50" x14ac:dyDescent="0.15">
      <c r="B49" s="14">
        <v>46</v>
      </c>
      <c r="C49" s="14">
        <f>'[1]资源-钻石'!L49</f>
        <v>158141.61704614019</v>
      </c>
      <c r="D49" s="14">
        <f>'[1]资源-钻石'!M49</f>
        <v>193206.59107855934</v>
      </c>
      <c r="E49" s="14">
        <f>'[1]资源-钻石'!N49</f>
        <v>266880.18635884963</v>
      </c>
      <c r="F49" s="14">
        <f>'[1]资源-钻石'!O49</f>
        <v>527720.17307599634</v>
      </c>
      <c r="G49" s="14">
        <f>'[1]资源-钻石'!P49</f>
        <v>753273.14395466493</v>
      </c>
      <c r="I49" s="14">
        <v>46</v>
      </c>
      <c r="J49" s="14">
        <f>'[1]资源-钻石'!T49</f>
        <v>291375.58138700383</v>
      </c>
      <c r="K49" s="14">
        <f>'[1]资源-钻石'!U49</f>
        <v>400313.1395257042</v>
      </c>
      <c r="L49" s="14">
        <f>'[1]资源-钻石'!V49</f>
        <v>651814.45347827463</v>
      </c>
      <c r="M49" s="14">
        <f>'[1]资源-钻石'!W49</f>
        <v>1667945.8988261023</v>
      </c>
      <c r="N49" s="14">
        <f>'[1]资源-钻石'!X49</f>
        <v>3917852.9887087126</v>
      </c>
      <c r="P49" s="14">
        <v>46</v>
      </c>
      <c r="Q49" s="14">
        <f>'[1]功能-行军令'!N49</f>
        <v>1069.5673929516524</v>
      </c>
      <c r="R49" s="14">
        <f>'[1]功能-行军令'!O49</f>
        <v>1360.7803671478041</v>
      </c>
      <c r="S49" s="14">
        <f>'[1]功能-行军令'!P49</f>
        <v>1524.9171093287671</v>
      </c>
      <c r="T49" s="14">
        <f>'[1]功能-行军令'!Q49</f>
        <v>1279.8350418199216</v>
      </c>
      <c r="U49" s="14">
        <f>'[1]功能-行军令'!R49</f>
        <v>716.31485967129208</v>
      </c>
      <c r="V49" s="14">
        <f>'[1]功能-行军令'!S49</f>
        <v>74.706211045054602</v>
      </c>
      <c r="W49" s="14">
        <f>'[1]功能-行军令'!T49</f>
        <v>94.466986274591363</v>
      </c>
      <c r="X49" s="14">
        <f>'[1]功能-行军令'!U49</f>
        <v>104.93660520158119</v>
      </c>
      <c r="Y49" s="14">
        <f>'[1]功能-行军令'!V49</f>
        <v>87.833465751732092</v>
      </c>
      <c r="Z49" s="14">
        <f>'[1]功能-行军令'!W49</f>
        <v>46.913862458638619</v>
      </c>
      <c r="AC49" s="14">
        <v>46</v>
      </c>
      <c r="AD49" s="14">
        <v>1319016</v>
      </c>
      <c r="AE49" s="14">
        <v>1369338</v>
      </c>
      <c r="AF49" s="14">
        <v>1487436</v>
      </c>
      <c r="AG49" s="14">
        <v>1739802</v>
      </c>
      <c r="AH49" s="14">
        <v>1882518</v>
      </c>
      <c r="AK49" s="14">
        <v>46</v>
      </c>
      <c r="AL49" s="14">
        <f>'[1]功能-付费相关'!AH51</f>
        <v>8.3859517686585509E-3</v>
      </c>
      <c r="AM49" s="14">
        <f>'[1]功能-付费相关'!AI51</f>
        <v>8.3859517686585509E-3</v>
      </c>
      <c r="AN49" s="14">
        <f>'[1]功能-付费相关'!AJ51</f>
        <v>8.3859517686585509E-3</v>
      </c>
      <c r="AO49" s="14">
        <f>'[1]功能-付费相关'!AK51</f>
        <v>8.3859517686585509E-3</v>
      </c>
      <c r="AP49" s="14">
        <f>'[1]功能-付费相关'!AL51</f>
        <v>8.3859517686585509E-3</v>
      </c>
      <c r="AS49" s="14">
        <v>46</v>
      </c>
      <c r="AT49" s="14">
        <f>'[1]功能-城建'!GF49</f>
        <v>760054.4949801201</v>
      </c>
      <c r="AU49" s="14">
        <f>'[1]功能-城建'!GG49</f>
        <v>690110.2282392066</v>
      </c>
      <c r="AV49" s="14">
        <f>'[1]功能-城建'!GH49</f>
        <v>572884.67543017026</v>
      </c>
      <c r="AW49" s="14">
        <f>'[1]功能-城建'!GI49</f>
        <v>448206.50096223736</v>
      </c>
      <c r="AX49" s="14">
        <f>'[1]功能-城建'!GJ49</f>
        <v>247547.08670722274</v>
      </c>
    </row>
    <row r="50" spans="2:50" x14ac:dyDescent="0.15">
      <c r="B50" s="14">
        <v>47</v>
      </c>
      <c r="C50" s="14">
        <f>'[1]资源-钻石'!L50</f>
        <v>168044.63196353897</v>
      </c>
      <c r="D50" s="14">
        <f>'[1]资源-钻石'!M50</f>
        <v>205057.83982324961</v>
      </c>
      <c r="E50" s="14">
        <f>'[1]资源-钻石'!N50</f>
        <v>282733.43272314564</v>
      </c>
      <c r="F50" s="14">
        <f>'[1]资源-钻石'!O50</f>
        <v>560894.48753860174</v>
      </c>
      <c r="G50" s="14">
        <f>'[1]资源-钻石'!P50</f>
        <v>796207.21319163172</v>
      </c>
      <c r="I50" s="14">
        <v>47</v>
      </c>
      <c r="J50" s="14">
        <f>'[1]资源-钻石'!T50</f>
        <v>297303.0145390926</v>
      </c>
      <c r="K50" s="14">
        <f>'[1]资源-钻石'!U50</f>
        <v>408513.3159930018</v>
      </c>
      <c r="L50" s="14">
        <f>'[1]资源-钻石'!V50</f>
        <v>665286.64759230218</v>
      </c>
      <c r="M50" s="14">
        <f>'[1]资源-钻石'!W50</f>
        <v>1702785.3123515323</v>
      </c>
      <c r="N50" s="14">
        <f>'[1]资源-钻石'!X50</f>
        <v>4000031.3435866856</v>
      </c>
      <c r="P50" s="14">
        <v>47</v>
      </c>
      <c r="Q50" s="14">
        <f>'[1]功能-行军令'!N50</f>
        <v>1149.6355274363787</v>
      </c>
      <c r="R50" s="14">
        <f>'[1]功能-行军令'!O50</f>
        <v>1462.1464511162799</v>
      </c>
      <c r="S50" s="14">
        <f>'[1]功能-行军令'!P50</f>
        <v>1637.7082921941562</v>
      </c>
      <c r="T50" s="14">
        <f>'[1]功能-行军令'!Q50</f>
        <v>1373.584528180985</v>
      </c>
      <c r="U50" s="14">
        <f>'[1]功能-行军令'!R50</f>
        <v>766.59196494058733</v>
      </c>
      <c r="V50" s="14">
        <f>'[1]功能-行军令'!S50</f>
        <v>80.068134484726215</v>
      </c>
      <c r="W50" s="14">
        <f>'[1]功能-行军令'!T50</f>
        <v>101.36608396847578</v>
      </c>
      <c r="X50" s="14">
        <f>'[1]功能-行军令'!U50</f>
        <v>112.79118286538915</v>
      </c>
      <c r="Y50" s="14">
        <f>'[1]功能-行军令'!V50</f>
        <v>93.749486361063418</v>
      </c>
      <c r="Z50" s="14">
        <f>'[1]功能-行军令'!W50</f>
        <v>50.277105269295248</v>
      </c>
      <c r="AC50" s="14">
        <v>47</v>
      </c>
      <c r="AD50" s="14">
        <v>1371732</v>
      </c>
      <c r="AE50" s="14">
        <v>1424922</v>
      </c>
      <c r="AF50" s="14">
        <v>1548768</v>
      </c>
      <c r="AG50" s="14">
        <v>1816344</v>
      </c>
      <c r="AH50" s="14">
        <v>1965552</v>
      </c>
      <c r="AK50" s="14">
        <v>47</v>
      </c>
      <c r="AL50" s="14">
        <f>'[1]功能-付费相关'!AH52</f>
        <v>8.138109438447904E-3</v>
      </c>
      <c r="AM50" s="14">
        <f>'[1]功能-付费相关'!AI52</f>
        <v>8.138109438447904E-3</v>
      </c>
      <c r="AN50" s="14">
        <f>'[1]功能-付费相关'!AJ52</f>
        <v>8.138109438447904E-3</v>
      </c>
      <c r="AO50" s="14">
        <f>'[1]功能-付费相关'!AK52</f>
        <v>8.138109438447904E-3</v>
      </c>
      <c r="AP50" s="14">
        <f>'[1]功能-付费相关'!AL52</f>
        <v>8.138109438447904E-3</v>
      </c>
      <c r="AS50" s="14">
        <v>47</v>
      </c>
      <c r="AT50" s="14">
        <f>'[1]功能-城建'!GF50</f>
        <v>841026.57504537143</v>
      </c>
      <c r="AU50" s="14">
        <f>'[1]功能-城建'!GG50</f>
        <v>751621.94799311459</v>
      </c>
      <c r="AV50" s="14">
        <f>'[1]功能-城建'!GH50</f>
        <v>644185.16991996858</v>
      </c>
      <c r="AW50" s="14">
        <f>'[1]功能-城建'!GI50</f>
        <v>478395.4371978147</v>
      </c>
      <c r="AX50" s="14">
        <f>'[1]功能-城建'!GJ50</f>
        <v>270617.73943007039</v>
      </c>
    </row>
    <row r="51" spans="2:50" x14ac:dyDescent="0.15">
      <c r="B51" s="14">
        <v>48</v>
      </c>
      <c r="C51" s="14">
        <f>'[1]资源-钻石'!L51</f>
        <v>178658.42055110796</v>
      </c>
      <c r="D51" s="14">
        <f>'[1]资源-钻石'!M51</f>
        <v>217607.87188967346</v>
      </c>
      <c r="E51" s="14">
        <f>'[1]资源-钻石'!N51</f>
        <v>299778.35802827356</v>
      </c>
      <c r="F51" s="14">
        <f>'[1]资源-钻石'!O51</f>
        <v>593952.40865693032</v>
      </c>
      <c r="G51" s="14">
        <f>'[1]资源-钻石'!P51</f>
        <v>841310.94830571418</v>
      </c>
      <c r="I51" s="14">
        <v>48</v>
      </c>
      <c r="J51" s="14">
        <f>'[1]资源-钻石'!T51</f>
        <v>303230.44769118138</v>
      </c>
      <c r="K51" s="14">
        <f>'[1]资源-钻石'!U51</f>
        <v>416713.49246029946</v>
      </c>
      <c r="L51" s="14">
        <f>'[1]资源-钻石'!V51</f>
        <v>678758.84170632961</v>
      </c>
      <c r="M51" s="14">
        <f>'[1]资源-钻石'!W51</f>
        <v>1737624.7258769625</v>
      </c>
      <c r="N51" s="14">
        <f>'[1]资源-钻石'!X51</f>
        <v>4082209.6984646586</v>
      </c>
      <c r="P51" s="14">
        <v>48</v>
      </c>
      <c r="Q51" s="14">
        <f>'[1]功能-行军令'!N51</f>
        <v>1235.4504291718947</v>
      </c>
      <c r="R51" s="14">
        <f>'[1]功能-行军令'!O51</f>
        <v>1569.4893676019494</v>
      </c>
      <c r="S51" s="14">
        <f>'[1]功能-行军令'!P51</f>
        <v>1758.9779200570902</v>
      </c>
      <c r="T51" s="14">
        <f>'[1]功能-行军令'!Q51</f>
        <v>1469.7536030643444</v>
      </c>
      <c r="U51" s="14">
        <f>'[1]功能-行军令'!R51</f>
        <v>819.941592223361</v>
      </c>
      <c r="V51" s="14">
        <f>'[1]功能-行军令'!S51</f>
        <v>85.814901735516059</v>
      </c>
      <c r="W51" s="14">
        <f>'[1]功能-行军令'!T51</f>
        <v>107.34291648566955</v>
      </c>
      <c r="X51" s="14">
        <f>'[1]功能-行军令'!U51</f>
        <v>121.26962786293393</v>
      </c>
      <c r="Y51" s="14">
        <f>'[1]功能-行军令'!V51</f>
        <v>96.169074883359372</v>
      </c>
      <c r="Z51" s="14">
        <f>'[1]功能-行军令'!W51</f>
        <v>53.349627282773668</v>
      </c>
      <c r="AC51" s="14">
        <v>48</v>
      </c>
      <c r="AD51" s="14">
        <v>1426674</v>
      </c>
      <c r="AE51" s="14">
        <v>1481178</v>
      </c>
      <c r="AF51" s="14">
        <v>1611444</v>
      </c>
      <c r="AG51" s="14">
        <v>1894434</v>
      </c>
      <c r="AH51" s="14">
        <v>2051202</v>
      </c>
      <c r="AK51" s="14">
        <v>48</v>
      </c>
      <c r="AL51" s="14">
        <f>'[1]功能-付费相关'!AH53</f>
        <v>7.8975919560707267E-3</v>
      </c>
      <c r="AM51" s="14">
        <f>'[1]功能-付费相关'!AI53</f>
        <v>7.8975919560707267E-3</v>
      </c>
      <c r="AN51" s="14">
        <f>'[1]功能-付费相关'!AJ53</f>
        <v>7.8975919560707267E-3</v>
      </c>
      <c r="AO51" s="14">
        <f>'[1]功能-付费相关'!AK53</f>
        <v>7.8975919560707267E-3</v>
      </c>
      <c r="AP51" s="14">
        <f>'[1]功能-付费相关'!AL53</f>
        <v>7.8975919560707267E-3</v>
      </c>
      <c r="AS51" s="14">
        <v>48</v>
      </c>
      <c r="AT51" s="14">
        <f>'[1]功能-城建'!GF51</f>
        <v>926800.93874357361</v>
      </c>
      <c r="AU51" s="14">
        <f>'[1]功能-城建'!GG51</f>
        <v>817401.89100025222</v>
      </c>
      <c r="AV51" s="14">
        <f>'[1]功能-城建'!GH51</f>
        <v>700432.04840393458</v>
      </c>
      <c r="AW51" s="14">
        <f>'[1]功能-城建'!GI51</f>
        <v>517422.14810725581</v>
      </c>
      <c r="AX51" s="14">
        <f>'[1]功能-城建'!GJ51</f>
        <v>290509.08941978589</v>
      </c>
    </row>
    <row r="52" spans="2:50" x14ac:dyDescent="0.15">
      <c r="B52" s="14">
        <v>49</v>
      </c>
      <c r="C52" s="14">
        <f>'[1]资源-钻石'!L52</f>
        <v>190033.99749623501</v>
      </c>
      <c r="D52" s="14">
        <f>'[1]资源-钻石'!M52</f>
        <v>231245.88081260055</v>
      </c>
      <c r="E52" s="14">
        <f>'[1]资源-钻石'!N52</f>
        <v>317556.23835718312</v>
      </c>
      <c r="F52" s="14">
        <f>'[1]资源-钻石'!O52</f>
        <v>626751.71981321415</v>
      </c>
      <c r="G52" s="14">
        <f>'[1]资源-钻石'!P52</f>
        <v>892414.87557016802</v>
      </c>
      <c r="I52" s="14">
        <v>49</v>
      </c>
      <c r="J52" s="14">
        <f>'[1]资源-钻石'!T52</f>
        <v>309157.88084327016</v>
      </c>
      <c r="K52" s="14">
        <f>'[1]资源-钻石'!U52</f>
        <v>424913.66892759711</v>
      </c>
      <c r="L52" s="14">
        <f>'[1]资源-钻石'!V52</f>
        <v>692231.03582035704</v>
      </c>
      <c r="M52" s="14">
        <f>'[1]资源-钻石'!W52</f>
        <v>1772464.1394023926</v>
      </c>
      <c r="N52" s="14">
        <f>'[1]资源-钻石'!X52</f>
        <v>4164388.053342632</v>
      </c>
      <c r="P52" s="14">
        <v>49</v>
      </c>
      <c r="Q52" s="14">
        <f>'[1]功能-行军令'!N52</f>
        <v>1327.4245635421805</v>
      </c>
      <c r="R52" s="14">
        <f>'[1]功能-行军令'!O52</f>
        <v>1686.1379661948713</v>
      </c>
      <c r="S52" s="14">
        <f>'[1]功能-行军令'!P52</f>
        <v>1885.4623072330214</v>
      </c>
      <c r="T52" s="14">
        <f>'[1]功能-行军令'!Q52</f>
        <v>1572.6316231897233</v>
      </c>
      <c r="U52" s="14">
        <f>'[1]功能-行军令'!R52</f>
        <v>880.3883704191951</v>
      </c>
      <c r="V52" s="14">
        <f>'[1]功能-行军令'!S52</f>
        <v>91.97413437028581</v>
      </c>
      <c r="W52" s="14">
        <f>'[1]功能-行军令'!T52</f>
        <v>116.64859859292187</v>
      </c>
      <c r="X52" s="14">
        <f>'[1]功能-行军令'!U52</f>
        <v>126.48438717593126</v>
      </c>
      <c r="Y52" s="14">
        <f>'[1]功能-行军令'!V52</f>
        <v>102.87802012537895</v>
      </c>
      <c r="Z52" s="14">
        <f>'[1]功能-行军令'!W52</f>
        <v>60.446778195834099</v>
      </c>
      <c r="AC52" s="14">
        <v>49</v>
      </c>
      <c r="AD52" s="14">
        <v>1483140</v>
      </c>
      <c r="AE52" s="14">
        <v>1537422</v>
      </c>
      <c r="AF52" s="14">
        <v>1675506</v>
      </c>
      <c r="AG52" s="14">
        <v>1974006</v>
      </c>
      <c r="AH52" s="14">
        <v>2138472</v>
      </c>
      <c r="AK52" s="14">
        <v>49</v>
      </c>
      <c r="AL52" s="14">
        <f>'[1]功能-付费相关'!AH54</f>
        <v>7.6641828395574603E-3</v>
      </c>
      <c r="AM52" s="14">
        <f>'[1]功能-付费相关'!AI54</f>
        <v>7.6641828395574603E-3</v>
      </c>
      <c r="AN52" s="14">
        <f>'[1]功能-付费相关'!AJ54</f>
        <v>7.6641828395574603E-3</v>
      </c>
      <c r="AO52" s="14">
        <f>'[1]功能-付费相关'!AK54</f>
        <v>7.6641828395574603E-3</v>
      </c>
      <c r="AP52" s="14">
        <f>'[1]功能-付费相关'!AL54</f>
        <v>7.6641828395574603E-3</v>
      </c>
      <c r="AS52" s="14">
        <v>49</v>
      </c>
      <c r="AT52" s="14">
        <f>'[1]功能-城建'!GF52</f>
        <v>1007923.856199408</v>
      </c>
      <c r="AU52" s="14">
        <f>'[1]功能-城建'!GG52</f>
        <v>915082.14060357772</v>
      </c>
      <c r="AV52" s="14">
        <f>'[1]功能-城建'!GH52</f>
        <v>750848.61951645277</v>
      </c>
      <c r="AW52" s="14">
        <f>'[1]功能-城建'!GI52</f>
        <v>553743.44036417454</v>
      </c>
      <c r="AX52" s="14">
        <f>'[1]功能-城建'!GJ52</f>
        <v>342257.87421175186</v>
      </c>
    </row>
    <row r="53" spans="2:50" x14ac:dyDescent="0.15">
      <c r="B53" s="14">
        <v>50</v>
      </c>
      <c r="C53" s="14">
        <f>'[1]资源-钻石'!L53</f>
        <v>202464.08410567214</v>
      </c>
      <c r="D53" s="14">
        <f>'[1]资源-钻石'!M53</f>
        <v>245885.2853104354</v>
      </c>
      <c r="E53" s="14">
        <f>'[1]资源-钻石'!N53</f>
        <v>336561.942564325</v>
      </c>
      <c r="F53" s="14">
        <f>'[1]资源-钻石'!O53</f>
        <v>663475.72410607361</v>
      </c>
      <c r="G53" s="14">
        <f>'[1]资源-钻石'!P53</f>
        <v>948227.92893419019</v>
      </c>
      <c r="I53" s="14">
        <v>50</v>
      </c>
      <c r="J53" s="14">
        <f>'[1]资源-钻石'!T53</f>
        <v>315085.31399535894</v>
      </c>
      <c r="K53" s="14">
        <f>'[1]资源-钻石'!U53</f>
        <v>433113.84539489483</v>
      </c>
      <c r="L53" s="14">
        <f>'[1]资源-钻石'!V53</f>
        <v>705703.22993438446</v>
      </c>
      <c r="M53" s="14">
        <f>'[1]资源-钻石'!W53</f>
        <v>1807303.5529278228</v>
      </c>
      <c r="N53" s="14">
        <f>'[1]资源-钻石'!X53</f>
        <v>4246566.408220605</v>
      </c>
      <c r="P53" s="14">
        <v>50</v>
      </c>
      <c r="Q53" s="14">
        <f>'[1]功能-行军令'!N53</f>
        <v>1426</v>
      </c>
      <c r="R53" s="14">
        <f>'[1]功能-行军令'!O53</f>
        <v>1811.3516999999999</v>
      </c>
      <c r="S53" s="14">
        <f>'[1]功能-行军令'!P53</f>
        <v>2020.6823000000002</v>
      </c>
      <c r="T53" s="14">
        <f>'[1]功能-行军令'!Q53</f>
        <v>1687.8197999999998</v>
      </c>
      <c r="U53" s="14">
        <f>'[1]功能-行军令'!R53</f>
        <v>946.40519999999992</v>
      </c>
      <c r="V53" s="14">
        <f>'[1]功能-行军令'!S53</f>
        <v>98.575436457819478</v>
      </c>
      <c r="W53" s="14">
        <f>'[1]功能-行军令'!T53</f>
        <v>125.21373380512864</v>
      </c>
      <c r="X53" s="14">
        <f>'[1]功能-行军令'!U53</f>
        <v>135.21999276697875</v>
      </c>
      <c r="Y53" s="14">
        <f>'[1]功能-行军令'!V53</f>
        <v>115.18817681027645</v>
      </c>
      <c r="Z53" s="14">
        <f>'[1]功能-行军令'!W53</f>
        <v>66.016829580804824</v>
      </c>
      <c r="AC53" s="14">
        <v>50</v>
      </c>
      <c r="AD53" s="14">
        <v>1541268</v>
      </c>
      <c r="AE53" s="14">
        <v>1600992</v>
      </c>
      <c r="AF53" s="14">
        <v>1776870</v>
      </c>
      <c r="AG53" s="14">
        <v>2052300</v>
      </c>
      <c r="AH53" s="14">
        <v>2228532</v>
      </c>
      <c r="AK53" s="14">
        <v>50</v>
      </c>
      <c r="AL53" s="14">
        <f>'[1]功能-付费相关'!AH55</f>
        <v>7.4376720049476614E-3</v>
      </c>
      <c r="AM53" s="14">
        <f>'[1]功能-付费相关'!AI55</f>
        <v>7.4376720049476614E-3</v>
      </c>
      <c r="AN53" s="14">
        <f>'[1]功能-付费相关'!AJ55</f>
        <v>7.4376720049476614E-3</v>
      </c>
      <c r="AO53" s="14">
        <f>'[1]功能-付费相关'!AK55</f>
        <v>7.4376720049476614E-3</v>
      </c>
      <c r="AP53" s="14">
        <f>'[1]功能-付费相关'!AL55</f>
        <v>7.4376720049476614E-3</v>
      </c>
      <c r="AS53" s="14">
        <v>50</v>
      </c>
      <c r="AT53" s="14">
        <f>'[1]功能-城建'!GF53</f>
        <v>1126331.508744128</v>
      </c>
      <c r="AU53" s="14">
        <f>'[1]功能-城建'!GG53</f>
        <v>992323.65145731717</v>
      </c>
      <c r="AV53" s="14">
        <f>'[1]功能-城建'!GH53</f>
        <v>823801.80208805483</v>
      </c>
      <c r="AW53" s="14">
        <f>'[1]功能-城建'!GI53</f>
        <v>640113.64505716693</v>
      </c>
      <c r="AX53" s="14">
        <f>'[1]功能-城建'!GJ53</f>
        <v>373796.26224781992</v>
      </c>
    </row>
    <row r="54" spans="2:50" x14ac:dyDescent="0.15">
      <c r="B54" s="14">
        <v>51</v>
      </c>
      <c r="C54" s="14">
        <f>'[1]资源-钻石'!L54</f>
        <v>216077.92094656249</v>
      </c>
      <c r="D54" s="14">
        <f>'[1]资源-钻石'!M54</f>
        <v>260714.6902641707</v>
      </c>
      <c r="E54" s="14">
        <f>'[1]资源-钻石'!N54</f>
        <v>356752.48777482286</v>
      </c>
      <c r="F54" s="14">
        <f>'[1]资源-钻石'!O54</f>
        <v>702905.98884572077</v>
      </c>
      <c r="G54" s="14">
        <f>'[1]资源-钻石'!P54</f>
        <v>1005478.5961148695</v>
      </c>
      <c r="I54" s="14">
        <v>51</v>
      </c>
      <c r="J54" s="14">
        <f>'[1]资源-钻石'!T54</f>
        <v>321012.74714744772</v>
      </c>
      <c r="K54" s="14">
        <f>'[1]资源-钻石'!U54</f>
        <v>441314.02186219243</v>
      </c>
      <c r="L54" s="14">
        <f>'[1]资源-钻石'!V54</f>
        <v>719175.42404841189</v>
      </c>
      <c r="M54" s="14">
        <f>'[1]资源-钻石'!W54</f>
        <v>1842142.9664532528</v>
      </c>
      <c r="N54" s="14">
        <f>'[1]资源-钻石'!X54</f>
        <v>4328744.763098578</v>
      </c>
      <c r="P54" s="14">
        <v>51</v>
      </c>
      <c r="Q54" s="14">
        <f>'[1]功能-行军令'!N54</f>
        <v>1531.6505368534229</v>
      </c>
      <c r="R54" s="14">
        <f>'[1]功能-行军令'!O54</f>
        <v>1938.1905454352827</v>
      </c>
      <c r="S54" s="14">
        <f>'[1]功能-行军令'!P54</f>
        <v>2164.3320878515306</v>
      </c>
      <c r="T54" s="14">
        <f>'[1]功能-行军令'!Q54</f>
        <v>1811.4964086368636</v>
      </c>
      <c r="U54" s="14">
        <f>'[1]功能-行军令'!R54</f>
        <v>1014.1224688260519</v>
      </c>
      <c r="V54" s="14">
        <f>'[1]功能-行军令'!S54</f>
        <v>105.65053685342286</v>
      </c>
      <c r="W54" s="14">
        <f>'[1]功能-行军令'!T54</f>
        <v>126.83884543528279</v>
      </c>
      <c r="X54" s="14">
        <f>'[1]功能-行军令'!U54</f>
        <v>143.64978785153039</v>
      </c>
      <c r="Y54" s="14">
        <f>'[1]功能-行军令'!V54</f>
        <v>123.67660863686388</v>
      </c>
      <c r="Z54" s="14">
        <f>'[1]功能-行军令'!W54</f>
        <v>67.717268826051964</v>
      </c>
      <c r="AC54" s="14">
        <v>51</v>
      </c>
      <c r="AD54" s="14">
        <v>1615908</v>
      </c>
      <c r="AE54" s="14">
        <v>1680030</v>
      </c>
      <c r="AF54" s="14">
        <v>1906920</v>
      </c>
      <c r="AG54" s="14">
        <v>2164620</v>
      </c>
      <c r="AH54" s="14">
        <v>2370354</v>
      </c>
      <c r="AK54" s="14">
        <v>51</v>
      </c>
      <c r="AL54" s="14">
        <f>'[1]功能-付费相关'!AH56</f>
        <v>7.2178555772002351E-3</v>
      </c>
      <c r="AM54" s="14">
        <f>'[1]功能-付费相关'!AI56</f>
        <v>7.2178555772002351E-3</v>
      </c>
      <c r="AN54" s="14">
        <f>'[1]功能-付费相关'!AJ56</f>
        <v>7.2178555772002351E-3</v>
      </c>
      <c r="AO54" s="14">
        <f>'[1]功能-付费相关'!AK56</f>
        <v>7.2178555772002351E-3</v>
      </c>
      <c r="AP54" s="14">
        <f>'[1]功能-付费相关'!AL56</f>
        <v>7.2178555772002351E-3</v>
      </c>
      <c r="AS54" s="14">
        <v>51</v>
      </c>
      <c r="AT54" s="14">
        <f>'[1]功能-城建'!GF54</f>
        <v>1207172.2210904155</v>
      </c>
      <c r="AU54" s="14">
        <f>'[1]功能-城建'!GG54</f>
        <v>1049544.1180495638</v>
      </c>
      <c r="AV54" s="14">
        <f>'[1]功能-城建'!GH54</f>
        <v>882398.74884708971</v>
      </c>
      <c r="AW54" s="14">
        <f>'[1]功能-城建'!GI54</f>
        <v>700273.76851474773</v>
      </c>
      <c r="AX54" s="14">
        <f>'[1]功能-城建'!GJ54</f>
        <v>403813.26710541174</v>
      </c>
    </row>
    <row r="55" spans="2:50" x14ac:dyDescent="0.15">
      <c r="B55" s="14">
        <v>52</v>
      </c>
      <c r="C55" s="14">
        <f>'[1]资源-钻石'!L55</f>
        <v>230668.86999592787</v>
      </c>
      <c r="D55" s="14">
        <f>'[1]资源-钻石'!M55</f>
        <v>277975.98214441777</v>
      </c>
      <c r="E55" s="14">
        <f>'[1]资源-钻石'!N55</f>
        <v>380065.35549023282</v>
      </c>
      <c r="F55" s="14">
        <f>'[1]资源-钻石'!O55</f>
        <v>747011.80733607896</v>
      </c>
      <c r="G55" s="14">
        <f>'[1]资源-钻石'!P55</f>
        <v>1068552.2196363551</v>
      </c>
      <c r="I55" s="14">
        <v>52</v>
      </c>
      <c r="J55" s="14">
        <f>'[1]资源-钻石'!T55</f>
        <v>326940.1802995365</v>
      </c>
      <c r="K55" s="14">
        <f>'[1]资源-钻石'!U55</f>
        <v>449514.19832949014</v>
      </c>
      <c r="L55" s="14">
        <f>'[1]资源-钻石'!V55</f>
        <v>732647.61816243932</v>
      </c>
      <c r="M55" s="14">
        <f>'[1]资源-钻石'!W55</f>
        <v>1876982.3799786831</v>
      </c>
      <c r="N55" s="14">
        <f>'[1]资源-钻石'!X55</f>
        <v>4410923.1179765519</v>
      </c>
      <c r="P55" s="14">
        <v>52</v>
      </c>
      <c r="Q55" s="14">
        <f>'[1]功能-行军令'!N55</f>
        <v>1644.8839785556356</v>
      </c>
      <c r="R55" s="14">
        <f>'[1]功能-行军令'!O55</f>
        <v>2082.4374201903788</v>
      </c>
      <c r="S55" s="14">
        <f>'[1]功能-行军令'!P55</f>
        <v>2330.1962815429533</v>
      </c>
      <c r="T55" s="14">
        <f>'[1]功能-行军令'!Q55</f>
        <v>1949.8383165103787</v>
      </c>
      <c r="U55" s="14">
        <f>'[1]功能-行军令'!R55</f>
        <v>1088.7272503975591</v>
      </c>
      <c r="V55" s="14">
        <f>'[1]功能-行军令'!S55</f>
        <v>113.23344170221276</v>
      </c>
      <c r="W55" s="14">
        <f>'[1]功能-行军令'!T55</f>
        <v>144.24687475509609</v>
      </c>
      <c r="X55" s="14">
        <f>'[1]功能-行军令'!U55</f>
        <v>165.86419369142277</v>
      </c>
      <c r="Y55" s="14">
        <f>'[1]功能-行军令'!V55</f>
        <v>138.34190787351508</v>
      </c>
      <c r="Z55" s="14">
        <f>'[1]功能-行军令'!W55</f>
        <v>74.60478157150726</v>
      </c>
      <c r="AC55" s="14">
        <v>52</v>
      </c>
      <c r="AD55" s="14">
        <v>1692720</v>
      </c>
      <c r="AE55" s="14">
        <v>1762830</v>
      </c>
      <c r="AF55" s="14">
        <v>2041872</v>
      </c>
      <c r="AG55" s="14">
        <v>2281554</v>
      </c>
      <c r="AH55" s="14">
        <v>2518104</v>
      </c>
      <c r="AK55" s="14">
        <v>52</v>
      </c>
      <c r="AL55" s="14">
        <f>'[1]功能-付费相关'!AH57</f>
        <v>7.0045357066921572E-3</v>
      </c>
      <c r="AM55" s="14">
        <f>'[1]功能-付费相关'!AI57</f>
        <v>7.0045357066921572E-3</v>
      </c>
      <c r="AN55" s="14">
        <f>'[1]功能-付费相关'!AJ57</f>
        <v>7.0045357066921572E-3</v>
      </c>
      <c r="AO55" s="14">
        <f>'[1]功能-付费相关'!AK57</f>
        <v>7.0045357066921572E-3</v>
      </c>
      <c r="AP55" s="14">
        <f>'[1]功能-付费相关'!AL57</f>
        <v>7.0045357066921572E-3</v>
      </c>
      <c r="AS55" s="14">
        <v>52</v>
      </c>
      <c r="AT55" s="14">
        <f>'[1]功能-城建'!GF55</f>
        <v>1362954.383592939</v>
      </c>
      <c r="AU55" s="14">
        <f>'[1]功能-城建'!GG55</f>
        <v>1193589.0651376899</v>
      </c>
      <c r="AV55" s="14">
        <f>'[1]功能-城建'!GH55</f>
        <v>1062988.9863828328</v>
      </c>
      <c r="AW55" s="14">
        <f>'[1]功能-城建'!GI55</f>
        <v>799424.62924125977</v>
      </c>
      <c r="AX55" s="14">
        <f>'[1]功能-城建'!GJ55</f>
        <v>445890.32558660023</v>
      </c>
    </row>
    <row r="56" spans="2:50" x14ac:dyDescent="0.15">
      <c r="B56" s="14">
        <v>53</v>
      </c>
      <c r="C56" s="14">
        <f>'[1]资源-钻石'!L56</f>
        <v>246307.06198025664</v>
      </c>
      <c r="D56" s="14">
        <f>'[1]资源-钻石'!M56</f>
        <v>297221.32820633071</v>
      </c>
      <c r="E56" s="14">
        <f>'[1]资源-钻石'!N56</f>
        <v>405310.30455440679</v>
      </c>
      <c r="F56" s="14">
        <f>'[1]资源-钻石'!O56</f>
        <v>792624.81850703747</v>
      </c>
      <c r="G56" s="14">
        <f>'[1]资源-钻石'!P56</f>
        <v>1135460.5409884979</v>
      </c>
      <c r="I56" s="14">
        <v>53</v>
      </c>
      <c r="J56" s="14">
        <f>'[1]资源-钻石'!T56</f>
        <v>332867.61345162528</v>
      </c>
      <c r="K56" s="14">
        <f>'[1]资源-钻石'!U56</f>
        <v>457714.3747967878</v>
      </c>
      <c r="L56" s="14">
        <f>'[1]资源-钻石'!V56</f>
        <v>746119.81227646663</v>
      </c>
      <c r="M56" s="14">
        <f>'[1]资源-钻石'!W56</f>
        <v>1911821.7935041133</v>
      </c>
      <c r="N56" s="14">
        <f>'[1]资源-钻石'!X56</f>
        <v>4493101.4728545249</v>
      </c>
      <c r="P56" s="14">
        <v>53</v>
      </c>
      <c r="Q56" s="14">
        <f>'[1]功能-行军令'!N56</f>
        <v>1766.2445764437161</v>
      </c>
      <c r="R56" s="14">
        <f>'[1]功能-行军令'!O56</f>
        <v>2239.6825954973315</v>
      </c>
      <c r="S56" s="14">
        <f>'[1]功能-行军令'!P56</f>
        <v>2509.806665491662</v>
      </c>
      <c r="T56" s="14">
        <f>'[1]功能-行军令'!Q56</f>
        <v>2092.9076711948587</v>
      </c>
      <c r="U56" s="14">
        <f>'[1]功能-行军令'!R56</f>
        <v>1167.8677915794442</v>
      </c>
      <c r="V56" s="14">
        <f>'[1]功能-行军令'!S56</f>
        <v>121.36059788808052</v>
      </c>
      <c r="W56" s="14">
        <f>'[1]功能-行军令'!T56</f>
        <v>157.24517530695266</v>
      </c>
      <c r="X56" s="14">
        <f>'[1]功能-行军令'!U56</f>
        <v>179.61038394870866</v>
      </c>
      <c r="Y56" s="14">
        <f>'[1]功能-行军令'!V56</f>
        <v>143.06935468448</v>
      </c>
      <c r="Z56" s="14">
        <f>'[1]功能-行军令'!W56</f>
        <v>79.140541181885055</v>
      </c>
      <c r="AC56" s="14">
        <v>53</v>
      </c>
      <c r="AD56" s="14">
        <v>1772436</v>
      </c>
      <c r="AE56" s="14">
        <v>1847922</v>
      </c>
      <c r="AF56" s="14">
        <v>2182410</v>
      </c>
      <c r="AG56" s="14">
        <v>2404428</v>
      </c>
      <c r="AH56" s="14">
        <v>2670720</v>
      </c>
      <c r="AK56" s="14">
        <v>53</v>
      </c>
      <c r="AL56" s="14">
        <f>'[1]功能-付费相关'!AH58</f>
        <v>6.7975203911404495E-3</v>
      </c>
      <c r="AM56" s="14">
        <f>'[1]功能-付费相关'!AI58</f>
        <v>6.7975203911404495E-3</v>
      </c>
      <c r="AN56" s="14">
        <f>'[1]功能-付费相关'!AJ58</f>
        <v>6.7975203911404495E-3</v>
      </c>
      <c r="AO56" s="14">
        <f>'[1]功能-付费相关'!AK58</f>
        <v>6.7975203911404495E-3</v>
      </c>
      <c r="AP56" s="14">
        <f>'[1]功能-付费相关'!AL58</f>
        <v>6.7975203911404495E-3</v>
      </c>
      <c r="AS56" s="14">
        <v>53</v>
      </c>
      <c r="AT56" s="14">
        <f>'[1]功能-城建'!GF56</f>
        <v>1462659.0319380835</v>
      </c>
      <c r="AU56" s="14">
        <f>'[1]功能-城建'!GG56</f>
        <v>1360227.2022642475</v>
      </c>
      <c r="AV56" s="14">
        <f>'[1]功能-城建'!GH56</f>
        <v>1151085.4496580977</v>
      </c>
      <c r="AW56" s="14">
        <f>'[1]功能-城建'!GI56</f>
        <v>855082.47324044816</v>
      </c>
      <c r="AX56" s="14">
        <f>'[1]功能-城建'!GJ56</f>
        <v>489728.48147467896</v>
      </c>
    </row>
    <row r="57" spans="2:50" x14ac:dyDescent="0.15">
      <c r="B57" s="14">
        <v>54</v>
      </c>
      <c r="C57" s="14">
        <f>'[1]资源-钻石'!L57</f>
        <v>263067.66115110822</v>
      </c>
      <c r="D57" s="14">
        <f>'[1]资源-钻石'!M57</f>
        <v>317881.26528289204</v>
      </c>
      <c r="E57" s="14">
        <f>'[1]资源-钻石'!N57</f>
        <v>430550.56681762933</v>
      </c>
      <c r="F57" s="14">
        <f>'[1]资源-钻石'!O57</f>
        <v>840003.48785740929</v>
      </c>
      <c r="G57" s="14">
        <f>'[1]资源-钻石'!P57</f>
        <v>1202787.5913941714</v>
      </c>
      <c r="I57" s="14">
        <v>54</v>
      </c>
      <c r="J57" s="14">
        <f>'[1]资源-钻石'!T57</f>
        <v>338795.04660371406</v>
      </c>
      <c r="K57" s="14">
        <f>'[1]资源-钻石'!U57</f>
        <v>465914.55126408546</v>
      </c>
      <c r="L57" s="14">
        <f>'[1]资源-钻石'!V57</f>
        <v>759592.00639049406</v>
      </c>
      <c r="M57" s="14">
        <f>'[1]资源-钻石'!W57</f>
        <v>1946661.2070295434</v>
      </c>
      <c r="N57" s="14">
        <f>'[1]资源-钻石'!X57</f>
        <v>4575279.8277324978</v>
      </c>
      <c r="P57" s="14">
        <v>54</v>
      </c>
      <c r="Q57" s="14">
        <f>'[1]功能-行军令'!N57</f>
        <v>1896.3156446577002</v>
      </c>
      <c r="R57" s="14">
        <f>'[1]功能-行军令'!O57</f>
        <v>2408.4857657278585</v>
      </c>
      <c r="S57" s="14">
        <f>'[1]功能-行军令'!P57</f>
        <v>2689.3837042307518</v>
      </c>
      <c r="T57" s="14">
        <f>'[1]功能-行军令'!Q57</f>
        <v>2241.5151732157478</v>
      </c>
      <c r="U57" s="14">
        <f>'[1]功能-行军令'!R57</f>
        <v>1247.5036141140115</v>
      </c>
      <c r="V57" s="14">
        <f>'[1]功能-行军令'!S57</f>
        <v>130.07106821398406</v>
      </c>
      <c r="W57" s="14">
        <f>'[1]功能-行军令'!T57</f>
        <v>168.80317023052703</v>
      </c>
      <c r="X57" s="14">
        <f>'[1]功能-行军令'!U57</f>
        <v>179.57703873908986</v>
      </c>
      <c r="Y57" s="14">
        <f>'[1]功能-行军令'!V57</f>
        <v>148.60750202088911</v>
      </c>
      <c r="Z57" s="14">
        <f>'[1]功能-行军令'!W57</f>
        <v>79.635822534567296</v>
      </c>
      <c r="AC57" s="14">
        <v>54</v>
      </c>
      <c r="AD57" s="14">
        <v>1856712</v>
      </c>
      <c r="AE57" s="14">
        <v>1940196</v>
      </c>
      <c r="AF57" s="14">
        <v>2274204</v>
      </c>
      <c r="AG57" s="14">
        <v>2541048</v>
      </c>
      <c r="AH57" s="14">
        <v>2828196</v>
      </c>
      <c r="AK57" s="14">
        <v>54</v>
      </c>
      <c r="AL57" s="14">
        <f>'[1]功能-付费相关'!AH59</f>
        <v>6.5966233027871567E-3</v>
      </c>
      <c r="AM57" s="14">
        <f>'[1]功能-付费相关'!AI59</f>
        <v>6.5966233027871567E-3</v>
      </c>
      <c r="AN57" s="14">
        <f>'[1]功能-付费相关'!AJ59</f>
        <v>6.5966233027871567E-3</v>
      </c>
      <c r="AO57" s="14">
        <f>'[1]功能-付费相关'!AK59</f>
        <v>6.5966233027871567E-3</v>
      </c>
      <c r="AP57" s="14">
        <f>'[1]功能-付费相关'!AL59</f>
        <v>6.5966233027871567E-3</v>
      </c>
      <c r="AS57" s="14">
        <v>54</v>
      </c>
      <c r="AT57" s="14">
        <f>'[1]功能-城建'!GF57</f>
        <v>1625338.6446043756</v>
      </c>
      <c r="AU57" s="14">
        <f>'[1]功能-城建'!GG57</f>
        <v>1469343.4160961676</v>
      </c>
      <c r="AV57" s="14">
        <f>'[1]功能-城建'!GH57</f>
        <v>1212560.6773193069</v>
      </c>
      <c r="AW57" s="14">
        <f>'[1]功能-城建'!GI57</f>
        <v>892002.61983056925</v>
      </c>
      <c r="AX57" s="14">
        <f>'[1]功能-城建'!GJ57</f>
        <v>501009.83497475367</v>
      </c>
    </row>
    <row r="58" spans="2:50" x14ac:dyDescent="0.15">
      <c r="B58" s="14">
        <v>55</v>
      </c>
      <c r="C58" s="14">
        <f>'[1]资源-钻石'!L58</f>
        <v>281031.2265586346</v>
      </c>
      <c r="D58" s="14">
        <f>'[1]资源-钻石'!M58</f>
        <v>339079.83026278776</v>
      </c>
      <c r="E58" s="14">
        <f>'[1]资源-钻石'!N58</f>
        <v>458383.46979831893</v>
      </c>
      <c r="F58" s="14">
        <f>'[1]资源-钻石'!O58</f>
        <v>889923.62534934084</v>
      </c>
      <c r="G58" s="14">
        <f>'[1]资源-钻石'!P58</f>
        <v>1275312.4499331585</v>
      </c>
      <c r="I58" s="14">
        <v>55</v>
      </c>
      <c r="J58" s="14">
        <f>'[1]资源-钻石'!T58</f>
        <v>344722.47975580284</v>
      </c>
      <c r="K58" s="14">
        <f>'[1]资源-钻石'!U58</f>
        <v>474114.72773138311</v>
      </c>
      <c r="L58" s="14">
        <f>'[1]资源-钻石'!V58</f>
        <v>773064.20050452149</v>
      </c>
      <c r="M58" s="14">
        <f>'[1]资源-钻石'!W58</f>
        <v>1981500.6205549736</v>
      </c>
      <c r="N58" s="14">
        <f>'[1]资源-钻石'!X58</f>
        <v>4657458.1826104717</v>
      </c>
      <c r="P58" s="14">
        <v>55</v>
      </c>
      <c r="Q58" s="14">
        <f>'[1]功能-行军令'!N58</f>
        <v>2035.7223638131961</v>
      </c>
      <c r="R58" s="14">
        <f>'[1]功能-行军令'!O58</f>
        <v>2581.6898253376967</v>
      </c>
      <c r="S58" s="14">
        <f>'[1]功能-行军令'!P58</f>
        <v>2879.4407739457738</v>
      </c>
      <c r="T58" s="14">
        <f>'[1]功能-行军令'!Q58</f>
        <v>2398.0942210221438</v>
      </c>
      <c r="U58" s="14">
        <f>'[1]功能-行军令'!R58</f>
        <v>1333.2875112126535</v>
      </c>
      <c r="V58" s="14">
        <f>'[1]功能-行军令'!S58</f>
        <v>139.40671915549592</v>
      </c>
      <c r="W58" s="14">
        <f>'[1]功能-行军令'!T58</f>
        <v>173.20405960983817</v>
      </c>
      <c r="X58" s="14">
        <f>'[1]功能-行军令'!U58</f>
        <v>190.05706971502195</v>
      </c>
      <c r="Y58" s="14">
        <f>'[1]功能-行军令'!V58</f>
        <v>156.57904780639592</v>
      </c>
      <c r="Z58" s="14">
        <f>'[1]功能-行军令'!W58</f>
        <v>85.783897098642001</v>
      </c>
      <c r="AC58" s="14">
        <v>55</v>
      </c>
      <c r="AD58" s="14">
        <v>1947024</v>
      </c>
      <c r="AE58" s="14">
        <v>2036280</v>
      </c>
      <c r="AF58" s="14">
        <v>2354814</v>
      </c>
      <c r="AG58" s="14">
        <v>2681880</v>
      </c>
      <c r="AH58" s="14">
        <v>2992356</v>
      </c>
      <c r="AK58" s="14">
        <v>55</v>
      </c>
      <c r="AL58" s="14">
        <f>'[1]功能-付费相关'!AH60</f>
        <v>6.4016636206918037E-3</v>
      </c>
      <c r="AM58" s="14">
        <f>'[1]功能-付费相关'!AI60</f>
        <v>6.4016636206918037E-3</v>
      </c>
      <c r="AN58" s="14">
        <f>'[1]功能-付费相关'!AJ60</f>
        <v>6.4016636206918037E-3</v>
      </c>
      <c r="AO58" s="14">
        <f>'[1]功能-付费相关'!AK60</f>
        <v>6.4016636206918037E-3</v>
      </c>
      <c r="AP58" s="14">
        <f>'[1]功能-付费相关'!AL60</f>
        <v>6.4016636206918037E-3</v>
      </c>
      <c r="AS58" s="14">
        <v>55</v>
      </c>
      <c r="AT58" s="14">
        <f>'[1]功能-城建'!GF58</f>
        <v>1767434.7524235919</v>
      </c>
      <c r="AU58" s="14">
        <f>'[1]功能-城建'!GG58</f>
        <v>1561643.3085142411</v>
      </c>
      <c r="AV58" s="14">
        <f>'[1]功能-城建'!GH58</f>
        <v>1285704.748533709</v>
      </c>
      <c r="AW58" s="14">
        <f>'[1]功能-城建'!GI58</f>
        <v>985079.83474314958</v>
      </c>
      <c r="AX58" s="14">
        <f>'[1]功能-城建'!GJ58</f>
        <v>547612.04546805844</v>
      </c>
    </row>
    <row r="59" spans="2:50" x14ac:dyDescent="0.15">
      <c r="B59" s="14">
        <v>56</v>
      </c>
      <c r="C59" s="14">
        <f>'[1]资源-钻石'!L59</f>
        <v>300284.09925495624</v>
      </c>
      <c r="D59" s="14">
        <f>'[1]资源-钻石'!M59</f>
        <v>361569.73287572316</v>
      </c>
      <c r="E59" s="14">
        <f>'[1]资源-钻石'!N59</f>
        <v>488647.19172683056</v>
      </c>
      <c r="F59" s="14">
        <f>'[1]资源-钻石'!O59</f>
        <v>943386.46165567264</v>
      </c>
      <c r="G59" s="14">
        <f>'[1]资源-钻石'!P59</f>
        <v>1353080.501680641</v>
      </c>
      <c r="I59" s="14">
        <v>56</v>
      </c>
      <c r="J59" s="14">
        <f>'[1]资源-钻石'!T59</f>
        <v>350649.91290789162</v>
      </c>
      <c r="K59" s="14">
        <f>'[1]资源-钻石'!U59</f>
        <v>482314.90419868077</v>
      </c>
      <c r="L59" s="14">
        <f>'[1]资源-钻石'!V59</f>
        <v>786536.39461854892</v>
      </c>
      <c r="M59" s="14">
        <f>'[1]资源-钻石'!W59</f>
        <v>2016340.0340804036</v>
      </c>
      <c r="N59" s="14">
        <f>'[1]资源-钻石'!X59</f>
        <v>4739636.5374884447</v>
      </c>
      <c r="P59" s="14">
        <v>56</v>
      </c>
      <c r="Q59" s="14">
        <f>'[1]功能-行军令'!N59</f>
        <v>2185.1347859033053</v>
      </c>
      <c r="R59" s="14">
        <f>'[1]功能-行军令'!O59</f>
        <v>2765.4448312300565</v>
      </c>
      <c r="S59" s="14">
        <f>'[1]功能-行军令'!P59</f>
        <v>3083.8617221732834</v>
      </c>
      <c r="T59" s="14">
        <f>'[1]功能-行军令'!Q59</f>
        <v>2565.7852656076611</v>
      </c>
      <c r="U59" s="14">
        <f>'[1]功能-行军令'!R59</f>
        <v>1425.2731652774821</v>
      </c>
      <c r="V59" s="14">
        <f>'[1]功能-行军令'!S59</f>
        <v>149.4124220901092</v>
      </c>
      <c r="W59" s="14">
        <f>'[1]功能-行军令'!T59</f>
        <v>183.7550058923598</v>
      </c>
      <c r="X59" s="14">
        <f>'[1]功能-行军令'!U59</f>
        <v>204.4209482275096</v>
      </c>
      <c r="Y59" s="14">
        <f>'[1]功能-行军令'!V59</f>
        <v>167.69104458551737</v>
      </c>
      <c r="Z59" s="14">
        <f>'[1]功能-行军令'!W59</f>
        <v>91.985654064828623</v>
      </c>
      <c r="AC59" s="14">
        <v>56</v>
      </c>
      <c r="AD59" s="14">
        <v>2040072</v>
      </c>
      <c r="AE59" s="14">
        <v>2135694</v>
      </c>
      <c r="AF59" s="14">
        <v>2437554</v>
      </c>
      <c r="AG59" s="14">
        <v>2828700</v>
      </c>
      <c r="AH59" s="14">
        <v>3163116</v>
      </c>
      <c r="AK59" s="14">
        <v>56</v>
      </c>
      <c r="AL59" s="14">
        <f>'[1]功能-付费相关'!AH61</f>
        <v>6.2124658679803329E-3</v>
      </c>
      <c r="AM59" s="14">
        <f>'[1]功能-付费相关'!AI61</f>
        <v>6.2124658679803329E-3</v>
      </c>
      <c r="AN59" s="14">
        <f>'[1]功能-付费相关'!AJ61</f>
        <v>6.2124658679803329E-3</v>
      </c>
      <c r="AO59" s="14">
        <f>'[1]功能-付费相关'!AK61</f>
        <v>6.2124658679803329E-3</v>
      </c>
      <c r="AP59" s="14">
        <f>'[1]功能-付费相关'!AL61</f>
        <v>6.2124658679803329E-3</v>
      </c>
      <c r="AS59" s="14">
        <v>56</v>
      </c>
      <c r="AT59" s="14">
        <f>'[1]功能-城建'!GF59</f>
        <v>1940301.4618583098</v>
      </c>
      <c r="AU59" s="14">
        <f>'[1]功能-城建'!GG59</f>
        <v>1688351.9645871148</v>
      </c>
      <c r="AV59" s="14">
        <f>'[1]功能-城建'!GH59</f>
        <v>1428947.8413996138</v>
      </c>
      <c r="AW59" s="14">
        <f>'[1]功能-城建'!GI59</f>
        <v>1054988.3193341289</v>
      </c>
      <c r="AX59" s="14">
        <f>'[1]功能-城建'!GJ59</f>
        <v>607641.15558941197</v>
      </c>
    </row>
    <row r="60" spans="2:50" x14ac:dyDescent="0.15">
      <c r="B60" s="14">
        <v>57</v>
      </c>
      <c r="C60" s="14">
        <f>'[1]资源-钻石'!L60</f>
        <v>320918.81728846359</v>
      </c>
      <c r="D60" s="14">
        <f>'[1]资源-钻石'!M60</f>
        <v>386457.52842069557</v>
      </c>
      <c r="E60" s="14">
        <f>'[1]资源-钻石'!N60</f>
        <v>521349.89331484796</v>
      </c>
      <c r="F60" s="14">
        <f>'[1]资源-钻石'!O60</f>
        <v>1000990.4333649687</v>
      </c>
      <c r="G60" s="14">
        <f>'[1]资源-钻石'!P60</f>
        <v>1430246.2374665507</v>
      </c>
      <c r="I60" s="14">
        <v>57</v>
      </c>
      <c r="J60" s="14">
        <f>'[1]资源-钻石'!T60</f>
        <v>356577.34605998034</v>
      </c>
      <c r="K60" s="14">
        <f>'[1]资源-钻石'!U60</f>
        <v>490515.08066597843</v>
      </c>
      <c r="L60" s="14">
        <f>'[1]资源-钻石'!V60</f>
        <v>800008.58873257635</v>
      </c>
      <c r="M60" s="14">
        <f>'[1]资源-钻石'!W60</f>
        <v>2051179.4476058339</v>
      </c>
      <c r="N60" s="14">
        <f>'[1]资源-钻石'!X60</f>
        <v>4821814.8923664177</v>
      </c>
      <c r="P60" s="14">
        <v>57</v>
      </c>
      <c r="Q60" s="14">
        <f>'[1]功能-行军令'!N60</f>
        <v>2345.2710548727578</v>
      </c>
      <c r="R60" s="14">
        <f>'[1]功能-行军令'!O60</f>
        <v>2968.7919553027004</v>
      </c>
      <c r="S60" s="14">
        <f>'[1]功能-行军令'!P60</f>
        <v>3304.7571323285597</v>
      </c>
      <c r="T60" s="14">
        <f>'[1]功能-行军令'!Q60</f>
        <v>2746.4653577160998</v>
      </c>
      <c r="U60" s="14">
        <f>'[1]功能-行军令'!R60</f>
        <v>1526.0474817443567</v>
      </c>
      <c r="V60" s="14">
        <f>'[1]功能-行军令'!S60</f>
        <v>160.13626896945243</v>
      </c>
      <c r="W60" s="14">
        <f>'[1]功能-行军令'!T60</f>
        <v>203.34712407264396</v>
      </c>
      <c r="X60" s="14">
        <f>'[1]功能-行军令'!U60</f>
        <v>220.89541015527629</v>
      </c>
      <c r="Y60" s="14">
        <f>'[1]功能-行军令'!V60</f>
        <v>180.68009210843866</v>
      </c>
      <c r="Z60" s="14">
        <f>'[1]功能-行军令'!W60</f>
        <v>100.77431646687455</v>
      </c>
      <c r="AC60" s="14">
        <v>57</v>
      </c>
      <c r="AD60" s="14">
        <v>2135388</v>
      </c>
      <c r="AE60" s="14">
        <v>2239032</v>
      </c>
      <c r="AF60" s="14">
        <v>2523144</v>
      </c>
      <c r="AG60" s="14">
        <v>2981628</v>
      </c>
      <c r="AH60" s="14">
        <v>3340944</v>
      </c>
      <c r="AK60" s="14">
        <v>57</v>
      </c>
      <c r="AL60" s="14">
        <f>'[1]功能-付费相关'!AH62</f>
        <v>6.0288597539040695E-3</v>
      </c>
      <c r="AM60" s="14">
        <f>'[1]功能-付费相关'!AI62</f>
        <v>6.0288597539040695E-3</v>
      </c>
      <c r="AN60" s="14">
        <f>'[1]功能-付费相关'!AJ62</f>
        <v>6.0288597539040695E-3</v>
      </c>
      <c r="AO60" s="14">
        <f>'[1]功能-付费相关'!AK62</f>
        <v>6.0288597539040695E-3</v>
      </c>
      <c r="AP60" s="14">
        <f>'[1]功能-付费相关'!AL62</f>
        <v>6.0288597539040695E-3</v>
      </c>
      <c r="AS60" s="14">
        <v>57</v>
      </c>
      <c r="AT60" s="14">
        <f>'[1]功能-城建'!GF60</f>
        <v>2143041.0255998895</v>
      </c>
      <c r="AU60" s="14">
        <f>'[1]功能-城建'!GG60</f>
        <v>1901464.7932255566</v>
      </c>
      <c r="AV60" s="14">
        <f>'[1]功能-城建'!GH60</f>
        <v>1572969.5140727349</v>
      </c>
      <c r="AW60" s="14">
        <f>'[1]功能-城建'!GI60</f>
        <v>1177682.4978278633</v>
      </c>
      <c r="AX60" s="14">
        <f>'[1]功能-城建'!GJ60</f>
        <v>667856.09690825827</v>
      </c>
    </row>
    <row r="61" spans="2:50" x14ac:dyDescent="0.15">
      <c r="B61" s="14">
        <v>58</v>
      </c>
      <c r="C61" s="14">
        <f>'[1]资源-钻石'!L61</f>
        <v>343034.56048369553</v>
      </c>
      <c r="D61" s="14">
        <f>'[1]资源-钻石'!M61</f>
        <v>412285.36232209357</v>
      </c>
      <c r="E61" s="14">
        <f>'[1]资源-钻石'!N61</f>
        <v>556343.42493231257</v>
      </c>
      <c r="F61" s="14">
        <f>'[1]资源-钻石'!O61</f>
        <v>1063632.0609803707</v>
      </c>
      <c r="G61" s="14">
        <f>'[1]资源-钻石'!P61</f>
        <v>1510608.8710470924</v>
      </c>
      <c r="I61" s="14">
        <v>58</v>
      </c>
      <c r="J61" s="14">
        <f>'[1]资源-钻石'!T61</f>
        <v>362504.77921206912</v>
      </c>
      <c r="K61" s="14">
        <f>'[1]资源-钻石'!U61</f>
        <v>498715.25713327609</v>
      </c>
      <c r="L61" s="14">
        <f>'[1]资源-钻石'!V61</f>
        <v>813480.78284660366</v>
      </c>
      <c r="M61" s="14">
        <f>'[1]资源-钻石'!W61</f>
        <v>2086018.8611312639</v>
      </c>
      <c r="N61" s="14">
        <f>'[1]资源-钻石'!X61</f>
        <v>4903993.2472443907</v>
      </c>
      <c r="P61" s="14">
        <v>58</v>
      </c>
      <c r="Q61" s="14">
        <f>'[1]功能-行军令'!N61</f>
        <v>2516.9008583437885</v>
      </c>
      <c r="R61" s="14">
        <f>'[1]功能-行军令'!O61</f>
        <v>3179.8197152899115</v>
      </c>
      <c r="S61" s="14">
        <f>'[1]功能-行军令'!P61</f>
        <v>3541.126305028768</v>
      </c>
      <c r="T61" s="14">
        <f>'[1]功能-行军令'!Q61</f>
        <v>2942.9465153781307</v>
      </c>
      <c r="U61" s="14">
        <f>'[1]功能-行军令'!R61</f>
        <v>1633.2169669792843</v>
      </c>
      <c r="V61" s="14">
        <f>'[1]功能-行军令'!S61</f>
        <v>171.62980347103075</v>
      </c>
      <c r="W61" s="14">
        <f>'[1]功能-行军令'!T61</f>
        <v>211.02775998721108</v>
      </c>
      <c r="X61" s="14">
        <f>'[1]功能-行军令'!U61</f>
        <v>236.36917270020831</v>
      </c>
      <c r="Y61" s="14">
        <f>'[1]功能-行军令'!V61</f>
        <v>196.48115766203091</v>
      </c>
      <c r="Z61" s="14">
        <f>'[1]功能-行军令'!W61</f>
        <v>107.16948523492761</v>
      </c>
      <c r="AC61" s="14">
        <v>58</v>
      </c>
      <c r="AD61" s="14">
        <v>2234268</v>
      </c>
      <c r="AE61" s="14">
        <v>2344770</v>
      </c>
      <c r="AF61" s="14">
        <v>2612154</v>
      </c>
      <c r="AG61" s="14">
        <v>3141492</v>
      </c>
      <c r="AH61" s="14">
        <v>3523974</v>
      </c>
      <c r="AK61" s="14">
        <v>58</v>
      </c>
      <c r="AL61" s="14">
        <f>'[1]功能-付费相关'!AH63</f>
        <v>5.8506800205665628E-3</v>
      </c>
      <c r="AM61" s="14">
        <f>'[1]功能-付费相关'!AI63</f>
        <v>5.8506800205665628E-3</v>
      </c>
      <c r="AN61" s="14">
        <f>'[1]功能-付费相关'!AJ63</f>
        <v>5.8506800205665628E-3</v>
      </c>
      <c r="AO61" s="14">
        <f>'[1]功能-付费相关'!AK63</f>
        <v>5.8506800205665628E-3</v>
      </c>
      <c r="AP61" s="14">
        <f>'[1]功能-付费相关'!AL63</f>
        <v>5.8506800205665628E-3</v>
      </c>
      <c r="AS61" s="14">
        <v>58</v>
      </c>
      <c r="AT61" s="14">
        <f>'[1]功能-城建'!GF61</f>
        <v>2316433.9733255096</v>
      </c>
      <c r="AU61" s="14">
        <f>'[1]功能-城建'!GG61</f>
        <v>2040984.902562879</v>
      </c>
      <c r="AV61" s="14">
        <f>'[1]功能-城建'!GH61</f>
        <v>1709512.9251941442</v>
      </c>
      <c r="AW61" s="14">
        <f>'[1]功能-城建'!GI61</f>
        <v>1297920.1910023876</v>
      </c>
      <c r="AX61" s="14">
        <f>'[1]功能-城建'!GJ61</f>
        <v>741654.45704326499</v>
      </c>
    </row>
    <row r="62" spans="2:50" x14ac:dyDescent="0.15">
      <c r="B62" s="14">
        <v>59</v>
      </c>
      <c r="C62" s="14">
        <f>'[1]资源-钻石'!L62</f>
        <v>366737.62714461319</v>
      </c>
      <c r="D62" s="14">
        <f>'[1]资源-钻石'!M62</f>
        <v>440824.98876863928</v>
      </c>
      <c r="E62" s="14">
        <f>'[1]资源-钻石'!N62</f>
        <v>594262.8435954958</v>
      </c>
      <c r="F62" s="14">
        <f>'[1]资源-钻石'!O62</f>
        <v>1131686.0200432963</v>
      </c>
      <c r="G62" s="14">
        <f>'[1]资源-钻石'!P62</f>
        <v>1599208.7971112158</v>
      </c>
      <c r="I62" s="14">
        <v>59</v>
      </c>
      <c r="J62" s="14">
        <f>'[1]资源-钻石'!T62</f>
        <v>368432.21236415789</v>
      </c>
      <c r="K62" s="14">
        <f>'[1]资源-钻石'!U62</f>
        <v>506915.43360057374</v>
      </c>
      <c r="L62" s="14">
        <f>'[1]资源-钻石'!V62</f>
        <v>826952.97696063109</v>
      </c>
      <c r="M62" s="14">
        <f>'[1]资源-钻石'!W62</f>
        <v>2120858.2746566939</v>
      </c>
      <c r="N62" s="14">
        <f>'[1]资源-钻石'!X62</f>
        <v>4986171.6021223646</v>
      </c>
      <c r="P62" s="14">
        <v>59</v>
      </c>
      <c r="Q62" s="14">
        <f>'[1]功能-行军令'!N62</f>
        <v>2700.8491270843624</v>
      </c>
      <c r="R62" s="14">
        <f>'[1]功能-行军令'!O62</f>
        <v>3413.0043277850505</v>
      </c>
      <c r="S62" s="14">
        <f>'[1]功能-行军令'!P62</f>
        <v>3797.2588302242589</v>
      </c>
      <c r="T62" s="14">
        <f>'[1]功能-行军令'!Q62</f>
        <v>3152.5896292338052</v>
      </c>
      <c r="U62" s="14">
        <f>'[1]功能-行军令'!R62</f>
        <v>1751.3714878690009</v>
      </c>
      <c r="V62" s="14">
        <f>'[1]功能-行军令'!S62</f>
        <v>183.94826874057389</v>
      </c>
      <c r="W62" s="14">
        <f>'[1]功能-行军令'!T62</f>
        <v>233.18461249513894</v>
      </c>
      <c r="X62" s="14">
        <f>'[1]功能-行军令'!U62</f>
        <v>256.13252519549087</v>
      </c>
      <c r="Y62" s="14">
        <f>'[1]功能-行军令'!V62</f>
        <v>209.64311385567453</v>
      </c>
      <c r="Z62" s="14">
        <f>'[1]功能-行军令'!W62</f>
        <v>118.15452088971665</v>
      </c>
      <c r="AC62" s="14">
        <v>59</v>
      </c>
      <c r="AD62" s="14">
        <v>2335788</v>
      </c>
      <c r="AE62" s="14">
        <v>2454318</v>
      </c>
      <c r="AF62" s="14">
        <v>2704764</v>
      </c>
      <c r="AG62" s="14">
        <v>3310020</v>
      </c>
      <c r="AH62" s="14">
        <v>3714690</v>
      </c>
      <c r="AK62" s="14">
        <v>59</v>
      </c>
      <c r="AL62" s="14">
        <f>'[1]功能-付费相关'!AH64</f>
        <v>5.6777662941803137E-3</v>
      </c>
      <c r="AM62" s="14">
        <f>'[1]功能-付费相关'!AI64</f>
        <v>5.6777662941803137E-3</v>
      </c>
      <c r="AN62" s="14">
        <f>'[1]功能-付费相关'!AJ64</f>
        <v>5.6777662941803137E-3</v>
      </c>
      <c r="AO62" s="14">
        <f>'[1]功能-付费相关'!AK64</f>
        <v>5.6777662941803137E-3</v>
      </c>
      <c r="AP62" s="14">
        <f>'[1]功能-付费相关'!AL64</f>
        <v>5.6777662941803137E-3</v>
      </c>
      <c r="AS62" s="14">
        <v>59</v>
      </c>
      <c r="AT62" s="14">
        <f>'[1]功能-城建'!GF62</f>
        <v>2591271.2639976479</v>
      </c>
      <c r="AU62" s="14">
        <f>'[1]功能-城建'!GG62</f>
        <v>2259825.8077176996</v>
      </c>
      <c r="AV62" s="14">
        <f>'[1]功能-城建'!GH62</f>
        <v>1915083.188384749</v>
      </c>
      <c r="AW62" s="14">
        <f>'[1]功能-城建'!GI62</f>
        <v>1420794.8344904855</v>
      </c>
      <c r="AX62" s="14">
        <f>'[1]功能-城建'!GJ62</f>
        <v>817675.16980766878</v>
      </c>
    </row>
    <row r="63" spans="2:50" x14ac:dyDescent="0.15">
      <c r="B63" s="14">
        <v>60</v>
      </c>
      <c r="C63" s="14">
        <f>'[1]资源-钻石'!L63</f>
        <v>392141.94497251301</v>
      </c>
      <c r="D63" s="14">
        <f>'[1]资源-钻石'!M63</f>
        <v>470748.55529155745</v>
      </c>
      <c r="E63" s="14">
        <f>'[1]资源-钻石'!N63</f>
        <v>634535.01730762306</v>
      </c>
      <c r="F63" s="14">
        <f>'[1]资源-钻石'!O63</f>
        <v>1208427.9701910885</v>
      </c>
      <c r="G63" s="14">
        <f>'[1]资源-钻石'!P63</f>
        <v>1697506.6441617273</v>
      </c>
      <c r="I63" s="14">
        <v>60</v>
      </c>
      <c r="J63" s="14">
        <f>'[1]资源-钻石'!T63</f>
        <v>374359.64551624667</v>
      </c>
      <c r="K63" s="14">
        <f>'[1]资源-钻石'!U63</f>
        <v>515115.61006787134</v>
      </c>
      <c r="L63" s="14">
        <f>'[1]资源-钻石'!V63</f>
        <v>840425.17107465852</v>
      </c>
      <c r="M63" s="14">
        <f>'[1]资源-钻石'!W63</f>
        <v>2155697.6881821244</v>
      </c>
      <c r="N63" s="14">
        <f>'[1]资源-钻石'!X63</f>
        <v>5068349.9570003375</v>
      </c>
      <c r="P63" s="14">
        <v>60</v>
      </c>
      <c r="Q63" s="14">
        <f>'[1]功能-行军令'!N63</f>
        <v>2898</v>
      </c>
      <c r="R63" s="14">
        <f>'[1]功能-行军令'!O63</f>
        <v>3657.4965000000002</v>
      </c>
      <c r="S63" s="14">
        <f>'[1]功能-行军令'!P63</f>
        <v>4069.2833999999998</v>
      </c>
      <c r="T63" s="14">
        <f>'[1]功能-行军令'!Q63</f>
        <v>3379.4712</v>
      </c>
      <c r="U63" s="14">
        <f>'[1]功能-行军令'!R63</f>
        <v>1882.4589000000003</v>
      </c>
      <c r="V63" s="14">
        <f>'[1]功能-行军令'!S63</f>
        <v>197.15087291563759</v>
      </c>
      <c r="W63" s="14">
        <f>'[1]功能-行军令'!T63</f>
        <v>244.49217221494973</v>
      </c>
      <c r="X63" s="14">
        <f>'[1]功能-行军令'!U63</f>
        <v>272.02456977574093</v>
      </c>
      <c r="Y63" s="14">
        <f>'[1]功能-行军令'!V63</f>
        <v>226.88157076619473</v>
      </c>
      <c r="Z63" s="14">
        <f>'[1]功能-行军令'!W63</f>
        <v>131.08741213099938</v>
      </c>
      <c r="AC63" s="14">
        <v>60</v>
      </c>
      <c r="AD63" s="14">
        <v>2453034</v>
      </c>
      <c r="AE63" s="14">
        <v>2583450</v>
      </c>
      <c r="AF63" s="14">
        <v>2846820</v>
      </c>
      <c r="AG63" s="14">
        <v>3492300</v>
      </c>
      <c r="AH63" s="14">
        <v>3912258</v>
      </c>
      <c r="AK63" s="14">
        <v>60</v>
      </c>
      <c r="AL63" s="14">
        <f>'[1]功能-付费相关'!AH65</f>
        <v>5.5555555555555558E-3</v>
      </c>
      <c r="AM63" s="14">
        <f>'[1]功能-付费相关'!AI65</f>
        <v>5.5555555555555558E-3</v>
      </c>
      <c r="AN63" s="14">
        <f>'[1]功能-付费相关'!AJ65</f>
        <v>5.5555555555555558E-3</v>
      </c>
      <c r="AO63" s="14">
        <f>'[1]功能-付费相关'!AK65</f>
        <v>5.5555555555555558E-3</v>
      </c>
      <c r="AP63" s="14">
        <f>'[1]功能-付费相关'!AL65</f>
        <v>5.5555555555555558E-3</v>
      </c>
      <c r="AS63" s="14">
        <v>60</v>
      </c>
      <c r="AT63" s="14">
        <f>'[1]功能-城建'!GF63</f>
        <v>2777255.7749855034</v>
      </c>
      <c r="AU63" s="14">
        <f>'[1]功能-城建'!GG63</f>
        <v>2482872.745896291</v>
      </c>
      <c r="AV63" s="14">
        <f>'[1]功能-城建'!GH63</f>
        <v>2049111.5524396673</v>
      </c>
      <c r="AW63" s="14">
        <f>'[1]功能-城建'!GI63</f>
        <v>1570108.5790499393</v>
      </c>
      <c r="AX63" s="14">
        <f>'[1]功能-城建'!GJ63</f>
        <v>948604.76948955096</v>
      </c>
    </row>
    <row r="64" spans="2:50" x14ac:dyDescent="0.15">
      <c r="B64" s="14">
        <v>61</v>
      </c>
      <c r="C64" s="14">
        <f>'[1]资源-钻石'!L64</f>
        <v>419369.61865429371</v>
      </c>
      <c r="D64" s="14">
        <f>'[1]资源-钻石'!M64</f>
        <v>503609.17607035255</v>
      </c>
      <c r="E64" s="14">
        <f>'[1]资源-钻石'!N64</f>
        <v>678460.66752578062</v>
      </c>
      <c r="F64" s="14">
        <f>'[1]资源-钻石'!O64</f>
        <v>1292716.1142577378</v>
      </c>
      <c r="G64" s="14">
        <f>'[1]资源-钻石'!P64</f>
        <v>1799907.4374602123</v>
      </c>
      <c r="I64" s="14">
        <v>61</v>
      </c>
      <c r="J64" s="14">
        <f>'[1]资源-钻石'!T64</f>
        <v>380287.07866833545</v>
      </c>
      <c r="K64" s="14">
        <f>'[1]资源-钻石'!U64</f>
        <v>523315.786535169</v>
      </c>
      <c r="L64" s="14">
        <f>'[1]资源-钻石'!V64</f>
        <v>853897.36518868594</v>
      </c>
      <c r="M64" s="14">
        <f>'[1]资源-钻石'!W64</f>
        <v>2190537.1017075544</v>
      </c>
      <c r="N64" s="14">
        <f>'[1]资源-钻石'!X64</f>
        <v>5150528.3118783105</v>
      </c>
      <c r="P64" s="14">
        <v>61</v>
      </c>
      <c r="Q64" s="14">
        <f>'[1]功能-行军令'!N64</f>
        <v>3109.3010737068457</v>
      </c>
      <c r="R64" s="14">
        <f>'[1]功能-行军令'!O64</f>
        <v>3925.9860381165895</v>
      </c>
      <c r="S64" s="14">
        <f>'[1]功能-行军令'!P64</f>
        <v>4365.9859367969093</v>
      </c>
      <c r="T64" s="14">
        <f>'[1]功能-行军令'!Q64</f>
        <v>3628.6625026184524</v>
      </c>
      <c r="U64" s="14">
        <f>'[1]功能-行军令'!R64</f>
        <v>2019.01789286138</v>
      </c>
      <c r="V64" s="14">
        <f>'[1]功能-行军令'!S64</f>
        <v>211.30107370684573</v>
      </c>
      <c r="W64" s="14">
        <f>'[1]功能-行军令'!T64</f>
        <v>268.4895381165893</v>
      </c>
      <c r="X64" s="14">
        <f>'[1]功能-行军令'!U64</f>
        <v>296.7025367969095</v>
      </c>
      <c r="Y64" s="14">
        <f>'[1]功能-行军令'!V64</f>
        <v>249.19130261845248</v>
      </c>
      <c r="Z64" s="14">
        <f>'[1]功能-行军令'!W64</f>
        <v>136.55899286137969</v>
      </c>
      <c r="AC64" s="14">
        <v>61</v>
      </c>
      <c r="AD64" s="14">
        <v>2578746</v>
      </c>
      <c r="AE64" s="14">
        <v>2715888</v>
      </c>
      <c r="AF64" s="14">
        <v>2992050</v>
      </c>
      <c r="AG64" s="14">
        <v>3657060</v>
      </c>
      <c r="AH64" s="14">
        <v>4065282</v>
      </c>
      <c r="AK64" s="14">
        <v>61</v>
      </c>
      <c r="AL64" s="14">
        <f>'[1]功能-付费相关'!AH66</f>
        <v>5.5555555555555558E-3</v>
      </c>
      <c r="AM64" s="14">
        <f>'[1]功能-付费相关'!AI66</f>
        <v>5.5555555555555558E-3</v>
      </c>
      <c r="AN64" s="14">
        <f>'[1]功能-付费相关'!AJ66</f>
        <v>5.5555555555555558E-3</v>
      </c>
      <c r="AO64" s="14">
        <f>'[1]功能-付费相关'!AK66</f>
        <v>5.5555555555555558E-3</v>
      </c>
      <c r="AP64" s="14">
        <f>'[1]功能-付费相关'!AL66</f>
        <v>5.5555555555555558E-3</v>
      </c>
      <c r="AS64" s="14">
        <v>61</v>
      </c>
      <c r="AT64" s="14">
        <f>'[1]功能-城建'!GF64</f>
        <v>3109218.4902203903</v>
      </c>
      <c r="AU64" s="14">
        <f>'[1]功能-城建'!GG64</f>
        <v>2726571.3691720515</v>
      </c>
      <c r="AV64" s="14">
        <f>'[1]功能-城建'!GH64</f>
        <v>2324061.1893278807</v>
      </c>
      <c r="AW64" s="14">
        <f>'[1]功能-城建'!GI64</f>
        <v>1759735.3163261302</v>
      </c>
      <c r="AX64" s="14">
        <f>'[1]功能-城建'!GJ64</f>
        <v>992770.61994758248</v>
      </c>
    </row>
    <row r="65" spans="2:50" x14ac:dyDescent="0.15">
      <c r="B65" s="14">
        <v>62</v>
      </c>
      <c r="C65" s="14">
        <f>'[1]资源-钻石'!L65</f>
        <v>448551.51675302436</v>
      </c>
      <c r="D65" s="14">
        <f>'[1]资源-钻石'!M65</f>
        <v>538428.44644102664</v>
      </c>
      <c r="E65" s="14">
        <f>'[1]资源-钻石'!N65</f>
        <v>726027.49324814021</v>
      </c>
      <c r="F65" s="14">
        <f>'[1]资源-钻石'!O65</f>
        <v>1383881.4506917524</v>
      </c>
      <c r="G65" s="14">
        <f>'[1]资源-钻石'!P65</f>
        <v>1917460.5787300309</v>
      </c>
      <c r="I65" s="14">
        <v>62</v>
      </c>
      <c r="J65" s="14">
        <f>'[1]资源-钻石'!T65</f>
        <v>386214.51182042423</v>
      </c>
      <c r="K65" s="14">
        <f>'[1]资源-钻石'!U65</f>
        <v>531515.9630024666</v>
      </c>
      <c r="L65" s="14">
        <f>'[1]资源-钻石'!V65</f>
        <v>867369.55930271337</v>
      </c>
      <c r="M65" s="14">
        <f>'[1]资源-钻石'!W65</f>
        <v>2225376.5152329844</v>
      </c>
      <c r="N65" s="14">
        <f>'[1]资源-钻石'!X65</f>
        <v>5232706.6667562826</v>
      </c>
      <c r="P65" s="14">
        <v>62</v>
      </c>
      <c r="Q65" s="14">
        <f>'[1]功能-行军令'!N65</f>
        <v>3335.7679571112699</v>
      </c>
      <c r="R65" s="14">
        <f>'[1]功能-行军令'!O65</f>
        <v>4210.4788321605647</v>
      </c>
      <c r="S65" s="14">
        <f>'[1]功能-行军令'!P65</f>
        <v>4687.2833516127894</v>
      </c>
      <c r="T65" s="14">
        <f>'[1]功能-行军令'!Q65</f>
        <v>3898.1856863497019</v>
      </c>
      <c r="U65" s="14">
        <f>'[1]功能-行军令'!R65</f>
        <v>2175.7836567037139</v>
      </c>
      <c r="V65" s="14">
        <f>'[1]功能-行军令'!S65</f>
        <v>226.46688340442415</v>
      </c>
      <c r="W65" s="14">
        <f>'[1]功能-行军令'!T65</f>
        <v>284.49279404397521</v>
      </c>
      <c r="X65" s="14">
        <f>'[1]功能-行军令'!U65</f>
        <v>321.29741481588007</v>
      </c>
      <c r="Y65" s="14">
        <f>'[1]功能-行军令'!V65</f>
        <v>269.52318373124945</v>
      </c>
      <c r="Z65" s="14">
        <f>'[1]功能-行军令'!W65</f>
        <v>156.76576384233385</v>
      </c>
      <c r="AC65" s="14">
        <v>62</v>
      </c>
      <c r="AD65" s="14">
        <v>2708856</v>
      </c>
      <c r="AE65" s="14">
        <v>2852130</v>
      </c>
      <c r="AF65" s="14">
        <v>3143160</v>
      </c>
      <c r="AG65" s="14">
        <v>3827106</v>
      </c>
      <c r="AH65" s="14">
        <v>4222170</v>
      </c>
      <c r="AK65" s="14">
        <v>62</v>
      </c>
      <c r="AL65" s="14">
        <f>'[1]功能-付费相关'!AH67</f>
        <v>5.5555555555555558E-3</v>
      </c>
      <c r="AM65" s="14">
        <f>'[1]功能-付费相关'!AI67</f>
        <v>5.5555555555555558E-3</v>
      </c>
      <c r="AN65" s="14">
        <f>'[1]功能-付费相关'!AJ67</f>
        <v>5.5555555555555558E-3</v>
      </c>
      <c r="AO65" s="14">
        <f>'[1]功能-付费相关'!AK67</f>
        <v>5.5555555555555558E-3</v>
      </c>
      <c r="AP65" s="14">
        <f>'[1]功能-付费相关'!AL67</f>
        <v>5.5555555555555558E-3</v>
      </c>
      <c r="AS65" s="14">
        <v>62</v>
      </c>
      <c r="AT65" s="14">
        <f>'[1]功能-城建'!GF65</f>
        <v>3349740.5971384794</v>
      </c>
      <c r="AU65" s="14">
        <f>'[1]功能-城建'!GG65</f>
        <v>3013681.5131959692</v>
      </c>
      <c r="AV65" s="14">
        <f>'[1]功能-城建'!GH65</f>
        <v>2521468.464802146</v>
      </c>
      <c r="AW65" s="14">
        <f>'[1]功能-城建'!GI65</f>
        <v>1959407.378426794</v>
      </c>
      <c r="AX65" s="14">
        <f>'[1]功能-城建'!GJ65</f>
        <v>1184452.4976809695</v>
      </c>
    </row>
    <row r="66" spans="2:50" x14ac:dyDescent="0.15">
      <c r="B66" s="14">
        <v>63</v>
      </c>
      <c r="C66" s="14">
        <f>'[1]资源-钻石'!L66</f>
        <v>479827.90072168206</v>
      </c>
      <c r="D66" s="14">
        <f>'[1]资源-钻石'!M66</f>
        <v>576371.57757199276</v>
      </c>
      <c r="E66" s="14">
        <f>'[1]资源-钻石'!N66</f>
        <v>776834.77243250725</v>
      </c>
      <c r="F66" s="14">
        <f>'[1]资源-钻石'!O66</f>
        <v>1482533.5529296137</v>
      </c>
      <c r="G66" s="14">
        <f>'[1]资源-钻石'!P66</f>
        <v>2039181.1681087164</v>
      </c>
      <c r="I66" s="14">
        <v>63</v>
      </c>
      <c r="J66" s="14">
        <f>'[1]资源-钻石'!T66</f>
        <v>392141.94497251301</v>
      </c>
      <c r="K66" s="14">
        <f>'[1]资源-钻石'!U66</f>
        <v>539716.13946976431</v>
      </c>
      <c r="L66" s="14">
        <f>'[1]资源-钻石'!V66</f>
        <v>880841.7534167408</v>
      </c>
      <c r="M66" s="14">
        <f>'[1]资源-钻石'!W66</f>
        <v>2260215.9287584145</v>
      </c>
      <c r="N66" s="14">
        <f>'[1]资源-钻石'!X66</f>
        <v>5314885.0216342555</v>
      </c>
      <c r="P66" s="14">
        <v>63</v>
      </c>
      <c r="Q66" s="14">
        <f>'[1]功能-行军令'!N66</f>
        <v>3578.4891528874323</v>
      </c>
      <c r="R66" s="14">
        <f>'[1]功能-行军令'!O66</f>
        <v>4520.4953050880667</v>
      </c>
      <c r="S66" s="14">
        <f>'[1]功能-行军令'!P66</f>
        <v>5030.4689059957536</v>
      </c>
      <c r="T66" s="14">
        <f>'[1]功能-行军令'!Q66</f>
        <v>4189.8429073612688</v>
      </c>
      <c r="U66" s="14">
        <f>'[1]功能-行军令'!R66</f>
        <v>2338.1070192541943</v>
      </c>
      <c r="V66" s="14">
        <f>'[1]功能-行军令'!S66</f>
        <v>242.7211957761624</v>
      </c>
      <c r="W66" s="14">
        <f>'[1]功能-行军令'!T66</f>
        <v>310.01647292750204</v>
      </c>
      <c r="X66" s="14">
        <f>'[1]功能-行军令'!U66</f>
        <v>343.18555438296426</v>
      </c>
      <c r="Y66" s="14">
        <f>'[1]功能-行军令'!V66</f>
        <v>291.65722101156689</v>
      </c>
      <c r="Z66" s="14">
        <f>'[1]功能-行军令'!W66</f>
        <v>162.3233625504804</v>
      </c>
      <c r="AC66" s="14">
        <v>63</v>
      </c>
      <c r="AD66" s="14">
        <v>2842368</v>
      </c>
      <c r="AE66" s="14">
        <v>2994204</v>
      </c>
      <c r="AF66" s="14">
        <v>3298608</v>
      </c>
      <c r="AG66" s="14">
        <v>4003320</v>
      </c>
      <c r="AH66" s="14">
        <v>4382496</v>
      </c>
      <c r="AK66" s="14">
        <v>63</v>
      </c>
      <c r="AL66" s="14">
        <f>'[1]功能-付费相关'!AH68</f>
        <v>5.5555555555555558E-3</v>
      </c>
      <c r="AM66" s="14">
        <f>'[1]功能-付费相关'!AI68</f>
        <v>5.5555555555555558E-3</v>
      </c>
      <c r="AN66" s="14">
        <f>'[1]功能-付费相关'!AJ68</f>
        <v>5.5555555555555558E-3</v>
      </c>
      <c r="AO66" s="14">
        <f>'[1]功能-付费相关'!AK68</f>
        <v>5.5555555555555558E-3</v>
      </c>
      <c r="AP66" s="14">
        <f>'[1]功能-付费相关'!AL68</f>
        <v>5.5555555555555558E-3</v>
      </c>
      <c r="AS66" s="14">
        <v>63</v>
      </c>
      <c r="AT66" s="14">
        <f>'[1]功能-城建'!GF66</f>
        <v>3721265.8158944473</v>
      </c>
      <c r="AU66" s="14">
        <f>'[1]功能-城建'!GG66</f>
        <v>3298205.1030257158</v>
      </c>
      <c r="AV66" s="14">
        <f>'[1]功能-城建'!GH66</f>
        <v>2823926.847494103</v>
      </c>
      <c r="AW66" s="14">
        <f>'[1]功能-城建'!GI66</f>
        <v>2153355.8744446598</v>
      </c>
      <c r="AX66" s="14">
        <f>'[1]功能-城建'!GJ66</f>
        <v>1236809.4653360881</v>
      </c>
    </row>
    <row r="67" spans="2:50" x14ac:dyDescent="0.15">
      <c r="B67" s="14">
        <v>64</v>
      </c>
      <c r="C67" s="14">
        <f>'[1]资源-钻石'!L67</f>
        <v>513349.09906338493</v>
      </c>
      <c r="D67" s="14">
        <f>'[1]资源-钻石'!M67</f>
        <v>616797.17551422887</v>
      </c>
      <c r="E67" s="14">
        <f>'[1]资源-钻石'!N67</f>
        <v>831873.929931066</v>
      </c>
      <c r="F67" s="14">
        <f>'[1]资源-钻石'!O67</f>
        <v>1588465.7847522693</v>
      </c>
      <c r="G67" s="14">
        <f>'[1]资源-钻石'!P67</f>
        <v>2165992.0911573763</v>
      </c>
      <c r="I67" s="14">
        <v>64</v>
      </c>
      <c r="J67" s="14">
        <f>'[1]资源-钻石'!T67</f>
        <v>398069.37812460179</v>
      </c>
      <c r="K67" s="14">
        <f>'[1]资源-钻石'!U67</f>
        <v>547916.31593706203</v>
      </c>
      <c r="L67" s="14">
        <f>'[1]资源-钻石'!V67</f>
        <v>894313.94753076823</v>
      </c>
      <c r="M67" s="14">
        <f>'[1]资源-钻石'!W67</f>
        <v>2295055.3422838449</v>
      </c>
      <c r="N67" s="14">
        <f>'[1]资源-钻石'!X67</f>
        <v>5397063.3765122285</v>
      </c>
      <c r="P67" s="14">
        <v>64</v>
      </c>
      <c r="Q67" s="14">
        <f>'[1]功能-行军令'!N67</f>
        <v>3838.631289315399</v>
      </c>
      <c r="R67" s="14">
        <f>'[1]功能-行军令'!O67</f>
        <v>4850.7949118015804</v>
      </c>
      <c r="S67" s="14">
        <f>'[1]功能-行军令'!P67</f>
        <v>5402.2393310636253</v>
      </c>
      <c r="T67" s="14">
        <f>'[1]功能-行军令'!Q67</f>
        <v>4503.0232618402342</v>
      </c>
      <c r="U67" s="14">
        <f>'[1]功能-行军令'!R67</f>
        <v>2507.2187163176109</v>
      </c>
      <c r="V67" s="14">
        <f>'[1]功能-行军令'!S67</f>
        <v>260.14213642796676</v>
      </c>
      <c r="W67" s="14">
        <f>'[1]功能-行军令'!T67</f>
        <v>330.29960671351364</v>
      </c>
      <c r="X67" s="14">
        <f>'[1]功能-行军令'!U67</f>
        <v>371.77042506787166</v>
      </c>
      <c r="Y67" s="14">
        <f>'[1]功能-行军令'!V67</f>
        <v>313.18035447896546</v>
      </c>
      <c r="Z67" s="14">
        <f>'[1]功能-行军令'!W67</f>
        <v>169.11169706341661</v>
      </c>
      <c r="AC67" s="14">
        <v>64</v>
      </c>
      <c r="AD67" s="14">
        <v>2980998</v>
      </c>
      <c r="AE67" s="14">
        <v>3139710</v>
      </c>
      <c r="AF67" s="14">
        <v>3460584</v>
      </c>
      <c r="AG67" s="14">
        <v>4184598</v>
      </c>
      <c r="AH67" s="14">
        <v>4544202</v>
      </c>
      <c r="AK67" s="14">
        <v>64</v>
      </c>
      <c r="AL67" s="14">
        <f>'[1]功能-付费相关'!AH69</f>
        <v>5.5555555555555558E-3</v>
      </c>
      <c r="AM67" s="14">
        <f>'[1]功能-付费相关'!AI69</f>
        <v>5.5555555555555558E-3</v>
      </c>
      <c r="AN67" s="14">
        <f>'[1]功能-付费相关'!AJ69</f>
        <v>5.5555555555555558E-3</v>
      </c>
      <c r="AO67" s="14">
        <f>'[1]功能-付费相关'!AK69</f>
        <v>5.5555555555555558E-3</v>
      </c>
      <c r="AP67" s="14">
        <f>'[1]功能-付费相关'!AL69</f>
        <v>5.5555555555555558E-3</v>
      </c>
      <c r="AS67" s="14">
        <v>64</v>
      </c>
      <c r="AT67" s="14">
        <f>'[1]功能-城建'!GF67</f>
        <v>4031072.0618664101</v>
      </c>
      <c r="AU67" s="14">
        <f>'[1]功能-城建'!GG67</f>
        <v>3654319.3731249869</v>
      </c>
      <c r="AV67" s="14">
        <f>'[1]功能-城建'!GH67</f>
        <v>3059139.4977013394</v>
      </c>
      <c r="AW67" s="14">
        <f>'[1]功能-城建'!GI67</f>
        <v>2386251.8659717701</v>
      </c>
      <c r="AX67" s="14">
        <f>'[1]功能-城建'!GJ67</f>
        <v>1334194.6991029195</v>
      </c>
    </row>
    <row r="68" spans="2:50" x14ac:dyDescent="0.15">
      <c r="B68" s="14">
        <v>65</v>
      </c>
      <c r="C68" s="14">
        <f>'[1]资源-钻石'!L68</f>
        <v>549276.22987843782</v>
      </c>
      <c r="D68" s="14">
        <f>'[1]资源-钻石'!M68</f>
        <v>659845.74791183905</v>
      </c>
      <c r="E68" s="14">
        <f>'[1]资源-钻石'!N68</f>
        <v>891653.07258616271</v>
      </c>
      <c r="F68" s="14">
        <f>'[1]资源-钻石'!O68</f>
        <v>1700343.7289087544</v>
      </c>
      <c r="G68" s="14">
        <f>'[1]资源-钻石'!P68</f>
        <v>2293561.2534739906</v>
      </c>
      <c r="I68" s="14">
        <v>65</v>
      </c>
      <c r="J68" s="14">
        <f>'[1]资源-钻石'!T68</f>
        <v>403996.81127669057</v>
      </c>
      <c r="K68" s="14">
        <f>'[1]资源-钻石'!U68</f>
        <v>556116.49240435963</v>
      </c>
      <c r="L68" s="14">
        <f>'[1]资源-钻石'!V68</f>
        <v>907786.14164479566</v>
      </c>
      <c r="M68" s="14">
        <f>'[1]资源-钻石'!W68</f>
        <v>2329894.755809275</v>
      </c>
      <c r="N68" s="14">
        <f>'[1]资源-钻石'!X68</f>
        <v>5479241.7313902024</v>
      </c>
      <c r="P68" s="14">
        <v>65</v>
      </c>
      <c r="Q68" s="14">
        <f>'[1]功能-行军令'!N68</f>
        <v>4117.4447276263909</v>
      </c>
      <c r="R68" s="14">
        <f>'[1]功能-行军令'!O68</f>
        <v>5202.5256778579324</v>
      </c>
      <c r="S68" s="14">
        <f>'[1]功能-行军令'!P68</f>
        <v>5806.0267123595722</v>
      </c>
      <c r="T68" s="14">
        <f>'[1]功能-行军令'!Q68</f>
        <v>4833.7816495985917</v>
      </c>
      <c r="U68" s="14">
        <f>'[1]功能-行军令'!R68</f>
        <v>2677.3415812386629</v>
      </c>
      <c r="V68" s="14">
        <f>'[1]功能-行军令'!S68</f>
        <v>278.81343831099184</v>
      </c>
      <c r="W68" s="14">
        <f>'[1]功能-行军令'!T68</f>
        <v>351.73076605635197</v>
      </c>
      <c r="X68" s="14">
        <f>'[1]功能-行军令'!U68</f>
        <v>403.78738129594694</v>
      </c>
      <c r="Y68" s="14">
        <f>'[1]功能-行军令'!V68</f>
        <v>330.75838775835746</v>
      </c>
      <c r="Z68" s="14">
        <f>'[1]功能-行军令'!W68</f>
        <v>170.12286492105204</v>
      </c>
      <c r="AC68" s="14">
        <v>65</v>
      </c>
      <c r="AD68" s="14">
        <v>3124194</v>
      </c>
      <c r="AE68" s="14">
        <v>3287190</v>
      </c>
      <c r="AF68" s="14">
        <v>3626202</v>
      </c>
      <c r="AG68" s="14">
        <v>4358706</v>
      </c>
      <c r="AH68" s="14">
        <v>4700352</v>
      </c>
      <c r="AK68" s="14">
        <v>65</v>
      </c>
      <c r="AL68" s="14">
        <f>'[1]功能-付费相关'!AH70</f>
        <v>5.5555555555555558E-3</v>
      </c>
      <c r="AM68" s="14">
        <f>'[1]功能-付费相关'!AI70</f>
        <v>5.5555555555555558E-3</v>
      </c>
      <c r="AN68" s="14">
        <f>'[1]功能-付费相关'!AJ70</f>
        <v>5.5555555555555558E-3</v>
      </c>
      <c r="AO68" s="14">
        <f>'[1]功能-付费相关'!AK70</f>
        <v>5.5555555555555558E-3</v>
      </c>
      <c r="AP68" s="14">
        <f>'[1]功能-付费相关'!AL70</f>
        <v>5.5555555555555558E-3</v>
      </c>
      <c r="AS68" s="14">
        <v>65</v>
      </c>
      <c r="AT68" s="14">
        <f>'[1]功能-城建'!GF68</f>
        <v>4460154.9582383335</v>
      </c>
      <c r="AU68" s="14">
        <f>'[1]功能-城建'!GG68</f>
        <v>3930985.0391492024</v>
      </c>
      <c r="AV68" s="14">
        <f>'[1]功能-城建'!GH68</f>
        <v>3472420.6183651984</v>
      </c>
      <c r="AW68" s="14">
        <f>'[1]功能-城建'!GI68</f>
        <v>2548368.5711446851</v>
      </c>
      <c r="AX68" s="14">
        <f>'[1]功能-城建'!GJ68</f>
        <v>1355697.5488077626</v>
      </c>
    </row>
    <row r="69" spans="2:50" x14ac:dyDescent="0.15">
      <c r="B69" s="14">
        <v>66</v>
      </c>
      <c r="C69" s="14">
        <f>'[1]资源-钻石'!L69</f>
        <v>578208.18137042806</v>
      </c>
      <c r="D69" s="14">
        <f>'[1]资源-钻石'!M69</f>
        <v>706608.49155666959</v>
      </c>
      <c r="E69" s="14">
        <f>'[1]资源-钻石'!N69</f>
        <v>954811.92250159499</v>
      </c>
      <c r="F69" s="14">
        <f>'[1]资源-钻石'!O69</f>
        <v>1812984.5368224278</v>
      </c>
      <c r="G69" s="14">
        <f>'[1]资源-钻石'!P69</f>
        <v>2437042.1437460529</v>
      </c>
      <c r="I69" s="14">
        <v>66</v>
      </c>
      <c r="J69" s="14">
        <f>'[1]资源-钻石'!T69</f>
        <v>409924.24442877935</v>
      </c>
      <c r="K69" s="14">
        <f>'[1]资源-钻石'!U69</f>
        <v>564316.66887165734</v>
      </c>
      <c r="L69" s="14">
        <f>'[1]资源-钻石'!V69</f>
        <v>921258.33575882309</v>
      </c>
      <c r="M69" s="14">
        <f>'[1]资源-钻石'!W69</f>
        <v>2364734.169334705</v>
      </c>
      <c r="N69" s="14">
        <f>'[1]资源-钻石'!X69</f>
        <v>5561420.0862681754</v>
      </c>
      <c r="P69" s="14">
        <v>66</v>
      </c>
      <c r="Q69" s="14">
        <f>'[1]功能-行军令'!N69</f>
        <v>4416.2695718066107</v>
      </c>
      <c r="R69" s="14">
        <f>'[1]功能-行军令'!O69</f>
        <v>5584.6032876140744</v>
      </c>
      <c r="S69" s="14">
        <f>'[1]功能-行军令'!P69</f>
        <v>6232.6428443465666</v>
      </c>
      <c r="T69" s="14">
        <f>'[1]功能-行军令'!Q69</f>
        <v>5166.7953843630921</v>
      </c>
      <c r="U69" s="14">
        <f>'[1]功能-行军令'!R69</f>
        <v>2868.6839062272406</v>
      </c>
      <c r="V69" s="14">
        <f>'[1]功能-行军令'!S69</f>
        <v>298.82484418021977</v>
      </c>
      <c r="W69" s="14">
        <f>'[1]功能-行军令'!T69</f>
        <v>382.07760975614201</v>
      </c>
      <c r="X69" s="14">
        <f>'[1]功能-行军令'!U69</f>
        <v>426.61613198699433</v>
      </c>
      <c r="Y69" s="14">
        <f>'[1]功能-行军令'!V69</f>
        <v>333.01373476450044</v>
      </c>
      <c r="Z69" s="14">
        <f>'[1]功能-行军令'!W69</f>
        <v>191.34232498857773</v>
      </c>
      <c r="AC69" s="14">
        <v>66</v>
      </c>
      <c r="AD69" s="14">
        <v>3255492</v>
      </c>
      <c r="AE69" s="14">
        <v>3428550</v>
      </c>
      <c r="AF69" s="14">
        <v>3790530</v>
      </c>
      <c r="AG69" s="14">
        <v>4522638</v>
      </c>
      <c r="AH69" s="14">
        <v>4863264</v>
      </c>
      <c r="AK69" s="14">
        <v>66</v>
      </c>
      <c r="AL69" s="14">
        <f>'[1]功能-付费相关'!AH71</f>
        <v>5.5555555555555558E-3</v>
      </c>
      <c r="AM69" s="14">
        <f>'[1]功能-付费相关'!AI71</f>
        <v>5.5555555555555558E-3</v>
      </c>
      <c r="AN69" s="14">
        <f>'[1]功能-付费相关'!AJ71</f>
        <v>5.5555555555555558E-3</v>
      </c>
      <c r="AO69" s="14">
        <f>'[1]功能-付费相关'!AK71</f>
        <v>5.5555555555555558E-3</v>
      </c>
      <c r="AP69" s="14">
        <f>'[1]功能-付费相关'!AL71</f>
        <v>5.5555555555555558E-3</v>
      </c>
      <c r="AS69" s="14">
        <v>66</v>
      </c>
      <c r="AT69" s="14">
        <f>'[1]功能-城建'!GF69</f>
        <v>4864348.7678727955</v>
      </c>
      <c r="AU69" s="14">
        <f>'[1]功能-城建'!GG69</f>
        <v>4408077.5126821846</v>
      </c>
      <c r="AV69" s="14">
        <f>'[1]功能-城建'!GH69</f>
        <v>3679212.5316856429</v>
      </c>
      <c r="AW69" s="14">
        <f>'[1]功能-城建'!GI69</f>
        <v>2653763.8203369118</v>
      </c>
      <c r="AX69" s="14">
        <f>'[1]功能-城建'!GJ69</f>
        <v>1563540.786163155</v>
      </c>
    </row>
    <row r="70" spans="2:50" x14ac:dyDescent="0.15">
      <c r="B70" s="14">
        <v>67</v>
      </c>
      <c r="C70" s="14">
        <f>'[1]资源-钻石'!L70</f>
        <v>608378.95300539816</v>
      </c>
      <c r="D70" s="14">
        <f>'[1]资源-钻石'!M70</f>
        <v>756767.93652195623</v>
      </c>
      <c r="E70" s="14">
        <f>'[1]资源-钻石'!N70</f>
        <v>1019508.9017561502</v>
      </c>
      <c r="F70" s="14">
        <f>'[1]资源-钻石'!O70</f>
        <v>1933627.578509642</v>
      </c>
      <c r="G70" s="14">
        <f>'[1]资源-钻石'!P70</f>
        <v>2587477.018167248</v>
      </c>
      <c r="I70" s="14">
        <v>67</v>
      </c>
      <c r="J70" s="14">
        <f>'[1]资源-钻石'!T70</f>
        <v>415851.67758086813</v>
      </c>
      <c r="K70" s="14">
        <f>'[1]资源-钻石'!U70</f>
        <v>572516.84533895506</v>
      </c>
      <c r="L70" s="14">
        <f>'[1]资源-钻石'!V70</f>
        <v>934730.52987285051</v>
      </c>
      <c r="M70" s="14">
        <f>'[1]资源-钻石'!W70</f>
        <v>2399573.582860135</v>
      </c>
      <c r="N70" s="14">
        <f>'[1]资源-钻石'!X70</f>
        <v>5643598.4411461493</v>
      </c>
      <c r="P70" s="14">
        <v>67</v>
      </c>
      <c r="Q70" s="14">
        <f>'[1]功能-行军令'!N70</f>
        <v>4736.5421097455128</v>
      </c>
      <c r="R70" s="14">
        <f>'[1]功能-行军令'!O70</f>
        <v>5994.4338352951672</v>
      </c>
      <c r="S70" s="14">
        <f>'[1]功能-行军令'!P70</f>
        <v>6669.648506700737</v>
      </c>
      <c r="T70" s="14">
        <f>'[1]功能-行军令'!Q70</f>
        <v>5523.467097126364</v>
      </c>
      <c r="U70" s="14">
        <f>'[1]功能-行军令'!R70</f>
        <v>3069.2998807764393</v>
      </c>
      <c r="V70" s="14">
        <f>'[1]功能-行军令'!S70</f>
        <v>320.27253793890213</v>
      </c>
      <c r="W70" s="14">
        <f>'[1]功能-行军令'!T70</f>
        <v>409.83054768109287</v>
      </c>
      <c r="X70" s="14">
        <f>'[1]功能-行军令'!U70</f>
        <v>437.00566235417045</v>
      </c>
      <c r="Y70" s="14">
        <f>'[1]功能-行军令'!V70</f>
        <v>356.6717127632719</v>
      </c>
      <c r="Z70" s="14">
        <f>'[1]功能-行军令'!W70</f>
        <v>200.61597454919865</v>
      </c>
      <c r="AC70" s="14">
        <v>67</v>
      </c>
      <c r="AD70" s="14">
        <v>3389232</v>
      </c>
      <c r="AE70" s="14">
        <v>3574284</v>
      </c>
      <c r="AF70" s="14">
        <v>3954480</v>
      </c>
      <c r="AG70" s="14">
        <v>4692798</v>
      </c>
      <c r="AH70" s="14">
        <v>5036202</v>
      </c>
      <c r="AK70" s="14">
        <v>67</v>
      </c>
      <c r="AL70" s="14">
        <f>'[1]功能-付费相关'!AH72</f>
        <v>5.5555555555555558E-3</v>
      </c>
      <c r="AM70" s="14">
        <f>'[1]功能-付费相关'!AI72</f>
        <v>5.5555555555555558E-3</v>
      </c>
      <c r="AN70" s="14">
        <f>'[1]功能-付费相关'!AJ72</f>
        <v>5.5555555555555558E-3</v>
      </c>
      <c r="AO70" s="14">
        <f>'[1]功能-付费相关'!AK72</f>
        <v>5.5555555555555558E-3</v>
      </c>
      <c r="AP70" s="14">
        <f>'[1]功能-付费相关'!AL72</f>
        <v>5.5555555555555558E-3</v>
      </c>
      <c r="AS70" s="14">
        <v>67</v>
      </c>
      <c r="AT70" s="14">
        <f>'[1]功能-城建'!GF70</f>
        <v>5341901.6660195589</v>
      </c>
      <c r="AU70" s="14">
        <f>'[1]功能-城建'!GG70</f>
        <v>4800522.5943301767</v>
      </c>
      <c r="AV70" s="14">
        <f>'[1]功能-城建'!GH70</f>
        <v>3915413.8093927205</v>
      </c>
      <c r="AW70" s="14">
        <f>'[1]功能-城建'!GI70</f>
        <v>2845024.8284722567</v>
      </c>
      <c r="AX70" s="14">
        <f>'[1]功能-城建'!GJ70</f>
        <v>1668813.2717840113</v>
      </c>
    </row>
    <row r="71" spans="2:50" x14ac:dyDescent="0.15">
      <c r="B71" s="14">
        <v>68</v>
      </c>
      <c r="C71" s="14">
        <f>'[1]资源-钻石'!L71</f>
        <v>640715.18538800185</v>
      </c>
      <c r="D71" s="14">
        <f>'[1]资源-钻石'!M71</f>
        <v>798715.20818464796</v>
      </c>
      <c r="E71" s="14">
        <f>'[1]资源-钻石'!N71</f>
        <v>1086306.624119231</v>
      </c>
      <c r="F71" s="14">
        <f>'[1]资源-钻石'!O71</f>
        <v>2065561.2427186659</v>
      </c>
      <c r="G71" s="14">
        <f>'[1]资源-钻石'!P71</f>
        <v>2755784.5849957354</v>
      </c>
      <c r="I71" s="14">
        <v>68</v>
      </c>
      <c r="J71" s="14">
        <f>'[1]资源-钻石'!T71</f>
        <v>421779.11073295691</v>
      </c>
      <c r="K71" s="14">
        <f>'[1]资源-钻石'!U71</f>
        <v>580717.02180625277</v>
      </c>
      <c r="L71" s="14">
        <f>'[1]资源-钻石'!V71</f>
        <v>948202.72398687794</v>
      </c>
      <c r="M71" s="14">
        <f>'[1]资源-钻石'!W71</f>
        <v>2434412.9963855655</v>
      </c>
      <c r="N71" s="14">
        <f>'[1]资源-钻石'!X71</f>
        <v>5725776.7960241223</v>
      </c>
      <c r="P71" s="14">
        <v>68</v>
      </c>
      <c r="Q71" s="14">
        <f>'[1]功能-行军令'!N71</f>
        <v>5079.8017166875779</v>
      </c>
      <c r="R71" s="14">
        <f>'[1]功能-行军令'!O71</f>
        <v>6420.7147672321553</v>
      </c>
      <c r="S71" s="14">
        <f>'[1]功能-行军令'!P71</f>
        <v>7120.8439603582265</v>
      </c>
      <c r="T71" s="14">
        <f>'[1]功能-行军令'!Q71</f>
        <v>5913.5186519153212</v>
      </c>
      <c r="U71" s="14">
        <f>'[1]功能-行军令'!R71</f>
        <v>3281.4966937441241</v>
      </c>
      <c r="V71" s="14">
        <f>'[1]功能-行军令'!S71</f>
        <v>343.25960694206515</v>
      </c>
      <c r="W71" s="14">
        <f>'[1]功能-行军令'!T71</f>
        <v>426.28093193698805</v>
      </c>
      <c r="X71" s="14">
        <f>'[1]功能-行军令'!U71</f>
        <v>451.19545365748945</v>
      </c>
      <c r="Y71" s="14">
        <f>'[1]功能-行军令'!V71</f>
        <v>390.05155478895722</v>
      </c>
      <c r="Z71" s="14">
        <f>'[1]功能-行军令'!W71</f>
        <v>212.19681296768476</v>
      </c>
      <c r="AC71" s="14">
        <v>68</v>
      </c>
      <c r="AD71" s="14">
        <v>3526818</v>
      </c>
      <c r="AE71" s="14">
        <v>3722574</v>
      </c>
      <c r="AF71" s="14">
        <v>4122312</v>
      </c>
      <c r="AG71" s="14">
        <v>4878390</v>
      </c>
      <c r="AH71" s="14">
        <v>5213988</v>
      </c>
      <c r="AK71" s="14">
        <v>68</v>
      </c>
      <c r="AL71" s="14">
        <f>'[1]功能-付费相关'!AH73</f>
        <v>5.5555555555555558E-3</v>
      </c>
      <c r="AM71" s="14">
        <f>'[1]功能-付费相关'!AI73</f>
        <v>5.5555555555555558E-3</v>
      </c>
      <c r="AN71" s="14">
        <f>'[1]功能-付费相关'!AJ73</f>
        <v>5.5555555555555558E-3</v>
      </c>
      <c r="AO71" s="14">
        <f>'[1]功能-付费相关'!AK73</f>
        <v>5.5555555555555558E-3</v>
      </c>
      <c r="AP71" s="14">
        <f>'[1]功能-付费相关'!AL73</f>
        <v>5.5555555555555558E-3</v>
      </c>
      <c r="AS71" s="14">
        <v>68</v>
      </c>
      <c r="AT71" s="14">
        <f>'[1]功能-城建'!GF71</f>
        <v>5856307.3810463473</v>
      </c>
      <c r="AU71" s="14">
        <f>'[1]功能-城建'!GG71</f>
        <v>5120559.8578799739</v>
      </c>
      <c r="AV71" s="14">
        <f>'[1]功能-城建'!GH71</f>
        <v>4069683.8281545788</v>
      </c>
      <c r="AW71" s="14">
        <f>'[1]功能-城建'!GI71</f>
        <v>3244623.0305162966</v>
      </c>
      <c r="AX71" s="14">
        <f>'[1]功能-城建'!GJ71</f>
        <v>1796594.7183258198</v>
      </c>
    </row>
    <row r="72" spans="2:50" x14ac:dyDescent="0.15">
      <c r="B72" s="14">
        <v>69</v>
      </c>
      <c r="C72" s="14">
        <f>'[1]资源-钻石'!L72</f>
        <v>675372.30113408319</v>
      </c>
      <c r="D72" s="14">
        <f>'[1]资源-钻石'!M72</f>
        <v>841778.51562049228</v>
      </c>
      <c r="E72" s="14">
        <f>'[1]资源-钻石'!N72</f>
        <v>1162337.2288970766</v>
      </c>
      <c r="F72" s="14">
        <f>'[1]资源-钻石'!O72</f>
        <v>2209186.8009879114</v>
      </c>
      <c r="G72" s="14">
        <f>'[1]资源-钻石'!P72</f>
        <v>2936639.8904699385</v>
      </c>
      <c r="I72" s="14">
        <v>69</v>
      </c>
      <c r="J72" s="14">
        <f>'[1]资源-钻石'!T72</f>
        <v>427706.54388504568</v>
      </c>
      <c r="K72" s="14">
        <f>'[1]资源-钻石'!U72</f>
        <v>588917.19827355037</v>
      </c>
      <c r="L72" s="14">
        <f>'[1]资源-钻石'!V72</f>
        <v>961674.91810090537</v>
      </c>
      <c r="M72" s="14">
        <f>'[1]资源-钻石'!W72</f>
        <v>2469252.4099109955</v>
      </c>
      <c r="N72" s="14">
        <f>'[1]资源-钻石'!X72</f>
        <v>5807955.1509020953</v>
      </c>
      <c r="P72" s="14">
        <v>69</v>
      </c>
      <c r="Q72" s="14">
        <f>'[1]功能-行军令'!N72</f>
        <v>5447.6982541687212</v>
      </c>
      <c r="R72" s="14">
        <f>'[1]功能-行军令'!O72</f>
        <v>6868.2684736992569</v>
      </c>
      <c r="S72" s="14">
        <f>'[1]功能-行军令'!P72</f>
        <v>7634.4043333920454</v>
      </c>
      <c r="T72" s="14">
        <f>'[1]功能-行军令'!Q72</f>
        <v>6338.1363766348895</v>
      </c>
      <c r="U72" s="14">
        <f>'[1]功能-行军令'!R72</f>
        <v>3508.175561817156</v>
      </c>
      <c r="V72" s="14">
        <f>'[1]功能-行军令'!S72</f>
        <v>367.89653748114324</v>
      </c>
      <c r="W72" s="14">
        <f>'[1]功能-行军令'!T72</f>
        <v>447.55370646710162</v>
      </c>
      <c r="X72" s="14">
        <f>'[1]功能-行军令'!U72</f>
        <v>513.56037303381891</v>
      </c>
      <c r="Y72" s="14">
        <f>'[1]功能-行军令'!V72</f>
        <v>424.61772471956829</v>
      </c>
      <c r="Z72" s="14">
        <f>'[1]功能-行军令'!W72</f>
        <v>226.67886807303194</v>
      </c>
      <c r="AC72" s="14">
        <v>69</v>
      </c>
      <c r="AD72" s="14">
        <v>3667884</v>
      </c>
      <c r="AE72" s="14">
        <v>3873558</v>
      </c>
      <c r="AF72" s="14">
        <v>4302552</v>
      </c>
      <c r="AG72" s="14">
        <v>5061066</v>
      </c>
      <c r="AH72" s="14">
        <v>5396292</v>
      </c>
      <c r="AK72" s="14">
        <v>69</v>
      </c>
      <c r="AL72" s="14">
        <f>'[1]功能-付费相关'!AH74</f>
        <v>5.5555555555555558E-3</v>
      </c>
      <c r="AM72" s="14">
        <f>'[1]功能-付费相关'!AI74</f>
        <v>5.5555555555555558E-3</v>
      </c>
      <c r="AN72" s="14">
        <f>'[1]功能-付费相关'!AJ74</f>
        <v>5.5555555555555558E-3</v>
      </c>
      <c r="AO72" s="14">
        <f>'[1]功能-付费相关'!AK74</f>
        <v>5.5555555555555558E-3</v>
      </c>
      <c r="AP72" s="14">
        <f>'[1]功能-付费相关'!AL74</f>
        <v>5.5555555555555558E-3</v>
      </c>
      <c r="AS72" s="14">
        <v>69</v>
      </c>
      <c r="AT72" s="14">
        <f>'[1]功能-城建'!GF72</f>
        <v>6386813.9889672175</v>
      </c>
      <c r="AU72" s="14">
        <f>'[1]功能-城建'!GG72</f>
        <v>5482866.8995253295</v>
      </c>
      <c r="AV72" s="14">
        <f>'[1]功能-城建'!GH72</f>
        <v>4760705.606464535</v>
      </c>
      <c r="AW72" s="14">
        <f>'[1]功能-城建'!GI72</f>
        <v>3532159.8693177253</v>
      </c>
      <c r="AX72" s="14">
        <f>'[1]功能-城建'!GJ72</f>
        <v>1972766.381948214</v>
      </c>
    </row>
    <row r="73" spans="2:50" x14ac:dyDescent="0.15">
      <c r="B73" s="14">
        <v>70</v>
      </c>
      <c r="C73" s="14">
        <f>'[1]资源-钻石'!L73</f>
        <v>712516.87807878188</v>
      </c>
      <c r="D73" s="14">
        <f>'[1]资源-钻石'!M73</f>
        <v>889856.8618376099</v>
      </c>
      <c r="E73" s="14">
        <f>'[1]资源-钻石'!N73</f>
        <v>1245820.362646288</v>
      </c>
      <c r="F73" s="14">
        <f>'[1]资源-钻石'!O73</f>
        <v>2362145.6009097658</v>
      </c>
      <c r="G73" s="14">
        <f>'[1]资源-钻石'!P73</f>
        <v>3137142.1816969919</v>
      </c>
      <c r="I73" s="14">
        <v>70</v>
      </c>
      <c r="J73" s="14">
        <f>'[1]资源-钻石'!T73</f>
        <v>433633.97703713446</v>
      </c>
      <c r="K73" s="14">
        <f>'[1]资源-钻石'!U73</f>
        <v>597117.37474084797</v>
      </c>
      <c r="L73" s="14">
        <f>'[1]资源-钻石'!V73</f>
        <v>975147.1122149328</v>
      </c>
      <c r="M73" s="14">
        <f>'[1]资源-钻石'!W73</f>
        <v>2504091.8234364255</v>
      </c>
      <c r="N73" s="14">
        <f>'[1]资源-钻石'!X73</f>
        <v>5890133.5057800682</v>
      </c>
      <c r="P73" s="14">
        <v>70</v>
      </c>
      <c r="Q73" s="14">
        <f>'[1]功能-行军令'!N73</f>
        <v>5842</v>
      </c>
      <c r="R73" s="14">
        <f>'[1]功能-行军令'!O73</f>
        <v>7367.9431000000004</v>
      </c>
      <c r="S73" s="14">
        <f>'[1]功能-行军令'!P73</f>
        <v>8199.691499999999</v>
      </c>
      <c r="T73" s="14">
        <f>'[1]功能-行军令'!Q73</f>
        <v>6790.3471000000009</v>
      </c>
      <c r="U73" s="14">
        <f>'[1]功能-行军令'!R73</f>
        <v>3759.4794000000002</v>
      </c>
      <c r="V73" s="14">
        <f>'[1]功能-行军令'!S73</f>
        <v>394.30174583127882</v>
      </c>
      <c r="W73" s="14">
        <f>'[1]功能-行军令'!T73</f>
        <v>499.67462630074351</v>
      </c>
      <c r="X73" s="14">
        <f>'[1]功能-行军令'!U73</f>
        <v>565.28716660795362</v>
      </c>
      <c r="Y73" s="14">
        <f>'[1]功能-行军令'!V73</f>
        <v>452.21072336511133</v>
      </c>
      <c r="Z73" s="14">
        <f>'[1]功能-行军令'!W73</f>
        <v>251.30383818284417</v>
      </c>
      <c r="AC73" s="14">
        <v>70</v>
      </c>
      <c r="AD73" s="14">
        <v>3808290</v>
      </c>
      <c r="AE73" s="14">
        <v>4028718</v>
      </c>
      <c r="AF73" s="14">
        <v>4467780</v>
      </c>
      <c r="AG73" s="14">
        <v>5229912</v>
      </c>
      <c r="AH73" s="14">
        <v>5585532</v>
      </c>
      <c r="AK73" s="14">
        <v>70</v>
      </c>
      <c r="AL73" s="14">
        <f>'[1]功能-付费相关'!AH75</f>
        <v>5.5555555555555558E-3</v>
      </c>
      <c r="AM73" s="14">
        <f>'[1]功能-付费相关'!AI75</f>
        <v>5.5555555555555558E-3</v>
      </c>
      <c r="AN73" s="14">
        <f>'[1]功能-付费相关'!AJ75</f>
        <v>5.5555555555555558E-3</v>
      </c>
      <c r="AO73" s="14">
        <f>'[1]功能-付费相关'!AK75</f>
        <v>5.5555555555555558E-3</v>
      </c>
      <c r="AP73" s="14">
        <f>'[1]功能-付费相关'!AL75</f>
        <v>5.5555555555555558E-3</v>
      </c>
      <c r="AS73" s="14">
        <v>70</v>
      </c>
      <c r="AT73" s="14">
        <f>'[1]功能-城建'!GF73</f>
        <v>7035714.6299633533</v>
      </c>
      <c r="AU73" s="14">
        <f>'[1]功能-城建'!GG73</f>
        <v>6224681.8636962697</v>
      </c>
      <c r="AV73" s="14">
        <f>'[1]功能-城建'!GH73</f>
        <v>5322396.091754891</v>
      </c>
      <c r="AW73" s="14">
        <f>'[1]功能-城建'!GI73</f>
        <v>3911994.2530911341</v>
      </c>
      <c r="AX73" s="14">
        <f>'[1]功能-城建'!GJ73</f>
        <v>2205403.7817186005</v>
      </c>
    </row>
    <row r="74" spans="2:50" x14ac:dyDescent="0.15">
      <c r="B74" s="14">
        <v>71</v>
      </c>
      <c r="C74" s="14">
        <f>'[1]资源-钻石'!L74</f>
        <v>752327.44992524723</v>
      </c>
      <c r="D74" s="14">
        <f>'[1]资源-钻石'!M74</f>
        <v>941842.84192293312</v>
      </c>
      <c r="E74" s="14">
        <f>'[1]资源-钻石'!N74</f>
        <v>1320590.4489970768</v>
      </c>
      <c r="F74" s="14">
        <f>'[1]资源-钻石'!O74</f>
        <v>2525447.0308207385</v>
      </c>
      <c r="G74" s="14">
        <f>'[1]资源-钻石'!P74</f>
        <v>3353002.2047928427</v>
      </c>
      <c r="I74" s="14">
        <v>71</v>
      </c>
      <c r="J74" s="14">
        <f>'[1]资源-钻石'!T74</f>
        <v>439561.41018922324</v>
      </c>
      <c r="K74" s="14">
        <f>'[1]资源-钻石'!U74</f>
        <v>605317.55120814568</v>
      </c>
      <c r="L74" s="14">
        <f>'[1]资源-钻石'!V74</f>
        <v>988619.30632896023</v>
      </c>
      <c r="M74" s="14">
        <f>'[1]资源-钻石'!W74</f>
        <v>2538931.236961856</v>
      </c>
      <c r="N74" s="14">
        <f>'[1]资源-钻石'!X74</f>
        <v>5972311.8606580412</v>
      </c>
      <c r="P74" s="14">
        <v>71</v>
      </c>
      <c r="Q74" s="14">
        <f>'[1]功能-行军令'!N74</f>
        <v>6264.6021474136924</v>
      </c>
      <c r="R74" s="14">
        <f>'[1]功能-行军令'!O74</f>
        <v>7908.2294703902389</v>
      </c>
      <c r="S74" s="14">
        <f>'[1]功能-行军令'!P74</f>
        <v>8789.1278632188478</v>
      </c>
      <c r="T74" s="14">
        <f>'[1]功能-行军令'!Q74</f>
        <v>7273.1349996456938</v>
      </c>
      <c r="U74" s="14">
        <f>'[1]功能-行军令'!R74</f>
        <v>4030.0321801315486</v>
      </c>
      <c r="V74" s="14">
        <f>'[1]功能-行军令'!S74</f>
        <v>422.60214741369236</v>
      </c>
      <c r="W74" s="14">
        <f>'[1]功能-行军令'!T74</f>
        <v>540.28637039023852</v>
      </c>
      <c r="X74" s="14">
        <f>'[1]功能-行军令'!U74</f>
        <v>589.43636321884878</v>
      </c>
      <c r="Y74" s="14">
        <f>'[1]功能-行军令'!V74</f>
        <v>482.78789964569296</v>
      </c>
      <c r="Z74" s="14">
        <f>'[1]功能-行军令'!W74</f>
        <v>270.55278013154839</v>
      </c>
      <c r="AC74" s="14">
        <v>71</v>
      </c>
      <c r="AD74" s="14">
        <v>3959076</v>
      </c>
      <c r="AE74" s="14">
        <v>4197942</v>
      </c>
      <c r="AF74" s="14">
        <v>4636962</v>
      </c>
      <c r="AG74" s="14">
        <v>5404008</v>
      </c>
      <c r="AH74" s="14">
        <v>5786784</v>
      </c>
      <c r="AK74" s="14">
        <v>71</v>
      </c>
      <c r="AL74" s="14">
        <f>'[1]功能-付费相关'!AH76</f>
        <v>5.5555555555555558E-3</v>
      </c>
      <c r="AM74" s="14">
        <f>'[1]功能-付费相关'!AI76</f>
        <v>5.5555555555555558E-3</v>
      </c>
      <c r="AN74" s="14">
        <f>'[1]功能-付费相关'!AJ76</f>
        <v>5.5555555555555558E-3</v>
      </c>
      <c r="AO74" s="14">
        <f>'[1]功能-付费相关'!AK76</f>
        <v>5.5555555555555558E-3</v>
      </c>
      <c r="AP74" s="14">
        <f>'[1]功能-付费相关'!AL76</f>
        <v>5.5555555555555558E-3</v>
      </c>
      <c r="AS74" s="14">
        <v>71</v>
      </c>
      <c r="AT74" s="14">
        <f>'[1]功能-城建'!GF74</f>
        <v>7623924.3457402587</v>
      </c>
      <c r="AU74" s="14">
        <f>'[1]功能-城建'!GG74</f>
        <v>6909214.3604530841</v>
      </c>
      <c r="AV74" s="14">
        <f>'[1]功能-城建'!GH74</f>
        <v>5683958.1107687801</v>
      </c>
      <c r="AW74" s="14">
        <f>'[1]功能-城建'!GI74</f>
        <v>4201660.9052660167</v>
      </c>
      <c r="AX74" s="14">
        <f>'[1]功能-城建'!GJ74</f>
        <v>2458615.5553701892</v>
      </c>
    </row>
    <row r="75" spans="2:50" x14ac:dyDescent="0.15">
      <c r="B75" s="14">
        <v>72</v>
      </c>
      <c r="C75" s="14">
        <f>'[1]资源-钻石'!L75</f>
        <v>794995.36435868323</v>
      </c>
      <c r="D75" s="14">
        <f>'[1]资源-钻石'!M75</f>
        <v>996952.18451324687</v>
      </c>
      <c r="E75" s="14">
        <f>'[1]资源-钻石'!N75</f>
        <v>1398332.6936868359</v>
      </c>
      <c r="F75" s="14">
        <f>'[1]资源-钻石'!O75</f>
        <v>2698735.5287803207</v>
      </c>
      <c r="G75" s="14">
        <f>'[1]资源-钻石'!P75</f>
        <v>3580673.5082542915</v>
      </c>
      <c r="I75" s="14">
        <v>72</v>
      </c>
      <c r="J75" s="14">
        <f>'[1]资源-钻石'!T75</f>
        <v>445488.84334131208</v>
      </c>
      <c r="K75" s="14">
        <f>'[1]资源-钻石'!U75</f>
        <v>613517.72767544328</v>
      </c>
      <c r="L75" s="14">
        <f>'[1]资源-钻石'!V75</f>
        <v>1002091.5004429877</v>
      </c>
      <c r="M75" s="14">
        <f>'[1]资源-钻石'!W75</f>
        <v>2573770.650487286</v>
      </c>
      <c r="N75" s="14">
        <f>'[1]资源-钻石'!X75</f>
        <v>6054490.2155360151</v>
      </c>
      <c r="P75" s="14">
        <v>72</v>
      </c>
      <c r="Q75" s="14">
        <f>'[1]功能-行军令'!N75</f>
        <v>6717.5359142225398</v>
      </c>
      <c r="R75" s="14">
        <f>'[1]功能-行军令'!O75</f>
        <v>8480.9767117396204</v>
      </c>
      <c r="S75" s="14">
        <f>'[1]功能-行军令'!P75</f>
        <v>9401.9946955963624</v>
      </c>
      <c r="T75" s="14">
        <f>'[1]功能-行军令'!Q75</f>
        <v>7785.4488845165961</v>
      </c>
      <c r="U75" s="14">
        <f>'[1]功能-行军令'!R75</f>
        <v>4315.3888813133908</v>
      </c>
      <c r="V75" s="14">
        <f>'[1]功能-行军令'!S75</f>
        <v>452.93376680884739</v>
      </c>
      <c r="W75" s="14">
        <f>'[1]功能-行军令'!T75</f>
        <v>572.74724134938151</v>
      </c>
      <c r="X75" s="14">
        <f>'[1]功能-行军令'!U75</f>
        <v>612.86683237751458</v>
      </c>
      <c r="Y75" s="14">
        <f>'[1]功能-行军令'!V75</f>
        <v>512.31388487090226</v>
      </c>
      <c r="Z75" s="14">
        <f>'[1]功能-行军令'!W75</f>
        <v>285.35670118184225</v>
      </c>
      <c r="AC75" s="14">
        <v>72</v>
      </c>
      <c r="AD75" s="14">
        <v>4120356</v>
      </c>
      <c r="AE75" s="14">
        <v>4370178</v>
      </c>
      <c r="AF75" s="14">
        <v>4809816</v>
      </c>
      <c r="AG75" s="14">
        <v>5586918</v>
      </c>
      <c r="AH75" s="14">
        <v>6006990</v>
      </c>
      <c r="AK75" s="14">
        <v>72</v>
      </c>
      <c r="AL75" s="14">
        <f>'[1]功能-付费相关'!AH77</f>
        <v>5.5555555555555558E-3</v>
      </c>
      <c r="AM75" s="14">
        <f>'[1]功能-付费相关'!AI77</f>
        <v>5.5555555555555558E-3</v>
      </c>
      <c r="AN75" s="14">
        <f>'[1]功能-付费相关'!AJ77</f>
        <v>5.5555555555555558E-3</v>
      </c>
      <c r="AO75" s="14">
        <f>'[1]功能-付费相关'!AK77</f>
        <v>5.5555555555555558E-3</v>
      </c>
      <c r="AP75" s="14">
        <f>'[1]功能-付费相关'!AL77</f>
        <v>5.5555555555555558E-3</v>
      </c>
      <c r="AS75" s="14">
        <v>72</v>
      </c>
      <c r="AT75" s="14">
        <f>'[1]功能-城建'!GF75</f>
        <v>8436383.7261265367</v>
      </c>
      <c r="AU75" s="14">
        <f>'[1]功能-城建'!GG75</f>
        <v>7416254.4540110528</v>
      </c>
      <c r="AV75" s="14">
        <f>'[1]功能-城建'!GH75</f>
        <v>6037075.0389363244</v>
      </c>
      <c r="AW75" s="14">
        <f>'[1]功能-城建'!GI75</f>
        <v>4597736.2299510911</v>
      </c>
      <c r="AX75" s="14">
        <f>'[1]功能-城建'!GJ75</f>
        <v>2597042.9241765402</v>
      </c>
    </row>
    <row r="76" spans="2:50" x14ac:dyDescent="0.15">
      <c r="B76" s="14">
        <v>73</v>
      </c>
      <c r="C76" s="14">
        <f>'[1]资源-钻石'!L76</f>
        <v>840725.70275020949</v>
      </c>
      <c r="D76" s="14">
        <f>'[1]资源-钻石'!M76</f>
        <v>1053903.8882900055</v>
      </c>
      <c r="E76" s="14">
        <f>'[1]资源-钻石'!N76</f>
        <v>1482169.2828920323</v>
      </c>
      <c r="F76" s="14">
        <f>'[1]资源-钻石'!O76</f>
        <v>2885765.0088641308</v>
      </c>
      <c r="G76" s="14">
        <f>'[1]资源-钻石'!P76</f>
        <v>3825623.1177580887</v>
      </c>
      <c r="I76" s="14">
        <v>73</v>
      </c>
      <c r="J76" s="14">
        <f>'[1]资源-钻石'!T76</f>
        <v>451416.27649340086</v>
      </c>
      <c r="K76" s="14">
        <f>'[1]资源-钻石'!U76</f>
        <v>621717.90414274088</v>
      </c>
      <c r="L76" s="14">
        <f>'[1]资源-钻石'!V76</f>
        <v>1015563.6945570151</v>
      </c>
      <c r="M76" s="14">
        <f>'[1]资源-钻石'!W76</f>
        <v>2608610.0640127161</v>
      </c>
      <c r="N76" s="14">
        <f>'[1]资源-钻石'!X76</f>
        <v>6136668.5704139881</v>
      </c>
      <c r="P76" s="14">
        <v>73</v>
      </c>
      <c r="Q76" s="14">
        <f>'[1]功能-行军令'!N76</f>
        <v>7202.9783057748664</v>
      </c>
      <c r="R76" s="14">
        <f>'[1]功能-行军令'!O76</f>
        <v>9072.871473954021</v>
      </c>
      <c r="S76" s="14">
        <f>'[1]功能-行军令'!P76</f>
        <v>10062.905183434286</v>
      </c>
      <c r="T76" s="14">
        <f>'[1]功能-行军令'!Q76</f>
        <v>8338.3869078438565</v>
      </c>
      <c r="U76" s="14">
        <f>'[1]功能-行军令'!R76</f>
        <v>4622.4017171915848</v>
      </c>
      <c r="V76" s="14">
        <f>'[1]功能-行军令'!S76</f>
        <v>485.44239155232663</v>
      </c>
      <c r="W76" s="14">
        <f>'[1]功能-行军令'!T76</f>
        <v>591.89476221440054</v>
      </c>
      <c r="X76" s="14">
        <f>'[1]功能-行军令'!U76</f>
        <v>660.91048783792394</v>
      </c>
      <c r="Y76" s="14">
        <f>'[1]功能-行军令'!V76</f>
        <v>552.93802332726045</v>
      </c>
      <c r="Z76" s="14">
        <f>'[1]功能-行军令'!W76</f>
        <v>307.01283587819398</v>
      </c>
      <c r="AC76" s="14">
        <v>73</v>
      </c>
      <c r="AD76" s="14">
        <v>4291866</v>
      </c>
      <c r="AE76" s="14">
        <v>4543128</v>
      </c>
      <c r="AF76" s="14">
        <v>4996752</v>
      </c>
      <c r="AG76" s="14">
        <v>5838210</v>
      </c>
      <c r="AH76" s="14">
        <v>6272286</v>
      </c>
      <c r="AK76" s="14">
        <v>73</v>
      </c>
      <c r="AL76" s="14">
        <f>'[1]功能-付费相关'!AH78</f>
        <v>5.5555555555555558E-3</v>
      </c>
      <c r="AM76" s="14">
        <f>'[1]功能-付费相关'!AI78</f>
        <v>5.5555555555555558E-3</v>
      </c>
      <c r="AN76" s="14">
        <f>'[1]功能-付费相关'!AJ78</f>
        <v>5.5555555555555558E-3</v>
      </c>
      <c r="AO76" s="14">
        <f>'[1]功能-付费相关'!AK78</f>
        <v>5.5555555555555558E-3</v>
      </c>
      <c r="AP76" s="14">
        <f>'[1]功能-付费相关'!AL78</f>
        <v>5.5555555555555558E-3</v>
      </c>
      <c r="AS76" s="14">
        <v>73</v>
      </c>
      <c r="AT76" s="14">
        <f>'[1]功能-城建'!GF76</f>
        <v>9091831.4446807057</v>
      </c>
      <c r="AU76" s="14">
        <f>'[1]功能-城建'!GG76</f>
        <v>7919021.8634177446</v>
      </c>
      <c r="AV76" s="14">
        <f>'[1]功能-城建'!GH76</f>
        <v>6608162.988066107</v>
      </c>
      <c r="AW76" s="14">
        <f>'[1]功能-城建'!GI76</f>
        <v>5024757.1828574389</v>
      </c>
      <c r="AX76" s="14">
        <f>'[1]功能-城建'!GJ76</f>
        <v>2907977.8901239336</v>
      </c>
    </row>
    <row r="77" spans="2:50" x14ac:dyDescent="0.15">
      <c r="B77" s="14">
        <v>74</v>
      </c>
      <c r="C77" s="14">
        <f>'[1]资源-钻石'!L77</f>
        <v>889738.2658710517</v>
      </c>
      <c r="D77" s="14">
        <f>'[1]资源-钻石'!M77</f>
        <v>1116744.7416914625</v>
      </c>
      <c r="E77" s="14">
        <f>'[1]资源-钻石'!N77</f>
        <v>1575922.3092621714</v>
      </c>
      <c r="F77" s="14">
        <f>'[1]资源-钻石'!O77</f>
        <v>3091829.7441632054</v>
      </c>
      <c r="G77" s="14">
        <f>'[1]资源-钻石'!P77</f>
        <v>4096151.4954179237</v>
      </c>
      <c r="I77" s="14">
        <v>74</v>
      </c>
      <c r="J77" s="14">
        <f>'[1]资源-钻石'!T77</f>
        <v>457343.70964548958</v>
      </c>
      <c r="K77" s="14">
        <f>'[1]资源-钻石'!U77</f>
        <v>629918.0806100386</v>
      </c>
      <c r="L77" s="14">
        <f>'[1]资源-钻石'!V77</f>
        <v>1029035.8886710425</v>
      </c>
      <c r="M77" s="14">
        <f>'[1]资源-钻石'!W77</f>
        <v>2643449.4775381461</v>
      </c>
      <c r="N77" s="14">
        <f>'[1]资源-钻石'!X77</f>
        <v>6218846.9252919611</v>
      </c>
      <c r="P77" s="14">
        <v>74</v>
      </c>
      <c r="Q77" s="14">
        <f>'[1]功能-行军令'!N77</f>
        <v>7723.2625786307999</v>
      </c>
      <c r="R77" s="14">
        <f>'[1]功能-行军令'!O77</f>
        <v>9725.9717240747977</v>
      </c>
      <c r="S77" s="14">
        <f>'[1]功能-行军令'!P77</f>
        <v>10801.990098290646</v>
      </c>
      <c r="T77" s="14">
        <f>'[1]功能-行军令'!Q77</f>
        <v>8947.6011737588742</v>
      </c>
      <c r="U77" s="14">
        <f>'[1]功能-行军令'!R77</f>
        <v>4961.4742496161989</v>
      </c>
      <c r="V77" s="14">
        <f>'[1]功能-行军令'!S77</f>
        <v>520.28427285593352</v>
      </c>
      <c r="W77" s="14">
        <f>'[1]功能-行军令'!T77</f>
        <v>653.10025012077676</v>
      </c>
      <c r="X77" s="14">
        <f>'[1]功能-行军令'!U77</f>
        <v>739.08491485635932</v>
      </c>
      <c r="Y77" s="14">
        <f>'[1]功能-行军令'!V77</f>
        <v>609.21426591501768</v>
      </c>
      <c r="Z77" s="14">
        <f>'[1]功能-行军令'!W77</f>
        <v>339.07253242461411</v>
      </c>
      <c r="AC77" s="14">
        <v>74</v>
      </c>
      <c r="AD77" s="14">
        <v>4470246</v>
      </c>
      <c r="AE77" s="14">
        <v>4721892</v>
      </c>
      <c r="AF77" s="14">
        <v>5191896</v>
      </c>
      <c r="AG77" s="14">
        <v>6098736</v>
      </c>
      <c r="AH77" s="14">
        <v>6547386</v>
      </c>
      <c r="AK77" s="14">
        <v>74</v>
      </c>
      <c r="AL77" s="14">
        <f>'[1]功能-付费相关'!AH79</f>
        <v>5.5555555555555558E-3</v>
      </c>
      <c r="AM77" s="14">
        <f>'[1]功能-付费相关'!AI79</f>
        <v>5.5555555555555558E-3</v>
      </c>
      <c r="AN77" s="14">
        <f>'[1]功能-付费相关'!AJ79</f>
        <v>5.5555555555555558E-3</v>
      </c>
      <c r="AO77" s="14">
        <f>'[1]功能-付费相关'!AK79</f>
        <v>5.5555555555555558E-3</v>
      </c>
      <c r="AP77" s="14">
        <f>'[1]功能-付费相关'!AL79</f>
        <v>5.5555555555555558E-3</v>
      </c>
      <c r="AS77" s="14">
        <v>74</v>
      </c>
      <c r="AT77" s="14">
        <f>'[1]功能-城建'!GF77</f>
        <v>10138757.004088238</v>
      </c>
      <c r="AU77" s="14">
        <f>'[1]功能-城建'!GG77</f>
        <v>8778126.6873242557</v>
      </c>
      <c r="AV77" s="14">
        <f>'[1]功能-城建'!GH77</f>
        <v>7602016.2670939863</v>
      </c>
      <c r="AW77" s="14">
        <f>'[1]功能-城建'!GI77</f>
        <v>5665765.6091771498</v>
      </c>
      <c r="AX77" s="14">
        <f>'[1]功能-城建'!GJ77</f>
        <v>3211642.3556646034</v>
      </c>
    </row>
    <row r="78" spans="2:50" x14ac:dyDescent="0.15">
      <c r="B78" s="14">
        <v>75</v>
      </c>
      <c r="C78" s="14">
        <f>'[1]资源-钻石'!L78</f>
        <v>942260.01727511862</v>
      </c>
      <c r="D78" s="14">
        <f>'[1]资源-钻石'!M78</f>
        <v>1185008.6020046037</v>
      </c>
      <c r="E78" s="14">
        <f>'[1]资源-钻石'!N78</f>
        <v>1676101.3179611163</v>
      </c>
      <c r="F78" s="14">
        <f>'[1]资源-钻石'!O78</f>
        <v>3306035.1774592092</v>
      </c>
      <c r="G78" s="14">
        <f>'[1]资源-钻石'!P78</f>
        <v>4390835.3665658776</v>
      </c>
      <c r="I78" s="14">
        <v>75</v>
      </c>
      <c r="J78" s="14">
        <f>'[1]资源-钻石'!T78</f>
        <v>463271.14279757836</v>
      </c>
      <c r="K78" s="14">
        <f>'[1]资源-钻石'!U78</f>
        <v>638118.25707733631</v>
      </c>
      <c r="L78" s="14">
        <f>'[1]资源-钻石'!V78</f>
        <v>1042508.0827850699</v>
      </c>
      <c r="M78" s="14">
        <f>'[1]资源-钻石'!W78</f>
        <v>2678288.8910635766</v>
      </c>
      <c r="N78" s="14">
        <f>'[1]资源-钻石'!X78</f>
        <v>6301025.280169934</v>
      </c>
      <c r="P78" s="14">
        <v>75</v>
      </c>
      <c r="Q78" s="14">
        <f>'[1]功能-行军令'!N78</f>
        <v>8280.8894552527818</v>
      </c>
      <c r="R78" s="14">
        <f>'[1]功能-行军令'!O78</f>
        <v>10435.432876040768</v>
      </c>
      <c r="S78" s="14">
        <f>'[1]功能-行军令'!P78</f>
        <v>11591.73307493163</v>
      </c>
      <c r="T78" s="14">
        <f>'[1]功能-行军令'!Q78</f>
        <v>9601.0432537560609</v>
      </c>
      <c r="U78" s="14">
        <f>'[1]功能-行军令'!R78</f>
        <v>5330.8225868189775</v>
      </c>
      <c r="V78" s="14">
        <f>'[1]功能-行军令'!S78</f>
        <v>557.62687662198186</v>
      </c>
      <c r="W78" s="14">
        <f>'[1]功能-行军令'!T78</f>
        <v>709.4611519659702</v>
      </c>
      <c r="X78" s="14">
        <f>'[1]功能-行军令'!U78</f>
        <v>789.74297664098412</v>
      </c>
      <c r="Y78" s="14">
        <f>'[1]功能-行军令'!V78</f>
        <v>653.44207999718674</v>
      </c>
      <c r="Z78" s="14">
        <f>'[1]功能-行军令'!W78</f>
        <v>369.34833720277857</v>
      </c>
      <c r="AC78" s="14">
        <v>75</v>
      </c>
      <c r="AD78" s="14">
        <v>4654872</v>
      </c>
      <c r="AE78" s="14">
        <v>4904334</v>
      </c>
      <c r="AF78" s="14">
        <v>5395800</v>
      </c>
      <c r="AG78" s="14">
        <v>6357144</v>
      </c>
      <c r="AH78" s="14">
        <v>6826122</v>
      </c>
      <c r="AK78" s="14">
        <v>75</v>
      </c>
      <c r="AL78" s="14">
        <f>'[1]功能-付费相关'!AH80</f>
        <v>5.5555555555555558E-3</v>
      </c>
      <c r="AM78" s="14">
        <f>'[1]功能-付费相关'!AI80</f>
        <v>5.5555555555555558E-3</v>
      </c>
      <c r="AN78" s="14">
        <f>'[1]功能-付费相关'!AJ80</f>
        <v>5.5555555555555558E-3</v>
      </c>
      <c r="AO78" s="14">
        <f>'[1]功能-付费相关'!AK80</f>
        <v>5.5555555555555558E-3</v>
      </c>
      <c r="AP78" s="14">
        <f>'[1]功能-付费相关'!AL80</f>
        <v>5.5555555555555558E-3</v>
      </c>
      <c r="AS78" s="14">
        <v>75</v>
      </c>
      <c r="AT78" s="14">
        <f>'[1]功能-城建'!GF78</f>
        <v>10866450.700085759</v>
      </c>
      <c r="AU78" s="14">
        <f>'[1]功能-城建'!GG78</f>
        <v>9911278.1826887578</v>
      </c>
      <c r="AV78" s="14">
        <f>'[1]功能-城建'!GH78</f>
        <v>8201719.6719575971</v>
      </c>
      <c r="AW78" s="14">
        <f>'[1]功能-城建'!GI78</f>
        <v>6189301.876167506</v>
      </c>
      <c r="AX78" s="14">
        <f>'[1]功能-城建'!GJ78</f>
        <v>3628332.6565381661</v>
      </c>
    </row>
    <row r="79" spans="2:50" x14ac:dyDescent="0.15">
      <c r="B79" s="14">
        <v>76</v>
      </c>
      <c r="C79" s="14">
        <f>'[1]资源-钻石'!L79</f>
        <v>992773.3004085588</v>
      </c>
      <c r="D79" s="14">
        <f>'[1]资源-钻石'!M79</f>
        <v>1257351.5271212088</v>
      </c>
      <c r="E79" s="14">
        <f>'[1]资源-钻石'!N79</f>
        <v>1781555.799674347</v>
      </c>
      <c r="F79" s="14">
        <f>'[1]资源-钻石'!O79</f>
        <v>3529299.5322354301</v>
      </c>
      <c r="G79" s="14">
        <f>'[1]资源-钻石'!P79</f>
        <v>4712072.2898059003</v>
      </c>
      <c r="I79" s="14">
        <v>76</v>
      </c>
      <c r="J79" s="14">
        <f>'[1]资源-钻石'!T79</f>
        <v>469198.57594966714</v>
      </c>
      <c r="K79" s="14">
        <f>'[1]资源-钻石'!U79</f>
        <v>646318.43354463391</v>
      </c>
      <c r="L79" s="14">
        <f>'[1]资源-钻石'!V79</f>
        <v>1055980.2768990973</v>
      </c>
      <c r="M79" s="14">
        <f>'[1]资源-钻石'!W79</f>
        <v>2713128.3045890066</v>
      </c>
      <c r="N79" s="14">
        <f>'[1]资源-钻石'!X79</f>
        <v>6383203.635047907</v>
      </c>
      <c r="P79" s="14">
        <v>76</v>
      </c>
      <c r="Q79" s="14">
        <f>'[1]功能-行军令'!N79</f>
        <v>8878.5391436132213</v>
      </c>
      <c r="R79" s="14">
        <f>'[1]功能-行军令'!O79</f>
        <v>11187.287440877531</v>
      </c>
      <c r="S79" s="14">
        <f>'[1]功能-行军令'!P79</f>
        <v>12423.064282636185</v>
      </c>
      <c r="T79" s="14">
        <f>'[1]功能-行军令'!Q79</f>
        <v>10303.911398432119</v>
      </c>
      <c r="U79" s="14">
        <f>'[1]功能-行军令'!R79</f>
        <v>5733.4517601925972</v>
      </c>
      <c r="V79" s="14">
        <f>'[1]功能-行军令'!S79</f>
        <v>597.64968836043954</v>
      </c>
      <c r="W79" s="14">
        <f>'[1]功能-行军令'!T79</f>
        <v>751.85456483676353</v>
      </c>
      <c r="X79" s="14">
        <f>'[1]功能-行军令'!U79</f>
        <v>831.33120770455571</v>
      </c>
      <c r="Y79" s="14">
        <f>'[1]功能-行军令'!V79</f>
        <v>702.86814467605836</v>
      </c>
      <c r="Z79" s="14">
        <f>'[1]功能-行军令'!W79</f>
        <v>402.62917337361978</v>
      </c>
      <c r="AC79" s="14">
        <v>76</v>
      </c>
      <c r="AD79" s="14">
        <v>4845396</v>
      </c>
      <c r="AE79" s="14">
        <v>5092632</v>
      </c>
      <c r="AF79" s="14">
        <v>5640882</v>
      </c>
      <c r="AG79" s="14">
        <v>6633720</v>
      </c>
      <c r="AH79" s="14">
        <v>7134768</v>
      </c>
      <c r="AK79" s="14">
        <v>76</v>
      </c>
      <c r="AL79" s="14">
        <f>'[1]功能-付费相关'!AH81</f>
        <v>5.5555555555555558E-3</v>
      </c>
      <c r="AM79" s="14">
        <f>'[1]功能-付费相关'!AI81</f>
        <v>5.5555555555555558E-3</v>
      </c>
      <c r="AN79" s="14">
        <f>'[1]功能-付费相关'!AJ81</f>
        <v>5.5555555555555558E-3</v>
      </c>
      <c r="AO79" s="14">
        <f>'[1]功能-付费相关'!AK81</f>
        <v>5.5555555555555558E-3</v>
      </c>
      <c r="AP79" s="14">
        <f>'[1]功能-付费相关'!AL81</f>
        <v>5.5555555555555558E-3</v>
      </c>
      <c r="AS79" s="14">
        <v>76</v>
      </c>
      <c r="AT79" s="14">
        <f>'[1]功能-城建'!GF79</f>
        <v>12154319.407644302</v>
      </c>
      <c r="AU79" s="14">
        <f>'[1]功能-城建'!GG79</f>
        <v>10503520.487868831</v>
      </c>
      <c r="AV79" s="14">
        <f>'[1]功能-城建'!GH79</f>
        <v>8912601.3872149885</v>
      </c>
      <c r="AW79" s="14">
        <f>'[1]功能-城建'!GI79</f>
        <v>6779766.5645107925</v>
      </c>
      <c r="AX79" s="14">
        <f>'[1]功能-城建'!GJ79</f>
        <v>3968438.2214456126</v>
      </c>
    </row>
    <row r="80" spans="2:50" x14ac:dyDescent="0.15">
      <c r="B80" s="14">
        <v>77</v>
      </c>
      <c r="C80" s="14">
        <f>'[1]资源-钻石'!L80</f>
        <v>1046912.096776562</v>
      </c>
      <c r="D80" s="14">
        <f>'[1]资源-钻石'!M80</f>
        <v>1335678.1654017968</v>
      </c>
      <c r="E80" s="14">
        <f>'[1]资源-钻石'!N80</f>
        <v>1897158.2629734648</v>
      </c>
      <c r="F80" s="14">
        <f>'[1]资源-钻石'!O80</f>
        <v>3770848.4591382518</v>
      </c>
      <c r="G80" s="14">
        <f>'[1]资源-钻石'!P80</f>
        <v>5030191.5633052476</v>
      </c>
      <c r="I80" s="14">
        <v>77</v>
      </c>
      <c r="J80" s="14">
        <f>'[1]资源-钻石'!T80</f>
        <v>475126.00910175592</v>
      </c>
      <c r="K80" s="14">
        <f>'[1]资源-钻石'!U80</f>
        <v>654518.61001193163</v>
      </c>
      <c r="L80" s="14">
        <f>'[1]资源-钻石'!V80</f>
        <v>1069452.4710131248</v>
      </c>
      <c r="M80" s="14">
        <f>'[1]资源-钻石'!W80</f>
        <v>2747967.7181144371</v>
      </c>
      <c r="N80" s="14">
        <f>'[1]资源-钻石'!X80</f>
        <v>6465381.9899258809</v>
      </c>
      <c r="P80" s="14">
        <v>77</v>
      </c>
      <c r="Q80" s="14">
        <f>'[1]功能-行军令'!N80</f>
        <v>9519.0842194910274</v>
      </c>
      <c r="R80" s="14">
        <f>'[1]功能-行军令'!O80</f>
        <v>12001.33028535274</v>
      </c>
      <c r="S80" s="14">
        <f>'[1]功能-行军令'!P80</f>
        <v>13334.39525564707</v>
      </c>
      <c r="T80" s="14">
        <f>'[1]功能-行军令'!Q80</f>
        <v>11064.341993234622</v>
      </c>
      <c r="U80" s="14">
        <f>'[1]功能-行军令'!R80</f>
        <v>6132.1733605347736</v>
      </c>
      <c r="V80" s="14">
        <f>'[1]功能-行军令'!S80</f>
        <v>640.54507587780608</v>
      </c>
      <c r="W80" s="14">
        <f>'[1]功能-行军令'!T80</f>
        <v>814.04284447520877</v>
      </c>
      <c r="X80" s="14">
        <f>'[1]功能-行军令'!U80</f>
        <v>911.33097301088492</v>
      </c>
      <c r="Y80" s="14">
        <f>'[1]功能-行军令'!V80</f>
        <v>760.43059480250304</v>
      </c>
      <c r="Z80" s="14">
        <f>'[1]功能-行军令'!W80</f>
        <v>398.72160034217632</v>
      </c>
      <c r="AC80" s="14">
        <v>77</v>
      </c>
      <c r="AD80" s="14">
        <v>5042358</v>
      </c>
      <c r="AE80" s="14">
        <v>5284260</v>
      </c>
      <c r="AF80" s="14">
        <v>5895654</v>
      </c>
      <c r="AG80" s="14">
        <v>6919014</v>
      </c>
      <c r="AH80" s="14">
        <v>7448910</v>
      </c>
      <c r="AK80" s="14">
        <v>77</v>
      </c>
      <c r="AL80" s="14">
        <f>'[1]功能-付费相关'!AH82</f>
        <v>5.5555555555555558E-3</v>
      </c>
      <c r="AM80" s="14">
        <f>'[1]功能-付费相关'!AI82</f>
        <v>5.5555555555555558E-3</v>
      </c>
      <c r="AN80" s="14">
        <f>'[1]功能-付费相关'!AJ82</f>
        <v>5.5555555555555558E-3</v>
      </c>
      <c r="AO80" s="14">
        <f>'[1]功能-付费相关'!AK82</f>
        <v>5.5555555555555558E-3</v>
      </c>
      <c r="AP80" s="14">
        <f>'[1]功能-付费相关'!AL82</f>
        <v>5.5555555555555558E-3</v>
      </c>
      <c r="AS80" s="14">
        <v>77</v>
      </c>
      <c r="AT80" s="14">
        <f>'[1]功能-城建'!GF80</f>
        <v>13033699.804817945</v>
      </c>
      <c r="AU80" s="14">
        <f>'[1]功能-城建'!GG80</f>
        <v>11844736.197560683</v>
      </c>
      <c r="AV80" s="14">
        <f>'[1]功能-城建'!GH80</f>
        <v>9814136.4368413687</v>
      </c>
      <c r="AW80" s="14">
        <f>'[1]功能-城建'!GI80</f>
        <v>7495040.1926553696</v>
      </c>
      <c r="AX80" s="14">
        <f>'[1]功能-城建'!GJ80</f>
        <v>4073592.6392473802</v>
      </c>
    </row>
    <row r="81" spans="2:50" x14ac:dyDescent="0.15">
      <c r="B81" s="14">
        <v>78</v>
      </c>
      <c r="C81" s="14">
        <f>'[1]资源-钻石'!L81</f>
        <v>1104936.6220174441</v>
      </c>
      <c r="D81" s="14">
        <f>'[1]资源-钻石'!M81</f>
        <v>1413058.9444595983</v>
      </c>
      <c r="E81" s="14">
        <f>'[1]资源-钻石'!N81</f>
        <v>2020684.1954405201</v>
      </c>
      <c r="F81" s="14">
        <f>'[1]资源-钻石'!O81</f>
        <v>4024319.6756068617</v>
      </c>
      <c r="G81" s="14">
        <f>'[1]资源-钻石'!P81</f>
        <v>5368457.4932016712</v>
      </c>
      <c r="I81" s="14">
        <v>78</v>
      </c>
      <c r="J81" s="14">
        <f>'[1]资源-钻石'!T81</f>
        <v>481053.4422538447</v>
      </c>
      <c r="K81" s="14">
        <f>'[1]资源-钻石'!U81</f>
        <v>662718.78647922922</v>
      </c>
      <c r="L81" s="14">
        <f>'[1]资源-钻石'!V81</f>
        <v>1082924.6651271521</v>
      </c>
      <c r="M81" s="14">
        <f>'[1]资源-钻石'!W81</f>
        <v>2782807.1316398671</v>
      </c>
      <c r="N81" s="14">
        <f>'[1]资源-钻石'!X81</f>
        <v>6547560.3448038539</v>
      </c>
      <c r="P81" s="14">
        <v>78</v>
      </c>
      <c r="Q81" s="14">
        <f>'[1]功能-行军令'!N81</f>
        <v>10205.603433375156</v>
      </c>
      <c r="R81" s="14">
        <f>'[1]功能-行军令'!O81</f>
        <v>12866.869831288672</v>
      </c>
      <c r="S81" s="14">
        <f>'[1]功能-行军令'!P81</f>
        <v>14308.189455308708</v>
      </c>
      <c r="T81" s="14">
        <f>'[1]功能-行军令'!Q81</f>
        <v>11862.30566202825</v>
      </c>
      <c r="U81" s="14">
        <f>'[1]功能-行军令'!R81</f>
        <v>6556.1462038834607</v>
      </c>
      <c r="V81" s="14">
        <f>'[1]功能-行军令'!S81</f>
        <v>686.51921388412848</v>
      </c>
      <c r="W81" s="14">
        <f>'[1]功能-行军令'!T81</f>
        <v>865.53954593593153</v>
      </c>
      <c r="X81" s="14">
        <f>'[1]功能-行军令'!U81</f>
        <v>973.79419966163732</v>
      </c>
      <c r="Y81" s="14">
        <f>'[1]功能-行军令'!V81</f>
        <v>797.96366879362722</v>
      </c>
      <c r="Z81" s="14">
        <f>'[1]功能-行军令'!W81</f>
        <v>423.97284334868709</v>
      </c>
      <c r="AC81" s="14">
        <v>78</v>
      </c>
      <c r="AD81" s="14">
        <v>5244030</v>
      </c>
      <c r="AE81" s="14">
        <v>5510334</v>
      </c>
      <c r="AF81" s="14">
        <v>6157452</v>
      </c>
      <c r="AG81" s="14">
        <v>7230348</v>
      </c>
      <c r="AH81" s="14">
        <v>7798572</v>
      </c>
      <c r="AK81" s="14">
        <v>78</v>
      </c>
      <c r="AL81" s="14">
        <f>'[1]功能-付费相关'!AH83</f>
        <v>5.5555555555555558E-3</v>
      </c>
      <c r="AM81" s="14">
        <f>'[1]功能-付费相关'!AI83</f>
        <v>5.5555555555555558E-3</v>
      </c>
      <c r="AN81" s="14">
        <f>'[1]功能-付费相关'!AJ83</f>
        <v>5.5555555555555558E-3</v>
      </c>
      <c r="AO81" s="14">
        <f>'[1]功能-付费相关'!AK83</f>
        <v>5.5555555555555558E-3</v>
      </c>
      <c r="AP81" s="14">
        <f>'[1]功能-付费相关'!AL83</f>
        <v>5.5555555555555558E-3</v>
      </c>
      <c r="AS81" s="14">
        <v>78</v>
      </c>
      <c r="AT81" s="14">
        <f>'[1]功能-城建'!GF81</f>
        <v>14478757.697025001</v>
      </c>
      <c r="AU81" s="14">
        <f>'[1]功能-城建'!GG81</f>
        <v>12603289.268882021</v>
      </c>
      <c r="AV81" s="14">
        <f>'[1]功能-城建'!GH81</f>
        <v>10863690.895565867</v>
      </c>
      <c r="AW81" s="14">
        <f>'[1]功能-城建'!GI81</f>
        <v>7983692.1277564019</v>
      </c>
      <c r="AX81" s="14">
        <f>'[1]功能-城建'!GJ81</f>
        <v>4356629.6834975779</v>
      </c>
    </row>
    <row r="82" spans="2:50" x14ac:dyDescent="0.15">
      <c r="B82" s="14">
        <v>79</v>
      </c>
      <c r="C82" s="14">
        <f>'[1]资源-钻石'!L82</f>
        <v>1167125.7683468889</v>
      </c>
      <c r="D82" s="14">
        <f>'[1]资源-钻石'!M82</f>
        <v>1496667.2212345796</v>
      </c>
      <c r="E82" s="14">
        <f>'[1]资源-钻石'!N82</f>
        <v>2153461.8603539318</v>
      </c>
      <c r="F82" s="14">
        <f>'[1]资源-钻石'!O82</f>
        <v>4284310.2254597275</v>
      </c>
      <c r="G82" s="14">
        <f>'[1]资源-钻石'!P82</f>
        <v>5735809.6297819801</v>
      </c>
      <c r="I82" s="14">
        <v>79</v>
      </c>
      <c r="J82" s="14">
        <f>'[1]资源-钻石'!T82</f>
        <v>486980.87540593348</v>
      </c>
      <c r="K82" s="14">
        <f>'[1]资源-钻石'!U82</f>
        <v>670918.96294652694</v>
      </c>
      <c r="L82" s="14">
        <f>'[1]资源-钻石'!V82</f>
        <v>1096396.8592411797</v>
      </c>
      <c r="M82" s="14">
        <f>'[1]资源-钻石'!W82</f>
        <v>2817646.5451652976</v>
      </c>
      <c r="N82" s="14">
        <f>'[1]资源-钻石'!X82</f>
        <v>6629738.6996818269</v>
      </c>
      <c r="P82" s="14">
        <v>79</v>
      </c>
      <c r="Q82" s="14">
        <f>'[1]功能-行军令'!N82</f>
        <v>10941.396508337442</v>
      </c>
      <c r="R82" s="14">
        <f>'[1]功能-行军令'!O82</f>
        <v>13807.281252895182</v>
      </c>
      <c r="S82" s="14">
        <f>'[1]功能-行军令'!P82</f>
        <v>15354.918003354933</v>
      </c>
      <c r="T82" s="14">
        <f>'[1]功能-行军令'!Q82</f>
        <v>12680.793125428094</v>
      </c>
      <c r="U82" s="14">
        <f>'[1]功能-行军令'!R82</f>
        <v>7016.5748669292998</v>
      </c>
      <c r="V82" s="14">
        <f>'[1]功能-行军令'!S82</f>
        <v>735.79307496228648</v>
      </c>
      <c r="W82" s="14">
        <f>'[1]功能-行军令'!T82</f>
        <v>940.41142160650998</v>
      </c>
      <c r="X82" s="14">
        <f>'[1]功能-行军令'!U82</f>
        <v>1046.7285480462251</v>
      </c>
      <c r="Y82" s="14">
        <f>'[1]功能-行军令'!V82</f>
        <v>818.48746339984427</v>
      </c>
      <c r="Z82" s="14">
        <f>'[1]功能-行军令'!W82</f>
        <v>460.42866304583913</v>
      </c>
      <c r="AC82" s="14">
        <v>79</v>
      </c>
      <c r="AD82" s="14">
        <v>5455446</v>
      </c>
      <c r="AE82" s="14">
        <v>5788344</v>
      </c>
      <c r="AF82" s="14">
        <v>6428874</v>
      </c>
      <c r="AG82" s="14">
        <v>7556472</v>
      </c>
      <c r="AH82" s="14">
        <v>8167998</v>
      </c>
      <c r="AK82" s="14">
        <v>79</v>
      </c>
      <c r="AL82" s="14">
        <f>'[1]功能-付费相关'!AH84</f>
        <v>5.5555555555555558E-3</v>
      </c>
      <c r="AM82" s="14">
        <f>'[1]功能-付费相关'!AI84</f>
        <v>5.5555555555555558E-3</v>
      </c>
      <c r="AN82" s="14">
        <f>'[1]功能-付费相关'!AJ84</f>
        <v>5.5555555555555558E-3</v>
      </c>
      <c r="AO82" s="14">
        <f>'[1]功能-付费相关'!AK84</f>
        <v>5.5555555555555558E-3</v>
      </c>
      <c r="AP82" s="14">
        <f>'[1]功能-付费相关'!AL84</f>
        <v>5.5555555555555558E-3</v>
      </c>
      <c r="AS82" s="14">
        <v>79</v>
      </c>
      <c r="AT82" s="14">
        <f>'[1]功能-城建'!GF82</f>
        <v>15605211.389852315</v>
      </c>
      <c r="AU82" s="14">
        <f>'[1]功能-城建'!GG82</f>
        <v>14175844.398344696</v>
      </c>
      <c r="AV82" s="14">
        <f>'[1]功能-城建'!GH82</f>
        <v>11681901.359576494</v>
      </c>
      <c r="AW82" s="14">
        <f>'[1]功能-城建'!GI82</f>
        <v>8410554.6724504381</v>
      </c>
      <c r="AX82" s="14">
        <f>'[1]功能-城建'!GJ82</f>
        <v>4858691.0591672286</v>
      </c>
    </row>
    <row r="83" spans="2:50" x14ac:dyDescent="0.15">
      <c r="B83" s="14">
        <v>80</v>
      </c>
      <c r="C83" s="14">
        <f>'[1]资源-钻石'!L83</f>
        <v>1233778.4450405743</v>
      </c>
      <c r="D83" s="14">
        <f>'[1]资源-钻石'!M83</f>
        <v>1586054.5988333216</v>
      </c>
      <c r="E83" s="14">
        <f>'[1]资源-钻石'!N83</f>
        <v>2287191.1277600061</v>
      </c>
      <c r="F83" s="14">
        <f>'[1]资源-钻石'!O83</f>
        <v>4561282.0271056285</v>
      </c>
      <c r="G83" s="14">
        <f>'[1]资源-钻石'!P83</f>
        <v>6118342.7972761998</v>
      </c>
      <c r="I83" s="14">
        <v>80</v>
      </c>
      <c r="J83" s="14">
        <f>'[1]资源-钻石'!T83</f>
        <v>492908.30855802225</v>
      </c>
      <c r="K83" s="14">
        <f>'[1]资源-钻石'!U83</f>
        <v>679119.13941382454</v>
      </c>
      <c r="L83" s="14">
        <f>'[1]资源-钻石'!V83</f>
        <v>1109869.053355207</v>
      </c>
      <c r="M83" s="14">
        <f>'[1]资源-钻石'!W83</f>
        <v>2852485.9586907276</v>
      </c>
      <c r="N83" s="14">
        <f>'[1]资源-钻石'!X83</f>
        <v>6711917.0545597998</v>
      </c>
      <c r="P83" s="14">
        <v>80</v>
      </c>
      <c r="Q83" s="14">
        <f>'[1]功能-行军令'!N83</f>
        <v>11730</v>
      </c>
      <c r="R83" s="14">
        <f>'[1]功能-行军令'!O83</f>
        <v>14812.695</v>
      </c>
      <c r="S83" s="14">
        <f>'[1]功能-行军令'!P83</f>
        <v>16410.576000000001</v>
      </c>
      <c r="T83" s="14">
        <f>'[1]功能-行军令'!Q83</f>
        <v>13552.740000000002</v>
      </c>
      <c r="U83" s="14">
        <f>'[1]功能-行军令'!R83</f>
        <v>7496.0309999999999</v>
      </c>
      <c r="V83" s="14">
        <f>'[1]功能-行军令'!S83</f>
        <v>788.60349166255764</v>
      </c>
      <c r="W83" s="14">
        <f>'[1]功能-行军令'!T83</f>
        <v>1005.413747104818</v>
      </c>
      <c r="X83" s="14">
        <f>'[1]功能-行军令'!U83</f>
        <v>1055.6579966450681</v>
      </c>
      <c r="Y83" s="14">
        <f>'[1]功能-行军令'!V83</f>
        <v>871.94687457190776</v>
      </c>
      <c r="Z83" s="14">
        <f>'[1]功能-行军令'!W83</f>
        <v>479.45613307070016</v>
      </c>
      <c r="AC83" s="14">
        <v>80</v>
      </c>
      <c r="AD83" s="14">
        <v>5671776</v>
      </c>
      <c r="AE83" s="14">
        <v>6077040</v>
      </c>
      <c r="AF83" s="14">
        <v>6705222</v>
      </c>
      <c r="AG83" s="14">
        <v>7908252</v>
      </c>
      <c r="AH83" s="14">
        <v>8568036</v>
      </c>
      <c r="AK83" s="14">
        <v>80</v>
      </c>
      <c r="AL83" s="14">
        <f>'[1]功能-付费相关'!AH85</f>
        <v>5.5555555555555558E-3</v>
      </c>
      <c r="AM83" s="14">
        <f>'[1]功能-付费相关'!AI85</f>
        <v>5.5555555555555558E-3</v>
      </c>
      <c r="AN83" s="14">
        <f>'[1]功能-付费相关'!AJ85</f>
        <v>5.5555555555555558E-3</v>
      </c>
      <c r="AO83" s="14">
        <f>'[1]功能-付费相关'!AK85</f>
        <v>5.5555555555555558E-3</v>
      </c>
      <c r="AP83" s="14">
        <f>'[1]功能-付费相关'!AL85</f>
        <v>5.5555555555555558E-3</v>
      </c>
      <c r="AS83" s="14">
        <v>80</v>
      </c>
      <c r="AT83" s="14">
        <f>'[1]功能-城建'!GF83</f>
        <v>17225263.649299711</v>
      </c>
      <c r="AU83" s="14">
        <f>'[1]功能-城建'!GG83</f>
        <v>15234269.194937468</v>
      </c>
      <c r="AV83" s="14">
        <f>'[1]功能-城建'!GH83</f>
        <v>12278114.545594931</v>
      </c>
      <c r="AW83" s="14">
        <f>'[1]功能-城建'!GI83</f>
        <v>9013299.3766721636</v>
      </c>
      <c r="AX83" s="14">
        <f>'[1]功能-城建'!GJ83</f>
        <v>5127853.1668998376</v>
      </c>
    </row>
    <row r="84" spans="2:50" x14ac:dyDescent="0.15">
      <c r="B84" s="14">
        <v>81</v>
      </c>
      <c r="C84" s="14">
        <f>'[1]资源-钻石'!L84</f>
        <v>1305215.0151278772</v>
      </c>
      <c r="D84" s="14">
        <f>'[1]资源-钻石'!M84</f>
        <v>1677038.3177689395</v>
      </c>
      <c r="E84" s="14">
        <f>'[1]资源-钻石'!N84</f>
        <v>2422963.1258291933</v>
      </c>
      <c r="F84" s="14">
        <f>'[1]资源-钻石'!O84</f>
        <v>4861639.5326732919</v>
      </c>
      <c r="G84" s="14">
        <f>'[1]资源-钻石'!P84</f>
        <v>6535802.0213373909</v>
      </c>
      <c r="I84" s="14">
        <v>81</v>
      </c>
      <c r="J84" s="14">
        <f>'[1]资源-钻石'!T84</f>
        <v>498835.74171011103</v>
      </c>
      <c r="K84" s="14">
        <f>'[1]资源-钻石'!U84</f>
        <v>687319.31588112214</v>
      </c>
      <c r="L84" s="14">
        <f>'[1]资源-钻石'!V84</f>
        <v>1123341.2474692345</v>
      </c>
      <c r="M84" s="14">
        <f>'[1]资源-钻石'!W84</f>
        <v>2887325.3722161576</v>
      </c>
      <c r="N84" s="14">
        <f>'[1]资源-钻石'!X84</f>
        <v>6794095.4094377728</v>
      </c>
      <c r="P84" s="14">
        <v>81</v>
      </c>
      <c r="Q84" s="14">
        <f>'[1]功能-行军令'!N84</f>
        <v>12575.204294827385</v>
      </c>
      <c r="R84" s="14">
        <f>'[1]功能-行军令'!O84</f>
        <v>15836.064118078692</v>
      </c>
      <c r="S84" s="14">
        <f>'[1]功能-行军令'!P84</f>
        <v>17533.333974271412</v>
      </c>
      <c r="T84" s="14">
        <f>'[1]功能-行军令'!Q84</f>
        <v>14498.308417714825</v>
      </c>
      <c r="U84" s="14">
        <f>'[1]功能-行军令'!R84</f>
        <v>8019.2624536127059</v>
      </c>
      <c r="V84" s="14">
        <f>'[1]功能-行军令'!S84</f>
        <v>845.20429482738473</v>
      </c>
      <c r="W84" s="14">
        <f>'[1]功能-行军令'!T84</f>
        <v>1023.3691180786918</v>
      </c>
      <c r="X84" s="14">
        <f>'[1]功能-行军令'!U84</f>
        <v>1122.7579742714115</v>
      </c>
      <c r="Y84" s="14">
        <f>'[1]功能-行军令'!V84</f>
        <v>945.56841771482323</v>
      </c>
      <c r="Z84" s="14">
        <f>'[1]功能-行军令'!W84</f>
        <v>523.23145361270599</v>
      </c>
      <c r="AC84" s="14">
        <v>81</v>
      </c>
      <c r="AD84" s="14">
        <v>5916756</v>
      </c>
      <c r="AE84" s="14">
        <v>6367482</v>
      </c>
      <c r="AF84" s="14">
        <v>6967614</v>
      </c>
      <c r="AG84" s="14">
        <v>8364480</v>
      </c>
      <c r="AH84" s="14">
        <v>9116124</v>
      </c>
      <c r="AK84" s="14">
        <v>81</v>
      </c>
      <c r="AL84" s="14">
        <f>'[1]功能-付费相关'!AH86</f>
        <v>5.5555555555555558E-3</v>
      </c>
      <c r="AM84" s="14">
        <f>'[1]功能-付费相关'!AI86</f>
        <v>5.5555555555555558E-3</v>
      </c>
      <c r="AN84" s="14">
        <f>'[1]功能-付费相关'!AJ86</f>
        <v>5.5555555555555558E-3</v>
      </c>
      <c r="AO84" s="14">
        <f>'[1]功能-付费相关'!AK86</f>
        <v>5.5555555555555558E-3</v>
      </c>
      <c r="AP84" s="14">
        <f>'[1]功能-付费相关'!AL86</f>
        <v>5.5555555555555558E-3</v>
      </c>
      <c r="AS84" s="14">
        <v>81</v>
      </c>
      <c r="AT84" s="14">
        <f>'[1]功能-城建'!GF84</f>
        <v>18653291.30671221</v>
      </c>
      <c r="AU84" s="14">
        <f>'[1]功能-城建'!GG84</f>
        <v>16003961.232455015</v>
      </c>
      <c r="AV84" s="14">
        <f>'[1]功能-城建'!GH84</f>
        <v>13058538.900756747</v>
      </c>
      <c r="AW84" s="14">
        <f>'[1]功能-城建'!GI84</f>
        <v>10112991.931598544</v>
      </c>
      <c r="AX84" s="14">
        <f>'[1]功能-城建'!GJ84</f>
        <v>5695528.587991491</v>
      </c>
    </row>
    <row r="85" spans="2:50" x14ac:dyDescent="0.15">
      <c r="B85" s="14">
        <v>82</v>
      </c>
      <c r="C85" s="14">
        <f>'[1]资源-钻石'!L85</f>
        <v>1381778.8352020616</v>
      </c>
      <c r="D85" s="14">
        <f>'[1]资源-钻石'!M85</f>
        <v>1777062.8377403398</v>
      </c>
      <c r="E85" s="14">
        <f>'[1]资源-钻石'!N85</f>
        <v>2573762.9897704134</v>
      </c>
      <c r="F85" s="14">
        <f>'[1]资源-钻石'!O85</f>
        <v>5190514.1974744778</v>
      </c>
      <c r="G85" s="14">
        <f>'[1]资源-钻石'!P85</f>
        <v>6977432.4595038407</v>
      </c>
      <c r="I85" s="14">
        <v>82</v>
      </c>
      <c r="J85" s="14">
        <f>'[1]资源-钻石'!T85</f>
        <v>504763.17486219981</v>
      </c>
      <c r="K85" s="14">
        <f>'[1]资源-钻石'!U85</f>
        <v>695519.49234841985</v>
      </c>
      <c r="L85" s="14">
        <f>'[1]资源-钻石'!V85</f>
        <v>1136813.4415832618</v>
      </c>
      <c r="M85" s="14">
        <f>'[1]资源-钻石'!W85</f>
        <v>2922164.7857415881</v>
      </c>
      <c r="N85" s="14">
        <f>'[1]资源-钻石'!X85</f>
        <v>6876273.7643157458</v>
      </c>
      <c r="P85" s="14">
        <v>82</v>
      </c>
      <c r="Q85" s="14">
        <f>'[1]功能-行军令'!N85</f>
        <v>13481.07182844507</v>
      </c>
      <c r="R85" s="14">
        <f>'[1]功能-行军令'!O85</f>
        <v>16961.1226009245</v>
      </c>
      <c r="S85" s="14">
        <f>'[1]功能-行军令'!P85</f>
        <v>18780.363937495276</v>
      </c>
      <c r="T85" s="14">
        <f>'[1]功能-行军令'!Q85</f>
        <v>15533.652934359494</v>
      </c>
      <c r="U85" s="14">
        <f>'[1]功能-行军令'!R85</f>
        <v>8572.7894157755472</v>
      </c>
      <c r="V85" s="14">
        <f>'[1]功能-行军令'!S85</f>
        <v>905.86753361768569</v>
      </c>
      <c r="W85" s="14">
        <f>'[1]功能-行军令'!T85</f>
        <v>1125.0584828458086</v>
      </c>
      <c r="X85" s="14">
        <f>'[1]功能-行军令'!U85</f>
        <v>1247.0299632238639</v>
      </c>
      <c r="Y85" s="14">
        <f>'[1]功能-行军令'!V85</f>
        <v>1035.3445166446691</v>
      </c>
      <c r="Z85" s="14">
        <f>'[1]功能-行军令'!W85</f>
        <v>553.5269621628413</v>
      </c>
      <c r="AC85" s="14">
        <v>82</v>
      </c>
      <c r="AD85" s="14">
        <v>6187056</v>
      </c>
      <c r="AE85" s="14">
        <v>6670302</v>
      </c>
      <c r="AF85" s="14">
        <v>7236084</v>
      </c>
      <c r="AG85" s="14">
        <v>8833368</v>
      </c>
      <c r="AH85" s="14">
        <v>9664926</v>
      </c>
      <c r="AK85" s="14">
        <v>82</v>
      </c>
      <c r="AL85" s="14">
        <f>'[1]功能-付费相关'!AH87</f>
        <v>5.5555555555555558E-3</v>
      </c>
      <c r="AM85" s="14">
        <f>'[1]功能-付费相关'!AI87</f>
        <v>5.5555555555555558E-3</v>
      </c>
      <c r="AN85" s="14">
        <f>'[1]功能-付费相关'!AJ87</f>
        <v>5.5555555555555558E-3</v>
      </c>
      <c r="AO85" s="14">
        <f>'[1]功能-付费相关'!AK87</f>
        <v>5.5555555555555558E-3</v>
      </c>
      <c r="AP85" s="14">
        <f>'[1]功能-付费相关'!AL87</f>
        <v>5.5555555555555558E-3</v>
      </c>
      <c r="AS85" s="14">
        <v>82</v>
      </c>
      <c r="AT85" s="14">
        <f>'[1]功能-城建'!GF85</f>
        <v>20511227.459076077</v>
      </c>
      <c r="AU85" s="14">
        <f>'[1]功能-城建'!GG85</f>
        <v>17772565.645432919</v>
      </c>
      <c r="AV85" s="14">
        <f>'[1]功能-城建'!GH85</f>
        <v>14973162.647289038</v>
      </c>
      <c r="AW85" s="14">
        <f>'[1]功能-城建'!GI85</f>
        <v>11073160.383842394</v>
      </c>
      <c r="AX85" s="14">
        <f>'[1]功能-城建'!GJ85</f>
        <v>6152210.3522720337</v>
      </c>
    </row>
    <row r="86" spans="2:50" x14ac:dyDescent="0.15">
      <c r="B86" s="14">
        <v>83</v>
      </c>
      <c r="C86" s="14">
        <f>'[1]资源-钻石'!L86</f>
        <v>1463837.9057479792</v>
      </c>
      <c r="D86" s="14">
        <f>'[1]资源-钻石'!M86</f>
        <v>1886598.4100187661</v>
      </c>
      <c r="E86" s="14">
        <f>'[1]资源-钻石'!N86</f>
        <v>2740778.0963098295</v>
      </c>
      <c r="F86" s="14">
        <f>'[1]资源-钻石'!O86</f>
        <v>5542785.4674281906</v>
      </c>
      <c r="G86" s="14">
        <f>'[1]资源-钻石'!P86</f>
        <v>7467440.6996243615</v>
      </c>
      <c r="I86" s="14">
        <v>83</v>
      </c>
      <c r="J86" s="14">
        <f>'[1]资源-钻石'!T86</f>
        <v>510690.60801428859</v>
      </c>
      <c r="K86" s="14">
        <f>'[1]资源-钻石'!U86</f>
        <v>703719.66881571745</v>
      </c>
      <c r="L86" s="14">
        <f>'[1]资源-钻石'!V86</f>
        <v>1150285.6356972894</v>
      </c>
      <c r="M86" s="14">
        <f>'[1]资源-钻石'!W86</f>
        <v>2957004.1992670181</v>
      </c>
      <c r="N86" s="14">
        <f>'[1]资源-钻石'!X86</f>
        <v>6958452.1191937188</v>
      </c>
      <c r="P86" s="14">
        <v>83</v>
      </c>
      <c r="Q86" s="14">
        <f>'[1]功能-行军令'!N86</f>
        <v>14451.956611549746</v>
      </c>
      <c r="R86" s="14">
        <f>'[1]功能-行军令'!O86</f>
        <v>18193.159753419211</v>
      </c>
      <c r="S86" s="14">
        <f>'[1]功能-行军令'!P86</f>
        <v>20161.484826615306</v>
      </c>
      <c r="T86" s="14">
        <f>'[1]功能-行军令'!Q86</f>
        <v>16642.653312781815</v>
      </c>
      <c r="U86" s="14">
        <f>'[1]功能-行军令'!R86</f>
        <v>9186.9517314772656</v>
      </c>
      <c r="V86" s="14">
        <f>'[1]功能-行军令'!S86</f>
        <v>970.88478310467508</v>
      </c>
      <c r="W86" s="14">
        <f>'[1]功能-行军令'!T86</f>
        <v>1232.0371524947113</v>
      </c>
      <c r="X86" s="14">
        <f>'[1]功能-行军令'!U86</f>
        <v>1381.1208891200295</v>
      </c>
      <c r="Y86" s="14">
        <f>'[1]功能-行军令'!V86</f>
        <v>1109.0003784223209</v>
      </c>
      <c r="Z86" s="14">
        <f>'[1]功能-行军令'!W86</f>
        <v>614.1623157017184</v>
      </c>
      <c r="AC86" s="14">
        <v>83</v>
      </c>
      <c r="AD86" s="14">
        <v>6478968</v>
      </c>
      <c r="AE86" s="14">
        <v>6938316</v>
      </c>
      <c r="AF86" s="14">
        <v>7511478</v>
      </c>
      <c r="AG86" s="14">
        <v>9249576</v>
      </c>
      <c r="AH86" s="14">
        <v>10085844</v>
      </c>
      <c r="AK86" s="14">
        <v>83</v>
      </c>
      <c r="AL86" s="14">
        <f>'[1]功能-付费相关'!AH88</f>
        <v>5.5555555555555558E-3</v>
      </c>
      <c r="AM86" s="14">
        <f>'[1]功能-付费相关'!AI88</f>
        <v>5.5555555555555558E-3</v>
      </c>
      <c r="AN86" s="14">
        <f>'[1]功能-付费相关'!AJ88</f>
        <v>5.5555555555555558E-3</v>
      </c>
      <c r="AO86" s="14">
        <f>'[1]功能-付费相关'!AK88</f>
        <v>5.5555555555555558E-3</v>
      </c>
      <c r="AP86" s="14">
        <f>'[1]功能-付费相关'!AL88</f>
        <v>5.5555555555555558E-3</v>
      </c>
      <c r="AS86" s="14">
        <v>83</v>
      </c>
      <c r="AT86" s="14">
        <f>'[1]功能-城建'!GF86</f>
        <v>22338792.487782359</v>
      </c>
      <c r="AU86" s="14">
        <f>'[1]功能-城建'!GG86</f>
        <v>19931332.887407482</v>
      </c>
      <c r="AV86" s="14">
        <f>'[1]功能-城建'!GH86</f>
        <v>16719151.334666252</v>
      </c>
      <c r="AW86" s="14">
        <f>'[1]功能-城建'!GI86</f>
        <v>12313286.54870677</v>
      </c>
      <c r="AX86" s="14">
        <f>'[1]功能-城建'!GJ86</f>
        <v>6895845.0611038804</v>
      </c>
    </row>
    <row r="87" spans="2:50" x14ac:dyDescent="0.15">
      <c r="B87" s="14">
        <v>84</v>
      </c>
      <c r="C87" s="14">
        <f>'[1]资源-钻石'!L87</f>
        <v>1551786.6399194838</v>
      </c>
      <c r="D87" s="14">
        <f>'[1]资源-钻石'!M87</f>
        <v>2004063.3168475013</v>
      </c>
      <c r="E87" s="14">
        <f>'[1]资源-钻石'!N87</f>
        <v>2913729.6215637578</v>
      </c>
      <c r="F87" s="14">
        <f>'[1]资源-钻石'!O87</f>
        <v>5915710.0787900444</v>
      </c>
      <c r="G87" s="14">
        <f>'[1]资源-钻石'!P87</f>
        <v>7984782.1827939106</v>
      </c>
      <c r="I87" s="14">
        <v>84</v>
      </c>
      <c r="J87" s="14">
        <f>'[1]资源-钻石'!T87</f>
        <v>516618.04116637737</v>
      </c>
      <c r="K87" s="14">
        <f>'[1]资源-钻石'!U87</f>
        <v>711919.84528301517</v>
      </c>
      <c r="L87" s="14">
        <f>'[1]资源-钻石'!V87</f>
        <v>1163754.342828128</v>
      </c>
      <c r="M87" s="14">
        <f>'[1]资源-钻石'!W87</f>
        <v>2991843.6127924481</v>
      </c>
      <c r="N87" s="14">
        <f>'[1]资源-钻石'!X87</f>
        <v>7040630.4740716927</v>
      </c>
      <c r="P87" s="14">
        <v>84</v>
      </c>
      <c r="Q87" s="14">
        <f>'[1]功能-行军令'!N87</f>
        <v>15492.5251572616</v>
      </c>
      <c r="R87" s="14">
        <f>'[1]功能-行军令'!O87</f>
        <v>19514.384688086713</v>
      </c>
      <c r="S87" s="14">
        <f>'[1]功能-行军令'!P87</f>
        <v>21591.696555857881</v>
      </c>
      <c r="T87" s="14">
        <f>'[1]功能-行军令'!Q87</f>
        <v>17816.673366070961</v>
      </c>
      <c r="U87" s="14">
        <f>'[1]功能-行军令'!R87</f>
        <v>9851.8988239177452</v>
      </c>
      <c r="V87" s="14">
        <f>'[1]功能-行军令'!S87</f>
        <v>1040.5685457118543</v>
      </c>
      <c r="W87" s="14">
        <f>'[1]功能-行军令'!T87</f>
        <v>1321.2249346675017</v>
      </c>
      <c r="X87" s="14">
        <f>'[1]功能-行军令'!U87</f>
        <v>1430.2117292425755</v>
      </c>
      <c r="Y87" s="14">
        <f>'[1]功能-行军令'!V87</f>
        <v>1174.0200532891467</v>
      </c>
      <c r="Z87" s="14">
        <f>'[1]功能-行军令'!W87</f>
        <v>664.94709244047954</v>
      </c>
      <c r="AC87" s="14">
        <v>84</v>
      </c>
      <c r="AD87" s="14">
        <v>6787074</v>
      </c>
      <c r="AE87" s="14">
        <v>7208178</v>
      </c>
      <c r="AF87" s="14">
        <v>7791420</v>
      </c>
      <c r="AG87" s="14">
        <v>9650382</v>
      </c>
      <c r="AH87" s="14">
        <v>10504992</v>
      </c>
      <c r="AK87" s="14">
        <v>84</v>
      </c>
      <c r="AL87" s="14">
        <f>'[1]功能-付费相关'!AH89</f>
        <v>5.5555555555555558E-3</v>
      </c>
      <c r="AM87" s="14">
        <f>'[1]功能-付费相关'!AI89</f>
        <v>5.5555555555555558E-3</v>
      </c>
      <c r="AN87" s="14">
        <f>'[1]功能-付费相关'!AJ89</f>
        <v>5.5555555555555558E-3</v>
      </c>
      <c r="AO87" s="14">
        <f>'[1]功能-付费相关'!AK89</f>
        <v>5.5555555555555558E-3</v>
      </c>
      <c r="AP87" s="14">
        <f>'[1]功能-付费相关'!AL89</f>
        <v>5.5555555555555558E-3</v>
      </c>
      <c r="AS87" s="14">
        <v>84</v>
      </c>
      <c r="AT87" s="14">
        <f>'[1]功能-城建'!GF87</f>
        <v>24414512.679511487</v>
      </c>
      <c r="AU87" s="14">
        <f>'[1]功能-城建'!GG87</f>
        <v>21723304.29895103</v>
      </c>
      <c r="AV87" s="14">
        <f>'[1]功能-城建'!GH87</f>
        <v>17771763.841361403</v>
      </c>
      <c r="AW87" s="14">
        <f>'[1]功能-城建'!GI87</f>
        <v>13048719.970926404</v>
      </c>
      <c r="AX87" s="14">
        <f>'[1]功能-城建'!GJ87</f>
        <v>7669486.8526144773</v>
      </c>
    </row>
    <row r="88" spans="2:50" x14ac:dyDescent="0.15">
      <c r="B88" s="14">
        <v>85</v>
      </c>
      <c r="C88" s="14">
        <f>'[1]资源-钻石'!L88</f>
        <v>1645681.2115073304</v>
      </c>
      <c r="D88" s="14">
        <f>'[1]资源-钻石'!M88</f>
        <v>2125945.3671908407</v>
      </c>
      <c r="E88" s="14">
        <f>'[1]资源-钻石'!N88</f>
        <v>3096920.662903918</v>
      </c>
      <c r="F88" s="14">
        <f>'[1]资源-钻石'!O88</f>
        <v>6324532.800104253</v>
      </c>
      <c r="G88" s="14">
        <f>'[1]资源-钻石'!P88</f>
        <v>8534549.653670514</v>
      </c>
      <c r="I88" s="14">
        <v>85</v>
      </c>
      <c r="J88" s="14">
        <f>'[1]资源-钻石'!T88</f>
        <v>522545.47431846615</v>
      </c>
      <c r="K88" s="14">
        <f>'[1]资源-钻石'!U88</f>
        <v>720120.02175031276</v>
      </c>
      <c r="L88" s="14">
        <f>'[1]资源-钻石'!V88</f>
        <v>1177193.4683203346</v>
      </c>
      <c r="M88" s="14">
        <f>'[1]资源-钻石'!W88</f>
        <v>3026683.0263178786</v>
      </c>
      <c r="N88" s="14">
        <f>'[1]资源-钻石'!X88</f>
        <v>7122808.8289496657</v>
      </c>
      <c r="P88" s="14">
        <v>85</v>
      </c>
      <c r="Q88" s="14">
        <f>'[1]功能-行军令'!N88</f>
        <v>16607.778910505567</v>
      </c>
      <c r="R88" s="14">
        <f>'[1]功能-行军令'!O88</f>
        <v>20885.292888242257</v>
      </c>
      <c r="S88" s="14">
        <f>'[1]功能-行军令'!P88</f>
        <v>23106.583317522378</v>
      </c>
      <c r="T88" s="14">
        <f>'[1]功能-行军令'!Q88</f>
        <v>19114.109371304035</v>
      </c>
      <c r="U88" s="14">
        <f>'[1]功能-行军令'!R88</f>
        <v>10561.103232393669</v>
      </c>
      <c r="V88" s="14">
        <f>'[1]功能-行军令'!S88</f>
        <v>1115.2537532439674</v>
      </c>
      <c r="W88" s="14">
        <f>'[1]功能-行军令'!T88</f>
        <v>1370.9082001555435</v>
      </c>
      <c r="X88" s="14">
        <f>'[1]功能-行军令'!U88</f>
        <v>1514.8867616644966</v>
      </c>
      <c r="Y88" s="14">
        <f>'[1]功能-行军令'!V88</f>
        <v>1297.436005233074</v>
      </c>
      <c r="Z88" s="14">
        <f>'[1]功能-行军令'!W88</f>
        <v>709.20440847592363</v>
      </c>
      <c r="AC88" s="14">
        <v>85</v>
      </c>
      <c r="AD88" s="14">
        <v>7055064</v>
      </c>
      <c r="AE88" s="14">
        <v>7471212</v>
      </c>
      <c r="AF88" s="14">
        <v>8089086</v>
      </c>
      <c r="AG88" s="14">
        <v>9968808</v>
      </c>
      <c r="AH88" s="14">
        <v>10906998</v>
      </c>
      <c r="AK88" s="14">
        <v>85</v>
      </c>
      <c r="AL88" s="14">
        <f>'[1]功能-付费相关'!AH90</f>
        <v>5.5555555555555558E-3</v>
      </c>
      <c r="AM88" s="14">
        <f>'[1]功能-付费相关'!AI90</f>
        <v>5.5555555555555558E-3</v>
      </c>
      <c r="AN88" s="14">
        <f>'[1]功能-付费相关'!AJ90</f>
        <v>5.5555555555555558E-3</v>
      </c>
      <c r="AO88" s="14">
        <f>'[1]功能-付费相关'!AK90</f>
        <v>5.5555555555555558E-3</v>
      </c>
      <c r="AP88" s="14">
        <f>'[1]功能-付费相关'!AL90</f>
        <v>5.5555555555555558E-3</v>
      </c>
      <c r="AS88" s="14">
        <v>85</v>
      </c>
      <c r="AT88" s="14">
        <f>'[1]功能-城建'!GF88</f>
        <v>26707902.925512016</v>
      </c>
      <c r="AU88" s="14">
        <f>'[1]功能-城建'!GG88</f>
        <v>22950816.979012787</v>
      </c>
      <c r="AV88" s="14">
        <f>'[1]功能-城建'!GH88</f>
        <v>19057608.403884798</v>
      </c>
      <c r="AW88" s="14">
        <f>'[1]功能-城建'!GI88</f>
        <v>14870288.14163366</v>
      </c>
      <c r="AX88" s="14">
        <f>'[1]功能-城建'!GJ88</f>
        <v>8227891.4351918995</v>
      </c>
    </row>
    <row r="89" spans="2:50" x14ac:dyDescent="0.15">
      <c r="B89" s="14">
        <v>86</v>
      </c>
      <c r="C89" s="14">
        <f>'[1]资源-钻石'!L89</f>
        <v>1737537.7421784848</v>
      </c>
      <c r="D89" s="14">
        <f>'[1]资源-钻石'!M89</f>
        <v>2258663.4036026709</v>
      </c>
      <c r="E89" s="14">
        <f>'[1]资源-钻石'!N89</f>
        <v>3298452.5136889042</v>
      </c>
      <c r="F89" s="14">
        <f>'[1]资源-钻石'!O89</f>
        <v>6768516.992928803</v>
      </c>
      <c r="G89" s="14">
        <f>'[1]资源-钻石'!P89</f>
        <v>9046521.636546459</v>
      </c>
      <c r="I89" s="14">
        <v>86</v>
      </c>
      <c r="J89" s="14">
        <f>'[1]资源-钻石'!T89</f>
        <v>528472.90747055493</v>
      </c>
      <c r="K89" s="14">
        <f>'[1]资源-钻石'!U89</f>
        <v>728320.19821761036</v>
      </c>
      <c r="L89" s="14">
        <f>'[1]资源-钻石'!V89</f>
        <v>1190632.5938125413</v>
      </c>
      <c r="M89" s="14">
        <f>'[1]资源-钻石'!W89</f>
        <v>3061522.4398433086</v>
      </c>
      <c r="N89" s="14">
        <f>'[1]资源-钻石'!X89</f>
        <v>7204987.1838276386</v>
      </c>
      <c r="P89" s="14">
        <v>86</v>
      </c>
      <c r="Q89" s="14">
        <f>'[1]功能-行军令'!N89</f>
        <v>17803.078287226446</v>
      </c>
      <c r="R89" s="14">
        <f>'[1]功能-行军令'!O89</f>
        <v>22378.082383602617</v>
      </c>
      <c r="S89" s="14">
        <f>'[1]功能-行军令'!P89</f>
        <v>24773.138246052011</v>
      </c>
      <c r="T89" s="14">
        <f>'[1]功能-行军令'!Q89</f>
        <v>20537.631112144427</v>
      </c>
      <c r="U89" s="14">
        <f>'[1]功能-行军令'!R89</f>
        <v>11221.551160847546</v>
      </c>
      <c r="V89" s="14">
        <f>'[1]功能-行军令'!S89</f>
        <v>1195.2993767208791</v>
      </c>
      <c r="W89" s="14">
        <f>'[1]功能-行军令'!T89</f>
        <v>1492.7894953603609</v>
      </c>
      <c r="X89" s="14">
        <f>'[1]功能-行军令'!U89</f>
        <v>1666.5549285296329</v>
      </c>
      <c r="Y89" s="14">
        <f>'[1]功能-行军令'!V89</f>
        <v>1423.5217408403914</v>
      </c>
      <c r="Z89" s="14">
        <f>'[1]功能-行军令'!W89</f>
        <v>660.44792845387747</v>
      </c>
      <c r="AC89" s="14">
        <v>86</v>
      </c>
      <c r="AD89" s="14">
        <v>7336968</v>
      </c>
      <c r="AE89" s="14">
        <v>7752774</v>
      </c>
      <c r="AF89" s="14">
        <v>8418492</v>
      </c>
      <c r="AG89" s="14">
        <v>10343424</v>
      </c>
      <c r="AH89" s="14">
        <v>11166618</v>
      </c>
      <c r="AK89" s="14">
        <v>86</v>
      </c>
      <c r="AL89" s="14">
        <f>'[1]功能-付费相关'!AH91</f>
        <v>5.5555555555555558E-3</v>
      </c>
      <c r="AM89" s="14">
        <f>'[1]功能-付费相关'!AI91</f>
        <v>5.5555555555555558E-3</v>
      </c>
      <c r="AN89" s="14">
        <f>'[1]功能-付费相关'!AJ91</f>
        <v>5.5555555555555558E-3</v>
      </c>
      <c r="AO89" s="14">
        <f>'[1]功能-付费相关'!AK91</f>
        <v>5.5555555555555558E-3</v>
      </c>
      <c r="AP89" s="14">
        <f>'[1]功能-付费相关'!AL91</f>
        <v>5.5555555555555558E-3</v>
      </c>
      <c r="AS89" s="14">
        <v>86</v>
      </c>
      <c r="AT89" s="14">
        <f>'[1]功能-城建'!GF89</f>
        <v>29024600.134673059</v>
      </c>
      <c r="AU89" s="14">
        <f>'[1]功能-城建'!GG89</f>
        <v>25506647.974455833</v>
      </c>
      <c r="AV89" s="14">
        <f>'[1]功能-城建'!GH89</f>
        <v>21375655.558081001</v>
      </c>
      <c r="AW89" s="14">
        <f>'[1]功能-城建'!GI89</f>
        <v>16418872.117654204</v>
      </c>
      <c r="AX89" s="14">
        <f>'[1]功能-城建'!GJ89</f>
        <v>7917680.6024742573</v>
      </c>
    </row>
    <row r="90" spans="2:50" x14ac:dyDescent="0.15">
      <c r="B90" s="14">
        <v>87</v>
      </c>
      <c r="C90" s="14">
        <f>'[1]资源-钻石'!L90</f>
        <v>1835987.1341124773</v>
      </c>
      <c r="D90" s="14">
        <f>'[1]资源-钻石'!M90</f>
        <v>2403311.8227408277</v>
      </c>
      <c r="E90" s="14">
        <f>'[1]资源-钻石'!N90</f>
        <v>3520414.7768692896</v>
      </c>
      <c r="F90" s="14">
        <f>'[1]资源-钻石'!O90</f>
        <v>7192132.9366573216</v>
      </c>
      <c r="G90" s="14">
        <f>'[1]资源-钻石'!P90</f>
        <v>9589666.1661418863</v>
      </c>
      <c r="I90" s="14">
        <v>87</v>
      </c>
      <c r="J90" s="14">
        <f>'[1]资源-钻石'!T90</f>
        <v>534400.34062264371</v>
      </c>
      <c r="K90" s="14">
        <f>'[1]资源-钻石'!U90</f>
        <v>736520.37468490808</v>
      </c>
      <c r="L90" s="14">
        <f>'[1]资源-钻石'!V90</f>
        <v>1204071.7193047479</v>
      </c>
      <c r="M90" s="14">
        <f>'[1]资源-钻石'!W90</f>
        <v>3096222.0253897994</v>
      </c>
      <c r="N90" s="14">
        <f>'[1]资源-钻石'!X90</f>
        <v>7287165.5387056116</v>
      </c>
      <c r="P90" s="14">
        <v>87</v>
      </c>
      <c r="Q90" s="14">
        <f>'[1]功能-行军令'!N90</f>
        <v>19084.16843898204</v>
      </c>
      <c r="R90" s="14">
        <f>'[1]功能-行军令'!O90</f>
        <v>24005.062758296252</v>
      </c>
      <c r="S90" s="14">
        <f>'[1]功能-行军令'!P90</f>
        <v>26608.641181245723</v>
      </c>
      <c r="T90" s="14">
        <f>'[1]功能-行军令'!Q90</f>
        <v>21895.847272561801</v>
      </c>
      <c r="U90" s="14">
        <f>'[1]功能-行军令'!R90</f>
        <v>11922.21192241363</v>
      </c>
      <c r="V90" s="14">
        <f>'[1]功能-行军令'!S90</f>
        <v>1281.090151755594</v>
      </c>
      <c r="W90" s="14">
        <f>'[1]功能-行军令'!T90</f>
        <v>1626.9803746936341</v>
      </c>
      <c r="X90" s="14">
        <f>'[1]功能-行军令'!U90</f>
        <v>1835.5029351937119</v>
      </c>
      <c r="Y90" s="14">
        <f>'[1]功能-行军令'!V90</f>
        <v>1358.2161604173743</v>
      </c>
      <c r="Z90" s="14">
        <f>'[1]功能-行军令'!W90</f>
        <v>700.66076156608324</v>
      </c>
      <c r="AC90" s="14">
        <v>87</v>
      </c>
      <c r="AD90" s="14">
        <v>7600266</v>
      </c>
      <c r="AE90" s="14">
        <v>8054946</v>
      </c>
      <c r="AF90" s="14">
        <v>8817132</v>
      </c>
      <c r="AG90" s="14">
        <v>10716102</v>
      </c>
      <c r="AH90" s="14">
        <v>11427912</v>
      </c>
      <c r="AK90" s="14">
        <v>87</v>
      </c>
      <c r="AL90" s="14">
        <f>'[1]功能-付费相关'!AH92</f>
        <v>5.5555555555555558E-3</v>
      </c>
      <c r="AM90" s="14">
        <f>'[1]功能-付费相关'!AI92</f>
        <v>5.5555555555555558E-3</v>
      </c>
      <c r="AN90" s="14">
        <f>'[1]功能-付费相关'!AJ92</f>
        <v>5.5555555555555558E-3</v>
      </c>
      <c r="AO90" s="14">
        <f>'[1]功能-付费相关'!AK92</f>
        <v>5.5555555555555558E-3</v>
      </c>
      <c r="AP90" s="14">
        <f>'[1]功能-付费相关'!AL92</f>
        <v>5.5555555555555558E-3</v>
      </c>
      <c r="AS90" s="14">
        <v>87</v>
      </c>
      <c r="AT90" s="14">
        <f>'[1]功能-城建'!GF90</f>
        <v>31882434.90716964</v>
      </c>
      <c r="AU90" s="14">
        <f>'[1]功能-城建'!GG90</f>
        <v>28143525.220597446</v>
      </c>
      <c r="AV90" s="14">
        <f>'[1]功能-城建'!GH90</f>
        <v>23962389.967144251</v>
      </c>
      <c r="AW90" s="14">
        <f>'[1]功能-城建'!GI90</f>
        <v>16113040.286314756</v>
      </c>
      <c r="AX90" s="14">
        <f>'[1]功能-城建'!GJ90</f>
        <v>8399766.1007941514</v>
      </c>
    </row>
    <row r="91" spans="2:50" x14ac:dyDescent="0.15">
      <c r="B91" s="14">
        <v>88</v>
      </c>
      <c r="C91" s="14">
        <f>'[1]资源-钻石'!L91</f>
        <v>1941502.5797901682</v>
      </c>
      <c r="D91" s="14">
        <f>'[1]资源-钻石'!M91</f>
        <v>2551481.3850856088</v>
      </c>
      <c r="E91" s="14">
        <f>'[1]资源-钻石'!N91</f>
        <v>3746044.8914453089</v>
      </c>
      <c r="F91" s="14">
        <f>'[1]资源-钻石'!O91</f>
        <v>7623460.6844343161</v>
      </c>
      <c r="G91" s="14">
        <f>'[1]资源-钻石'!P91</f>
        <v>10183575.897720458</v>
      </c>
      <c r="I91" s="14">
        <v>88</v>
      </c>
      <c r="J91" s="14">
        <f>'[1]资源-钻石'!T91</f>
        <v>540327.77377473249</v>
      </c>
      <c r="K91" s="14">
        <f>'[1]资源-钻石'!U91</f>
        <v>744720.55115220568</v>
      </c>
      <c r="L91" s="14">
        <f>'[1]资源-钻石'!V91</f>
        <v>1217510.8447969547</v>
      </c>
      <c r="M91" s="14">
        <f>'[1]资源-钻石'!W91</f>
        <v>3129986.5476097078</v>
      </c>
      <c r="N91" s="14">
        <f>'[1]资源-钻石'!X91</f>
        <v>7369343.8935835855</v>
      </c>
      <c r="P91" s="14">
        <v>88</v>
      </c>
      <c r="Q91" s="14">
        <f>'[1]功能-行军令'!N91</f>
        <v>20457.206866750312</v>
      </c>
      <c r="R91" s="14">
        <f>'[1]功能-行军令'!O91</f>
        <v>25779.816315968015</v>
      </c>
      <c r="S91" s="14">
        <f>'[1]功能-行军令'!P91</f>
        <v>28474.475182207443</v>
      </c>
      <c r="T91" s="14">
        <f>'[1]功能-行军令'!Q91</f>
        <v>23278.789359941271</v>
      </c>
      <c r="U91" s="14">
        <f>'[1]功能-行军令'!R91</f>
        <v>12688.360198157678</v>
      </c>
      <c r="V91" s="14">
        <f>'[1]功能-行军令'!S91</f>
        <v>1373.0384277682715</v>
      </c>
      <c r="W91" s="14">
        <f>'[1]功能-行军令'!T91</f>
        <v>1774.7535576717637</v>
      </c>
      <c r="X91" s="14">
        <f>'[1]功能-行军令'!U91</f>
        <v>1865.8340009617204</v>
      </c>
      <c r="Y91" s="14">
        <f>'[1]功能-行军令'!V91</f>
        <v>1382.9420873794697</v>
      </c>
      <c r="Z91" s="14">
        <f>'[1]功能-行军令'!W91</f>
        <v>766.14827574404808</v>
      </c>
      <c r="AC91" s="14">
        <v>88</v>
      </c>
      <c r="AD91" s="14">
        <v>7848750</v>
      </c>
      <c r="AE91" s="14">
        <v>8368590</v>
      </c>
      <c r="AF91" s="14">
        <v>9267672</v>
      </c>
      <c r="AG91" s="14">
        <v>11096514</v>
      </c>
      <c r="AH91" s="14">
        <v>11676378</v>
      </c>
      <c r="AK91" s="14">
        <v>88</v>
      </c>
      <c r="AL91" s="14">
        <f>'[1]功能-付费相关'!AH93</f>
        <v>5.5555555555555558E-3</v>
      </c>
      <c r="AM91" s="14">
        <f>'[1]功能-付费相关'!AI93</f>
        <v>5.5555555555555558E-3</v>
      </c>
      <c r="AN91" s="14">
        <f>'[1]功能-付费相关'!AJ93</f>
        <v>5.5555555555555558E-3</v>
      </c>
      <c r="AO91" s="14">
        <f>'[1]功能-付费相关'!AK93</f>
        <v>5.5555555555555558E-3</v>
      </c>
      <c r="AP91" s="14">
        <f>'[1]功能-付费相关'!AL93</f>
        <v>5.5555555555555558E-3</v>
      </c>
      <c r="AS91" s="14">
        <v>88</v>
      </c>
      <c r="AT91" s="14">
        <f>'[1]功能-城建'!GF91</f>
        <v>34465388.936597526</v>
      </c>
      <c r="AU91" s="14">
        <f>'[1]功能-城建'!GG91</f>
        <v>31468764.574836671</v>
      </c>
      <c r="AV91" s="14">
        <f>'[1]功能-城建'!GH91</f>
        <v>24750289.258002102</v>
      </c>
      <c r="AW91" s="14">
        <f>'[1]功能-城建'!GI91</f>
        <v>16579193.101904571</v>
      </c>
      <c r="AX91" s="14">
        <f>'[1]功能-城建'!GJ91</f>
        <v>9444263.9821605086</v>
      </c>
    </row>
    <row r="92" spans="2:50" x14ac:dyDescent="0.15">
      <c r="B92" s="14">
        <v>89</v>
      </c>
      <c r="C92" s="14">
        <f>'[1]资源-钻石'!L92</f>
        <v>2054591.2343552057</v>
      </c>
      <c r="D92" s="14">
        <f>'[1]资源-钻石'!M92</f>
        <v>2701893.7777782041</v>
      </c>
      <c r="E92" s="14">
        <f>'[1]资源-钻石'!N92</f>
        <v>3962790.0005633235</v>
      </c>
      <c r="F92" s="14">
        <f>'[1]资源-钻石'!O92</f>
        <v>8082951.7043096367</v>
      </c>
      <c r="G92" s="14">
        <f>'[1]资源-钻石'!P92</f>
        <v>10776929.628632817</v>
      </c>
      <c r="I92" s="14">
        <v>89</v>
      </c>
      <c r="J92" s="14">
        <f>'[1]资源-钻石'!T92</f>
        <v>546255.20692682127</v>
      </c>
      <c r="K92" s="14">
        <f>'[1]资源-钻石'!U92</f>
        <v>752920.72761950339</v>
      </c>
      <c r="L92" s="14">
        <f>'[1]资源-钻石'!V92</f>
        <v>1230949.9702891614</v>
      </c>
      <c r="M92" s="14">
        <f>'[1]资源-钻石'!W92</f>
        <v>3163751.0698296167</v>
      </c>
      <c r="N92" s="14">
        <f>'[1]资源-钻石'!X92</f>
        <v>7451522.2484615585</v>
      </c>
      <c r="P92" s="14">
        <v>89</v>
      </c>
      <c r="Q92" s="14">
        <f>'[1]功能-行军令'!N92</f>
        <v>21928.793016674885</v>
      </c>
      <c r="R92" s="14">
        <f>'[1]功能-行军令'!O92</f>
        <v>27589.567920062011</v>
      </c>
      <c r="S92" s="14">
        <f>'[1]功能-行军令'!P92</f>
        <v>30266.835190952177</v>
      </c>
      <c r="T92" s="14">
        <f>'[1]功能-行军令'!Q92</f>
        <v>24752.029774993443</v>
      </c>
      <c r="U92" s="14">
        <f>'[1]功能-行军令'!R92</f>
        <v>13453.791228621709</v>
      </c>
      <c r="V92" s="14">
        <f>'[1]功能-行军令'!S92</f>
        <v>1471.586149924573</v>
      </c>
      <c r="W92" s="14">
        <f>'[1]功能-行军令'!T92</f>
        <v>1809.7516040939954</v>
      </c>
      <c r="X92" s="14">
        <f>'[1]功能-行军令'!U92</f>
        <v>1792.3600087447339</v>
      </c>
      <c r="Y92" s="14">
        <f>'[1]功能-行军令'!V92</f>
        <v>1473.2404150521725</v>
      </c>
      <c r="Z92" s="14">
        <f>'[1]功能-行军令'!W92</f>
        <v>765.43103046403121</v>
      </c>
      <c r="AC92" s="14">
        <v>89</v>
      </c>
      <c r="AD92" s="14">
        <v>8102226</v>
      </c>
      <c r="AE92" s="14">
        <v>8691120</v>
      </c>
      <c r="AF92" s="14">
        <v>9733590</v>
      </c>
      <c r="AG92" s="14">
        <v>11480058</v>
      </c>
      <c r="AH92" s="14">
        <v>11929830</v>
      </c>
      <c r="AK92" s="14">
        <v>89</v>
      </c>
      <c r="AL92" s="14">
        <f>'[1]功能-付费相关'!AH94</f>
        <v>5.5555555555555558E-3</v>
      </c>
      <c r="AM92" s="14">
        <f>'[1]功能-付费相关'!AI94</f>
        <v>5.5555555555555558E-3</v>
      </c>
      <c r="AN92" s="14">
        <f>'[1]功能-付费相关'!AJ94</f>
        <v>5.5555555555555558E-3</v>
      </c>
      <c r="AO92" s="14">
        <f>'[1]功能-付费相关'!AK94</f>
        <v>5.5555555555555558E-3</v>
      </c>
      <c r="AP92" s="14">
        <f>'[1]功能-付费相关'!AL94</f>
        <v>5.5555555555555558E-3</v>
      </c>
      <c r="AS92" s="14">
        <v>89</v>
      </c>
      <c r="AT92" s="14">
        <f>'[1]功能-城建'!GF92</f>
        <v>38005311.871965051</v>
      </c>
      <c r="AU92" s="14">
        <f>'[1]功能-城建'!GG92</f>
        <v>32358063.482406676</v>
      </c>
      <c r="AV92" s="14">
        <f>'[1]功能-城建'!GH92</f>
        <v>24320946.580197752</v>
      </c>
      <c r="AW92" s="14">
        <f>'[1]功能-城建'!GI92</f>
        <v>17896702.349282652</v>
      </c>
      <c r="AX92" s="14">
        <f>'[1]功能-城建'!GJ92</f>
        <v>9524042.8023563325</v>
      </c>
    </row>
    <row r="93" spans="2:50" x14ac:dyDescent="0.15">
      <c r="B93" s="14">
        <v>90</v>
      </c>
      <c r="C93" s="14">
        <f>'[1]资源-钻石'!L93</f>
        <v>2175796.6532319468</v>
      </c>
      <c r="D93" s="14">
        <f>'[1]资源-钻石'!M93</f>
        <v>2848606.3717980972</v>
      </c>
      <c r="E93" s="14">
        <f>'[1]资源-钻石'!N93</f>
        <v>4199608.7618296258</v>
      </c>
      <c r="F93" s="14">
        <f>'[1]资源-钻石'!O93</f>
        <v>8551197.5813476294</v>
      </c>
      <c r="G93" s="14">
        <f>'[1]资源-钻石'!P93</f>
        <v>11404640.311290829</v>
      </c>
      <c r="I93" s="14">
        <v>90</v>
      </c>
      <c r="J93" s="14">
        <f>'[1]资源-钻石'!T93</f>
        <v>551460.0109759972</v>
      </c>
      <c r="K93" s="14">
        <f>'[1]资源-钻石'!U93</f>
        <v>760267.74958207726</v>
      </c>
      <c r="L93" s="14">
        <f>'[1]资源-钻石'!V93</f>
        <v>1244389.095781368</v>
      </c>
      <c r="M93" s="14">
        <f>'[1]资源-钻石'!W93</f>
        <v>3197515.5920495256</v>
      </c>
      <c r="N93" s="14">
        <f>'[1]资源-钻石'!X93</f>
        <v>7532053.8318579765</v>
      </c>
      <c r="P93" s="14">
        <v>90</v>
      </c>
      <c r="Q93" s="14">
        <f>'[1]功能-行军令'!N93</f>
        <v>23506</v>
      </c>
      <c r="R93" s="14">
        <f>'[1]功能-行军令'!O93</f>
        <v>29354.803800000002</v>
      </c>
      <c r="S93" s="14">
        <f>'[1]功能-行军令'!P93</f>
        <v>32225.192999999999</v>
      </c>
      <c r="T93" s="14">
        <f>'[1]功能-行军令'!Q93</f>
        <v>26253.340400000001</v>
      </c>
      <c r="U93" s="14">
        <f>'[1]功能-行军令'!R93</f>
        <v>14263.543000000001</v>
      </c>
      <c r="V93" s="14">
        <f>'[1]功能-行军令'!S93</f>
        <v>1577.2069833251153</v>
      </c>
      <c r="W93" s="14">
        <f>'[1]功能-行军令'!T93</f>
        <v>1765.2358799379908</v>
      </c>
      <c r="X93" s="14">
        <f>'[1]功能-行军令'!U93</f>
        <v>1958.3578090478222</v>
      </c>
      <c r="Y93" s="14">
        <f>'[1]功能-行军令'!V93</f>
        <v>1501.3106250065575</v>
      </c>
      <c r="Z93" s="14">
        <f>'[1]功能-行军令'!W93</f>
        <v>809.75177137829269</v>
      </c>
      <c r="AC93" s="14">
        <v>90</v>
      </c>
      <c r="AD93" s="14">
        <v>8364024</v>
      </c>
      <c r="AE93" s="14">
        <v>9019632</v>
      </c>
      <c r="AF93" s="14">
        <v>10218186</v>
      </c>
      <c r="AG93" s="14">
        <v>11870880</v>
      </c>
      <c r="AH93" s="14">
        <v>12192216</v>
      </c>
      <c r="AK93" s="14">
        <v>90</v>
      </c>
      <c r="AL93" s="14">
        <f>'[1]功能-付费相关'!AH95</f>
        <v>5.5555555555555558E-3</v>
      </c>
      <c r="AM93" s="14">
        <f>'[1]功能-付费相关'!AI95</f>
        <v>5.5555555555555558E-3</v>
      </c>
      <c r="AN93" s="14">
        <f>'[1]功能-付费相关'!AJ95</f>
        <v>5.5555555555555558E-3</v>
      </c>
      <c r="AO93" s="14">
        <f>'[1]功能-付费相关'!AK95</f>
        <v>5.5555555555555558E-3</v>
      </c>
      <c r="AP93" s="14">
        <f>'[1]功能-付费相关'!AL95</f>
        <v>5.5555555555555558E-3</v>
      </c>
      <c r="AS93" s="14">
        <v>90</v>
      </c>
      <c r="AT93" s="14">
        <f>'[1]功能-城建'!GF93</f>
        <v>40894406.509464622</v>
      </c>
      <c r="AU93" s="14">
        <f>'[1]功能-城建'!GG93</f>
        <v>32533033.799215436</v>
      </c>
      <c r="AV93" s="14">
        <f>'[1]功能-城建'!GH93</f>
        <v>26629007.43969512</v>
      </c>
      <c r="AW93" s="14">
        <f>'[1]功能-城建'!GI93</f>
        <v>18680385.407848626</v>
      </c>
      <c r="AX93" s="14">
        <f>'[1]功能-城建'!GJ93</f>
        <v>10176133.986178786</v>
      </c>
    </row>
    <row r="94" spans="2:50" x14ac:dyDescent="0.15">
      <c r="B94" s="14">
        <v>91</v>
      </c>
      <c r="C94" s="14">
        <f>'[1]资源-钻石'!L94</f>
        <v>2305701.4046996329</v>
      </c>
      <c r="D94" s="14">
        <f>'[1]资源-钻石'!M94</f>
        <v>3024057.7526976266</v>
      </c>
      <c r="E94" s="14">
        <f>'[1]资源-钻石'!N94</f>
        <v>4459318.6399757573</v>
      </c>
      <c r="F94" s="14">
        <f>'[1]资源-钻石'!O94</f>
        <v>9120686.5675153062</v>
      </c>
      <c r="G94" s="14">
        <f>'[1]资源-钻石'!P94</f>
        <v>12156053.692849174</v>
      </c>
      <c r="I94" s="14">
        <v>91</v>
      </c>
      <c r="J94" s="14">
        <f>'[1]资源-钻石'!T94</f>
        <v>555913.689425266</v>
      </c>
      <c r="K94" s="14">
        <f>'[1]资源-钻石'!U94</f>
        <v>766860.74258467252</v>
      </c>
      <c r="L94" s="14">
        <f>'[1]资源-钻石'!V94</f>
        <v>1256134.3574138554</v>
      </c>
      <c r="M94" s="14">
        <f>'[1]资源-钻石'!W94</f>
        <v>3231280.1142694345</v>
      </c>
      <c r="N94" s="14">
        <f>'[1]资源-钻石'!X94</f>
        <v>7612189.7906015413</v>
      </c>
      <c r="P94" s="14">
        <v>91</v>
      </c>
      <c r="Q94" s="14">
        <f>'[1]功能-行军令'!N94</f>
        <v>25196.408589654777</v>
      </c>
      <c r="R94" s="14">
        <f>'[1]功能-行军令'!O94</f>
        <v>31465.822794773703</v>
      </c>
      <c r="S94" s="14">
        <f>'[1]功能-行军令'!P94</f>
        <v>34437.958287128611</v>
      </c>
      <c r="T94" s="14">
        <f>'[1]功能-行军令'!Q94</f>
        <v>28079.261155920252</v>
      </c>
      <c r="U94" s="14">
        <f>'[1]功能-行军令'!R94</f>
        <v>15232.872236484771</v>
      </c>
      <c r="V94" s="14">
        <f>'[1]功能-行军令'!S94</f>
        <v>1690.4085896547767</v>
      </c>
      <c r="W94" s="14">
        <f>'[1]功能-行军令'!T94</f>
        <v>2111.0189947737017</v>
      </c>
      <c r="X94" s="14">
        <f>'[1]功能-行军令'!U94</f>
        <v>2212.7652871286118</v>
      </c>
      <c r="Y94" s="14">
        <f>'[1]功能-行军令'!V94</f>
        <v>1825.9207559202514</v>
      </c>
      <c r="Z94" s="14">
        <f>'[1]功能-行军令'!W94</f>
        <v>969.32923648476935</v>
      </c>
      <c r="AC94" s="14">
        <v>91</v>
      </c>
      <c r="AD94" s="14">
        <v>8626638</v>
      </c>
      <c r="AE94" s="14">
        <v>9412008</v>
      </c>
      <c r="AF94" s="14">
        <v>10594146</v>
      </c>
      <c r="AG94" s="14">
        <v>12129492</v>
      </c>
      <c r="AH94" s="14">
        <v>12466092</v>
      </c>
      <c r="AK94" s="14">
        <v>91</v>
      </c>
      <c r="AL94" s="14">
        <f>'[1]功能-付费相关'!AH96</f>
        <v>5.5555555555555558E-3</v>
      </c>
      <c r="AM94" s="14">
        <f>'[1]功能-付费相关'!AI96</f>
        <v>5.5555555555555558E-3</v>
      </c>
      <c r="AN94" s="14">
        <f>'[1]功能-付费相关'!AJ96</f>
        <v>5.5555555555555558E-3</v>
      </c>
      <c r="AO94" s="14">
        <f>'[1]功能-付费相关'!AK96</f>
        <v>5.5555555555555558E-3</v>
      </c>
      <c r="AP94" s="14">
        <f>'[1]功能-付费相关'!AL96</f>
        <v>5.5555555555555558E-3</v>
      </c>
      <c r="AS94" s="14">
        <v>91</v>
      </c>
      <c r="AT94" s="14">
        <f>'[1]功能-城建'!GF94</f>
        <v>45376446.22838515</v>
      </c>
      <c r="AU94" s="14">
        <f>'[1]功能-城建'!GG94</f>
        <v>38905764.99621737</v>
      </c>
      <c r="AV94" s="14">
        <f>'[1]功能-城建'!GH94</f>
        <v>31163516.395428896</v>
      </c>
      <c r="AW94" s="14">
        <f>'[1]功能-城建'!GI94</f>
        <v>22719417.871722251</v>
      </c>
      <c r="AX94" s="14">
        <f>'[1]功能-城建'!GJ94</f>
        <v>12501523.861615211</v>
      </c>
    </row>
    <row r="95" spans="2:50" x14ac:dyDescent="0.15">
      <c r="B95" s="14">
        <v>92</v>
      </c>
      <c r="C95" s="14">
        <f>'[1]资源-钻石'!L95</f>
        <v>2444929.8699800698</v>
      </c>
      <c r="D95" s="14">
        <f>'[1]资源-钻石'!M95</f>
        <v>3205889.9080303553</v>
      </c>
      <c r="E95" s="14">
        <f>'[1]资源-钻石'!N95</f>
        <v>4741555.090752501</v>
      </c>
      <c r="F95" s="14">
        <f>'[1]资源-钻石'!O95</f>
        <v>9729655.4351587482</v>
      </c>
      <c r="G95" s="14">
        <f>'[1]资源-钻石'!P95</f>
        <v>12934808.48234269</v>
      </c>
      <c r="I95" s="14">
        <v>92</v>
      </c>
      <c r="J95" s="14">
        <f>'[1]资源-钻石'!T95</f>
        <v>560367.3678745348</v>
      </c>
      <c r="K95" s="14">
        <f>'[1]资源-钻石'!U95</f>
        <v>773453.73558726779</v>
      </c>
      <c r="L95" s="14">
        <f>'[1]资源-钻石'!V95</f>
        <v>1267677.7203322295</v>
      </c>
      <c r="M95" s="14">
        <f>'[1]资源-钻石'!W95</f>
        <v>3265044.6364893434</v>
      </c>
      <c r="N95" s="14">
        <f>'[1]资源-钻石'!X95</f>
        <v>7692325.7493451061</v>
      </c>
      <c r="P95" s="14">
        <v>92</v>
      </c>
      <c r="Q95" s="14">
        <f>'[1]功能-行军令'!N95</f>
        <v>27008.143656890144</v>
      </c>
      <c r="R95" s="14">
        <f>'[1]功能-行军令'!O95</f>
        <v>33653.614830379513</v>
      </c>
      <c r="S95" s="14">
        <f>'[1]功能-行军令'!P95</f>
        <v>36866.116091655043</v>
      </c>
      <c r="T95" s="14">
        <f>'[1]功能-行军令'!Q95</f>
        <v>30031.764052634771</v>
      </c>
      <c r="U95" s="14">
        <f>'[1]功能-行军令'!R95</f>
        <v>16237.472106589683</v>
      </c>
      <c r="V95" s="14">
        <f>'[1]功能-行军令'!S95</f>
        <v>1811.7350672353678</v>
      </c>
      <c r="W95" s="14">
        <f>'[1]功能-行军令'!T95</f>
        <v>2187.7920356058094</v>
      </c>
      <c r="X95" s="14">
        <f>'[1]功能-行军令'!U95</f>
        <v>2428.1578045264323</v>
      </c>
      <c r="Y95" s="14">
        <f>'[1]功能-行军令'!V95</f>
        <v>1952.502896714519</v>
      </c>
      <c r="Z95" s="14">
        <f>'[1]功能-行军令'!W95</f>
        <v>1004.599870104912</v>
      </c>
      <c r="AC95" s="14">
        <v>92</v>
      </c>
      <c r="AD95" s="14">
        <v>8896656</v>
      </c>
      <c r="AE95" s="14">
        <v>9804588</v>
      </c>
      <c r="AF95" s="14">
        <v>10910760</v>
      </c>
      <c r="AG95" s="14">
        <v>12404058</v>
      </c>
      <c r="AH95" s="14">
        <v>12749106</v>
      </c>
      <c r="AK95" s="14">
        <v>92</v>
      </c>
      <c r="AL95" s="14">
        <f>'[1]功能-付费相关'!AH97</f>
        <v>5.5555555555555558E-3</v>
      </c>
      <c r="AM95" s="14">
        <f>'[1]功能-付费相关'!AI97</f>
        <v>5.5555555555555558E-3</v>
      </c>
      <c r="AN95" s="14">
        <f>'[1]功能-付费相关'!AJ97</f>
        <v>5.5555555555555558E-3</v>
      </c>
      <c r="AO95" s="14">
        <f>'[1]功能-付费相关'!AK97</f>
        <v>5.5555555555555558E-3</v>
      </c>
      <c r="AP95" s="14">
        <f>'[1]功能-付费相关'!AL97</f>
        <v>5.5555555555555558E-3</v>
      </c>
      <c r="AS95" s="14">
        <v>92</v>
      </c>
      <c r="AT95" s="14">
        <f>'[1]功能-城建'!GF95</f>
        <v>48633270.891787708</v>
      </c>
      <c r="AU95" s="14">
        <f>'[1]功能-城建'!GG95</f>
        <v>41804837.785489857</v>
      </c>
      <c r="AV95" s="14">
        <f>'[1]功能-城建'!GH95</f>
        <v>34197000.464627206</v>
      </c>
      <c r="AW95" s="14">
        <f>'[1]功能-城建'!GI95</f>
        <v>25179364.136394441</v>
      </c>
      <c r="AX95" s="14">
        <f>'[1]功能-城建'!GJ95</f>
        <v>12956412.305314243</v>
      </c>
    </row>
    <row r="96" spans="2:50" x14ac:dyDescent="0.15">
      <c r="B96" s="14">
        <v>93</v>
      </c>
      <c r="C96" s="14">
        <f>'[1]资源-钻石'!L96</f>
        <v>2594151.2442973014</v>
      </c>
      <c r="D96" s="14">
        <f>'[1]资源-钻石'!M96</f>
        <v>3406633.5537786563</v>
      </c>
      <c r="E96" s="14">
        <f>'[1]资源-钻石'!N96</f>
        <v>5043646.0993167479</v>
      </c>
      <c r="F96" s="14">
        <f>'[1]资源-钻石'!O96</f>
        <v>10370729.088515211</v>
      </c>
      <c r="G96" s="14">
        <f>'[1]资源-钻石'!P96</f>
        <v>13789517.861866554</v>
      </c>
      <c r="I96" s="14">
        <v>93</v>
      </c>
      <c r="J96" s="14">
        <f>'[1]资源-钻石'!T96</f>
        <v>564821.0463238036</v>
      </c>
      <c r="K96" s="14">
        <f>'[1]资源-钻石'!U96</f>
        <v>780046.72858986305</v>
      </c>
      <c r="L96" s="14">
        <f>'[1]资源-钻石'!V96</f>
        <v>1279221.0832506036</v>
      </c>
      <c r="M96" s="14">
        <f>'[1]资源-钻石'!W96</f>
        <v>3298809.1587092523</v>
      </c>
      <c r="N96" s="14">
        <f>'[1]资源-钻石'!X96</f>
        <v>7772461.7080886709</v>
      </c>
      <c r="P96" s="14">
        <v>93</v>
      </c>
      <c r="Q96" s="14">
        <f>'[1]功能-行军令'!N96</f>
        <v>28949.913223099466</v>
      </c>
      <c r="R96" s="14">
        <f>'[1]功能-行军令'!O96</f>
        <v>36068.948623035481</v>
      </c>
      <c r="S96" s="14">
        <f>'[1]功能-行军令'!P96</f>
        <v>39465.088117074862</v>
      </c>
      <c r="T96" s="14">
        <f>'[1]功能-行军令'!Q96</f>
        <v>32087.20273216796</v>
      </c>
      <c r="U96" s="14">
        <f>'[1]功能-行军令'!R96</f>
        <v>17340.054001727131</v>
      </c>
      <c r="V96" s="14">
        <f>'[1]功能-行军令'!S96</f>
        <v>1941.7695662093211</v>
      </c>
      <c r="W96" s="14">
        <f>'[1]功能-行军令'!T96</f>
        <v>2415.3337926559689</v>
      </c>
      <c r="X96" s="14">
        <f>'[1]功能-行军令'!U96</f>
        <v>2598.9720254198182</v>
      </c>
      <c r="Y96" s="14">
        <f>'[1]功能-行军令'!V96</f>
        <v>2055.4386795331884</v>
      </c>
      <c r="Z96" s="14">
        <f>'[1]功能-行军令'!W96</f>
        <v>1102.5818951374476</v>
      </c>
      <c r="AC96" s="14">
        <v>93</v>
      </c>
      <c r="AD96" s="14">
        <v>9157374</v>
      </c>
      <c r="AE96" s="14">
        <v>10217646</v>
      </c>
      <c r="AF96" s="14">
        <v>11243856</v>
      </c>
      <c r="AG96" s="14">
        <v>12685860</v>
      </c>
      <c r="AH96" s="14">
        <v>13035546</v>
      </c>
      <c r="AK96" s="14">
        <v>93</v>
      </c>
      <c r="AL96" s="14">
        <f>'[1]功能-付费相关'!AH98</f>
        <v>5.5555555555555558E-3</v>
      </c>
      <c r="AM96" s="14">
        <f>'[1]功能-付费相关'!AI98</f>
        <v>5.5555555555555558E-3</v>
      </c>
      <c r="AN96" s="14">
        <f>'[1]功能-付费相关'!AJ98</f>
        <v>5.5555555555555558E-3</v>
      </c>
      <c r="AO96" s="14">
        <f>'[1]功能-付费相关'!AK98</f>
        <v>5.5555555555555558E-3</v>
      </c>
      <c r="AP96" s="14">
        <f>'[1]功能-付费相关'!AL98</f>
        <v>5.5555555555555558E-3</v>
      </c>
      <c r="AS96" s="14">
        <v>93</v>
      </c>
      <c r="AT96" s="14">
        <f>'[1]功能-城建'!GF96</f>
        <v>54048309.112963438</v>
      </c>
      <c r="AU96" s="14">
        <f>'[1]功能-城建'!GG96</f>
        <v>46201369.980117619</v>
      </c>
      <c r="AV96" s="14">
        <f>'[1]功能-城建'!GH96</f>
        <v>37758126.04168129</v>
      </c>
      <c r="AW96" s="14">
        <f>'[1]功能-城建'!GI96</f>
        <v>26509172.251377583</v>
      </c>
      <c r="AX96" s="14">
        <f>'[1]功能-城建'!GJ96</f>
        <v>14705852.605337948</v>
      </c>
    </row>
    <row r="97" spans="2:50" x14ac:dyDescent="0.15">
      <c r="B97" s="14">
        <v>94</v>
      </c>
      <c r="C97" s="14">
        <f>'[1]资源-钻石'!L97</f>
        <v>2754082.7533337036</v>
      </c>
      <c r="D97" s="14">
        <f>'[1]资源-钻石'!M97</f>
        <v>3618003.5787739865</v>
      </c>
      <c r="E97" s="14">
        <f>'[1]资源-钻石'!N97</f>
        <v>5364847.2444486609</v>
      </c>
      <c r="F97" s="14">
        <f>'[1]资源-钻石'!O97</f>
        <v>11051151.494321905</v>
      </c>
      <c r="G97" s="14">
        <f>'[1]资源-钻石'!P97</f>
        <v>14691182.205045251</v>
      </c>
      <c r="I97" s="14">
        <v>94</v>
      </c>
      <c r="J97" s="14">
        <f>'[1]资源-钻石'!T97</f>
        <v>569274.7247730724</v>
      </c>
      <c r="K97" s="14">
        <f>'[1]资源-钻石'!U97</f>
        <v>786639.72159245831</v>
      </c>
      <c r="L97" s="14">
        <f>'[1]资源-钻石'!V97</f>
        <v>1290764.446168978</v>
      </c>
      <c r="M97" s="14">
        <f>'[1]资源-钻石'!W97</f>
        <v>3331750.8907858757</v>
      </c>
      <c r="N97" s="14">
        <f>'[1]资源-钻石'!X97</f>
        <v>7852597.6668322347</v>
      </c>
      <c r="P97" s="14">
        <v>94</v>
      </c>
      <c r="Q97" s="14">
        <f>'[1]功能-行军令'!N97</f>
        <v>31031.050314523203</v>
      </c>
      <c r="R97" s="14">
        <f>'[1]功能-行军令'!O97</f>
        <v>38612.138282776315</v>
      </c>
      <c r="S97" s="14">
        <f>'[1]功能-行军令'!P97</f>
        <v>42228.469902908837</v>
      </c>
      <c r="T97" s="14">
        <f>'[1]功能-行军令'!Q97</f>
        <v>34268.803120818542</v>
      </c>
      <c r="U97" s="14">
        <f>'[1]功能-行军令'!R97</f>
        <v>18503.208173304902</v>
      </c>
      <c r="V97" s="14">
        <f>'[1]功能-行军令'!S97</f>
        <v>2081.1370914237377</v>
      </c>
      <c r="W97" s="14">
        <f>'[1]功能-行军令'!T97</f>
        <v>2543.189659740834</v>
      </c>
      <c r="X97" s="14">
        <f>'[1]功能-行军令'!U97</f>
        <v>2763.3817858339753</v>
      </c>
      <c r="Y97" s="14">
        <f>'[1]功能-行军令'!V97</f>
        <v>2181.6003886505823</v>
      </c>
      <c r="Z97" s="14">
        <f>'[1]功能-行军令'!W97</f>
        <v>1163.1541715777712</v>
      </c>
      <c r="AC97" s="14">
        <v>94</v>
      </c>
      <c r="AD97" s="14">
        <v>9432456</v>
      </c>
      <c r="AE97" s="14">
        <v>10569768</v>
      </c>
      <c r="AF97" s="14">
        <v>11582784</v>
      </c>
      <c r="AG97" s="14">
        <v>12971838</v>
      </c>
      <c r="AH97" s="14">
        <v>13310508</v>
      </c>
      <c r="AK97" s="14">
        <v>94</v>
      </c>
      <c r="AL97" s="14">
        <f>'[1]功能-付费相关'!AH99</f>
        <v>5.5555555555555558E-3</v>
      </c>
      <c r="AM97" s="14">
        <f>'[1]功能-付费相关'!AI99</f>
        <v>5.5555555555555558E-3</v>
      </c>
      <c r="AN97" s="14">
        <f>'[1]功能-付费相关'!AJ99</f>
        <v>5.5555555555555558E-3</v>
      </c>
      <c r="AO97" s="14">
        <f>'[1]功能-付费相关'!AK99</f>
        <v>5.5555555555555558E-3</v>
      </c>
      <c r="AP97" s="14">
        <f>'[1]功能-付费相关'!AL99</f>
        <v>5.5555555555555558E-3</v>
      </c>
      <c r="AS97" s="14">
        <v>94</v>
      </c>
      <c r="AT97" s="14">
        <f>'[1]功能-城建'!GF97</f>
        <v>57982289.051492691</v>
      </c>
      <c r="AU97" s="14">
        <f>'[1]功能-城建'!GG97</f>
        <v>50096749.078764677</v>
      </c>
      <c r="AV97" s="14">
        <f>'[1]功能-城建'!GH97</f>
        <v>40339300.706613779</v>
      </c>
      <c r="AW97" s="14">
        <f>'[1]功能-城建'!GI97</f>
        <v>28920921.800723612</v>
      </c>
      <c r="AX97" s="14">
        <f>'[1]功能-城建'!GJ97</f>
        <v>15529802.104405344</v>
      </c>
    </row>
    <row r="98" spans="2:50" x14ac:dyDescent="0.15">
      <c r="B98" s="14">
        <v>95</v>
      </c>
      <c r="C98" s="14">
        <f>'[1]资源-钻石'!L98</f>
        <v>2924661.7427972769</v>
      </c>
      <c r="D98" s="14">
        <f>'[1]资源-钻石'!M98</f>
        <v>3851091.9028485566</v>
      </c>
      <c r="E98" s="14">
        <f>'[1]资源-钻石'!N98</f>
        <v>5702367.1263075275</v>
      </c>
      <c r="F98" s="14">
        <f>'[1]资源-钻石'!O98</f>
        <v>11779925.01724546</v>
      </c>
      <c r="G98" s="14">
        <f>'[1]资源-钻石'!P98</f>
        <v>15736906.296819471</v>
      </c>
      <c r="I98" s="14">
        <v>95</v>
      </c>
      <c r="J98" s="14">
        <f>'[1]资源-钻石'!T98</f>
        <v>573728.40322234121</v>
      </c>
      <c r="K98" s="14">
        <f>'[1]资源-钻石'!U98</f>
        <v>793232.71459505358</v>
      </c>
      <c r="L98" s="14">
        <f>'[1]资源-钻石'!V98</f>
        <v>1302307.8090873521</v>
      </c>
      <c r="M98" s="14">
        <f>'[1]资源-钻石'!W98</f>
        <v>3364468.5899960874</v>
      </c>
      <c r="N98" s="14">
        <f>'[1]资源-钻石'!X98</f>
        <v>7932733.6255757995</v>
      </c>
      <c r="P98" s="14">
        <v>95</v>
      </c>
      <c r="Q98" s="14">
        <f>'[1]功能-行军令'!N98</f>
        <v>33261.557821011134</v>
      </c>
      <c r="R98" s="14">
        <f>'[1]功能-行军令'!O98</f>
        <v>41416.641029113518</v>
      </c>
      <c r="S98" s="14">
        <f>'[1]功能-行军令'!P98</f>
        <v>45132.246268658033</v>
      </c>
      <c r="T98" s="14">
        <f>'[1]功能-行军令'!Q98</f>
        <v>36605.428998038653</v>
      </c>
      <c r="U98" s="14">
        <f>'[1]功能-行军令'!R98</f>
        <v>19863.00694562952</v>
      </c>
      <c r="V98" s="14">
        <f>'[1]功能-行军令'!S98</f>
        <v>2230.5075064879311</v>
      </c>
      <c r="W98" s="14">
        <f>'[1]功能-行军令'!T98</f>
        <v>2804.5027463372026</v>
      </c>
      <c r="X98" s="14">
        <f>'[1]功能-行军令'!U98</f>
        <v>2903.776365749196</v>
      </c>
      <c r="Y98" s="14">
        <f>'[1]功能-行军令'!V98</f>
        <v>2336.6258772201109</v>
      </c>
      <c r="Z98" s="14">
        <f>'[1]功能-行军令'!W98</f>
        <v>1359.7987723246188</v>
      </c>
      <c r="AC98" s="14">
        <v>95</v>
      </c>
      <c r="AD98" s="14">
        <v>9719250</v>
      </c>
      <c r="AE98" s="14">
        <v>10929012</v>
      </c>
      <c r="AF98" s="14">
        <v>11923302</v>
      </c>
      <c r="AG98" s="14">
        <v>13259184</v>
      </c>
      <c r="AH98" s="14">
        <v>13568748</v>
      </c>
      <c r="AK98" s="14">
        <v>95</v>
      </c>
      <c r="AL98" s="14">
        <f>'[1]功能-付费相关'!AH100</f>
        <v>5.5555555555555558E-3</v>
      </c>
      <c r="AM98" s="14">
        <f>'[1]功能-付费相关'!AI100</f>
        <v>5.5555555555555558E-3</v>
      </c>
      <c r="AN98" s="14">
        <f>'[1]功能-付费相关'!AJ100</f>
        <v>5.5555555555555558E-3</v>
      </c>
      <c r="AO98" s="14">
        <f>'[1]功能-付费相关'!AK100</f>
        <v>5.5555555555555558E-3</v>
      </c>
      <c r="AP98" s="14">
        <f>'[1]功能-付费相关'!AL100</f>
        <v>5.5555555555555558E-3</v>
      </c>
      <c r="AS98" s="14">
        <v>95</v>
      </c>
      <c r="AT98" s="14">
        <f>'[1]功能-城建'!GF98</f>
        <v>64082447.815065145</v>
      </c>
      <c r="AU98" s="14">
        <f>'[1]功能-城建'!GG98</f>
        <v>55604499.227378249</v>
      </c>
      <c r="AV98" s="14">
        <f>'[1]功能-城建'!GH98</f>
        <v>43420549.753602684</v>
      </c>
      <c r="AW98" s="14">
        <f>'[1]功能-城建'!GI98</f>
        <v>31197358.314107656</v>
      </c>
      <c r="AX98" s="14">
        <f>'[1]功能-城建'!GJ98</f>
        <v>18614666.950071007</v>
      </c>
    </row>
    <row r="99" spans="2:50" x14ac:dyDescent="0.15">
      <c r="B99" s="14">
        <v>96</v>
      </c>
      <c r="C99" s="14">
        <f>'[1]资源-钻石'!L99</f>
        <v>3094335.0091305487</v>
      </c>
      <c r="D99" s="14">
        <f>'[1]资源-钻石'!M99</f>
        <v>4089862.4207360642</v>
      </c>
      <c r="E99" s="14">
        <f>'[1]资源-钻石'!N99</f>
        <v>6062191.2630684217</v>
      </c>
      <c r="F99" s="14">
        <f>'[1]资源-钻石'!O99</f>
        <v>12583296.153171927</v>
      </c>
      <c r="G99" s="14">
        <f>'[1]资源-钻石'!P99</f>
        <v>16846808.909609322</v>
      </c>
      <c r="I99" s="14">
        <v>96</v>
      </c>
      <c r="J99" s="14">
        <f>'[1]资源-钻石'!T99</f>
        <v>578182.08167161001</v>
      </c>
      <c r="K99" s="14">
        <f>'[1]资源-钻石'!U99</f>
        <v>799801.06545975129</v>
      </c>
      <c r="L99" s="14">
        <f>'[1]资源-钻石'!V99</f>
        <v>1313851.1720057263</v>
      </c>
      <c r="M99" s="14">
        <f>'[1]资源-钻石'!W99</f>
        <v>3397186.289206299</v>
      </c>
      <c r="N99" s="14">
        <f>'[1]资源-钻石'!X99</f>
        <v>8012767.4181269277</v>
      </c>
      <c r="P99" s="14">
        <v>96</v>
      </c>
      <c r="Q99" s="14">
        <f>'[1]功能-行军令'!N99</f>
        <v>35652.156574452893</v>
      </c>
      <c r="R99" s="14">
        <f>'[1]功能-行军令'!O99</f>
        <v>44289.511542119748</v>
      </c>
      <c r="S99" s="14">
        <f>'[1]功能-行军令'!P99</f>
        <v>48227.912273273716</v>
      </c>
      <c r="T99" s="14">
        <f>'[1]功能-行军令'!Q99</f>
        <v>39212.411931853043</v>
      </c>
      <c r="U99" s="14">
        <f>'[1]功能-行军令'!R99</f>
        <v>21306.581320463309</v>
      </c>
      <c r="V99" s="14">
        <f>'[1]功能-行军令'!S99</f>
        <v>2390.5987534417582</v>
      </c>
      <c r="W99" s="14">
        <f>'[1]功能-行军令'!T99</f>
        <v>2872.8705130062299</v>
      </c>
      <c r="X99" s="14">
        <f>'[1]功能-行军令'!U99</f>
        <v>3095.6660046156831</v>
      </c>
      <c r="Y99" s="14">
        <f>'[1]功能-行军令'!V99</f>
        <v>2606.98293381439</v>
      </c>
      <c r="Z99" s="14">
        <f>'[1]功能-行军令'!W99</f>
        <v>1443.5743748337882</v>
      </c>
      <c r="AC99" s="14">
        <v>96</v>
      </c>
      <c r="AD99" s="14">
        <v>10018254</v>
      </c>
      <c r="AE99" s="14">
        <v>11299458</v>
      </c>
      <c r="AF99" s="14">
        <v>12328770</v>
      </c>
      <c r="AG99" s="14">
        <v>13547664</v>
      </c>
      <c r="AH99" s="14">
        <v>13830456</v>
      </c>
      <c r="AK99" s="14">
        <v>96</v>
      </c>
      <c r="AL99" s="14">
        <f>'[1]功能-付费相关'!AH101</f>
        <v>5.5555555555555558E-3</v>
      </c>
      <c r="AM99" s="14">
        <f>'[1]功能-付费相关'!AI101</f>
        <v>5.5555555555555558E-3</v>
      </c>
      <c r="AN99" s="14">
        <f>'[1]功能-付费相关'!AJ101</f>
        <v>5.5555555555555558E-3</v>
      </c>
      <c r="AO99" s="14">
        <f>'[1]功能-付费相关'!AK101</f>
        <v>5.5555555555555558E-3</v>
      </c>
      <c r="AP99" s="14">
        <f>'[1]功能-付费相关'!AL101</f>
        <v>5.5555555555555558E-3</v>
      </c>
      <c r="AS99" s="14">
        <v>96</v>
      </c>
      <c r="AT99" s="14">
        <f>'[1]功能-城建'!GF99</f>
        <v>69036334.436348677</v>
      </c>
      <c r="AU99" s="14">
        <f>'[1]功能-城建'!GG99</f>
        <v>58324475.057838559</v>
      </c>
      <c r="AV99" s="14">
        <f>'[1]功能-城建'!GH99</f>
        <v>46781976.808214128</v>
      </c>
      <c r="AW99" s="14">
        <f>'[1]功能-城建'!GI99</f>
        <v>35492400.069848061</v>
      </c>
      <c r="AX99" s="14">
        <f>'[1]功能-城建'!GJ99</f>
        <v>19929735.543821812</v>
      </c>
    </row>
    <row r="100" spans="2:50" x14ac:dyDescent="0.15">
      <c r="B100" s="14">
        <v>97</v>
      </c>
      <c r="C100" s="14">
        <f>'[1]资源-钻石'!L100</f>
        <v>3276186.3132883999</v>
      </c>
      <c r="D100" s="14">
        <f>'[1]资源-钻石'!M100</f>
        <v>4349775.2229271745</v>
      </c>
      <c r="E100" s="14">
        <f>'[1]资源-钻石'!N100</f>
        <v>6478236.0020442484</v>
      </c>
      <c r="F100" s="14">
        <f>'[1]资源-钻石'!O100</f>
        <v>13504592.544950774</v>
      </c>
      <c r="G100" s="14">
        <f>'[1]资源-钻石'!P100</f>
        <v>18149097.230531126</v>
      </c>
      <c r="I100" s="14">
        <v>97</v>
      </c>
      <c r="J100" s="14">
        <f>'[1]资源-钻石'!T100</f>
        <v>582516.14456537226</v>
      </c>
      <c r="K100" s="14">
        <f>'[1]资源-钻石'!U100</f>
        <v>806247.75902190967</v>
      </c>
      <c r="L100" s="14">
        <f>'[1]资源-钻石'!V100</f>
        <v>1325394.5349241006</v>
      </c>
      <c r="M100" s="14">
        <f>'[1]资源-钻石'!W100</f>
        <v>3429903.9884165106</v>
      </c>
      <c r="N100" s="14">
        <f>'[1]资源-钻石'!X100</f>
        <v>8092611.8872581609</v>
      </c>
      <c r="P100" s="14">
        <v>97</v>
      </c>
      <c r="Q100" s="14">
        <f>'[1]功能-行军令'!N100</f>
        <v>38214.336877964088</v>
      </c>
      <c r="R100" s="14">
        <f>'[1]功能-行军令'!O100</f>
        <v>47416.764571404769</v>
      </c>
      <c r="S100" s="14">
        <f>'[1]功能-行军令'!P100</f>
        <v>51807.259580101301</v>
      </c>
      <c r="T100" s="14">
        <f>'[1]功能-行军令'!Q100</f>
        <v>42210.144246427553</v>
      </c>
      <c r="U100" s="14">
        <f>'[1]功能-行军令'!R100</f>
        <v>23000.378620392712</v>
      </c>
      <c r="V100" s="14">
        <f>'[1]功能-行军令'!S100</f>
        <v>2562.1803035111952</v>
      </c>
      <c r="W100" s="14">
        <f>'[1]功能-行军令'!T100</f>
        <v>3127.2530292850206</v>
      </c>
      <c r="X100" s="14">
        <f>'[1]功能-行军令'!U100</f>
        <v>3579.3473068275853</v>
      </c>
      <c r="Y100" s="14">
        <f>'[1]功能-行军令'!V100</f>
        <v>2997.7323145745104</v>
      </c>
      <c r="Z100" s="14">
        <f>'[1]功能-行军令'!W100</f>
        <v>1693.7972999294034</v>
      </c>
      <c r="AC100" s="14">
        <v>97</v>
      </c>
      <c r="AD100" s="14">
        <v>10330560</v>
      </c>
      <c r="AE100" s="14">
        <v>11665842</v>
      </c>
      <c r="AF100" s="14">
        <v>12742590</v>
      </c>
      <c r="AG100" s="14">
        <v>13844394</v>
      </c>
      <c r="AH100" s="14">
        <v>14098974</v>
      </c>
      <c r="AK100" s="14">
        <v>97</v>
      </c>
      <c r="AL100" s="14">
        <f>'[1]功能-付费相关'!AH102</f>
        <v>5.5555555555555558E-3</v>
      </c>
      <c r="AM100" s="14">
        <f>'[1]功能-付费相关'!AI102</f>
        <v>5.5555555555555558E-3</v>
      </c>
      <c r="AN100" s="14">
        <f>'[1]功能-付费相关'!AJ102</f>
        <v>5.5555555555555558E-3</v>
      </c>
      <c r="AO100" s="14">
        <f>'[1]功能-付费相关'!AK102</f>
        <v>5.5555555555555558E-3</v>
      </c>
      <c r="AP100" s="14">
        <f>'[1]功能-付费相关'!AL102</f>
        <v>5.5555555555555558E-3</v>
      </c>
      <c r="AS100" s="14">
        <v>97</v>
      </c>
      <c r="AT100" s="14">
        <f>'[1]功能-城建'!GF100</f>
        <v>75905123.957629442</v>
      </c>
      <c r="AU100" s="14">
        <f>'[1]功能-城建'!GG100</f>
        <v>64188035.311533689</v>
      </c>
      <c r="AV100" s="14">
        <f>'[1]功能-城建'!GH100</f>
        <v>55037864.058303714</v>
      </c>
      <c r="AW100" s="14">
        <f>'[1]功能-城建'!GI100</f>
        <v>41386168.459465504</v>
      </c>
      <c r="AX100" s="14">
        <f>'[1]功能-城建'!GJ100</f>
        <v>23911238.825971603</v>
      </c>
    </row>
    <row r="101" spans="2:50" x14ac:dyDescent="0.15">
      <c r="B101" s="14">
        <v>98</v>
      </c>
      <c r="C101" s="14">
        <f>'[1]资源-钻石'!L101</f>
        <v>3471089.7152124052</v>
      </c>
      <c r="D101" s="14">
        <f>'[1]资源-钻石'!M101</f>
        <v>4630894.6105433023</v>
      </c>
      <c r="E101" s="14">
        <f>'[1]资源-钻石'!N101</f>
        <v>6940159.6934923707</v>
      </c>
      <c r="F101" s="14">
        <f>'[1]资源-钻石'!O101</f>
        <v>14521355.143789764</v>
      </c>
      <c r="G101" s="14">
        <f>'[1]资源-钻石'!P101</f>
        <v>19532693.586081833</v>
      </c>
      <c r="I101" s="14">
        <v>98</v>
      </c>
      <c r="J101" s="14">
        <f>'[1]资源-钻石'!T101</f>
        <v>586849.50234915258</v>
      </c>
      <c r="K101" s="14">
        <f>'[1]资源-钻石'!U101</f>
        <v>812694.45258406794</v>
      </c>
      <c r="L101" s="14">
        <f>'[1]资源-钻石'!V101</f>
        <v>1336937.8978424747</v>
      </c>
      <c r="M101" s="14">
        <f>'[1]资源-钻石'!W101</f>
        <v>3462621.6876267218</v>
      </c>
      <c r="N101" s="14">
        <f>'[1]资源-钻石'!X101</f>
        <v>8172456.356389394</v>
      </c>
      <c r="P101" s="14">
        <v>98</v>
      </c>
      <c r="Q101" s="14">
        <f>'[1]功能-行军令'!N101</f>
        <v>40960.413733500631</v>
      </c>
      <c r="R101" s="14">
        <f>'[1]功能-行军令'!O101</f>
        <v>50943.446048509235</v>
      </c>
      <c r="S101" s="14">
        <f>'[1]功能-行军令'!P101</f>
        <v>55781.316132324064</v>
      </c>
      <c r="T101" s="14">
        <f>'[1]功能-行军令'!Q101</f>
        <v>45518.506382640116</v>
      </c>
      <c r="U101" s="14">
        <f>'[1]功能-行军令'!R101</f>
        <v>24799.927716836362</v>
      </c>
      <c r="V101" s="14">
        <f>'[1]功能-行军令'!S101</f>
        <v>2746.076855536543</v>
      </c>
      <c r="W101" s="14">
        <f>'[1]功能-行军令'!T101</f>
        <v>3526.6814771044665</v>
      </c>
      <c r="X101" s="14">
        <f>'[1]功能-行军令'!U101</f>
        <v>3974.0565522227625</v>
      </c>
      <c r="Y101" s="14">
        <f>'[1]功能-行军令'!V101</f>
        <v>3308.3621362125632</v>
      </c>
      <c r="Z101" s="14">
        <f>'[1]功能-行军令'!W101</f>
        <v>1799.5490964436503</v>
      </c>
      <c r="AC101" s="14">
        <v>98</v>
      </c>
      <c r="AD101" s="14">
        <v>10675596</v>
      </c>
      <c r="AE101" s="14">
        <v>11978532</v>
      </c>
      <c r="AF101" s="14">
        <v>13155762</v>
      </c>
      <c r="AG101" s="14">
        <v>14113146</v>
      </c>
      <c r="AH101" s="14">
        <v>14368680</v>
      </c>
      <c r="AK101" s="14">
        <v>98</v>
      </c>
      <c r="AL101" s="14">
        <f>'[1]功能-付费相关'!AH103</f>
        <v>5.5555555555555558E-3</v>
      </c>
      <c r="AM101" s="14">
        <f>'[1]功能-付费相关'!AI103</f>
        <v>5.5555555555555558E-3</v>
      </c>
      <c r="AN101" s="14">
        <f>'[1]功能-付费相关'!AJ103</f>
        <v>5.5555555555555558E-3</v>
      </c>
      <c r="AO101" s="14">
        <f>'[1]功能-付费相关'!AK103</f>
        <v>5.5555555555555558E-3</v>
      </c>
      <c r="AP101" s="14">
        <f>'[1]功能-付费相关'!AL103</f>
        <v>5.5555555555555558E-3</v>
      </c>
      <c r="AS101" s="14">
        <v>98</v>
      </c>
      <c r="AT101" s="14">
        <f>'[1]功能-城建'!GF101</f>
        <v>82095758.515953422</v>
      </c>
      <c r="AU101" s="14">
        <f>'[1]功能-城建'!GG101</f>
        <v>73707789.671737432</v>
      </c>
      <c r="AV101" s="14">
        <f>'[1]功能-城建'!GH101</f>
        <v>62100092.497371197</v>
      </c>
      <c r="AW101" s="14">
        <f>'[1]功能-城建'!GI101</f>
        <v>46509488.297902942</v>
      </c>
      <c r="AX101" s="14">
        <f>'[1]功能-城建'!GJ101</f>
        <v>25661919.542295456</v>
      </c>
    </row>
    <row r="102" spans="2:50" x14ac:dyDescent="0.15">
      <c r="B102" s="14">
        <v>99</v>
      </c>
      <c r="C102" s="14">
        <f>'[1]资源-钻石'!L102</f>
        <v>3679982.0091525968</v>
      </c>
      <c r="D102" s="14">
        <f>'[1]资源-钻石'!M102</f>
        <v>4926940.3423935231</v>
      </c>
      <c r="E102" s="14">
        <f>'[1]资源-钻石'!N102</f>
        <v>7423204.1238851706</v>
      </c>
      <c r="F102" s="14">
        <f>'[1]资源-钻石'!O102</f>
        <v>15580922.265153006</v>
      </c>
      <c r="G102" s="14">
        <f>'[1]资源-钻石'!P102</f>
        <v>20864986.893163215</v>
      </c>
      <c r="I102" s="14">
        <v>99</v>
      </c>
      <c r="J102" s="14">
        <f>'[1]资源-钻石'!T102</f>
        <v>591182.8601329329</v>
      </c>
      <c r="K102" s="14">
        <f>'[1]资源-钻石'!U102</f>
        <v>819141.14614622633</v>
      </c>
      <c r="L102" s="14">
        <f>'[1]资源-钻石'!V102</f>
        <v>1348481.2607608489</v>
      </c>
      <c r="M102" s="14">
        <f>'[1]资源-钻石'!W102</f>
        <v>3495339.3868369334</v>
      </c>
      <c r="N102" s="14">
        <f>'[1]资源-钻石'!X102</f>
        <v>8252300.8255206263</v>
      </c>
      <c r="P102" s="14">
        <v>99</v>
      </c>
      <c r="Q102" s="14">
        <f>'[1]功能-行军令'!N102</f>
        <v>43903.586033349777</v>
      </c>
      <c r="R102" s="14">
        <f>'[1]功能-行军令'!O102</f>
        <v>54706.25426201216</v>
      </c>
      <c r="S102" s="14">
        <f>'[1]功能-行军令'!P102</f>
        <v>59937.080210150787</v>
      </c>
      <c r="T102" s="14">
        <f>'[1]功能-行军令'!Q102</f>
        <v>48966.146715886673</v>
      </c>
      <c r="U102" s="14">
        <f>'[1]功能-行军令'!R102</f>
        <v>26532.750448941599</v>
      </c>
      <c r="V102" s="14">
        <f>'[1]功能-行军令'!S102</f>
        <v>2943.1722998491459</v>
      </c>
      <c r="W102" s="14">
        <f>'[1]功能-行军令'!T102</f>
        <v>3762.8082135029254</v>
      </c>
      <c r="X102" s="14">
        <f>'[1]功能-行军令'!U102</f>
        <v>4155.7640778267232</v>
      </c>
      <c r="Y102" s="14">
        <f>'[1]功能-行军令'!V102</f>
        <v>3447.6403332465561</v>
      </c>
      <c r="Z102" s="14">
        <f>'[1]功能-行军令'!W102</f>
        <v>1732.8227321052364</v>
      </c>
      <c r="AC102" s="14">
        <v>99</v>
      </c>
      <c r="AD102" s="14">
        <v>11025630</v>
      </c>
      <c r="AE102" s="14">
        <v>12293052</v>
      </c>
      <c r="AF102" s="14">
        <v>13576416</v>
      </c>
      <c r="AG102" s="14">
        <v>14382168</v>
      </c>
      <c r="AH102" s="14">
        <v>14634924</v>
      </c>
      <c r="AK102" s="14">
        <v>99</v>
      </c>
      <c r="AL102" s="14">
        <f>'[1]功能-付费相关'!AH104</f>
        <v>5.5555555555555558E-3</v>
      </c>
      <c r="AM102" s="14">
        <f>'[1]功能-付费相关'!AI104</f>
        <v>5.5555555555555558E-3</v>
      </c>
      <c r="AN102" s="14">
        <f>'[1]功能-付费相关'!AJ104</f>
        <v>5.5555555555555558E-3</v>
      </c>
      <c r="AO102" s="14">
        <f>'[1]功能-付费相关'!AK104</f>
        <v>5.5555555555555558E-3</v>
      </c>
      <c r="AP102" s="14">
        <f>'[1]功能-付费相关'!AL104</f>
        <v>5.5555555555555558E-3</v>
      </c>
      <c r="AS102" s="14">
        <v>99</v>
      </c>
      <c r="AT102" s="14">
        <f>'[1]功能-城建'!GF102</f>
        <v>89826381.009689808</v>
      </c>
      <c r="AU102" s="14">
        <f>'[1]功能-城建'!GG102</f>
        <v>79861392.232853174</v>
      </c>
      <c r="AV102" s="14">
        <f>'[1]功能-城建'!GH102</f>
        <v>65993241.800223589</v>
      </c>
      <c r="AW102" s="14">
        <f>'[1]功能-城建'!GI102</f>
        <v>49164020.596820772</v>
      </c>
      <c r="AX102" s="14">
        <f>'[1]功能-城建'!GJ102</f>
        <v>25270094.115792632</v>
      </c>
    </row>
    <row r="103" spans="2:50" x14ac:dyDescent="0.15">
      <c r="B103" s="14">
        <v>100</v>
      </c>
      <c r="C103" s="14">
        <f>'[1]资源-钻石'!L103</f>
        <v>3903867.2263260251</v>
      </c>
      <c r="D103" s="14">
        <f>'[1]资源-钻石'!M103</f>
        <v>5237263.6505681509</v>
      </c>
      <c r="E103" s="14">
        <f>'[1]资源-钻石'!N103</f>
        <v>7931332.0383830452</v>
      </c>
      <c r="F103" s="14">
        <f>'[1]资源-钻石'!O103</f>
        <v>16620061.748838918</v>
      </c>
      <c r="G103" s="14">
        <f>'[1]资源-钻石'!P103</f>
        <v>22225374.412219442</v>
      </c>
      <c r="I103" s="14">
        <v>100</v>
      </c>
      <c r="J103" s="14">
        <f>'[1]资源-钻石'!T103</f>
        <v>595516.21791671321</v>
      </c>
      <c r="K103" s="14">
        <f>'[1]资源-钻石'!U103</f>
        <v>825587.83970838471</v>
      </c>
      <c r="L103" s="14">
        <f>'[1]资源-钻石'!V103</f>
        <v>1360024.6236792232</v>
      </c>
      <c r="M103" s="14">
        <f>'[1]资源-钻石'!W103</f>
        <v>3528057.0860471451</v>
      </c>
      <c r="N103" s="14">
        <f>'[1]资源-钻石'!X103</f>
        <v>8332145.2946518594</v>
      </c>
      <c r="P103" s="14">
        <v>100</v>
      </c>
      <c r="Q103" s="14">
        <f>'[1]功能-行军令'!N103</f>
        <v>47058</v>
      </c>
      <c r="R103" s="14">
        <f>'[1]功能-行军令'!O103</f>
        <v>58650.533700000007</v>
      </c>
      <c r="S103" s="14">
        <f>'[1]功能-行军令'!P103</f>
        <v>64308.644399999997</v>
      </c>
      <c r="T103" s="14">
        <f>'[1]功能-行军令'!Q103</f>
        <v>52347.319199999998</v>
      </c>
      <c r="U103" s="14">
        <f>'[1]功能-行军令'!R103</f>
        <v>28302.113400000002</v>
      </c>
      <c r="V103" s="14">
        <f>'[1]功能-行军令'!S103</f>
        <v>3154.4139666502233</v>
      </c>
      <c r="W103" s="14">
        <f>'[1]功能-行军令'!T103</f>
        <v>3944.2794379878469</v>
      </c>
      <c r="X103" s="14">
        <f>'[1]功能-行军令'!U103</f>
        <v>4371.5641898492104</v>
      </c>
      <c r="Y103" s="14">
        <f>'[1]功能-行军令'!V103</f>
        <v>3381.1724841133255</v>
      </c>
      <c r="Z103" s="14">
        <f>'[1]功能-行军令'!W103</f>
        <v>1769.3629510584033</v>
      </c>
      <c r="AC103" s="14">
        <v>100</v>
      </c>
      <c r="AD103" s="14">
        <v>11385708</v>
      </c>
      <c r="AE103" s="14">
        <v>12613494</v>
      </c>
      <c r="AF103" s="14">
        <v>14005020</v>
      </c>
      <c r="AG103" s="14">
        <v>14649264</v>
      </c>
      <c r="AH103" s="14">
        <v>14904174</v>
      </c>
      <c r="AK103" s="14">
        <v>100</v>
      </c>
      <c r="AL103" s="14">
        <f>'[1]功能-付费相关'!AH105</f>
        <v>5.5555555555555558E-3</v>
      </c>
      <c r="AM103" s="14">
        <f>'[1]功能-付费相关'!AI105</f>
        <v>5.5555555555555558E-3</v>
      </c>
      <c r="AN103" s="14">
        <f>'[1]功能-付费相关'!AJ105</f>
        <v>5.5555555555555558E-3</v>
      </c>
      <c r="AO103" s="14">
        <f>'[1]功能-付费相关'!AK105</f>
        <v>5.5555555555555558E-3</v>
      </c>
      <c r="AP103" s="14">
        <f>'[1]功能-付费相关'!AL105</f>
        <v>5.5555555555555558E-3</v>
      </c>
      <c r="AS103" s="14">
        <v>100</v>
      </c>
      <c r="AT103" s="14">
        <f>'[1]功能-城建'!GF103</f>
        <v>97512536.099491715</v>
      </c>
      <c r="AU103" s="14">
        <f>'[1]功能-城建'!GG103</f>
        <v>84985998.658400059</v>
      </c>
      <c r="AV103" s="14">
        <f>'[1]功能-城建'!GH103</f>
        <v>70559928.374181628</v>
      </c>
      <c r="AW103" s="14">
        <f>'[1]功能-城建'!GI103</f>
        <v>49009267.681802511</v>
      </c>
      <c r="AX103" s="14">
        <f>'[1]功能-城建'!GJ103</f>
        <v>26035402.802175879</v>
      </c>
    </row>
    <row r="104" spans="2:50" x14ac:dyDescent="0.15">
      <c r="B104" s="14">
        <v>101</v>
      </c>
      <c r="C104" s="14">
        <f>'[1]资源-钻石'!L104</f>
        <v>4143821.4607466767</v>
      </c>
      <c r="D104" s="14">
        <f>'[1]资源-钻石'!M104</f>
        <v>5573405.5033057407</v>
      </c>
      <c r="E104" s="14">
        <f>'[1]资源-钻石'!N104</f>
        <v>8443747.5607369058</v>
      </c>
      <c r="F104" s="14">
        <f>'[1]资源-钻石'!O104</f>
        <v>17689104.801142946</v>
      </c>
      <c r="G104" s="14">
        <f>'[1]资源-钻石'!P104</f>
        <v>23701878.06144619</v>
      </c>
      <c r="I104" s="14">
        <v>101</v>
      </c>
      <c r="J104" s="14">
        <f>'[1]资源-钻石'!T104</f>
        <v>599849.57570049353</v>
      </c>
      <c r="K104" s="14">
        <f>'[1]资源-钻石'!U104</f>
        <v>832034.53327054298</v>
      </c>
      <c r="L104" s="14">
        <f>'[1]资源-钻石'!V104</f>
        <v>1371567.9865975974</v>
      </c>
      <c r="M104" s="14">
        <f>'[1]资源-钻石'!W104</f>
        <v>3560774.7852573567</v>
      </c>
      <c r="N104" s="14">
        <f>'[1]资源-钻石'!X104</f>
        <v>8411989.7637830917</v>
      </c>
      <c r="P104" s="14">
        <v>101</v>
      </c>
      <c r="Q104" s="14">
        <f>'[1]功能-行军令'!N104</f>
        <v>50438.81717930951</v>
      </c>
      <c r="R104" s="14">
        <f>'[1]功能-行军令'!O104</f>
        <v>62922.972679201433</v>
      </c>
      <c r="S104" s="14">
        <f>'[1]功能-行军令'!P104</f>
        <v>68819.051108257583</v>
      </c>
      <c r="T104" s="14">
        <f>'[1]功能-行军令'!Q104</f>
        <v>55825.792503662335</v>
      </c>
      <c r="U104" s="14">
        <f>'[1]功能-行军令'!R104</f>
        <v>30222.500655432003</v>
      </c>
      <c r="V104" s="14">
        <f>'[1]功能-行军令'!S104</f>
        <v>3380.8171793095098</v>
      </c>
      <c r="W104" s="14">
        <f>'[1]功能-行军令'!T104</f>
        <v>4272.4389792014263</v>
      </c>
      <c r="X104" s="14">
        <f>'[1]功能-行军令'!U104</f>
        <v>4510.4067082575857</v>
      </c>
      <c r="Y104" s="14">
        <f>'[1]功能-行军令'!V104</f>
        <v>3478.4733036623365</v>
      </c>
      <c r="Z104" s="14">
        <f>'[1]功能-行军令'!W104</f>
        <v>1920.3872554320005</v>
      </c>
      <c r="AC104" s="14">
        <v>101</v>
      </c>
      <c r="AD104" s="14">
        <v>11769072</v>
      </c>
      <c r="AE104" s="14">
        <v>12957114</v>
      </c>
      <c r="AF104" s="14">
        <v>14312664</v>
      </c>
      <c r="AG104" s="14">
        <v>14915586</v>
      </c>
      <c r="AH104" s="14">
        <v>15175356</v>
      </c>
      <c r="AK104" s="14">
        <v>101</v>
      </c>
      <c r="AL104" s="14">
        <f>'[1]功能-付费相关'!AH106</f>
        <v>5.5555555555555558E-3</v>
      </c>
      <c r="AM104" s="14">
        <f>'[1]功能-付费相关'!AI106</f>
        <v>5.5555555555555558E-3</v>
      </c>
      <c r="AN104" s="14">
        <f>'[1]功能-付费相关'!AJ106</f>
        <v>5.5555555555555558E-3</v>
      </c>
      <c r="AO104" s="14">
        <f>'[1]功能-付费相关'!AK106</f>
        <v>5.5555555555555558E-3</v>
      </c>
      <c r="AP104" s="14">
        <f>'[1]功能-付费相关'!AL106</f>
        <v>5.5555555555555558E-3</v>
      </c>
      <c r="AS104" s="14">
        <v>101</v>
      </c>
      <c r="AT104" s="14">
        <f>'[1]功能-城建'!GF104</f>
        <v>106208921.63747144</v>
      </c>
      <c r="AU104" s="14">
        <f>'[1]功能-城建'!GG104</f>
        <v>93662065.263448715</v>
      </c>
      <c r="AV104" s="14">
        <f>'[1]功能-城建'!GH104</f>
        <v>73705737.021485686</v>
      </c>
      <c r="AW104" s="14">
        <f>'[1]功能-城建'!GI104</f>
        <v>51184214.942044973</v>
      </c>
      <c r="AX104" s="14">
        <f>'[1]功能-城建'!GJ104</f>
        <v>28673556.762393892</v>
      </c>
    </row>
    <row r="105" spans="2:50" x14ac:dyDescent="0.15">
      <c r="B105" s="14">
        <v>102</v>
      </c>
      <c r="C105" s="14">
        <f>'[1]资源-钻石'!L105</f>
        <v>4400998.041421948</v>
      </c>
      <c r="D105" s="14">
        <f>'[1]资源-钻石'!M105</f>
        <v>5916659.2362165749</v>
      </c>
      <c r="E105" s="14">
        <f>'[1]资源-钻石'!N105</f>
        <v>8956065.887940675</v>
      </c>
      <c r="F105" s="14">
        <f>'[1]资源-钻石'!O105</f>
        <v>18828637.327303059</v>
      </c>
      <c r="G105" s="14">
        <f>'[1]资源-钻石'!P105</f>
        <v>25296726.162904508</v>
      </c>
      <c r="I105" s="14">
        <v>102</v>
      </c>
      <c r="J105" s="14">
        <f>'[1]资源-钻石'!T105</f>
        <v>604182.93348427385</v>
      </c>
      <c r="K105" s="14">
        <f>'[1]资源-钻石'!U105</f>
        <v>838481.22683270136</v>
      </c>
      <c r="L105" s="14">
        <f>'[1]资源-钻石'!V105</f>
        <v>1383111.3495159715</v>
      </c>
      <c r="M105" s="14">
        <f>'[1]资源-钻石'!W105</f>
        <v>3593492.4844675683</v>
      </c>
      <c r="N105" s="14">
        <f>'[1]资源-钻石'!X105</f>
        <v>8491834.2329143248</v>
      </c>
      <c r="P105" s="14">
        <v>102</v>
      </c>
      <c r="Q105" s="14">
        <f>'[1]功能-行军令'!N105</f>
        <v>54062.287313780289</v>
      </c>
      <c r="R105" s="14">
        <f>'[1]功能-行军令'!O105</f>
        <v>67285.805264019393</v>
      </c>
      <c r="S105" s="14">
        <f>'[1]功能-行军令'!P105</f>
        <v>73367.224953261932</v>
      </c>
      <c r="T105" s="14">
        <f>'[1]功能-行军令'!Q105</f>
        <v>59533.625843357957</v>
      </c>
      <c r="U105" s="14">
        <f>'[1]功能-行军令'!R105</f>
        <v>32296.810441252339</v>
      </c>
      <c r="V105" s="14">
        <f>'[1]功能-行军令'!S105</f>
        <v>3623.4701344707792</v>
      </c>
      <c r="W105" s="14">
        <f>'[1]功能-行军令'!T105</f>
        <v>4362.8325848179593</v>
      </c>
      <c r="X105" s="14">
        <f>'[1]功能-行军令'!U105</f>
        <v>4548.1738450043485</v>
      </c>
      <c r="Y105" s="14">
        <f>'[1]功能-行军令'!V105</f>
        <v>3707.8333396956223</v>
      </c>
      <c r="Z105" s="14">
        <f>'[1]功能-行军令'!W105</f>
        <v>2074.3097858203364</v>
      </c>
      <c r="AC105" s="14">
        <v>102</v>
      </c>
      <c r="AD105" s="14">
        <v>12173310</v>
      </c>
      <c r="AE105" s="14">
        <v>13306650</v>
      </c>
      <c r="AF105" s="14">
        <v>14616900</v>
      </c>
      <c r="AG105" s="14">
        <v>15186720</v>
      </c>
      <c r="AH105" s="14">
        <v>15450156</v>
      </c>
      <c r="AK105" s="14">
        <v>102</v>
      </c>
      <c r="AL105" s="14">
        <f>'[1]功能-付费相关'!AH107</f>
        <v>5.5555555555555558E-3</v>
      </c>
      <c r="AM105" s="14">
        <f>'[1]功能-付费相关'!AI107</f>
        <v>5.5555555555555558E-3</v>
      </c>
      <c r="AN105" s="14">
        <f>'[1]功能-付费相关'!AJ107</f>
        <v>5.5555555555555558E-3</v>
      </c>
      <c r="AO105" s="14">
        <f>'[1]功能-付费相关'!AK107</f>
        <v>5.5555555555555558E-3</v>
      </c>
      <c r="AP105" s="14">
        <f>'[1]功能-付费相关'!AL107</f>
        <v>5.5555555555555558E-3</v>
      </c>
      <c r="AS105" s="14">
        <v>102</v>
      </c>
      <c r="AT105" s="14">
        <f>'[1]功能-城建'!GF105</f>
        <v>115698976.81544971</v>
      </c>
      <c r="AU105" s="14">
        <f>'[1]功能-城建'!GG105</f>
        <v>96659538.073682547</v>
      </c>
      <c r="AV105" s="14">
        <f>'[1]功能-城建'!GH105</f>
        <v>75749585.488885522</v>
      </c>
      <c r="AW105" s="14">
        <f>'[1]功能-城建'!GI105</f>
        <v>54976841.574282169</v>
      </c>
      <c r="AX105" s="14">
        <f>'[1]功能-城建'!GJ105</f>
        <v>31465064.16859895</v>
      </c>
    </row>
    <row r="106" spans="2:50" x14ac:dyDescent="0.15">
      <c r="B106" s="14">
        <v>103</v>
      </c>
      <c r="C106" s="14">
        <f>'[1]资源-钻石'!L106</f>
        <v>4676633.0757755302</v>
      </c>
      <c r="D106" s="14">
        <f>'[1]资源-钻石'!M106</f>
        <v>6281002.5483988523</v>
      </c>
      <c r="E106" s="14">
        <f>'[1]资源-钻石'!N106</f>
        <v>9522610.3094585855</v>
      </c>
      <c r="F106" s="14">
        <f>'[1]资源-钻石'!O106</f>
        <v>20127010.104631633</v>
      </c>
      <c r="G106" s="14">
        <f>'[1]资源-钻石'!P106</f>
        <v>27060543.590263713</v>
      </c>
      <c r="I106" s="14">
        <v>103</v>
      </c>
      <c r="J106" s="14">
        <f>'[1]资源-钻石'!T106</f>
        <v>608516.29126805416</v>
      </c>
      <c r="K106" s="14">
        <f>'[1]资源-钻石'!U106</f>
        <v>844927.92039485974</v>
      </c>
      <c r="L106" s="14">
        <f>'[1]资源-钻石'!V106</f>
        <v>1394654.7124343459</v>
      </c>
      <c r="M106" s="14">
        <f>'[1]资源-钻石'!W106</f>
        <v>3626210.18367778</v>
      </c>
      <c r="N106" s="14">
        <f>'[1]资源-钻石'!X106</f>
        <v>8571678.702045558</v>
      </c>
      <c r="P106" s="14">
        <v>103</v>
      </c>
      <c r="Q106" s="14">
        <f>'[1]功能-行军令'!N106</f>
        <v>57945.826446198938</v>
      </c>
      <c r="R106" s="14">
        <f>'[1]功能-行军令'!O106</f>
        <v>71916.691171565428</v>
      </c>
      <c r="S106" s="14">
        <f>'[1]功能-行军令'!P106</f>
        <v>78396.798136881436</v>
      </c>
      <c r="T106" s="14">
        <f>'[1]功能-行军令'!Q106</f>
        <v>63758.296715504403</v>
      </c>
      <c r="U106" s="14">
        <f>'[1]功能-行军令'!R106</f>
        <v>34590.887066246381</v>
      </c>
      <c r="V106" s="14">
        <f>'[1]功能-行军令'!S106</f>
        <v>3883.5391324186494</v>
      </c>
      <c r="W106" s="14">
        <f>'[1]功能-行军令'!T106</f>
        <v>4630.885907546035</v>
      </c>
      <c r="X106" s="14">
        <f>'[1]功能-行军令'!U106</f>
        <v>5029.5731836195046</v>
      </c>
      <c r="Y106" s="14">
        <f>'[1]功能-行军令'!V106</f>
        <v>4224.6708721464456</v>
      </c>
      <c r="Z106" s="14">
        <f>'[1]功能-行军令'!W106</f>
        <v>2294.0766249940425</v>
      </c>
      <c r="AC106" s="14">
        <v>103</v>
      </c>
      <c r="AD106" s="14">
        <v>12589896</v>
      </c>
      <c r="AE106" s="14">
        <v>13661940</v>
      </c>
      <c r="AF106" s="14">
        <v>14930214</v>
      </c>
      <c r="AG106" s="14">
        <v>15463044</v>
      </c>
      <c r="AH106" s="14">
        <v>15732714</v>
      </c>
      <c r="AK106" s="14">
        <v>103</v>
      </c>
      <c r="AL106" s="14">
        <f>'[1]功能-付费相关'!AH108</f>
        <v>5.5555555555555558E-3</v>
      </c>
      <c r="AM106" s="14">
        <f>'[1]功能-付费相关'!AI108</f>
        <v>5.5555555555555558E-3</v>
      </c>
      <c r="AN106" s="14">
        <f>'[1]功能-付费相关'!AJ108</f>
        <v>5.5555555555555558E-3</v>
      </c>
      <c r="AO106" s="14">
        <f>'[1]功能-付费相关'!AK108</f>
        <v>5.5555555555555558E-3</v>
      </c>
      <c r="AP106" s="14">
        <f>'[1]功能-付费相关'!AL108</f>
        <v>5.5555555555555558E-3</v>
      </c>
      <c r="AS106" s="14">
        <v>103</v>
      </c>
      <c r="AT106" s="14">
        <f>'[1]功能-城建'!GF106</f>
        <v>125476912.94301367</v>
      </c>
      <c r="AU106" s="14">
        <f>'[1]功能-城建'!GG106</f>
        <v>104754786.29069781</v>
      </c>
      <c r="AV106" s="14">
        <f>'[1]功能-城建'!GH106</f>
        <v>84136814.220050216</v>
      </c>
      <c r="AW106" s="14">
        <f>'[1]功能-城建'!GI106</f>
        <v>64083745.346034884</v>
      </c>
      <c r="AX106" s="14">
        <f>'[1]功能-城建'!GJ106</f>
        <v>35092076.302650213</v>
      </c>
    </row>
    <row r="107" spans="2:50" x14ac:dyDescent="0.15">
      <c r="B107" s="14">
        <v>104</v>
      </c>
      <c r="C107" s="14">
        <f>'[1]资源-钻石'!L107</f>
        <v>4972051.3909409763</v>
      </c>
      <c r="D107" s="14">
        <f>'[1]资源-钻石'!M107</f>
        <v>6688855.2349086739</v>
      </c>
      <c r="E107" s="14">
        <f>'[1]资源-钻石'!N107</f>
        <v>10177692.110752419</v>
      </c>
      <c r="F107" s="14">
        <f>'[1]资源-钻石'!O107</f>
        <v>21585808.912013665</v>
      </c>
      <c r="G107" s="14">
        <f>'[1]资源-钻石'!P107</f>
        <v>29013419.360997062</v>
      </c>
      <c r="I107" s="14">
        <v>104</v>
      </c>
      <c r="J107" s="14">
        <f>'[1]资源-钻石'!T107</f>
        <v>612849.64905183448</v>
      </c>
      <c r="K107" s="14">
        <f>'[1]资源-钻石'!U107</f>
        <v>851374.61395701801</v>
      </c>
      <c r="L107" s="14">
        <f>'[1]资源-钻石'!V107</f>
        <v>1406198.07535272</v>
      </c>
      <c r="M107" s="14">
        <f>'[1]资源-钻石'!W107</f>
        <v>3658927.8828879916</v>
      </c>
      <c r="N107" s="14">
        <f>'[1]资源-钻石'!X107</f>
        <v>8651523.1711767912</v>
      </c>
      <c r="P107" s="14">
        <v>104</v>
      </c>
      <c r="Q107" s="14">
        <f>'[1]功能-行军令'!N107</f>
        <v>62108.100629046407</v>
      </c>
      <c r="R107" s="14">
        <f>'[1]功能-行军令'!O107</f>
        <v>77100.591068068024</v>
      </c>
      <c r="S107" s="14">
        <f>'[1]功能-行军令'!P107</f>
        <v>84212.373642924023</v>
      </c>
      <c r="T107" s="14">
        <f>'[1]功能-行军令'!Q107</f>
        <v>68504.96495861806</v>
      </c>
      <c r="U107" s="14">
        <f>'[1]功能-行军令'!R107</f>
        <v>37131.192943465336</v>
      </c>
      <c r="V107" s="14">
        <f>'[1]功能-行军令'!S107</f>
        <v>4162.2741828474682</v>
      </c>
      <c r="W107" s="14">
        <f>'[1]功能-行军令'!T107</f>
        <v>5183.8998965025967</v>
      </c>
      <c r="X107" s="14">
        <f>'[1]功能-行军令'!U107</f>
        <v>5815.5755060425872</v>
      </c>
      <c r="Y107" s="14">
        <f>'[1]功能-行军令'!V107</f>
        <v>4746.6682431136578</v>
      </c>
      <c r="Z107" s="14">
        <f>'[1]功能-行军令'!W107</f>
        <v>2540.3058772189543</v>
      </c>
      <c r="AC107" s="14">
        <v>104</v>
      </c>
      <c r="AD107" s="14">
        <v>13017378</v>
      </c>
      <c r="AE107" s="14">
        <v>14028900</v>
      </c>
      <c r="AF107" s="14">
        <v>15250008</v>
      </c>
      <c r="AG107" s="14">
        <v>15750312</v>
      </c>
      <c r="AH107" s="14">
        <v>16019250</v>
      </c>
      <c r="AK107" s="14">
        <v>104</v>
      </c>
      <c r="AL107" s="14">
        <f>'[1]功能-付费相关'!AH109</f>
        <v>5.5555555555555558E-3</v>
      </c>
      <c r="AM107" s="14">
        <f>'[1]功能-付费相关'!AI109</f>
        <v>5.5555555555555558E-3</v>
      </c>
      <c r="AN107" s="14">
        <f>'[1]功能-付费相关'!AJ109</f>
        <v>5.5555555555555558E-3</v>
      </c>
      <c r="AO107" s="14">
        <f>'[1]功能-付费相关'!AK109</f>
        <v>5.5555555555555558E-3</v>
      </c>
      <c r="AP107" s="14">
        <f>'[1]功能-付费相关'!AL109</f>
        <v>5.5555555555555558E-3</v>
      </c>
      <c r="AS107" s="14">
        <v>104</v>
      </c>
      <c r="AT107" s="14">
        <f>'[1]功能-城建'!GF107</f>
        <v>137137885.90268731</v>
      </c>
      <c r="AU107" s="14">
        <f>'[1]功能-城建'!GG107</f>
        <v>117854724.02189875</v>
      </c>
      <c r="AV107" s="14">
        <f>'[1]功能-城建'!GH107</f>
        <v>99848957.91913116</v>
      </c>
      <c r="AW107" s="14">
        <f>'[1]功能-城建'!GI107</f>
        <v>72281134.701631188</v>
      </c>
      <c r="AX107" s="14">
        <f>'[1]功能-城建'!GJ107</f>
        <v>39687963.277871311</v>
      </c>
    </row>
    <row r="108" spans="2:50" x14ac:dyDescent="0.15">
      <c r="B108" s="14">
        <v>105</v>
      </c>
      <c r="C108" s="14">
        <f>'[1]资源-钻石'!L108</f>
        <v>5287316.0016192785</v>
      </c>
      <c r="D108" s="14">
        <f>'[1]资源-钻石'!M108</f>
        <v>7132186.0006032009</v>
      </c>
      <c r="E108" s="14">
        <f>'[1]资源-钻石'!N108</f>
        <v>10872383.201795192</v>
      </c>
      <c r="F108" s="14">
        <f>'[1]资源-钻石'!O108</f>
        <v>23120930.445503563</v>
      </c>
      <c r="G108" s="14">
        <f>'[1]资源-钻石'!P108</f>
        <v>31050589.295172971</v>
      </c>
      <c r="I108" s="14">
        <v>105</v>
      </c>
      <c r="J108" s="14">
        <f>'[1]资源-钻石'!T108</f>
        <v>617183.0068356148</v>
      </c>
      <c r="K108" s="14">
        <f>'[1]资源-钻石'!U108</f>
        <v>857821.30751917639</v>
      </c>
      <c r="L108" s="14">
        <f>'[1]资源-钻石'!V108</f>
        <v>1417741.4382710941</v>
      </c>
      <c r="M108" s="14">
        <f>'[1]资源-钻石'!W108</f>
        <v>3691645.5820982032</v>
      </c>
      <c r="N108" s="14">
        <f>'[1]资源-钻石'!X108</f>
        <v>8731367.6403080244</v>
      </c>
      <c r="P108" s="14">
        <v>105</v>
      </c>
      <c r="Q108" s="14">
        <f>'[1]功能-行军令'!N108</f>
        <v>66569.115642022269</v>
      </c>
      <c r="R108" s="14">
        <f>'[1]功能-行军令'!O108</f>
        <v>82735.42537568738</v>
      </c>
      <c r="S108" s="14">
        <f>'[1]功能-行军令'!P108</f>
        <v>90379.585867954564</v>
      </c>
      <c r="T108" s="14">
        <f>'[1]功能-行军令'!Q108</f>
        <v>73499.973588638299</v>
      </c>
      <c r="U108" s="14">
        <f>'[1]功能-行军令'!R108</f>
        <v>39798.201071114236</v>
      </c>
      <c r="V108" s="14">
        <f>'[1]功能-行军令'!S108</f>
        <v>4461.0150129758622</v>
      </c>
      <c r="W108" s="14">
        <f>'[1]功能-行军令'!T108</f>
        <v>5634.834307619356</v>
      </c>
      <c r="X108" s="14">
        <f>'[1]功能-行军令'!U108</f>
        <v>6167.2122250305401</v>
      </c>
      <c r="Y108" s="14">
        <f>'[1]功能-行军令'!V108</f>
        <v>4995.0086300202383</v>
      </c>
      <c r="Z108" s="14">
        <f>'[1]功能-行军令'!W108</f>
        <v>2667.0081276489</v>
      </c>
      <c r="AC108" s="14">
        <v>105</v>
      </c>
      <c r="AD108" s="14">
        <v>13407462</v>
      </c>
      <c r="AE108" s="14">
        <v>14400342</v>
      </c>
      <c r="AF108" s="14">
        <v>15577728</v>
      </c>
      <c r="AG108" s="14">
        <v>16036608</v>
      </c>
      <c r="AH108" s="14">
        <v>16309866</v>
      </c>
      <c r="AK108" s="14">
        <v>105</v>
      </c>
      <c r="AL108" s="14">
        <f>'[1]功能-付费相关'!AH110</f>
        <v>5.5555555555555558E-3</v>
      </c>
      <c r="AM108" s="14">
        <f>'[1]功能-付费相关'!AI110</f>
        <v>5.5555555555555558E-3</v>
      </c>
      <c r="AN108" s="14">
        <f>'[1]功能-付费相关'!AJ110</f>
        <v>5.5555555555555558E-3</v>
      </c>
      <c r="AO108" s="14">
        <f>'[1]功能-付费相关'!AK110</f>
        <v>5.5555555555555558E-3</v>
      </c>
      <c r="AP108" s="14">
        <f>'[1]功能-付费相关'!AL110</f>
        <v>5.5555555555555558E-3</v>
      </c>
      <c r="AS108" s="14">
        <v>105</v>
      </c>
      <c r="AT108" s="14">
        <f>'[1]功能-城建'!GF108</f>
        <v>148126245.99365473</v>
      </c>
      <c r="AU108" s="14">
        <f>'[1]功能-城建'!GG108</f>
        <v>131400971.97349977</v>
      </c>
      <c r="AV108" s="14">
        <f>'[1]功能-城建'!GH108</f>
        <v>106096298.18432689</v>
      </c>
      <c r="AW108" s="14">
        <f>'[1]功能-城建'!GI108</f>
        <v>78038523.178918123</v>
      </c>
      <c r="AX108" s="14">
        <f>'[1]功能-城建'!GJ108</f>
        <v>41887348.100367248</v>
      </c>
    </row>
    <row r="109" spans="2:50" x14ac:dyDescent="0.15">
      <c r="B109" s="14">
        <v>106</v>
      </c>
      <c r="C109" s="14">
        <f>'[1]资源-钻石'!L109</f>
        <v>5606950.2951373328</v>
      </c>
      <c r="D109" s="14">
        <f>'[1]资源-钻石'!M109</f>
        <v>7604613.8868121523</v>
      </c>
      <c r="E109" s="14">
        <f>'[1]资源-钻石'!N109</f>
        <v>11605174.657679331</v>
      </c>
      <c r="F109" s="14">
        <f>'[1]资源-钻石'!O109</f>
        <v>24712641.577476706</v>
      </c>
      <c r="G109" s="14">
        <f>'[1]资源-钻石'!P109</f>
        <v>33111940.714318942</v>
      </c>
      <c r="I109" s="14">
        <v>106</v>
      </c>
      <c r="J109" s="14">
        <f>'[1]资源-钻石'!T109</f>
        <v>621516.36461939523</v>
      </c>
      <c r="K109" s="14">
        <f>'[1]资源-钻石'!U109</f>
        <v>864268.00108133478</v>
      </c>
      <c r="L109" s="14">
        <f>'[1]资源-钻石'!V109</f>
        <v>1429284.8011894682</v>
      </c>
      <c r="M109" s="14">
        <f>'[1]资源-钻石'!W109</f>
        <v>3724363.2813084149</v>
      </c>
      <c r="N109" s="14">
        <f>'[1]资源-钻石'!X109</f>
        <v>8811212.1094392557</v>
      </c>
      <c r="P109" s="14">
        <v>106</v>
      </c>
      <c r="Q109" s="14">
        <f>'[1]功能-行军令'!N109</f>
        <v>71350.313148905741</v>
      </c>
      <c r="R109" s="14">
        <f>'[1]功能-行军令'!O109</f>
        <v>88740.090666434582</v>
      </c>
      <c r="S109" s="14">
        <f>'[1]功能-行军令'!P109</f>
        <v>96885.039131134996</v>
      </c>
      <c r="T109" s="14">
        <f>'[1]功能-行军令'!Q109</f>
        <v>78731.037716030813</v>
      </c>
      <c r="U109" s="14">
        <f>'[1]功能-行军令'!R109</f>
        <v>42496.866948993898</v>
      </c>
      <c r="V109" s="14">
        <f>'[1]功能-行军令'!S109</f>
        <v>4781.1975068834727</v>
      </c>
      <c r="W109" s="14">
        <f>'[1]功能-行军令'!T109</f>
        <v>6004.6652907472017</v>
      </c>
      <c r="X109" s="14">
        <f>'[1]功能-行军令'!U109</f>
        <v>6505.4532631804323</v>
      </c>
      <c r="Y109" s="14">
        <f>'[1]功能-行军令'!V109</f>
        <v>5231.0641273925139</v>
      </c>
      <c r="Z109" s="14">
        <f>'[1]功能-行军令'!W109</f>
        <v>2698.6658778796627</v>
      </c>
      <c r="AC109" s="14">
        <v>106</v>
      </c>
      <c r="AD109" s="14">
        <v>13805154</v>
      </c>
      <c r="AE109" s="14">
        <v>14827272</v>
      </c>
      <c r="AF109" s="14">
        <v>15871704</v>
      </c>
      <c r="AG109" s="14">
        <v>16325844</v>
      </c>
      <c r="AH109" s="14">
        <v>16594632</v>
      </c>
      <c r="AK109" s="14">
        <v>106</v>
      </c>
      <c r="AL109" s="14">
        <f>'[1]功能-付费相关'!AH111</f>
        <v>5.5555555555555558E-3</v>
      </c>
      <c r="AM109" s="14">
        <f>'[1]功能-付费相关'!AI111</f>
        <v>5.5555555555555558E-3</v>
      </c>
      <c r="AN109" s="14">
        <f>'[1]功能-付费相关'!AJ111</f>
        <v>5.5555555555555558E-3</v>
      </c>
      <c r="AO109" s="14">
        <f>'[1]功能-付费相关'!AK111</f>
        <v>5.5555555555555558E-3</v>
      </c>
      <c r="AP109" s="14">
        <f>'[1]功能-付费相关'!AL111</f>
        <v>5.5555555555555558E-3</v>
      </c>
      <c r="AS109" s="14">
        <v>106</v>
      </c>
      <c r="AT109" s="14">
        <f>'[1]功能-城建'!GF109</f>
        <v>162394412.71205902</v>
      </c>
      <c r="AU109" s="14">
        <f>'[1]功能-城建'!GG109</f>
        <v>140316263.16208887</v>
      </c>
      <c r="AV109" s="14">
        <f>'[1]功能-城建'!GH109</f>
        <v>115039290.01219702</v>
      </c>
      <c r="AW109" s="14">
        <f>'[1]功能-城建'!GI109</f>
        <v>81773049.410722613</v>
      </c>
      <c r="AX109" s="14">
        <f>'[1]功能-城建'!GJ109</f>
        <v>43388259.162803173</v>
      </c>
    </row>
    <row r="110" spans="2:50" x14ac:dyDescent="0.15">
      <c r="B110" s="14">
        <v>107</v>
      </c>
      <c r="C110" s="14">
        <f>'[1]资源-钻石'!L110</f>
        <v>5949525.8486465234</v>
      </c>
      <c r="D110" s="14">
        <f>'[1]资源-钻石'!M110</f>
        <v>8102538.543933766</v>
      </c>
      <c r="E110" s="14">
        <f>'[1]资源-钻石'!N110</f>
        <v>12394083.626977185</v>
      </c>
      <c r="F110" s="14">
        <f>'[1]资源-钻石'!O110</f>
        <v>26331833.469624061</v>
      </c>
      <c r="G110" s="14">
        <f>'[1]资源-钻石'!P110</f>
        <v>35286312.889212817</v>
      </c>
      <c r="I110" s="14">
        <v>107</v>
      </c>
      <c r="J110" s="14">
        <f>'[1]资源-钻石'!T110</f>
        <v>625849.72240317555</v>
      </c>
      <c r="K110" s="14">
        <f>'[1]资源-钻石'!U110</f>
        <v>870714.69464349304</v>
      </c>
      <c r="L110" s="14">
        <f>'[1]资源-钻石'!V110</f>
        <v>1440828.1641078424</v>
      </c>
      <c r="M110" s="14">
        <f>'[1]资源-钻石'!W110</f>
        <v>3757080.9805186265</v>
      </c>
      <c r="N110" s="14">
        <f>'[1]资源-钻石'!X110</f>
        <v>8891056.5785704888</v>
      </c>
      <c r="P110" s="14">
        <v>107</v>
      </c>
      <c r="Q110" s="14">
        <f>'[1]功能-行军令'!N110</f>
        <v>76474.673755928176</v>
      </c>
      <c r="R110" s="14">
        <f>'[1]功能-行军令'!O110</f>
        <v>95068.825682519018</v>
      </c>
      <c r="S110" s="14">
        <f>'[1]功能-行军令'!P110</f>
        <v>103888.68305664834</v>
      </c>
      <c r="T110" s="14">
        <f>'[1]功能-行军令'!Q110</f>
        <v>84060.13014606238</v>
      </c>
      <c r="U110" s="14">
        <f>'[1]功能-行军令'!R110</f>
        <v>45343.496562797547</v>
      </c>
      <c r="V110" s="14">
        <f>'[1]功能-行军令'!S110</f>
        <v>5124.3606070224341</v>
      </c>
      <c r="W110" s="14">
        <f>'[1]功能-行军令'!T110</f>
        <v>6328.7350160844362</v>
      </c>
      <c r="X110" s="14">
        <f>'[1]功能-行军令'!U110</f>
        <v>7003.6439255133446</v>
      </c>
      <c r="Y110" s="14">
        <f>'[1]功能-行军令'!V110</f>
        <v>5329.0924300315673</v>
      </c>
      <c r="Z110" s="14">
        <f>'[1]功能-行军令'!W110</f>
        <v>2846.6296138036487</v>
      </c>
      <c r="AC110" s="14">
        <v>107</v>
      </c>
      <c r="AD110" s="14">
        <v>14215272</v>
      </c>
      <c r="AE110" s="14">
        <v>15259656</v>
      </c>
      <c r="AF110" s="14">
        <v>16174008</v>
      </c>
      <c r="AG110" s="14">
        <v>16610568</v>
      </c>
      <c r="AH110" s="14">
        <v>16886580</v>
      </c>
      <c r="AK110" s="14">
        <v>107</v>
      </c>
      <c r="AL110" s="14">
        <f>'[1]功能-付费相关'!AH112</f>
        <v>5.5555555555555558E-3</v>
      </c>
      <c r="AM110" s="14">
        <f>'[1]功能-付费相关'!AI112</f>
        <v>5.5555555555555558E-3</v>
      </c>
      <c r="AN110" s="14">
        <f>'[1]功能-付费相关'!AJ112</f>
        <v>5.5555555555555558E-3</v>
      </c>
      <c r="AO110" s="14">
        <f>'[1]功能-付费相关'!AK112</f>
        <v>5.5555555555555558E-3</v>
      </c>
      <c r="AP110" s="14">
        <f>'[1]功能-付费相关'!AL112</f>
        <v>5.5555555555555558E-3</v>
      </c>
      <c r="AS110" s="14">
        <v>107</v>
      </c>
      <c r="AT110" s="14">
        <f>'[1]功能-城建'!GF110</f>
        <v>174736487.44941878</v>
      </c>
      <c r="AU110" s="14">
        <f>'[1]功能-城建'!GG110</f>
        <v>152002990.86392665</v>
      </c>
      <c r="AV110" s="14">
        <f>'[1]功能-城建'!GH110</f>
        <v>123849052.80149555</v>
      </c>
      <c r="AW110" s="14">
        <f>'[1]功能-城建'!GI110</f>
        <v>85679388.972158074</v>
      </c>
      <c r="AX110" s="14">
        <f>'[1]功能-城建'!GJ110</f>
        <v>45767171.266590714</v>
      </c>
    </row>
    <row r="111" spans="2:50" x14ac:dyDescent="0.15">
      <c r="B111" s="14">
        <v>108</v>
      </c>
      <c r="C111" s="14">
        <f>'[1]资源-钻石'!L111</f>
        <v>6316689.235811362</v>
      </c>
      <c r="D111" s="14">
        <f>'[1]资源-钻石'!M111</f>
        <v>8622841.4403145257</v>
      </c>
      <c r="E111" s="14">
        <f>'[1]资源-钻石'!N111</f>
        <v>13177881.008156372</v>
      </c>
      <c r="F111" s="14">
        <f>'[1]资源-钻石'!O111</f>
        <v>28071289.739956029</v>
      </c>
      <c r="G111" s="14">
        <f>'[1]资源-钻石'!P111</f>
        <v>37717621.249749318</v>
      </c>
      <c r="I111" s="14">
        <v>108</v>
      </c>
      <c r="J111" s="14">
        <f>'[1]资源-钻石'!T111</f>
        <v>630183.08018695586</v>
      </c>
      <c r="K111" s="14">
        <f>'[1]资源-钻石'!U111</f>
        <v>877161.38820565143</v>
      </c>
      <c r="L111" s="14">
        <f>'[1]资源-钻石'!V111</f>
        <v>1452371.5270262167</v>
      </c>
      <c r="M111" s="14">
        <f>'[1]资源-钻石'!W111</f>
        <v>3789798.6797288381</v>
      </c>
      <c r="N111" s="14">
        <f>'[1]资源-钻石'!X111</f>
        <v>8970901.047701722</v>
      </c>
      <c r="P111" s="14">
        <v>108</v>
      </c>
      <c r="Q111" s="14">
        <f>'[1]功能-行军令'!N111</f>
        <v>81966.827467001276</v>
      </c>
      <c r="R111" s="14">
        <f>'[1]功能-行军令'!O111</f>
        <v>101896.34881058118</v>
      </c>
      <c r="S111" s="14">
        <f>'[1]功能-行军令'!P111</f>
        <v>110846.94818122237</v>
      </c>
      <c r="T111" s="14">
        <f>'[1]功能-行军令'!Q111</f>
        <v>89785.037297310293</v>
      </c>
      <c r="U111" s="14">
        <f>'[1]功能-行军令'!R111</f>
        <v>48526.500125529114</v>
      </c>
      <c r="V111" s="14">
        <f>'[1]功能-行军令'!S111</f>
        <v>5492.1537110731006</v>
      </c>
      <c r="W111" s="14">
        <f>'[1]功能-行军令'!T111</f>
        <v>6827.5231280621665</v>
      </c>
      <c r="X111" s="14">
        <f>'[1]功能-行军令'!U111</f>
        <v>6958.2651245740271</v>
      </c>
      <c r="Y111" s="14">
        <f>'[1]功能-行军令'!V111</f>
        <v>5724.9071512479131</v>
      </c>
      <c r="Z111" s="14">
        <f>'[1]功能-行军令'!W111</f>
        <v>3183.0035627315665</v>
      </c>
      <c r="AC111" s="14">
        <v>108</v>
      </c>
      <c r="AD111" s="14">
        <v>14593098</v>
      </c>
      <c r="AE111" s="14">
        <v>15697782</v>
      </c>
      <c r="AF111" s="14">
        <v>16469214</v>
      </c>
      <c r="AG111" s="14">
        <v>16902726</v>
      </c>
      <c r="AH111" s="14">
        <v>17180550</v>
      </c>
      <c r="AK111" s="14">
        <v>108</v>
      </c>
      <c r="AL111" s="14">
        <f>'[1]功能-付费相关'!AH113</f>
        <v>5.5555555555555558E-3</v>
      </c>
      <c r="AM111" s="14">
        <f>'[1]功能-付费相关'!AI113</f>
        <v>5.5555555555555558E-3</v>
      </c>
      <c r="AN111" s="14">
        <f>'[1]功能-付费相关'!AJ113</f>
        <v>5.5555555555555558E-3</v>
      </c>
      <c r="AO111" s="14">
        <f>'[1]功能-付费相关'!AK113</f>
        <v>5.5555555555555558E-3</v>
      </c>
      <c r="AP111" s="14">
        <f>'[1]功能-付费相关'!AL113</f>
        <v>5.5555555555555558E-3</v>
      </c>
      <c r="AS111" s="14">
        <v>108</v>
      </c>
      <c r="AT111" s="14">
        <f>'[1]功能-城建'!GF111</f>
        <v>192129864.17084432</v>
      </c>
      <c r="AU111" s="14">
        <f>'[1]功能-城建'!GG111</f>
        <v>163982839.0698154</v>
      </c>
      <c r="AV111" s="14">
        <f>'[1]功能-城建'!GH111</f>
        <v>126464031.88663316</v>
      </c>
      <c r="AW111" s="14">
        <f>'[1]功能-城建'!GI111</f>
        <v>92043167.402587891</v>
      </c>
      <c r="AX111" s="14">
        <f>'[1]功能-城建'!GJ111</f>
        <v>52537111.716555357</v>
      </c>
    </row>
    <row r="112" spans="2:50" x14ac:dyDescent="0.15">
      <c r="B112" s="14">
        <v>109</v>
      </c>
      <c r="C112" s="14">
        <f>'[1]资源-钻石'!L112</f>
        <v>6710205.2105895681</v>
      </c>
      <c r="D112" s="14">
        <f>'[1]资源-钻石'!M112</f>
        <v>9148705.5819281265</v>
      </c>
      <c r="E112" s="14">
        <f>'[1]资源-钻石'!N112</f>
        <v>14033442.609875198</v>
      </c>
      <c r="F112" s="14">
        <f>'[1]资源-钻石'!O112</f>
        <v>29952688.924554098</v>
      </c>
      <c r="G112" s="14">
        <f>'[1]资源-钻石'!P112</f>
        <v>40349455.46125254</v>
      </c>
      <c r="I112" s="14">
        <v>109</v>
      </c>
      <c r="J112" s="14">
        <f>'[1]资源-钻石'!T112</f>
        <v>634516.43797073618</v>
      </c>
      <c r="K112" s="14">
        <f>'[1]资源-钻石'!U112</f>
        <v>883608.08176780981</v>
      </c>
      <c r="L112" s="14">
        <f>'[1]资源-钻石'!V112</f>
        <v>1463914.8899445909</v>
      </c>
      <c r="M112" s="14">
        <f>'[1]资源-钻石'!W112</f>
        <v>3822516.3789390498</v>
      </c>
      <c r="N112" s="14">
        <f>'[1]资源-钻石'!X112</f>
        <v>9050745.5168329552</v>
      </c>
      <c r="P112" s="14">
        <v>109</v>
      </c>
      <c r="Q112" s="14">
        <f>'[1]功能-行军令'!N112</f>
        <v>87853.172066699568</v>
      </c>
      <c r="R112" s="14">
        <f>'[1]功能-行军令'!O112</f>
        <v>108855.61876018409</v>
      </c>
      <c r="S112" s="14">
        <f>'[1]功能-行军令'!P112</f>
        <v>118442.30968422769</v>
      </c>
      <c r="T112" s="14">
        <f>'[1]功能-行军令'!Q112</f>
        <v>95977.107675832609</v>
      </c>
      <c r="U112" s="14">
        <f>'[1]功能-行军令'!R112</f>
        <v>51972.026743092792</v>
      </c>
      <c r="V112" s="14">
        <f>'[1]功能-行军令'!S112</f>
        <v>5886.3445996982919</v>
      </c>
      <c r="W112" s="14">
        <f>'[1]功能-行军令'!T112</f>
        <v>6959.269949602909</v>
      </c>
      <c r="X112" s="14">
        <f>'[1]功能-行军令'!U112</f>
        <v>7595.3615030053188</v>
      </c>
      <c r="Y112" s="14">
        <f>'[1]功能-行军令'!V112</f>
        <v>6192.0703785223159</v>
      </c>
      <c r="Z112" s="14">
        <f>'[1]功能-行军令'!W112</f>
        <v>3445.5266175636789</v>
      </c>
      <c r="AC112" s="14">
        <v>109</v>
      </c>
      <c r="AD112" s="14">
        <v>14944332</v>
      </c>
      <c r="AE112" s="14">
        <v>16132398</v>
      </c>
      <c r="AF112" s="14">
        <v>16773042</v>
      </c>
      <c r="AG112" s="14">
        <v>17196462</v>
      </c>
      <c r="AH112" s="14">
        <v>17481894</v>
      </c>
      <c r="AK112" s="14">
        <v>109</v>
      </c>
      <c r="AL112" s="14">
        <f>'[1]功能-付费相关'!AH114</f>
        <v>5.5555555555555558E-3</v>
      </c>
      <c r="AM112" s="14">
        <f>'[1]功能-付费相关'!AI114</f>
        <v>5.5555555555555558E-3</v>
      </c>
      <c r="AN112" s="14">
        <f>'[1]功能-付费相关'!AJ114</f>
        <v>5.5555555555555558E-3</v>
      </c>
      <c r="AO112" s="14">
        <f>'[1]功能-付费相关'!AK114</f>
        <v>5.5555555555555558E-3</v>
      </c>
      <c r="AP112" s="14">
        <f>'[1]功能-付费相关'!AL114</f>
        <v>5.5555555555555558E-3</v>
      </c>
      <c r="AS112" s="14">
        <v>109</v>
      </c>
      <c r="AT112" s="14">
        <f>'[1]功能-城建'!GF112</f>
        <v>205984799.66200924</v>
      </c>
      <c r="AU112" s="14">
        <f>'[1]功能-城建'!GG112</f>
        <v>171730829.74108315</v>
      </c>
      <c r="AV112" s="14">
        <f>'[1]功能-城建'!GH112</f>
        <v>138218886.25249243</v>
      </c>
      <c r="AW112" s="14">
        <f>'[1]功能-城建'!GI112</f>
        <v>101788873.67141604</v>
      </c>
      <c r="AX112" s="14">
        <f>'[1]功能-城建'!GJ112</f>
        <v>56961579.848421693</v>
      </c>
    </row>
    <row r="113" spans="2:50" x14ac:dyDescent="0.15">
      <c r="B113" s="14">
        <v>110</v>
      </c>
      <c r="C113" s="14">
        <f>'[1]资源-钻石'!L113</f>
        <v>7131965.1894409508</v>
      </c>
      <c r="D113" s="14">
        <f>'[1]资源-钻石'!M113</f>
        <v>9739385.1666944623</v>
      </c>
      <c r="E113" s="14">
        <f>'[1]资源-钻石'!N113</f>
        <v>15014601.77485897</v>
      </c>
      <c r="F113" s="14">
        <f>'[1]资源-钻石'!O113</f>
        <v>32130101.013103947</v>
      </c>
      <c r="G113" s="14">
        <f>'[1]资源-钻石'!P113</f>
        <v>43296865.536363885</v>
      </c>
      <c r="I113" s="14">
        <v>110</v>
      </c>
      <c r="J113" s="14">
        <f>'[1]资源-钻石'!T113</f>
        <v>638849.7957545165</v>
      </c>
      <c r="K113" s="14">
        <f>'[1]资源-钻石'!U113</f>
        <v>890054.77532996819</v>
      </c>
      <c r="L113" s="14">
        <f>'[1]资源-钻石'!V113</f>
        <v>1475458.252862965</v>
      </c>
      <c r="M113" s="14">
        <f>'[1]资源-钻石'!W113</f>
        <v>3855234.0781492614</v>
      </c>
      <c r="N113" s="14">
        <f>'[1]资源-钻石'!X113</f>
        <v>9130589.9859641884</v>
      </c>
      <c r="P113" s="14">
        <v>110</v>
      </c>
      <c r="Q113" s="14">
        <f>'[1]功能-行军令'!N113</f>
        <v>94162</v>
      </c>
      <c r="R113" s="14">
        <f>'[1]功能-行军令'!O113</f>
        <v>116672.65430000001</v>
      </c>
      <c r="S113" s="14">
        <f>'[1]功能-行军令'!P113</f>
        <v>127152.68019999999</v>
      </c>
      <c r="T113" s="14">
        <f>'[1]功能-行军令'!Q113</f>
        <v>103143.41720000001</v>
      </c>
      <c r="U113" s="14">
        <f>'[1]功能-行军令'!R113</f>
        <v>55830.696799999991</v>
      </c>
      <c r="V113" s="14">
        <f>'[1]功能-行军令'!S113</f>
        <v>6308.8279333004321</v>
      </c>
      <c r="W113" s="14">
        <f>'[1]功能-行军令'!T113</f>
        <v>7817.0355398159154</v>
      </c>
      <c r="X113" s="14">
        <f>'[1]功能-行军令'!U113</f>
        <v>8710.3705157723016</v>
      </c>
      <c r="Y113" s="14">
        <f>'[1]功能-行军令'!V113</f>
        <v>7166.3095241674018</v>
      </c>
      <c r="Z113" s="14">
        <f>'[1]功能-行军令'!W113</f>
        <v>3858.6700569071982</v>
      </c>
      <c r="AC113" s="14">
        <v>110</v>
      </c>
      <c r="AD113" s="14">
        <v>15294822</v>
      </c>
      <c r="AE113" s="14">
        <v>16578612</v>
      </c>
      <c r="AF113" s="14">
        <v>17083434</v>
      </c>
      <c r="AG113" s="14">
        <v>17500986</v>
      </c>
      <c r="AH113" s="14">
        <v>17816004</v>
      </c>
      <c r="AK113" s="14">
        <v>110</v>
      </c>
      <c r="AL113" s="14">
        <f>'[1]功能-付费相关'!AH115</f>
        <v>5.5555555555555558E-3</v>
      </c>
      <c r="AM113" s="14">
        <f>'[1]功能-付费相关'!AI115</f>
        <v>5.5555555555555558E-3</v>
      </c>
      <c r="AN113" s="14">
        <f>'[1]功能-付费相关'!AJ115</f>
        <v>5.5555555555555558E-3</v>
      </c>
      <c r="AO113" s="14">
        <f>'[1]功能-付费相关'!AK115</f>
        <v>5.5555555555555558E-3</v>
      </c>
      <c r="AP113" s="14">
        <f>'[1]功能-付费相关'!AL115</f>
        <v>5.5555555555555558E-3</v>
      </c>
      <c r="AS113" s="14">
        <v>110</v>
      </c>
      <c r="AT113" s="14">
        <f>'[1]功能-城建'!GF113</f>
        <v>227117805.59881544</v>
      </c>
      <c r="AU113" s="14">
        <f>'[1]功能-城建'!GG113</f>
        <v>193209117.22291231</v>
      </c>
      <c r="AV113" s="14">
        <f>'[1]功能-城建'!GH113</f>
        <v>161841097.96822309</v>
      </c>
      <c r="AW113" s="14">
        <f>'[1]功能-城建'!GI113</f>
        <v>118473707.35681796</v>
      </c>
      <c r="AX113" s="14">
        <f>'[1]功能-城建'!GJ113</f>
        <v>65203667.312054157</v>
      </c>
    </row>
    <row r="114" spans="2:50" x14ac:dyDescent="0.15">
      <c r="B114" s="14">
        <v>111</v>
      </c>
      <c r="C114" s="14">
        <f>'[1]资源-钻石'!L114</f>
        <v>7583996.3423337257</v>
      </c>
      <c r="D114" s="14">
        <f>'[1]资源-钻石'!M114</f>
        <v>10385788.975014254</v>
      </c>
      <c r="E114" s="14">
        <f>'[1]资源-钻石'!N114</f>
        <v>16058461.400235761</v>
      </c>
      <c r="F114" s="14">
        <f>'[1]资源-钻石'!O114</f>
        <v>34483509.107027754</v>
      </c>
      <c r="G114" s="14">
        <f>'[1]资源-钻石'!P114</f>
        <v>46531809.109250382</v>
      </c>
      <c r="I114" s="14">
        <v>111</v>
      </c>
      <c r="J114" s="14">
        <f>'[1]资源-钻石'!T114</f>
        <v>643183.15353829681</v>
      </c>
      <c r="K114" s="14">
        <f>'[1]资源-钻石'!U114</f>
        <v>896501.46889212646</v>
      </c>
      <c r="L114" s="14">
        <f>'[1]资源-钻石'!V114</f>
        <v>1487001.6157813391</v>
      </c>
      <c r="M114" s="14">
        <f>'[1]资源-钻石'!W114</f>
        <v>3887951.7773594731</v>
      </c>
      <c r="N114" s="14">
        <f>'[1]资源-钻石'!X114</f>
        <v>9210434.4550954197</v>
      </c>
      <c r="P114" s="14">
        <v>111</v>
      </c>
      <c r="Q114" s="14">
        <f>'[1]功能-行军令'!N114</f>
        <v>100923.63435861902</v>
      </c>
      <c r="R114" s="14">
        <f>'[1]功能-行军令'!O114</f>
        <v>125227.14250820011</v>
      </c>
      <c r="S114" s="14">
        <f>'[1]功能-行军令'!P114</f>
        <v>136542.87591185258</v>
      </c>
      <c r="T114" s="14">
        <f>'[1]功能-行军令'!Q114</f>
        <v>110888.96565471216</v>
      </c>
      <c r="U114" s="14">
        <f>'[1]功能-行军令'!R114</f>
        <v>60065.79798455775</v>
      </c>
      <c r="V114" s="14">
        <f>'[1]功能-行军令'!S114</f>
        <v>6761.6343586190196</v>
      </c>
      <c r="W114" s="14">
        <f>'[1]功能-行军令'!T114</f>
        <v>8554.4882082000986</v>
      </c>
      <c r="X114" s="14">
        <f>'[1]功能-行军令'!U114</f>
        <v>9390.1957118525897</v>
      </c>
      <c r="Y114" s="14">
        <f>'[1]功能-行军令'!V114</f>
        <v>7745.548454712145</v>
      </c>
      <c r="Z114" s="14">
        <f>'[1]功能-行军令'!W114</f>
        <v>4235.1011845577596</v>
      </c>
      <c r="AC114" s="14">
        <v>111</v>
      </c>
      <c r="AD114" s="14">
        <v>15664122</v>
      </c>
      <c r="AE114" s="14">
        <v>16800936</v>
      </c>
      <c r="AF114" s="14">
        <v>17313486</v>
      </c>
      <c r="AG114" s="14">
        <v>17743578</v>
      </c>
      <c r="AH114" s="14">
        <v>18074280</v>
      </c>
      <c r="AK114" s="14">
        <v>111</v>
      </c>
      <c r="AL114" s="14">
        <f>'[1]功能-付费相关'!AH116</f>
        <v>5.5555555555555558E-3</v>
      </c>
      <c r="AM114" s="14">
        <f>'[1]功能-付费相关'!AI116</f>
        <v>5.5555555555555558E-3</v>
      </c>
      <c r="AN114" s="14">
        <f>'[1]功能-付费相关'!AJ116</f>
        <v>5.5555555555555558E-3</v>
      </c>
      <c r="AO114" s="14">
        <f>'[1]功能-付费相关'!AK116</f>
        <v>5.5555555555555558E-3</v>
      </c>
      <c r="AP114" s="14">
        <f>'[1]功能-付费相关'!AL116</f>
        <v>5.5555555555555558E-3</v>
      </c>
      <c r="AS114" s="14">
        <v>111</v>
      </c>
      <c r="AT114" s="14">
        <f>'[1]功能-城建'!GF114</f>
        <v>243418836.91028452</v>
      </c>
      <c r="AU114" s="14">
        <f>'[1]功能-城建'!GG114</f>
        <v>216159987.52693701</v>
      </c>
      <c r="AV114" s="14">
        <f>'[1]功能-城建'!GH114</f>
        <v>175710167.67189622</v>
      </c>
      <c r="AW114" s="14">
        <f>'[1]功能-城建'!GI114</f>
        <v>130522708.75072193</v>
      </c>
      <c r="AX114" s="14">
        <f>'[1]功能-城建'!GJ114</f>
        <v>71939155.655361533</v>
      </c>
    </row>
    <row r="115" spans="2:50" x14ac:dyDescent="0.15">
      <c r="B115" s="14">
        <v>112</v>
      </c>
      <c r="C115" s="14">
        <f>'[1]资源-钻石'!L115</f>
        <v>8068471.336243894</v>
      </c>
      <c r="D115" s="14">
        <f>'[1]资源-钻石'!M115</f>
        <v>11072401.862657852</v>
      </c>
      <c r="E115" s="14">
        <f>'[1]资源-钻石'!N115</f>
        <v>17149937.536610078</v>
      </c>
      <c r="F115" s="14">
        <f>'[1]资源-钻石'!O115</f>
        <v>36946995.110363379</v>
      </c>
      <c r="G115" s="14">
        <f>'[1]资源-钻石'!P115</f>
        <v>49678321.037087649</v>
      </c>
      <c r="I115" s="14">
        <v>112</v>
      </c>
      <c r="J115" s="14">
        <f>'[1]资源-钻石'!T115</f>
        <v>647516.51132207713</v>
      </c>
      <c r="K115" s="14">
        <f>'[1]资源-钻石'!U115</f>
        <v>902948.16245428484</v>
      </c>
      <c r="L115" s="14">
        <f>'[1]资源-钻石'!V115</f>
        <v>1498544.9786997135</v>
      </c>
      <c r="M115" s="14">
        <f>'[1]资源-钻石'!W115</f>
        <v>3920669.4765696847</v>
      </c>
      <c r="N115" s="14">
        <f>'[1]资源-钻石'!X115</f>
        <v>9290278.9242266528</v>
      </c>
      <c r="P115" s="14">
        <v>112</v>
      </c>
      <c r="Q115" s="14">
        <f>'[1]功能-行军令'!N115</f>
        <v>108170.57462756058</v>
      </c>
      <c r="R115" s="14">
        <f>'[1]功能-行军令'!O115</f>
        <v>134313.75644108024</v>
      </c>
      <c r="S115" s="14">
        <f>'[1]功能-行军令'!P115</f>
        <v>146454.49252248529</v>
      </c>
      <c r="T115" s="14">
        <f>'[1]功能-行军令'!Q115</f>
        <v>118996.80307381767</v>
      </c>
      <c r="U115" s="14">
        <f>'[1]功能-行军令'!R115</f>
        <v>64185.126836071002</v>
      </c>
      <c r="V115" s="14">
        <f>'[1]功能-行军令'!S115</f>
        <v>7246.9402689415583</v>
      </c>
      <c r="W115" s="14">
        <f>'[1]功能-行军令'!T115</f>
        <v>9086.6139328801364</v>
      </c>
      <c r="X115" s="14">
        <f>'[1]功能-行军令'!U115</f>
        <v>9911.6166106327146</v>
      </c>
      <c r="Y115" s="14">
        <f>'[1]功能-行军令'!V115</f>
        <v>8107.8374191055191</v>
      </c>
      <c r="Z115" s="14">
        <f>'[1]功能-行军令'!W115</f>
        <v>4119.3288515132517</v>
      </c>
      <c r="AC115" s="14">
        <v>112</v>
      </c>
      <c r="AD115" s="14">
        <v>16037406</v>
      </c>
      <c r="AE115" s="14">
        <v>17025786</v>
      </c>
      <c r="AF115" s="14">
        <v>17569494</v>
      </c>
      <c r="AG115" s="14">
        <v>18000858</v>
      </c>
      <c r="AH115" s="14">
        <v>18329784</v>
      </c>
      <c r="AK115" s="14">
        <v>112</v>
      </c>
      <c r="AL115" s="14">
        <f>'[1]功能-付费相关'!AH117</f>
        <v>5.5555555555555558E-3</v>
      </c>
      <c r="AM115" s="14">
        <f>'[1]功能-付费相关'!AI117</f>
        <v>5.5555555555555558E-3</v>
      </c>
      <c r="AN115" s="14">
        <f>'[1]功能-付费相关'!AJ117</f>
        <v>5.5555555555555558E-3</v>
      </c>
      <c r="AO115" s="14">
        <f>'[1]功能-付费相关'!AK117</f>
        <v>5.5555555555555558E-3</v>
      </c>
      <c r="AP115" s="14">
        <f>'[1]功能-付费相关'!AL117</f>
        <v>5.5555555555555558E-3</v>
      </c>
      <c r="AS115" s="14">
        <v>112</v>
      </c>
      <c r="AT115" s="14">
        <f>'[1]功能-城建'!GF115</f>
        <v>267506137.18200064</v>
      </c>
      <c r="AU115" s="14">
        <f>'[1]功能-城建'!GG115</f>
        <v>230935614.99863148</v>
      </c>
      <c r="AV115" s="14">
        <f>'[1]功能-城建'!GH115</f>
        <v>188919244.6663487</v>
      </c>
      <c r="AW115" s="14">
        <f>'[1]功能-城建'!GI115</f>
        <v>137723032.50938845</v>
      </c>
      <c r="AX115" s="14">
        <f>'[1]功能-城建'!GJ115</f>
        <v>71397376.224293113</v>
      </c>
    </row>
    <row r="116" spans="2:50" x14ac:dyDescent="0.15">
      <c r="B116" s="14">
        <v>113</v>
      </c>
      <c r="C116" s="14">
        <f>'[1]资源-钻石'!L116</f>
        <v>8587718.777979251</v>
      </c>
      <c r="D116" s="14">
        <f>'[1]资源-钻石'!M116</f>
        <v>11806256.452359673</v>
      </c>
      <c r="E116" s="14">
        <f>'[1]资源-钻石'!N116</f>
        <v>18325650.428964917</v>
      </c>
      <c r="F116" s="14">
        <f>'[1]资源-钻石'!O116</f>
        <v>39464263.135467231</v>
      </c>
      <c r="G116" s="14">
        <f>'[1]资源-钻石'!P116</f>
        <v>53020207.757090084</v>
      </c>
      <c r="I116" s="14">
        <v>113</v>
      </c>
      <c r="J116" s="14">
        <f>'[1]资源-钻石'!T116</f>
        <v>651849.86910585745</v>
      </c>
      <c r="K116" s="14">
        <f>'[1]资源-钻石'!U116</f>
        <v>909394.85601644323</v>
      </c>
      <c r="L116" s="14">
        <f>'[1]资源-钻石'!V116</f>
        <v>1510088.3416180876</v>
      </c>
      <c r="M116" s="14">
        <f>'[1]资源-钻石'!W116</f>
        <v>3953387.1757798963</v>
      </c>
      <c r="N116" s="14">
        <f>'[1]资源-钻石'!X116</f>
        <v>9370123.393357886</v>
      </c>
      <c r="P116" s="14">
        <v>113</v>
      </c>
      <c r="Q116" s="14">
        <f>'[1]功能-行军令'!N116</f>
        <v>115937.65289239788</v>
      </c>
      <c r="R116" s="14">
        <f>'[1]功能-行军令'!O116</f>
        <v>144025.56561258808</v>
      </c>
      <c r="S116" s="14">
        <f>'[1]功能-行军令'!P116</f>
        <v>157131.05708019441</v>
      </c>
      <c r="T116" s="14">
        <f>'[1]功能-行军令'!Q116</f>
        <v>127281.6481511673</v>
      </c>
      <c r="U116" s="14">
        <f>'[1]功能-行军令'!R116</f>
        <v>68560.235114671188</v>
      </c>
      <c r="V116" s="14">
        <f>'[1]功能-行军令'!S116</f>
        <v>7767.0782648372988</v>
      </c>
      <c r="W116" s="14">
        <f>'[1]功能-行军令'!T116</f>
        <v>9711.8091715078335</v>
      </c>
      <c r="X116" s="14">
        <f>'[1]功能-行军令'!U116</f>
        <v>10676.56455770912</v>
      </c>
      <c r="Y116" s="14">
        <f>'[1]功能-行军令'!V116</f>
        <v>8284.8450773496297</v>
      </c>
      <c r="Z116" s="14">
        <f>'[1]功能-行军令'!W116</f>
        <v>4375.1082786001862</v>
      </c>
      <c r="AC116" s="14">
        <v>113</v>
      </c>
      <c r="AD116" s="14">
        <v>16420710</v>
      </c>
      <c r="AE116" s="14">
        <v>17277690</v>
      </c>
      <c r="AF116" s="14">
        <v>17842674</v>
      </c>
      <c r="AG116" s="14">
        <v>18259080</v>
      </c>
      <c r="AH116" s="14">
        <v>18592212</v>
      </c>
      <c r="AK116" s="14">
        <v>113</v>
      </c>
      <c r="AL116" s="14">
        <f>'[1]功能-付费相关'!AH118</f>
        <v>5.5555555555555558E-3</v>
      </c>
      <c r="AM116" s="14">
        <f>'[1]功能-付费相关'!AI118</f>
        <v>5.5555555555555558E-3</v>
      </c>
      <c r="AN116" s="14">
        <f>'[1]功能-付费相关'!AJ118</f>
        <v>5.5555555555555558E-3</v>
      </c>
      <c r="AO116" s="14">
        <f>'[1]功能-付费相关'!AK118</f>
        <v>5.5555555555555558E-3</v>
      </c>
      <c r="AP116" s="14">
        <f>'[1]功能-付费相关'!AL118</f>
        <v>5.5555555555555558E-3</v>
      </c>
      <c r="AS116" s="14">
        <v>113</v>
      </c>
      <c r="AT116" s="14">
        <f>'[1]功能-城建'!GF116</f>
        <v>287516975.42097712</v>
      </c>
      <c r="AU116" s="14">
        <f>'[1]功能-城建'!GG116</f>
        <v>251604837.73003912</v>
      </c>
      <c r="AV116" s="14">
        <f>'[1]功能-城建'!GH116</f>
        <v>205271619.23261404</v>
      </c>
      <c r="AW116" s="14">
        <f>'[1]功能-城建'!GI116</f>
        <v>143084681.49454832</v>
      </c>
      <c r="AX116" s="14">
        <f>'[1]功能-城建'!GJ116</f>
        <v>76305286.521139503</v>
      </c>
    </row>
    <row r="117" spans="2:50" x14ac:dyDescent="0.15">
      <c r="B117" s="14">
        <v>114</v>
      </c>
      <c r="C117" s="14">
        <f>'[1]资源-钻石'!L117</f>
        <v>9144234.4065210596</v>
      </c>
      <c r="D117" s="14">
        <f>'[1]资源-钻石'!M117</f>
        <v>12590413.70717838</v>
      </c>
      <c r="E117" s="14">
        <f>'[1]资源-钻石'!N117</f>
        <v>19524756.662145667</v>
      </c>
      <c r="F117" s="14">
        <f>'[1]资源-钻石'!O117</f>
        <v>42080452.23287075</v>
      </c>
      <c r="G117" s="14">
        <f>'[1]资源-钻石'!P117</f>
        <v>56589134.153164648</v>
      </c>
      <c r="I117" s="14">
        <v>114</v>
      </c>
      <c r="J117" s="14">
        <f>'[1]资源-钻石'!T117</f>
        <v>656183.22688963776</v>
      </c>
      <c r="K117" s="14">
        <f>'[1]资源-钻石'!U117</f>
        <v>915841.54957860161</v>
      </c>
      <c r="L117" s="14">
        <f>'[1]资源-钻石'!V117</f>
        <v>1521631.7045364617</v>
      </c>
      <c r="M117" s="14">
        <f>'[1]资源-钻石'!W117</f>
        <v>3986104.874990108</v>
      </c>
      <c r="N117" s="14">
        <f>'[1]资源-钻石'!X117</f>
        <v>9449967.8624891192</v>
      </c>
      <c r="P117" s="14">
        <v>114</v>
      </c>
      <c r="Q117" s="14">
        <f>'[1]功能-行军令'!N117</f>
        <v>124262.20125809284</v>
      </c>
      <c r="R117" s="14">
        <f>'[1]功能-行军令'!O117</f>
        <v>154403.07871412375</v>
      </c>
      <c r="S117" s="14">
        <f>'[1]功能-行军令'!P117</f>
        <v>168020.05489024971</v>
      </c>
      <c r="T117" s="14">
        <f>'[1]功能-行军令'!Q117</f>
        <v>135892.06275496984</v>
      </c>
      <c r="U117" s="14">
        <f>'[1]功能-行军令'!R117</f>
        <v>73232.577635356385</v>
      </c>
      <c r="V117" s="14">
        <f>'[1]功能-行军令'!S117</f>
        <v>8324.5483656949655</v>
      </c>
      <c r="W117" s="14">
        <f>'[1]功能-行军令'!T117</f>
        <v>10377.513101535675</v>
      </c>
      <c r="X117" s="14">
        <f>'[1]功能-行军令'!U117</f>
        <v>10888.997810055298</v>
      </c>
      <c r="Y117" s="14">
        <f>'[1]功能-行军令'!V117</f>
        <v>8610.4146038025356</v>
      </c>
      <c r="Z117" s="14">
        <f>'[1]功能-行军令'!W117</f>
        <v>4672.3425206851971</v>
      </c>
      <c r="AC117" s="14">
        <v>114</v>
      </c>
      <c r="AD117" s="14">
        <v>16835520</v>
      </c>
      <c r="AE117" s="14">
        <v>17546406</v>
      </c>
      <c r="AF117" s="14">
        <v>18117324</v>
      </c>
      <c r="AG117" s="14">
        <v>18521796</v>
      </c>
      <c r="AH117" s="14">
        <v>18859662</v>
      </c>
      <c r="AK117" s="14">
        <v>114</v>
      </c>
      <c r="AL117" s="14">
        <f>'[1]功能-付费相关'!AH119</f>
        <v>5.5555555555555558E-3</v>
      </c>
      <c r="AM117" s="14">
        <f>'[1]功能-付费相关'!AI119</f>
        <v>5.5555555555555558E-3</v>
      </c>
      <c r="AN117" s="14">
        <f>'[1]功能-付费相关'!AJ119</f>
        <v>5.5555555555555558E-3</v>
      </c>
      <c r="AO117" s="14">
        <f>'[1]功能-付费相关'!AK119</f>
        <v>5.5555555555555558E-3</v>
      </c>
      <c r="AP117" s="14">
        <f>'[1]功能-付费相关'!AL119</f>
        <v>5.5555555555555558E-3</v>
      </c>
      <c r="AS117" s="14">
        <v>114</v>
      </c>
      <c r="AT117" s="14">
        <f>'[1]功能-城建'!GF117</f>
        <v>314797597.30400324</v>
      </c>
      <c r="AU117" s="14">
        <f>'[1]功能-城建'!GG117</f>
        <v>270992491.37980366</v>
      </c>
      <c r="AV117" s="14">
        <f>'[1]功能-城建'!GH117</f>
        <v>212549401.53507948</v>
      </c>
      <c r="AW117" s="14">
        <f>'[1]功能-城建'!GI117</f>
        <v>150172318.39097905</v>
      </c>
      <c r="AX117" s="14">
        <f>'[1]功能-城建'!GJ117</f>
        <v>82646433.168425083</v>
      </c>
    </row>
    <row r="118" spans="2:50" x14ac:dyDescent="0.15">
      <c r="B118" s="14">
        <v>115</v>
      </c>
      <c r="C118" s="14">
        <f>'[1]资源-钻石'!L118</f>
        <v>9738538.8935887981</v>
      </c>
      <c r="D118" s="14">
        <f>'[1]资源-钻石'!M118</f>
        <v>13392937.873347066</v>
      </c>
      <c r="E118" s="14">
        <f>'[1]资源-钻石'!N118</f>
        <v>20763295.067592066</v>
      </c>
      <c r="F118" s="14">
        <f>'[1]资源-钻石'!O118</f>
        <v>44827571.908513241</v>
      </c>
      <c r="G118" s="14">
        <f>'[1]资源-钻石'!P118</f>
        <v>60339547.251220301</v>
      </c>
      <c r="I118" s="14">
        <v>115</v>
      </c>
      <c r="J118" s="14">
        <f>'[1]资源-钻石'!T118</f>
        <v>660516.58467341808</v>
      </c>
      <c r="K118" s="14">
        <f>'[1]资源-钻石'!U118</f>
        <v>922288.24314075988</v>
      </c>
      <c r="L118" s="14">
        <f>'[1]资源-钻石'!V118</f>
        <v>1533175.0674548359</v>
      </c>
      <c r="M118" s="14">
        <f>'[1]资源-钻石'!W118</f>
        <v>4018822.5742003196</v>
      </c>
      <c r="N118" s="14">
        <f>'[1]资源-钻石'!X118</f>
        <v>9529812.3316203505</v>
      </c>
      <c r="P118" s="14">
        <v>115</v>
      </c>
      <c r="Q118" s="14">
        <f>'[1]功能-行军令'!N118</f>
        <v>133184.23128404454</v>
      </c>
      <c r="R118" s="14">
        <f>'[1]功能-行军令'!O118</f>
        <v>165023.65895812085</v>
      </c>
      <c r="S118" s="14">
        <f>'[1]功能-行军令'!P118</f>
        <v>179267.13343207428</v>
      </c>
      <c r="T118" s="14">
        <f>'[1]功能-行军令'!Q118</f>
        <v>144933.39673079786</v>
      </c>
      <c r="U118" s="14">
        <f>'[1]功能-行军令'!R118</f>
        <v>78162.640500292429</v>
      </c>
      <c r="V118" s="14">
        <f>'[1]功能-行军令'!S118</f>
        <v>8922.0300259516953</v>
      </c>
      <c r="W118" s="14">
        <f>'[1]功能-行军令'!T118</f>
        <v>10620.580243997101</v>
      </c>
      <c r="X118" s="14">
        <f>'[1]功能-行军令'!U118</f>
        <v>11247.078541824565</v>
      </c>
      <c r="Y118" s="14">
        <f>'[1]功能-行军令'!V118</f>
        <v>9041.3339758280199</v>
      </c>
      <c r="Z118" s="14">
        <f>'[1]功能-行军令'!W118</f>
        <v>4930.0628649360442</v>
      </c>
      <c r="AC118" s="14">
        <v>115</v>
      </c>
      <c r="AD118" s="14">
        <v>17268336</v>
      </c>
      <c r="AE118" s="14">
        <v>17817438</v>
      </c>
      <c r="AF118" s="14">
        <v>18395802</v>
      </c>
      <c r="AG118" s="14">
        <v>18789768</v>
      </c>
      <c r="AH118" s="14">
        <v>19132464</v>
      </c>
      <c r="AK118" s="14">
        <v>115</v>
      </c>
      <c r="AL118" s="14">
        <f>'[1]功能-付费相关'!AH120</f>
        <v>5.5555555555555558E-3</v>
      </c>
      <c r="AM118" s="14">
        <f>'[1]功能-付费相关'!AI120</f>
        <v>5.5555555555555558E-3</v>
      </c>
      <c r="AN118" s="14">
        <f>'[1]功能-付费相关'!AJ120</f>
        <v>5.5555555555555558E-3</v>
      </c>
      <c r="AO118" s="14">
        <f>'[1]功能-付费相关'!AK120</f>
        <v>5.5555555555555558E-3</v>
      </c>
      <c r="AP118" s="14">
        <f>'[1]功能-付费相关'!AL120</f>
        <v>5.5555555555555558E-3</v>
      </c>
      <c r="AS118" s="14">
        <v>115</v>
      </c>
      <c r="AT118" s="14">
        <f>'[1]功能-城建'!GF118</f>
        <v>339347472.46532822</v>
      </c>
      <c r="AU118" s="14">
        <f>'[1]功能-城建'!GG118</f>
        <v>281654262.55266714</v>
      </c>
      <c r="AV118" s="14">
        <f>'[1]功能-城建'!GH118</f>
        <v>222024746.07179785</v>
      </c>
      <c r="AW118" s="14">
        <f>'[1]功能-城建'!GI118</f>
        <v>159306204.64939117</v>
      </c>
      <c r="AX118" s="14">
        <f>'[1]功能-城建'!GJ118</f>
        <v>88224192.938350677</v>
      </c>
    </row>
    <row r="119" spans="2:50" x14ac:dyDescent="0.15">
      <c r="B119" s="14">
        <v>116</v>
      </c>
      <c r="C119" s="14">
        <f>'[1]资源-钻石'!L119</f>
        <v>10348556.771582669</v>
      </c>
      <c r="D119" s="14">
        <f>'[1]资源-钻石'!M119</f>
        <v>14272530.10812116</v>
      </c>
      <c r="E119" s="14">
        <f>'[1]资源-钻石'!N119</f>
        <v>22155790.886767384</v>
      </c>
      <c r="F119" s="14">
        <f>'[1]资源-钻石'!O119</f>
        <v>48001018.167546235</v>
      </c>
      <c r="G119" s="14">
        <f>'[1]资源-钻石'!P119</f>
        <v>64604626.828710958</v>
      </c>
      <c r="I119" s="14">
        <v>116</v>
      </c>
      <c r="J119" s="14">
        <f>'[1]资源-钻石'!T119</f>
        <v>664849.9424571984</v>
      </c>
      <c r="K119" s="14">
        <f>'[1]资源-钻石'!U119</f>
        <v>928734.93670291826</v>
      </c>
      <c r="L119" s="14">
        <f>'[1]资源-钻石'!V119</f>
        <v>1544718.4303732102</v>
      </c>
      <c r="M119" s="14">
        <f>'[1]资源-钻石'!W119</f>
        <v>4051540.2734105312</v>
      </c>
      <c r="N119" s="14">
        <f>'[1]资源-钻石'!X119</f>
        <v>9609656.8007515837</v>
      </c>
      <c r="P119" s="14">
        <v>116</v>
      </c>
      <c r="Q119" s="14">
        <f>'[1]功能-行军令'!N119</f>
        <v>142746.62629781148</v>
      </c>
      <c r="R119" s="14">
        <f>'[1]功能-行军令'!O119</f>
        <v>176664.15566242993</v>
      </c>
      <c r="S119" s="14">
        <f>'[1]功能-行军令'!P119</f>
        <v>191912.2882198116</v>
      </c>
      <c r="T119" s="14">
        <f>'[1]功能-行军令'!Q119</f>
        <v>155435.24978192279</v>
      </c>
      <c r="U119" s="14">
        <f>'[1]功能-行军令'!R119</f>
        <v>83774.581467904514</v>
      </c>
      <c r="V119" s="14">
        <f>'[1]功能-行军令'!S119</f>
        <v>9562.3950137669453</v>
      </c>
      <c r="W119" s="14">
        <f>'[1]功能-行军令'!T119</f>
        <v>11640.496704309073</v>
      </c>
      <c r="X119" s="14">
        <f>'[1]功能-行军令'!U119</f>
        <v>12645.154787737323</v>
      </c>
      <c r="Y119" s="14">
        <f>'[1]功能-行军令'!V119</f>
        <v>10501.853051124926</v>
      </c>
      <c r="Z119" s="14">
        <f>'[1]功能-行军令'!W119</f>
        <v>5611.9409676120849</v>
      </c>
      <c r="AC119" s="14">
        <v>116</v>
      </c>
      <c r="AD119" s="14">
        <v>17662842</v>
      </c>
      <c r="AE119" s="14">
        <v>18171534</v>
      </c>
      <c r="AF119" s="14">
        <v>18762762</v>
      </c>
      <c r="AG119" s="14">
        <v>19147974</v>
      </c>
      <c r="AH119" s="14">
        <v>19498650</v>
      </c>
      <c r="AK119" s="14">
        <v>116</v>
      </c>
      <c r="AL119" s="14">
        <f>'[1]功能-付费相关'!AH121</f>
        <v>5.5555555555555558E-3</v>
      </c>
      <c r="AM119" s="14">
        <f>'[1]功能-付费相关'!AI121</f>
        <v>5.5555555555555558E-3</v>
      </c>
      <c r="AN119" s="14">
        <f>'[1]功能-付费相关'!AJ121</f>
        <v>5.5555555555555558E-3</v>
      </c>
      <c r="AO119" s="14">
        <f>'[1]功能-付费相关'!AK121</f>
        <v>5.5555555555555558E-3</v>
      </c>
      <c r="AP119" s="14">
        <f>'[1]功能-付费相关'!AL121</f>
        <v>5.5555555555555558E-3</v>
      </c>
      <c r="AS119" s="14">
        <v>116</v>
      </c>
      <c r="AT119" s="14">
        <f>'[1]功能-城建'!GF119</f>
        <v>370238037.35187435</v>
      </c>
      <c r="AU119" s="14">
        <f>'[1]功能-城建'!GG119</f>
        <v>312104302.6809082</v>
      </c>
      <c r="AV119" s="14">
        <f>'[1]功能-城建'!GH119</f>
        <v>251969068.74140549</v>
      </c>
      <c r="AW119" s="14">
        <f>'[1]功能-城建'!GI119</f>
        <v>187932189.74595571</v>
      </c>
      <c r="AX119" s="14">
        <f>'[1]功能-城建'!GJ119</f>
        <v>101306408.46392894</v>
      </c>
    </row>
    <row r="120" spans="2:50" x14ac:dyDescent="0.15">
      <c r="B120" s="14">
        <v>117</v>
      </c>
      <c r="C120" s="14">
        <f>'[1]资源-钻石'!L120</f>
        <v>11002357.744889198</v>
      </c>
      <c r="D120" s="14">
        <f>'[1]资源-钻石'!M120</f>
        <v>15234331.670130363</v>
      </c>
      <c r="E120" s="14">
        <f>'[1]资源-钻石'!N120</f>
        <v>23696438.812443428</v>
      </c>
      <c r="F120" s="14">
        <f>'[1]资源-钻石'!O120</f>
        <v>51385088.939006463</v>
      </c>
      <c r="G120" s="14">
        <f>'[1]资源-钻石'!P120</f>
        <v>69279969.311791047</v>
      </c>
      <c r="I120" s="14">
        <v>117</v>
      </c>
      <c r="J120" s="14">
        <f>'[1]资源-钻石'!T120</f>
        <v>669183.30024097872</v>
      </c>
      <c r="K120" s="14">
        <f>'[1]资源-钻石'!U120</f>
        <v>935181.63026507664</v>
      </c>
      <c r="L120" s="14">
        <f>'[1]资源-钻石'!V120</f>
        <v>1556261.7932915844</v>
      </c>
      <c r="M120" s="14">
        <f>'[1]资源-钻石'!W120</f>
        <v>4084257.9726207429</v>
      </c>
      <c r="N120" s="14">
        <f>'[1]资源-钻石'!X120</f>
        <v>9689501.2698828168</v>
      </c>
      <c r="P120" s="14">
        <v>117</v>
      </c>
      <c r="Q120" s="14">
        <f>'[1]功能-行军令'!N120</f>
        <v>152995.34751185621</v>
      </c>
      <c r="R120" s="14">
        <f>'[1]功能-行军令'!O120</f>
        <v>189392.60808634528</v>
      </c>
      <c r="S120" s="14">
        <f>'[1]功能-行军令'!P120</f>
        <v>205902.80167436381</v>
      </c>
      <c r="T120" s="14">
        <f>'[1]功能-行军令'!Q120</f>
        <v>166663.48622055128</v>
      </c>
      <c r="U120" s="14">
        <f>'[1]功能-行军令'!R120</f>
        <v>89926.341485908968</v>
      </c>
      <c r="V120" s="14">
        <f>'[1]功能-行军令'!S120</f>
        <v>10248.721214044723</v>
      </c>
      <c r="W120" s="14">
        <f>'[1]功能-行军令'!T120</f>
        <v>12728.452423915354</v>
      </c>
      <c r="X120" s="14">
        <f>'[1]功能-行军令'!U120</f>
        <v>13990.513454552216</v>
      </c>
      <c r="Y120" s="14">
        <f>'[1]功能-行军令'!V120</f>
        <v>11228.23643862849</v>
      </c>
      <c r="Z120" s="14">
        <f>'[1]功能-行军令'!W120</f>
        <v>6151.7600180044537</v>
      </c>
      <c r="AC120" s="14">
        <v>117</v>
      </c>
      <c r="AD120" s="14">
        <v>18065940</v>
      </c>
      <c r="AE120" s="14">
        <v>18533340</v>
      </c>
      <c r="AF120" s="14">
        <v>19136532</v>
      </c>
      <c r="AG120" s="14">
        <v>19515180</v>
      </c>
      <c r="AH120" s="14">
        <v>19870368</v>
      </c>
      <c r="AK120" s="14">
        <v>117</v>
      </c>
      <c r="AL120" s="14">
        <f>'[1]功能-付费相关'!AH122</f>
        <v>5.5555555555555558E-3</v>
      </c>
      <c r="AM120" s="14">
        <f>'[1]功能-付费相关'!AI122</f>
        <v>5.5555555555555558E-3</v>
      </c>
      <c r="AN120" s="14">
        <f>'[1]功能-付费相关'!AJ122</f>
        <v>5.5555555555555558E-3</v>
      </c>
      <c r="AO120" s="14">
        <f>'[1]功能-付费相关'!AK122</f>
        <v>5.5555555555555558E-3</v>
      </c>
      <c r="AP120" s="14">
        <f>'[1]功能-付费相关'!AL122</f>
        <v>5.5555555555555558E-3</v>
      </c>
      <c r="AS120" s="14">
        <v>117</v>
      </c>
      <c r="AT120" s="14">
        <f>'[1]功能-城建'!GF120</f>
        <v>400234843.23717308</v>
      </c>
      <c r="AU120" s="14">
        <f>'[1]功能-城建'!GG120</f>
        <v>345096826.66098642</v>
      </c>
      <c r="AV120" s="14">
        <f>'[1]功能-城建'!GH120</f>
        <v>283377081.31242514</v>
      </c>
      <c r="AW120" s="14">
        <f>'[1]功能-城建'!GI120</f>
        <v>202288317.41718578</v>
      </c>
      <c r="AX120" s="14">
        <f>'[1]功能-城建'!GJ120</f>
        <v>112881810.03911114</v>
      </c>
    </row>
    <row r="121" spans="2:50" x14ac:dyDescent="0.15">
      <c r="B121" s="14">
        <v>118</v>
      </c>
      <c r="C121" s="14">
        <f>'[1]资源-钻石'!L121</f>
        <v>11703084.277859572</v>
      </c>
      <c r="D121" s="14">
        <f>'[1]资源-钻石'!M121</f>
        <v>16242125.346185649</v>
      </c>
      <c r="E121" s="14">
        <f>'[1]资源-钻石'!N121</f>
        <v>25335050.866138194</v>
      </c>
      <c r="F121" s="14">
        <f>'[1]资源-钻石'!O121</f>
        <v>55090992.359062366</v>
      </c>
      <c r="G121" s="14">
        <f>'[1]资源-钻石'!P121</f>
        <v>74214641.27308093</v>
      </c>
      <c r="I121" s="14">
        <v>118</v>
      </c>
      <c r="J121" s="14">
        <f>'[1]资源-钻石'!T121</f>
        <v>673516.65802475903</v>
      </c>
      <c r="K121" s="14">
        <f>'[1]资源-钻石'!U121</f>
        <v>941628.32382723503</v>
      </c>
      <c r="L121" s="14">
        <f>'[1]资源-钻石'!V121</f>
        <v>1567805.1562099585</v>
      </c>
      <c r="M121" s="14">
        <f>'[1]资源-钻石'!W121</f>
        <v>4116975.6718309545</v>
      </c>
      <c r="N121" s="14">
        <f>'[1]资源-钻石'!X121</f>
        <v>9769345.73901405</v>
      </c>
      <c r="P121" s="14">
        <v>118</v>
      </c>
      <c r="Q121" s="14">
        <f>'[1]功能-行军令'!N121</f>
        <v>163979.6549340027</v>
      </c>
      <c r="R121" s="14">
        <f>'[1]功能-行军令'!O121</f>
        <v>203037.82635172849</v>
      </c>
      <c r="S121" s="14">
        <f>'[1]功能-行军令'!P121</f>
        <v>220782.92035816269</v>
      </c>
      <c r="T121" s="14">
        <f>'[1]功能-行军令'!Q121</f>
        <v>178959.55288973456</v>
      </c>
      <c r="U121" s="14">
        <f>'[1]功能-行军令'!R121</f>
        <v>96419.324146172134</v>
      </c>
      <c r="V121" s="14">
        <f>'[1]功能-行军令'!S121</f>
        <v>10984.307422146492</v>
      </c>
      <c r="W121" s="14">
        <f>'[1]功能-行军令'!T121</f>
        <v>13645.218265383213</v>
      </c>
      <c r="X121" s="14">
        <f>'[1]功能-行军令'!U121</f>
        <v>14880.118683798879</v>
      </c>
      <c r="Y121" s="14">
        <f>'[1]功能-行军令'!V121</f>
        <v>12296.066669183288</v>
      </c>
      <c r="Z121" s="14">
        <f>'[1]功能-行军令'!W121</f>
        <v>6492.9826602631656</v>
      </c>
      <c r="AC121" s="14">
        <v>118</v>
      </c>
      <c r="AD121" s="14">
        <v>18476112</v>
      </c>
      <c r="AE121" s="14">
        <v>18900276</v>
      </c>
      <c r="AF121" s="14">
        <v>19518924</v>
      </c>
      <c r="AG121" s="14">
        <v>19887150</v>
      </c>
      <c r="AH121" s="14">
        <v>20249292</v>
      </c>
      <c r="AK121" s="14">
        <v>118</v>
      </c>
      <c r="AL121" s="14">
        <f>'[1]功能-付费相关'!AH123</f>
        <v>5.5555555555555558E-3</v>
      </c>
      <c r="AM121" s="14">
        <f>'[1]功能-付费相关'!AI123</f>
        <v>5.5555555555555558E-3</v>
      </c>
      <c r="AN121" s="14">
        <f>'[1]功能-付费相关'!AJ123</f>
        <v>5.5555555555555558E-3</v>
      </c>
      <c r="AO121" s="14">
        <f>'[1]功能-付费相关'!AK123</f>
        <v>5.5555555555555558E-3</v>
      </c>
      <c r="AP121" s="14">
        <f>'[1]功能-付费相关'!AL123</f>
        <v>5.5555555555555558E-3</v>
      </c>
      <c r="AS121" s="14">
        <v>118</v>
      </c>
      <c r="AT121" s="14">
        <f>'[1]功能-城建'!GF121</f>
        <v>435205271.34954929</v>
      </c>
      <c r="AU121" s="14">
        <f>'[1]功能-城建'!GG121</f>
        <v>375386064.27991581</v>
      </c>
      <c r="AV121" s="14">
        <f>'[1]功能-城建'!GH121</f>
        <v>303387509.63583755</v>
      </c>
      <c r="AW121" s="14">
        <f>'[1]功能-城建'!GI121</f>
        <v>225626854.41511106</v>
      </c>
      <c r="AX121" s="14">
        <f>'[1]功能-城建'!GJ121</f>
        <v>119904467.46758986</v>
      </c>
    </row>
    <row r="122" spans="2:50" x14ac:dyDescent="0.15">
      <c r="B122" s="14">
        <v>119</v>
      </c>
      <c r="C122" s="14">
        <f>'[1]资源-钻石'!L122</f>
        <v>12454104.380392246</v>
      </c>
      <c r="D122" s="14">
        <f>'[1]资源-钻石'!M122</f>
        <v>17321171.056574348</v>
      </c>
      <c r="E122" s="14">
        <f>'[1]资源-钻石'!N122</f>
        <v>27122671.211559452</v>
      </c>
      <c r="F122" s="14">
        <f>'[1]资源-钻石'!O122</f>
        <v>58998869.738176376</v>
      </c>
      <c r="G122" s="14">
        <f>'[1]资源-钻石'!P122</f>
        <v>79236319.238532424</v>
      </c>
      <c r="I122" s="14">
        <v>119</v>
      </c>
      <c r="J122" s="14">
        <f>'[1]资源-钻石'!T122</f>
        <v>677850.01580853935</v>
      </c>
      <c r="K122" s="14">
        <f>'[1]资源-钻石'!U122</f>
        <v>948075.0173893933</v>
      </c>
      <c r="L122" s="14">
        <f>'[1]资源-钻石'!V122</f>
        <v>1579348.5191283328</v>
      </c>
      <c r="M122" s="14">
        <f>'[1]资源-钻石'!W122</f>
        <v>4149693.3710411661</v>
      </c>
      <c r="N122" s="14">
        <f>'[1]资源-钻石'!X122</f>
        <v>9849190.2081452813</v>
      </c>
      <c r="P122" s="14">
        <v>119</v>
      </c>
      <c r="Q122" s="14">
        <f>'[1]功能-行军令'!N122</f>
        <v>175752.34413339914</v>
      </c>
      <c r="R122" s="14">
        <f>'[1]功能-行军令'!O122</f>
        <v>217768.23442036819</v>
      </c>
      <c r="S122" s="14">
        <f>'[1]功能-行军令'!P122</f>
        <v>237016.17266548204</v>
      </c>
      <c r="T122" s="14">
        <f>'[1]功能-行军令'!Q122</f>
        <v>191925.76256711851</v>
      </c>
      <c r="U122" s="14">
        <f>'[1]功能-行军令'!R122</f>
        <v>103026.78827162522</v>
      </c>
      <c r="V122" s="14">
        <f>'[1]功能-行军令'!S122</f>
        <v>11772.689199396438</v>
      </c>
      <c r="W122" s="14">
        <f>'[1]功能-行军令'!T122</f>
        <v>14730.408068639692</v>
      </c>
      <c r="X122" s="14">
        <f>'[1]功能-行军令'!U122</f>
        <v>16233.252307319344</v>
      </c>
      <c r="Y122" s="14">
        <f>'[1]功能-行军令'!V122</f>
        <v>12966.209677383944</v>
      </c>
      <c r="Z122" s="14">
        <f>'[1]功能-行军令'!W122</f>
        <v>6607.464125453087</v>
      </c>
      <c r="AC122" s="14">
        <v>119</v>
      </c>
      <c r="AD122" s="14">
        <v>18894156</v>
      </c>
      <c r="AE122" s="14">
        <v>19275300</v>
      </c>
      <c r="AF122" s="14">
        <v>19903908</v>
      </c>
      <c r="AG122" s="14">
        <v>20266950</v>
      </c>
      <c r="AH122" s="14">
        <v>20628276</v>
      </c>
      <c r="AK122" s="14">
        <v>119</v>
      </c>
      <c r="AL122" s="14">
        <f>'[1]功能-付费相关'!AH124</f>
        <v>5.5555555555555558E-3</v>
      </c>
      <c r="AM122" s="14">
        <f>'[1]功能-付费相关'!AI124</f>
        <v>5.5555555555555558E-3</v>
      </c>
      <c r="AN122" s="14">
        <f>'[1]功能-付费相关'!AJ124</f>
        <v>5.5555555555555558E-3</v>
      </c>
      <c r="AO122" s="14">
        <f>'[1]功能-付费相关'!AK124</f>
        <v>5.5555555555555558E-3</v>
      </c>
      <c r="AP122" s="14">
        <f>'[1]功能-付费相关'!AL124</f>
        <v>5.5555555555555558E-3</v>
      </c>
      <c r="AS122" s="14">
        <v>119</v>
      </c>
      <c r="AT122" s="14">
        <f>'[1]功能-城建'!GF122</f>
        <v>471726537.65929317</v>
      </c>
      <c r="AU122" s="14">
        <f>'[1]功能-城建'!GG122</f>
        <v>408614220.40001678</v>
      </c>
      <c r="AV122" s="14">
        <f>'[1]功能-城建'!GH122</f>
        <v>337152163.30586338</v>
      </c>
      <c r="AW122" s="14">
        <f>'[1]功能-城建'!GI122</f>
        <v>239031641.56159115</v>
      </c>
      <c r="AX122" s="14">
        <f>'[1]功能-城建'!GJ122</f>
        <v>124245985.61337423</v>
      </c>
    </row>
    <row r="123" spans="2:50" x14ac:dyDescent="0.15">
      <c r="B123" s="14">
        <v>120</v>
      </c>
      <c r="C123" s="14">
        <f>'[1]资源-钻石'!L123</f>
        <v>13259027.79611806</v>
      </c>
      <c r="D123" s="14">
        <f>'[1]资源-钻石'!M123</f>
        <v>18478471.56588478</v>
      </c>
      <c r="E123" s="14">
        <f>'[1]资源-钻石'!N123</f>
        <v>29000583.64980448</v>
      </c>
      <c r="F123" s="14">
        <f>'[1]资源-钻石'!O123</f>
        <v>62884692.577243991</v>
      </c>
      <c r="G123" s="14">
        <f>'[1]资源-钻石'!P123</f>
        <v>84537126.952919662</v>
      </c>
      <c r="I123" s="14">
        <v>120</v>
      </c>
      <c r="J123" s="14">
        <f>'[1]资源-钻石'!T123</f>
        <v>682183.37359231967</v>
      </c>
      <c r="K123" s="14">
        <f>'[1]资源-钻石'!U123</f>
        <v>954521.71095155168</v>
      </c>
      <c r="L123" s="14">
        <f>'[1]资源-钻石'!V123</f>
        <v>1590891.882046707</v>
      </c>
      <c r="M123" s="14">
        <f>'[1]资源-钻石'!W123</f>
        <v>4182411.0702513778</v>
      </c>
      <c r="N123" s="14">
        <f>'[1]资源-钻石'!X123</f>
        <v>9929034.6772765145</v>
      </c>
      <c r="P123" s="14">
        <v>120</v>
      </c>
      <c r="Q123" s="14">
        <f>'[1]功能-行军令'!N123</f>
        <v>188370</v>
      </c>
      <c r="R123" s="14">
        <f>'[1]功能-行军令'!O123</f>
        <v>233566.92449999999</v>
      </c>
      <c r="S123" s="14">
        <f>'[1]功能-行军令'!P123</f>
        <v>254069.361</v>
      </c>
      <c r="T123" s="14">
        <f>'[1]功能-行军令'!Q123</f>
        <v>204818.796</v>
      </c>
      <c r="U123" s="14">
        <f>'[1]功能-行军令'!R123</f>
        <v>110001.52799999999</v>
      </c>
      <c r="V123" s="14">
        <f>'[1]功能-行军令'!S123</f>
        <v>12617.655866600864</v>
      </c>
      <c r="W123" s="14">
        <f>'[1]功能-行军令'!T123</f>
        <v>15798.690079631808</v>
      </c>
      <c r="X123" s="14">
        <f>'[1]功能-行军令'!U123</f>
        <v>17053.188334517967</v>
      </c>
      <c r="Y123" s="14">
        <f>'[1]功能-行军令'!V123</f>
        <v>12893.033432881493</v>
      </c>
      <c r="Z123" s="14">
        <f>'[1]功能-行军令'!W123</f>
        <v>6974.7397283747705</v>
      </c>
      <c r="AC123" s="14">
        <v>120</v>
      </c>
      <c r="AD123" s="14">
        <v>19320480</v>
      </c>
      <c r="AE123" s="14">
        <v>19654686</v>
      </c>
      <c r="AF123" s="14">
        <v>20295060</v>
      </c>
      <c r="AG123" s="14">
        <v>20644782</v>
      </c>
      <c r="AH123" s="14">
        <v>21016476</v>
      </c>
      <c r="AK123" s="14">
        <v>120</v>
      </c>
      <c r="AL123" s="14">
        <f>'[1]功能-付费相关'!AH125</f>
        <v>5.5555555555555558E-3</v>
      </c>
      <c r="AM123" s="14">
        <f>'[1]功能-付费相关'!AI125</f>
        <v>5.5555555555555558E-3</v>
      </c>
      <c r="AN123" s="14">
        <f>'[1]功能-付费相关'!AJ125</f>
        <v>5.5555555555555558E-3</v>
      </c>
      <c r="AO123" s="14">
        <f>'[1]功能-付费相关'!AK125</f>
        <v>5.5555555555555558E-3</v>
      </c>
      <c r="AP123" s="14">
        <f>'[1]功能-付费相关'!AL125</f>
        <v>5.5555555555555558E-3</v>
      </c>
      <c r="AS123" s="14">
        <v>120</v>
      </c>
      <c r="AT123" s="14">
        <f>'[1]功能-城建'!GF123</f>
        <v>511306686.94727421</v>
      </c>
      <c r="AU123" s="14">
        <f>'[1]功能-城建'!GG123</f>
        <v>445664541.05230045</v>
      </c>
      <c r="AV123" s="14">
        <f>'[1]功能-城建'!GH123</f>
        <v>355700173.40542412</v>
      </c>
      <c r="AW123" s="14">
        <f>'[1]功能-城建'!GI123</f>
        <v>242439098.57092094</v>
      </c>
      <c r="AX123" s="14">
        <f>'[1]功能-城建'!GJ123</f>
        <v>131299426.06132269</v>
      </c>
    </row>
    <row r="124" spans="2:50" x14ac:dyDescent="0.15">
      <c r="B124" s="14">
        <v>121</v>
      </c>
      <c r="C124" s="14">
        <f>'[1]资源-钻石'!L124</f>
        <v>14121723.352467058</v>
      </c>
      <c r="D124" s="14">
        <f>'[1]资源-钻石'!M124</f>
        <v>19683081.933774956</v>
      </c>
      <c r="E124" s="14">
        <f>'[1]资源-钻石'!N124</f>
        <v>30856010.285562344</v>
      </c>
      <c r="F124" s="14">
        <f>'[1]资源-钻石'!O124</f>
        <v>67030244.722490549</v>
      </c>
      <c r="G124" s="14">
        <f>'[1]资源-钻石'!P124</f>
        <v>90435872.296623737</v>
      </c>
      <c r="I124" s="14">
        <v>121</v>
      </c>
      <c r="J124" s="14">
        <f>'[1]资源-钻石'!T124</f>
        <v>686516.73137609998</v>
      </c>
      <c r="K124" s="14">
        <f>'[1]资源-钻石'!U124</f>
        <v>960968.40451371006</v>
      </c>
      <c r="L124" s="14">
        <f>'[1]资源-钻石'!V124</f>
        <v>1602435.2449650811</v>
      </c>
      <c r="M124" s="14">
        <f>'[1]资源-钻石'!W124</f>
        <v>4215128.7694615889</v>
      </c>
      <c r="N124" s="14">
        <f>'[1]资源-钻石'!X124</f>
        <v>10008879.146407748</v>
      </c>
      <c r="P124" s="14">
        <v>121</v>
      </c>
      <c r="Q124" s="14">
        <f>'[1]功能-行军令'!N124</f>
        <v>201893.26871723824</v>
      </c>
      <c r="R124" s="14">
        <f>'[1]功能-行军令'!O124</f>
        <v>250011.4570271202</v>
      </c>
      <c r="S124" s="14">
        <f>'[1]功能-行军令'!P124</f>
        <v>271071.11944637942</v>
      </c>
      <c r="T124" s="14">
        <f>'[1]功能-行军令'!Q124</f>
        <v>218573.6027989744</v>
      </c>
      <c r="U124" s="14">
        <f>'[1]功能-行军令'!R124</f>
        <v>117763.02694753431</v>
      </c>
      <c r="V124" s="14">
        <f>'[1]功能-行军令'!S124</f>
        <v>13523.268717238243</v>
      </c>
      <c r="W124" s="14">
        <f>'[1]功能-行军令'!T124</f>
        <v>16444.532527120202</v>
      </c>
      <c r="X124" s="14">
        <f>'[1]功能-行军令'!U124</f>
        <v>17001.758446379419</v>
      </c>
      <c r="Y124" s="14">
        <f>'[1]功能-行军令'!V124</f>
        <v>13754.806798974401</v>
      </c>
      <c r="Z124" s="14">
        <f>'[1]功能-行军令'!W124</f>
        <v>7761.4989475343173</v>
      </c>
      <c r="AC124" s="14">
        <v>121</v>
      </c>
      <c r="AD124" s="14">
        <v>19738470</v>
      </c>
      <c r="AE124" s="14">
        <v>20070828</v>
      </c>
      <c r="AF124" s="14">
        <v>20715630</v>
      </c>
      <c r="AG124" s="14">
        <v>21064608</v>
      </c>
      <c r="AH124" s="14">
        <v>21441390</v>
      </c>
      <c r="AK124" s="14">
        <v>121</v>
      </c>
      <c r="AL124" s="14">
        <f>'[1]功能-付费相关'!AH126</f>
        <v>5.5555555555555558E-3</v>
      </c>
      <c r="AM124" s="14">
        <f>'[1]功能-付费相关'!AI126</f>
        <v>5.5555555555555558E-3</v>
      </c>
      <c r="AN124" s="14">
        <f>'[1]功能-付费相关'!AJ126</f>
        <v>5.5555555555555558E-3</v>
      </c>
      <c r="AO124" s="14">
        <f>'[1]功能-付费相关'!AK126</f>
        <v>5.5555555555555558E-3</v>
      </c>
      <c r="AP124" s="14">
        <f>'[1]功能-付费相关'!AL126</f>
        <v>5.5555555555555558E-3</v>
      </c>
      <c r="AS124" s="14">
        <v>121</v>
      </c>
      <c r="AT124" s="14">
        <f>'[1]功能-城建'!GF124</f>
        <v>555629953.8169632</v>
      </c>
      <c r="AU124" s="14">
        <f>'[1]功能-城建'!GG124</f>
        <v>466323719.20532227</v>
      </c>
      <c r="AV124" s="14">
        <f>'[1]功能-城建'!GH124</f>
        <v>361857206.14228153</v>
      </c>
      <c r="AW124" s="14">
        <f>'[1]功能-城建'!GI124</f>
        <v>258643784.54615164</v>
      </c>
      <c r="AX124" s="14">
        <f>'[1]功能-城建'!GJ124</f>
        <v>149472905.94494247</v>
      </c>
    </row>
    <row r="125" spans="2:50" x14ac:dyDescent="0.15">
      <c r="B125" s="14">
        <v>122</v>
      </c>
      <c r="C125" s="14">
        <f>'[1]资源-钻石'!L125</f>
        <v>15046337.556009885</v>
      </c>
      <c r="D125" s="14">
        <f>'[1]资源-钻石'!M125</f>
        <v>20949362.593348604</v>
      </c>
      <c r="E125" s="14">
        <f>'[1]资源-钻石'!N125</f>
        <v>32874526.018650733</v>
      </c>
      <c r="F125" s="14">
        <f>'[1]资源-钻石'!O125</f>
        <v>71657232.737099364</v>
      </c>
      <c r="G125" s="14">
        <f>'[1]资源-钻石'!P125</f>
        <v>96750589.883929878</v>
      </c>
      <c r="I125" s="14">
        <v>122</v>
      </c>
      <c r="J125" s="14">
        <f>'[1]资源-钻石'!T125</f>
        <v>690850.0891598803</v>
      </c>
      <c r="K125" s="14">
        <f>'[1]资源-钻石'!U125</f>
        <v>967415.09807586845</v>
      </c>
      <c r="L125" s="14">
        <f>'[1]资源-钻石'!V125</f>
        <v>1613978.6078834552</v>
      </c>
      <c r="M125" s="14">
        <f>'[1]资源-钻石'!W125</f>
        <v>4247846.4686718006</v>
      </c>
      <c r="N125" s="14">
        <f>'[1]资源-钻石'!X125</f>
        <v>10088723.615538979</v>
      </c>
      <c r="P125" s="14">
        <v>122</v>
      </c>
      <c r="Q125" s="14">
        <f>'[1]功能-行军令'!N125</f>
        <v>216387.14925512118</v>
      </c>
      <c r="R125" s="14">
        <f>'[1]功能-行军令'!O125</f>
        <v>267297.87099954294</v>
      </c>
      <c r="S125" s="14">
        <f>'[1]功能-行军令'!P125</f>
        <v>289717.93169660447</v>
      </c>
      <c r="T125" s="14">
        <f>'[1]功能-行军令'!Q125</f>
        <v>233925.79810909499</v>
      </c>
      <c r="U125" s="14">
        <f>'[1]功能-行军令'!R125</f>
        <v>126071.85722449567</v>
      </c>
      <c r="V125" s="14">
        <f>'[1]功能-行军令'!S125</f>
        <v>14493.880537882942</v>
      </c>
      <c r="W125" s="14">
        <f>'[1]功能-行军令'!T125</f>
        <v>17286.413972422743</v>
      </c>
      <c r="X125" s="14">
        <f>'[1]功能-行军令'!U125</f>
        <v>18646.812250225048</v>
      </c>
      <c r="Y125" s="14">
        <f>'[1]功能-行军令'!V125</f>
        <v>15352.195310120587</v>
      </c>
      <c r="Z125" s="14">
        <f>'[1]功能-行军令'!W125</f>
        <v>8308.8302769613656</v>
      </c>
      <c r="AC125" s="14">
        <v>122</v>
      </c>
      <c r="AD125" s="14">
        <v>20162394</v>
      </c>
      <c r="AE125" s="14">
        <v>20489196</v>
      </c>
      <c r="AF125" s="14">
        <v>21149658</v>
      </c>
      <c r="AG125" s="14">
        <v>21490080</v>
      </c>
      <c r="AH125" s="14">
        <v>21877230</v>
      </c>
      <c r="AK125" s="14">
        <v>122</v>
      </c>
      <c r="AL125" s="14">
        <f>'[1]功能-付费相关'!AH127</f>
        <v>5.5555555555555558E-3</v>
      </c>
      <c r="AM125" s="14">
        <f>'[1]功能-付费相关'!AI127</f>
        <v>5.5555555555555558E-3</v>
      </c>
      <c r="AN125" s="14">
        <f>'[1]功能-付费相关'!AJ127</f>
        <v>5.5555555555555558E-3</v>
      </c>
      <c r="AO125" s="14">
        <f>'[1]功能-付费相关'!AK127</f>
        <v>5.5555555555555558E-3</v>
      </c>
      <c r="AP125" s="14">
        <f>'[1]功能-付费相关'!AL127</f>
        <v>5.5555555555555558E-3</v>
      </c>
      <c r="AS125" s="14">
        <v>122</v>
      </c>
      <c r="AT125" s="14">
        <f>'[1]功能-城建'!GF125</f>
        <v>600417054.74049664</v>
      </c>
      <c r="AU125" s="14">
        <f>'[1]功能-城建'!GG125</f>
        <v>499706366.89236355</v>
      </c>
      <c r="AV125" s="14">
        <f>'[1]功能-城建'!GH125</f>
        <v>396869735.89270306</v>
      </c>
      <c r="AW125" s="14">
        <f>'[1]功能-城建'!GI125</f>
        <v>295301419.0693903</v>
      </c>
      <c r="AX125" s="14">
        <f>'[1]功能-城建'!GJ125</f>
        <v>160013550.84835505</v>
      </c>
    </row>
    <row r="126" spans="2:50" x14ac:dyDescent="0.15">
      <c r="B126" s="14">
        <v>123</v>
      </c>
      <c r="C126" s="14">
        <f>'[1]资源-钻石'!L126</f>
        <v>16037314.522451241</v>
      </c>
      <c r="D126" s="14">
        <f>'[1]资源-钻石'!M126</f>
        <v>22355011.230257772</v>
      </c>
      <c r="E126" s="14">
        <f>'[1]资源-钻石'!N126</f>
        <v>35200457.267034888</v>
      </c>
      <c r="F126" s="14">
        <f>'[1]资源-钻石'!O126</f>
        <v>76984604.932975695</v>
      </c>
      <c r="G126" s="14">
        <f>'[1]资源-钻石'!P126</f>
        <v>103984208.36576307</v>
      </c>
      <c r="I126" s="14">
        <v>123</v>
      </c>
      <c r="J126" s="14">
        <f>'[1]资源-钻石'!T126</f>
        <v>695183.44694366062</v>
      </c>
      <c r="K126" s="14">
        <f>'[1]资源-钻石'!U126</f>
        <v>973861.79163802683</v>
      </c>
      <c r="L126" s="14">
        <f>'[1]资源-钻石'!V126</f>
        <v>1625521.9708018296</v>
      </c>
      <c r="M126" s="14">
        <f>'[1]资源-钻石'!W126</f>
        <v>4280564.1678820122</v>
      </c>
      <c r="N126" s="14">
        <f>'[1]资源-钻石'!X126</f>
        <v>10168568.084670212</v>
      </c>
      <c r="P126" s="14">
        <v>123</v>
      </c>
      <c r="Q126" s="14">
        <f>'[1]功能-行军令'!N126</f>
        <v>231921.30578479578</v>
      </c>
      <c r="R126" s="14">
        <f>'[1]功能-行军令'!O126</f>
        <v>286486.84309168946</v>
      </c>
      <c r="S126" s="14">
        <f>'[1]功能-行军令'!P126</f>
        <v>311204.61252083164</v>
      </c>
      <c r="T126" s="14">
        <f>'[1]功能-行军令'!Q126</f>
        <v>251601.8452876425</v>
      </c>
      <c r="U126" s="14">
        <f>'[1]功能-行军令'!R126</f>
        <v>135589.76636657064</v>
      </c>
      <c r="V126" s="14">
        <f>'[1]功能-行军令'!S126</f>
        <v>15534.156529674598</v>
      </c>
      <c r="W126" s="14">
        <f>'[1]功能-行军令'!T126</f>
        <v>19188.97209214652</v>
      </c>
      <c r="X126" s="14">
        <f>'[1]功能-行军令'!U126</f>
        <v>21486.680824227165</v>
      </c>
      <c r="Y126" s="14">
        <f>'[1]功能-行军令'!V126</f>
        <v>17676.047178547509</v>
      </c>
      <c r="Z126" s="14">
        <f>'[1]功能-行军令'!W126</f>
        <v>9517.909142074961</v>
      </c>
      <c r="AC126" s="14">
        <v>123</v>
      </c>
      <c r="AD126" s="14">
        <v>20588994</v>
      </c>
      <c r="AE126" s="14">
        <v>20920380</v>
      </c>
      <c r="AF126" s="14">
        <v>21579942</v>
      </c>
      <c r="AG126" s="14">
        <v>21931290</v>
      </c>
      <c r="AH126" s="14">
        <v>22321452</v>
      </c>
      <c r="AK126" s="14">
        <v>123</v>
      </c>
      <c r="AL126" s="14">
        <f>'[1]功能-付费相关'!AH128</f>
        <v>5.5555555555555558E-3</v>
      </c>
      <c r="AM126" s="14">
        <f>'[1]功能-付费相关'!AI128</f>
        <v>5.5555555555555558E-3</v>
      </c>
      <c r="AN126" s="14">
        <f>'[1]功能-付费相关'!AJ128</f>
        <v>5.5555555555555558E-3</v>
      </c>
      <c r="AO126" s="14">
        <f>'[1]功能-付费相关'!AK128</f>
        <v>5.5555555555555558E-3</v>
      </c>
      <c r="AP126" s="14">
        <f>'[1]功能-付费相关'!AL128</f>
        <v>5.5555555555555558E-3</v>
      </c>
      <c r="AS126" s="14">
        <v>123</v>
      </c>
      <c r="AT126" s="14">
        <f>'[1]功能-城建'!GF126</f>
        <v>654055529.71029949</v>
      </c>
      <c r="AU126" s="14">
        <f>'[1]功能-城建'!GG126</f>
        <v>555481516.60836506</v>
      </c>
      <c r="AV126" s="14">
        <f>'[1]功能-城建'!GH126</f>
        <v>467858079.93778133</v>
      </c>
      <c r="AW126" s="14">
        <f>'[1]功能-城建'!GI126</f>
        <v>340409778.47929001</v>
      </c>
      <c r="AX126" s="14">
        <f>'[1]功能-城建'!GJ126</f>
        <v>187220537.52196908</v>
      </c>
    </row>
    <row r="127" spans="2:50" x14ac:dyDescent="0.15">
      <c r="B127" s="14">
        <v>124</v>
      </c>
      <c r="C127" s="14">
        <f>'[1]资源-钻石'!L127</f>
        <v>17099417.337067779</v>
      </c>
      <c r="D127" s="14">
        <f>'[1]资源-钻石'!M127</f>
        <v>23903981.888942767</v>
      </c>
      <c r="E127" s="14">
        <f>'[1]资源-钻石'!N127</f>
        <v>37677385.53684704</v>
      </c>
      <c r="F127" s="14">
        <f>'[1]资源-钻石'!O127</f>
        <v>82612796.811235681</v>
      </c>
      <c r="G127" s="14">
        <f>'[1]资源-钻石'!P127</f>
        <v>111762512.95330533</v>
      </c>
      <c r="I127" s="14">
        <v>124</v>
      </c>
      <c r="J127" s="14">
        <f>'[1]资源-钻石'!T127</f>
        <v>699516.80472744093</v>
      </c>
      <c r="K127" s="14">
        <f>'[1]资源-钻石'!U127</f>
        <v>980308.4852001851</v>
      </c>
      <c r="L127" s="14">
        <f>'[1]资源-钻石'!V127</f>
        <v>1637065.3337202037</v>
      </c>
      <c r="M127" s="14">
        <f>'[1]资源-钻石'!W127</f>
        <v>4313281.8670922238</v>
      </c>
      <c r="N127" s="14">
        <f>'[1]资源-钻石'!X127</f>
        <v>10248412.553801445</v>
      </c>
      <c r="P127" s="14">
        <v>124</v>
      </c>
      <c r="Q127" s="14">
        <f>'[1]功能-行军令'!N127</f>
        <v>248570.40251618548</v>
      </c>
      <c r="R127" s="14">
        <f>'[1]功能-行军令'!O127</f>
        <v>307632.35126535187</v>
      </c>
      <c r="S127" s="14">
        <f>'[1]功能-行军令'!P127</f>
        <v>334086.18616791681</v>
      </c>
      <c r="T127" s="14">
        <f>'[1]功能-行军令'!Q127</f>
        <v>270276.00236025098</v>
      </c>
      <c r="U127" s="14">
        <f>'[1]功能-行军令'!R127</f>
        <v>145824.36700656047</v>
      </c>
      <c r="V127" s="14">
        <f>'[1]功能-行军令'!S127</f>
        <v>16649.096731389698</v>
      </c>
      <c r="W127" s="14">
        <f>'[1]功能-行军令'!T127</f>
        <v>21145.508173662412</v>
      </c>
      <c r="X127" s="14">
        <f>'[1]功能-行军令'!U127</f>
        <v>22881.57364708517</v>
      </c>
      <c r="Y127" s="14">
        <f>'[1]功能-行军令'!V127</f>
        <v>18674.157072608476</v>
      </c>
      <c r="Z127" s="14">
        <f>'[1]功能-行军令'!W127</f>
        <v>10234.600639989832</v>
      </c>
      <c r="AC127" s="14">
        <v>124</v>
      </c>
      <c r="AD127" s="14">
        <v>21025698</v>
      </c>
      <c r="AE127" s="14">
        <v>21356928</v>
      </c>
      <c r="AF127" s="14">
        <v>22021494</v>
      </c>
      <c r="AG127" s="14">
        <v>22376448</v>
      </c>
      <c r="AH127" s="14">
        <v>22775622</v>
      </c>
      <c r="AK127" s="14">
        <v>124</v>
      </c>
      <c r="AL127" s="14">
        <f>'[1]功能-付费相关'!AH129</f>
        <v>5.5555555555555558E-3</v>
      </c>
      <c r="AM127" s="14">
        <f>'[1]功能-付费相关'!AI129</f>
        <v>5.5555555555555558E-3</v>
      </c>
      <c r="AN127" s="14">
        <f>'[1]功能-付费相关'!AJ129</f>
        <v>5.5555555555555558E-3</v>
      </c>
      <c r="AO127" s="14">
        <f>'[1]功能-付费相关'!AK129</f>
        <v>5.5555555555555558E-3</v>
      </c>
      <c r="AP127" s="14">
        <f>'[1]功能-付费相关'!AL129</f>
        <v>5.5555555555555558E-3</v>
      </c>
      <c r="AS127" s="14">
        <v>124</v>
      </c>
      <c r="AT127" s="14">
        <f>'[1]功能-城建'!GF127</f>
        <v>704722505.80680466</v>
      </c>
      <c r="AU127" s="14">
        <f>'[1]功能-城建'!GG127</f>
        <v>626033283.7802496</v>
      </c>
      <c r="AV127" s="14">
        <f>'[1]功能-城建'!GH127</f>
        <v>498768016.33360577</v>
      </c>
      <c r="AW127" s="14">
        <f>'[1]功能-城建'!GI127</f>
        <v>367065576.00835657</v>
      </c>
      <c r="AX127" s="14">
        <f>'[1]功能-城建'!GJ127</f>
        <v>201750807.17898417</v>
      </c>
    </row>
    <row r="128" spans="2:50" x14ac:dyDescent="0.15">
      <c r="B128" s="14">
        <v>125</v>
      </c>
      <c r="C128" s="14">
        <f>'[1]资源-钻石'!L128</f>
        <v>18234405.740156852</v>
      </c>
      <c r="D128" s="14">
        <f>'[1]资源-钻石'!M128</f>
        <v>25510324.363559552</v>
      </c>
      <c r="E128" s="14">
        <f>'[1]资源-钻石'!N128</f>
        <v>40324885.3231235</v>
      </c>
      <c r="F128" s="14">
        <f>'[1]资源-钻石'!O128</f>
        <v>88586276.3057383</v>
      </c>
      <c r="G128" s="14">
        <f>'[1]资源-钻石'!P128</f>
        <v>119109615.22291803</v>
      </c>
      <c r="I128" s="14">
        <v>125</v>
      </c>
      <c r="J128" s="14">
        <f>'[1]资源-钻石'!T128</f>
        <v>703850.16251122125</v>
      </c>
      <c r="K128" s="14">
        <f>'[1]资源-钻石'!U128</f>
        <v>986755.17876234348</v>
      </c>
      <c r="L128" s="14">
        <f>'[1]资源-钻石'!V128</f>
        <v>1648608.6966385779</v>
      </c>
      <c r="M128" s="14">
        <f>'[1]资源-钻石'!W128</f>
        <v>4345999.5663024355</v>
      </c>
      <c r="N128" s="14">
        <f>'[1]资源-钻石'!X128</f>
        <v>10328257.022932678</v>
      </c>
      <c r="P128" s="14">
        <v>125</v>
      </c>
      <c r="Q128" s="14">
        <f>'[1]功能-行军令'!N128</f>
        <v>266414.46256808913</v>
      </c>
      <c r="R128" s="14">
        <f>'[1]功能-行军令'!O128</f>
        <v>329561.0609773529</v>
      </c>
      <c r="S128" s="14">
        <f>'[1]功能-行军令'!P128</f>
        <v>358543.47953351011</v>
      </c>
      <c r="T128" s="14">
        <f>'[1]功能-行军令'!Q128</f>
        <v>290095.8124810165</v>
      </c>
      <c r="U128" s="14">
        <f>'[1]功能-行军令'!R128</f>
        <v>155517.12587662143</v>
      </c>
      <c r="V128" s="14">
        <f>'[1]功能-行军令'!S128</f>
        <v>17844.060051903652</v>
      </c>
      <c r="W128" s="14">
        <f>'[1]功能-行军令'!T128</f>
        <v>21928.709712001029</v>
      </c>
      <c r="X128" s="14">
        <f>'[1]功能-行军令'!U128</f>
        <v>24457.293365593301</v>
      </c>
      <c r="Y128" s="14">
        <f>'[1]功能-行军令'!V128</f>
        <v>19819.810120765527</v>
      </c>
      <c r="Z128" s="14">
        <f>'[1]功能-行军令'!W128</f>
        <v>9692.7588700609631</v>
      </c>
      <c r="AC128" s="14">
        <v>125</v>
      </c>
      <c r="AD128" s="14">
        <v>21467010</v>
      </c>
      <c r="AE128" s="14">
        <v>21803538</v>
      </c>
      <c r="AF128" s="14">
        <v>22467510</v>
      </c>
      <c r="AG128" s="14">
        <v>22829844</v>
      </c>
      <c r="AH128" s="14">
        <v>23223612</v>
      </c>
      <c r="AK128" s="14">
        <v>125</v>
      </c>
      <c r="AL128" s="14">
        <f>'[1]功能-付费相关'!AH130</f>
        <v>5.5555555555555558E-3</v>
      </c>
      <c r="AM128" s="14">
        <f>'[1]功能-付费相关'!AI130</f>
        <v>5.5555555555555558E-3</v>
      </c>
      <c r="AN128" s="14">
        <f>'[1]功能-付费相关'!AJ130</f>
        <v>5.5555555555555558E-3</v>
      </c>
      <c r="AO128" s="14">
        <f>'[1]功能-付费相关'!AK130</f>
        <v>5.5555555555555558E-3</v>
      </c>
      <c r="AP128" s="14">
        <f>'[1]功能-付费相关'!AL130</f>
        <v>5.5555555555555558E-3</v>
      </c>
      <c r="AS128" s="14">
        <v>125</v>
      </c>
      <c r="AT128" s="14">
        <f>'[1]功能-城建'!GF128</f>
        <v>769466902.58600235</v>
      </c>
      <c r="AU128" s="14">
        <f>'[1]功能-城建'!GG128</f>
        <v>649220725.14515305</v>
      </c>
      <c r="AV128" s="14">
        <f>'[1]功能-城建'!GH128</f>
        <v>544452422.58772564</v>
      </c>
      <c r="AW128" s="14">
        <f>'[1]功能-城建'!GI128</f>
        <v>390700412.32235336</v>
      </c>
      <c r="AX128" s="14">
        <f>'[1]功能-城建'!GJ128</f>
        <v>194961809.69598818</v>
      </c>
    </row>
    <row r="129" spans="2:50" x14ac:dyDescent="0.15">
      <c r="B129" s="14">
        <v>126</v>
      </c>
      <c r="C129" s="14">
        <f>'[1]资源-钻石'!L129</f>
        <v>19410455.212857489</v>
      </c>
      <c r="D129" s="14">
        <f>'[1]资源-钻石'!M129</f>
        <v>27279888.003524348</v>
      </c>
      <c r="E129" s="14">
        <f>'[1]资源-钻石'!N129</f>
        <v>43141633.030211702</v>
      </c>
      <c r="F129" s="14">
        <f>'[1]资源-钻石'!O129</f>
        <v>94472761.352526248</v>
      </c>
      <c r="G129" s="14">
        <f>'[1]资源-钻石'!P129</f>
        <v>126934667.54212233</v>
      </c>
      <c r="I129" s="14">
        <v>126</v>
      </c>
      <c r="J129" s="14">
        <f>'[1]资源-钻石'!T129</f>
        <v>708183.52029500157</v>
      </c>
      <c r="K129" s="14">
        <f>'[1]资源-钻石'!U129</f>
        <v>993201.87232450186</v>
      </c>
      <c r="L129" s="14">
        <f>'[1]资源-钻石'!V129</f>
        <v>1660152.059556952</v>
      </c>
      <c r="M129" s="14">
        <f>'[1]资源-钻石'!W129</f>
        <v>4378717.2655126471</v>
      </c>
      <c r="N129" s="14">
        <f>'[1]资源-钻石'!X129</f>
        <v>10408101.49206391</v>
      </c>
      <c r="P129" s="14">
        <v>126</v>
      </c>
      <c r="Q129" s="14">
        <f>'[1]功能-行军令'!N129</f>
        <v>285539.25259562297</v>
      </c>
      <c r="R129" s="14">
        <f>'[1]功能-行军令'!O129</f>
        <v>353717.95652788441</v>
      </c>
      <c r="S129" s="14">
        <f>'[1]功能-行军令'!P129</f>
        <v>384564.26539578498</v>
      </c>
      <c r="T129" s="14">
        <f>'[1]功能-行军令'!Q129</f>
        <v>309705.805165303</v>
      </c>
      <c r="U129" s="14">
        <f>'[1]功能-行军令'!R129</f>
        <v>165849.88823261682</v>
      </c>
      <c r="V129" s="14">
        <f>'[1]功能-行军令'!S129</f>
        <v>19124.790027533832</v>
      </c>
      <c r="W129" s="14">
        <f>'[1]功能-行军令'!T129</f>
        <v>24156.89555053151</v>
      </c>
      <c r="X129" s="14">
        <f>'[1]功能-行军令'!U129</f>
        <v>26020.785862274875</v>
      </c>
      <c r="Y129" s="14">
        <f>'[1]功能-行军令'!V129</f>
        <v>19609.992684286495</v>
      </c>
      <c r="Z129" s="14">
        <f>'[1]功能-行军令'!W129</f>
        <v>10332.762355995394</v>
      </c>
      <c r="AC129" s="14">
        <v>126</v>
      </c>
      <c r="AD129" s="14">
        <v>21908778</v>
      </c>
      <c r="AE129" s="14">
        <v>22252092</v>
      </c>
      <c r="AF129" s="14">
        <v>22919496</v>
      </c>
      <c r="AG129" s="14">
        <v>23277870</v>
      </c>
      <c r="AH129" s="14">
        <v>23678802</v>
      </c>
      <c r="AK129" s="14">
        <v>126</v>
      </c>
      <c r="AL129" s="14">
        <f>'[1]功能-付费相关'!AH131</f>
        <v>5.5555555555555558E-3</v>
      </c>
      <c r="AM129" s="14">
        <f>'[1]功能-付费相关'!AI131</f>
        <v>5.5555555555555558E-3</v>
      </c>
      <c r="AN129" s="14">
        <f>'[1]功能-付费相关'!AJ131</f>
        <v>5.5555555555555558E-3</v>
      </c>
      <c r="AO129" s="14">
        <f>'[1]功能-付费相关'!AK131</f>
        <v>5.5555555555555558E-3</v>
      </c>
      <c r="AP129" s="14">
        <f>'[1]功能-付费相关'!AL131</f>
        <v>5.5555555555555558E-3</v>
      </c>
      <c r="AS129" s="14">
        <v>126</v>
      </c>
      <c r="AT129" s="14">
        <f>'[1]功能-城建'!GF129</f>
        <v>826771675.85996246</v>
      </c>
      <c r="AU129" s="14">
        <f>'[1]功能-城建'!GG129</f>
        <v>731520814.27068138</v>
      </c>
      <c r="AV129" s="14">
        <f>'[1]功能-城建'!GH129</f>
        <v>580578061.70069122</v>
      </c>
      <c r="AW129" s="14">
        <f>'[1]功能-城建'!GI129</f>
        <v>393745004.11349106</v>
      </c>
      <c r="AX129" s="14">
        <f>'[1]功能-城建'!GJ129</f>
        <v>208380718.11527777</v>
      </c>
    </row>
    <row r="130" spans="2:50" x14ac:dyDescent="0.15">
      <c r="B130" s="14">
        <v>127</v>
      </c>
      <c r="C130" s="14">
        <f>'[1]资源-钻石'!L130</f>
        <v>20670913.828327835</v>
      </c>
      <c r="D130" s="14">
        <f>'[1]资源-钻石'!M130</f>
        <v>29139901.214220621</v>
      </c>
      <c r="E130" s="14">
        <f>'[1]资源-钻石'!N130</f>
        <v>45926811.416054659</v>
      </c>
      <c r="F130" s="14">
        <f>'[1]资源-钻石'!O130</f>
        <v>100537575.73712525</v>
      </c>
      <c r="G130" s="14">
        <f>'[1]资源-钻石'!P130</f>
        <v>135483737.92705396</v>
      </c>
      <c r="I130" s="14">
        <v>127</v>
      </c>
      <c r="J130" s="14">
        <f>'[1]资源-钻石'!T130</f>
        <v>712516.87807878188</v>
      </c>
      <c r="K130" s="14">
        <f>'[1]资源-钻石'!U130</f>
        <v>999648.56588666025</v>
      </c>
      <c r="L130" s="14">
        <f>'[1]资源-钻石'!V130</f>
        <v>1671695.4224753263</v>
      </c>
      <c r="M130" s="14">
        <f>'[1]资源-钻石'!W130</f>
        <v>4411434.9647228587</v>
      </c>
      <c r="N130" s="14">
        <f>'[1]资源-钻石'!X130</f>
        <v>10487945.961195143</v>
      </c>
      <c r="P130" s="14">
        <v>127</v>
      </c>
      <c r="Q130" s="14">
        <f>'[1]功能-行军令'!N130</f>
        <v>306036.69502371247</v>
      </c>
      <c r="R130" s="14">
        <f>'[1]功能-行军令'!O130</f>
        <v>379109.60893225478</v>
      </c>
      <c r="S130" s="14">
        <f>'[1]功能-行军令'!P130</f>
        <v>410293.41756084486</v>
      </c>
      <c r="T130" s="14">
        <f>'[1]功能-行军令'!Q130</f>
        <v>329950.8015511632</v>
      </c>
      <c r="U130" s="14">
        <f>'[1]功能-行军令'!R130</f>
        <v>177138.69615986643</v>
      </c>
      <c r="V130" s="14">
        <f>'[1]功能-行军令'!S130</f>
        <v>20497.442428089504</v>
      </c>
      <c r="W130" s="14">
        <f>'[1]功能-行军令'!T130</f>
        <v>25391.652404370368</v>
      </c>
      <c r="X130" s="14">
        <f>'[1]功能-行军令'!U130</f>
        <v>25729.152165059873</v>
      </c>
      <c r="Y130" s="14">
        <f>'[1]功能-行军令'!V130</f>
        <v>20244.996385860199</v>
      </c>
      <c r="Z130" s="14">
        <f>'[1]功能-行军令'!W130</f>
        <v>11288.807927249611</v>
      </c>
      <c r="AC130" s="14">
        <v>127</v>
      </c>
      <c r="AD130" s="14">
        <v>22353714</v>
      </c>
      <c r="AE130" s="14">
        <v>22711662</v>
      </c>
      <c r="AF130" s="14">
        <v>23369232</v>
      </c>
      <c r="AG130" s="14">
        <v>23733108</v>
      </c>
      <c r="AH130" s="14">
        <v>24141186</v>
      </c>
      <c r="AK130" s="14">
        <v>127</v>
      </c>
      <c r="AL130" s="14">
        <f>'[1]功能-付费相关'!AH132</f>
        <v>5.5555555555555558E-3</v>
      </c>
      <c r="AM130" s="14">
        <f>'[1]功能-付费相关'!AI132</f>
        <v>5.5555555555555558E-3</v>
      </c>
      <c r="AN130" s="14">
        <f>'[1]功能-付费相关'!AJ132</f>
        <v>5.5555555555555558E-3</v>
      </c>
      <c r="AO130" s="14">
        <f>'[1]功能-付费相关'!AK132</f>
        <v>5.5555555555555558E-3</v>
      </c>
      <c r="AP130" s="14">
        <f>'[1]功能-付费相关'!AL132</f>
        <v>5.5555555555555558E-3</v>
      </c>
      <c r="AS130" s="14">
        <v>127</v>
      </c>
      <c r="AT130" s="14">
        <f>'[1]功能-城建'!GF130</f>
        <v>904739284.91288948</v>
      </c>
      <c r="AU130" s="14">
        <f>'[1]功能-城建'!GG130</f>
        <v>769480761.81841278</v>
      </c>
      <c r="AV130" s="14">
        <f>'[1]功能-城建'!GH130</f>
        <v>584769069.62504959</v>
      </c>
      <c r="AW130" s="14">
        <f>'[1]功能-城建'!GI130</f>
        <v>408280645.5602808</v>
      </c>
      <c r="AX130" s="14">
        <f>'[1]功能-城建'!GJ130</f>
        <v>230867005.0632329</v>
      </c>
    </row>
    <row r="131" spans="2:50" x14ac:dyDescent="0.15">
      <c r="B131" s="14">
        <v>128</v>
      </c>
      <c r="C131" s="14">
        <f>'[1]资源-钻石'!L131</f>
        <v>22021839.923014224</v>
      </c>
      <c r="D131" s="14">
        <f>'[1]资源-钻石'!M131</f>
        <v>30961306.966293775</v>
      </c>
      <c r="E131" s="14">
        <f>'[1]资源-钻石'!N131</f>
        <v>48855160.821308494</v>
      </c>
      <c r="F131" s="14">
        <f>'[1]资源-钻石'!O131</f>
        <v>107192958.85472654</v>
      </c>
      <c r="G131" s="14">
        <f>'[1]资源-钻石'!P131</f>
        <v>144779732.63812914</v>
      </c>
      <c r="I131" s="14">
        <v>128</v>
      </c>
      <c r="J131" s="14">
        <f>'[1]资源-钻石'!T131</f>
        <v>716850.2358625622</v>
      </c>
      <c r="K131" s="14">
        <f>'[1]资源-钻石'!U131</f>
        <v>1006095.2594488186</v>
      </c>
      <c r="L131" s="14">
        <f>'[1]资源-钻石'!V131</f>
        <v>1683238.7853937005</v>
      </c>
      <c r="M131" s="14">
        <f>'[1]资源-钻石'!W131</f>
        <v>4444152.6639330704</v>
      </c>
      <c r="N131" s="14">
        <f>'[1]资源-钻石'!X131</f>
        <v>10567790.430326376</v>
      </c>
      <c r="P131" s="14">
        <v>128</v>
      </c>
      <c r="Q131" s="14">
        <f>'[1]功能-行军令'!N131</f>
        <v>328005.30986800481</v>
      </c>
      <c r="R131" s="14">
        <f>'[1]功能-行军令'!O131</f>
        <v>404412.72069171362</v>
      </c>
      <c r="S131" s="14">
        <f>'[1]功能-行军令'!P131</f>
        <v>437345.16685748287</v>
      </c>
      <c r="T131" s="14">
        <f>'[1]功能-行军令'!Q131</f>
        <v>352167.17926991213</v>
      </c>
      <c r="U131" s="14">
        <f>'[1]功能-行军令'!R131</f>
        <v>189413.79673349392</v>
      </c>
      <c r="V131" s="14">
        <f>'[1]功能-行军令'!S131</f>
        <v>21968.614844292344</v>
      </c>
      <c r="W131" s="14">
        <f>'[1]功能-行军令'!T131</f>
        <v>25303.111759458843</v>
      </c>
      <c r="X131" s="14">
        <f>'[1]功能-行军令'!U131</f>
        <v>27051.749296638009</v>
      </c>
      <c r="Y131" s="14">
        <f>'[1]功能-行军令'!V131</f>
        <v>22216.377718748932</v>
      </c>
      <c r="Z131" s="14">
        <f>'[1]功能-行军令'!W131</f>
        <v>12275.100573627482</v>
      </c>
      <c r="AC131" s="14">
        <v>128</v>
      </c>
      <c r="AD131" s="14">
        <v>22811364</v>
      </c>
      <c r="AE131" s="14">
        <v>23170176</v>
      </c>
      <c r="AF131" s="14">
        <v>23827590</v>
      </c>
      <c r="AG131" s="14">
        <v>24196812</v>
      </c>
      <c r="AH131" s="14">
        <v>24614664</v>
      </c>
      <c r="AK131" s="14">
        <v>128</v>
      </c>
      <c r="AL131" s="14">
        <f>'[1]功能-付费相关'!AH133</f>
        <v>5.5555555555555558E-3</v>
      </c>
      <c r="AM131" s="14">
        <f>'[1]功能-付费相关'!AI133</f>
        <v>5.5555555555555558E-3</v>
      </c>
      <c r="AN131" s="14">
        <f>'[1]功能-付费相关'!AJ133</f>
        <v>5.5555555555555558E-3</v>
      </c>
      <c r="AO131" s="14">
        <f>'[1]功能-付费相关'!AK133</f>
        <v>5.5555555555555558E-3</v>
      </c>
      <c r="AP131" s="14">
        <f>'[1]功能-付费相关'!AL133</f>
        <v>5.5555555555555558E-3</v>
      </c>
      <c r="AS131" s="14">
        <v>128</v>
      </c>
      <c r="AT131" s="14">
        <f>'[1]功能-城建'!GF131</f>
        <v>969675556.08372307</v>
      </c>
      <c r="AU131" s="14">
        <f>'[1]功能-城建'!GG131</f>
        <v>782202782.29913902</v>
      </c>
      <c r="AV131" s="14">
        <f>'[1]功能-城建'!GH131</f>
        <v>617493336.69204903</v>
      </c>
      <c r="AW131" s="14">
        <f>'[1]功能-城建'!GI131</f>
        <v>453490108.90013313</v>
      </c>
      <c r="AX131" s="14">
        <f>'[1]功能-城建'!GJ131</f>
        <v>253129258.43092012</v>
      </c>
    </row>
    <row r="132" spans="2:50" x14ac:dyDescent="0.15">
      <c r="B132" s="14">
        <v>129</v>
      </c>
      <c r="C132" s="14">
        <f>'[1]资源-钻石'!L132</f>
        <v>23469726.661146887</v>
      </c>
      <c r="D132" s="14">
        <f>'[1]资源-钻石'!M132</f>
        <v>33037427.43138627</v>
      </c>
      <c r="E132" s="14">
        <f>'[1]资源-钻石'!N132</f>
        <v>52336389.566204518</v>
      </c>
      <c r="F132" s="14">
        <f>'[1]资源-钻石'!O132</f>
        <v>115143355.61287996</v>
      </c>
      <c r="G132" s="14">
        <f>'[1]资源-钻石'!P132</f>
        <v>155434325.46311164</v>
      </c>
      <c r="I132" s="14">
        <v>129</v>
      </c>
      <c r="J132" s="14">
        <f>'[1]资源-钻石'!T132</f>
        <v>721183.59364634252</v>
      </c>
      <c r="K132" s="14">
        <f>'[1]资源-钻石'!U132</f>
        <v>1012541.9530109769</v>
      </c>
      <c r="L132" s="14">
        <f>'[1]资源-钻石'!V132</f>
        <v>1694782.1483120746</v>
      </c>
      <c r="M132" s="14">
        <f>'[1]资源-钻石'!W132</f>
        <v>4476870.363143282</v>
      </c>
      <c r="N132" s="14">
        <f>'[1]资源-钻石'!X132</f>
        <v>10647634.899457609</v>
      </c>
      <c r="P132" s="14">
        <v>129</v>
      </c>
      <c r="Q132" s="14">
        <f>'[1]功能-行军令'!N132</f>
        <v>351550.68826679827</v>
      </c>
      <c r="R132" s="14">
        <f>'[1]功能-行军令'!O132</f>
        <v>433442.89261729561</v>
      </c>
      <c r="S132" s="14">
        <f>'[1]功能-行军令'!P132</f>
        <v>469504.35082720249</v>
      </c>
      <c r="T132" s="14">
        <f>'[1]功能-行军令'!Q132</f>
        <v>378706.45045415516</v>
      </c>
      <c r="U132" s="14">
        <f>'[1]功能-行军令'!R132</f>
        <v>203482.88805320952</v>
      </c>
      <c r="V132" s="14">
        <f>'[1]功能-行军令'!S132</f>
        <v>23545.378398793458</v>
      </c>
      <c r="W132" s="14">
        <f>'[1]功能-行军令'!T132</f>
        <v>29030.171925581992</v>
      </c>
      <c r="X132" s="14">
        <f>'[1]功能-行军令'!U132</f>
        <v>32159.183969719626</v>
      </c>
      <c r="Y132" s="14">
        <f>'[1]功能-行军令'!V132</f>
        <v>26539.271184243029</v>
      </c>
      <c r="Z132" s="14">
        <f>'[1]功能-行军令'!W132</f>
        <v>14069.091319715604</v>
      </c>
      <c r="AC132" s="14">
        <v>129</v>
      </c>
      <c r="AD132" s="14">
        <v>23271204</v>
      </c>
      <c r="AE132" s="14">
        <v>23644674</v>
      </c>
      <c r="AF132" s="14">
        <v>24300072</v>
      </c>
      <c r="AG132" s="14">
        <v>24677784</v>
      </c>
      <c r="AH132" s="14">
        <v>25103202</v>
      </c>
      <c r="AK132" s="14">
        <v>129</v>
      </c>
      <c r="AL132" s="14">
        <f>'[1]功能-付费相关'!AH134</f>
        <v>5.5555555555555558E-3</v>
      </c>
      <c r="AM132" s="14">
        <f>'[1]功能-付费相关'!AI134</f>
        <v>5.5555555555555558E-3</v>
      </c>
      <c r="AN132" s="14">
        <f>'[1]功能-付费相关'!AJ134</f>
        <v>5.5555555555555558E-3</v>
      </c>
      <c r="AO132" s="14">
        <f>'[1]功能-付费相关'!AK134</f>
        <v>5.5555555555555558E-3</v>
      </c>
      <c r="AP132" s="14">
        <f>'[1]功能-付费相关'!AL134</f>
        <v>5.5555555555555558E-3</v>
      </c>
      <c r="AS132" s="14">
        <v>129</v>
      </c>
      <c r="AT132" s="14">
        <f>'[1]功能-城建'!GF132</f>
        <v>1063087010.3903599</v>
      </c>
      <c r="AU132" s="14">
        <f>'[1]功能-城建'!GG132</f>
        <v>900021986.92267036</v>
      </c>
      <c r="AV132" s="14">
        <f>'[1]功能-城建'!GH132</f>
        <v>743695144.23019505</v>
      </c>
      <c r="AW132" s="14">
        <f>'[1]功能-城建'!GI132</f>
        <v>547275844.61487579</v>
      </c>
      <c r="AX132" s="14">
        <f>'[1]功能-城建'!GJ132</f>
        <v>293139604.37157679</v>
      </c>
    </row>
    <row r="133" spans="2:50" x14ac:dyDescent="0.15">
      <c r="B133" s="14">
        <v>130</v>
      </c>
      <c r="C133" s="14">
        <f>'[1]资源-钻石'!L133</f>
        <v>25021533.243835688</v>
      </c>
      <c r="D133" s="14">
        <f>'[1]资源-钻石'!M133</f>
        <v>35301805.992381781</v>
      </c>
      <c r="E133" s="14">
        <f>'[1]资源-钻石'!N133</f>
        <v>56105698.360661089</v>
      </c>
      <c r="F133" s="14">
        <f>'[1]资源-钻石'!O133</f>
        <v>123615645.11346307</v>
      </c>
      <c r="G133" s="14">
        <f>'[1]资源-钻石'!P133</f>
        <v>167070988.97448242</v>
      </c>
      <c r="I133" s="14">
        <v>130</v>
      </c>
      <c r="J133" s="14">
        <f>'[1]资源-钻石'!T133</f>
        <v>725516.95143012283</v>
      </c>
      <c r="K133" s="14">
        <f>'[1]资源-钻石'!U133</f>
        <v>1018988.6465731353</v>
      </c>
      <c r="L133" s="14">
        <f>'[1]资源-钻石'!V133</f>
        <v>1706325.5112304487</v>
      </c>
      <c r="M133" s="14">
        <f>'[1]资源-钻石'!W133</f>
        <v>4509588.0623534936</v>
      </c>
      <c r="N133" s="14">
        <f>'[1]资源-钻石'!X133</f>
        <v>10727479.368588842</v>
      </c>
      <c r="P133" s="14">
        <v>130</v>
      </c>
      <c r="Q133" s="14">
        <f>'[1]功能-行军令'!N133</f>
        <v>376786</v>
      </c>
      <c r="R133" s="14">
        <f>'[1]功能-行军令'!O133</f>
        <v>465105.45750000002</v>
      </c>
      <c r="S133" s="14">
        <f>'[1]功能-行军令'!P133</f>
        <v>504324.78460000001</v>
      </c>
      <c r="T133" s="14">
        <f>'[1]功能-行军令'!Q133</f>
        <v>406987.85519999999</v>
      </c>
      <c r="U133" s="14">
        <f>'[1]功能-行军令'!R133</f>
        <v>218848.77620000002</v>
      </c>
      <c r="V133" s="14">
        <f>'[1]功能-行军令'!S133</f>
        <v>25235.311733201728</v>
      </c>
      <c r="W133" s="14">
        <f>'[1]功能-行军令'!T133</f>
        <v>31662.564882704406</v>
      </c>
      <c r="X133" s="14">
        <f>'[1]功能-行军令'!U133</f>
        <v>34820.433772797522</v>
      </c>
      <c r="Y133" s="14">
        <f>'[1]功能-行军令'!V133</f>
        <v>28281.404745844833</v>
      </c>
      <c r="Z133" s="14">
        <f>'[1]功能-行军令'!W133</f>
        <v>15365.888146790501</v>
      </c>
      <c r="AC133" s="14">
        <v>130</v>
      </c>
      <c r="AD133" s="14">
        <v>23743770</v>
      </c>
      <c r="AE133" s="14">
        <v>24126048</v>
      </c>
      <c r="AF133" s="14">
        <v>24782202</v>
      </c>
      <c r="AG133" s="14">
        <v>25168350</v>
      </c>
      <c r="AH133" s="14">
        <v>25600398</v>
      </c>
      <c r="AK133" s="14">
        <v>130</v>
      </c>
      <c r="AL133" s="14">
        <f>'[1]功能-付费相关'!AH135</f>
        <v>5.5555555555555558E-3</v>
      </c>
      <c r="AM133" s="14">
        <f>'[1]功能-付费相关'!AI135</f>
        <v>5.5555555555555558E-3</v>
      </c>
      <c r="AN133" s="14">
        <f>'[1]功能-付费相关'!AJ135</f>
        <v>5.5555555555555558E-3</v>
      </c>
      <c r="AO133" s="14">
        <f>'[1]功能-付费相关'!AK135</f>
        <v>5.5555555555555558E-3</v>
      </c>
      <c r="AP133" s="14">
        <f>'[1]功能-付费相关'!AL135</f>
        <v>5.5555555555555558E-3</v>
      </c>
      <c r="AS133" s="14">
        <v>130</v>
      </c>
      <c r="AT133" s="14">
        <f>'[1]功能-城建'!GF133</f>
        <v>1139538902.8740559</v>
      </c>
      <c r="AU133" s="14">
        <f>'[1]功能-城建'!GG133</f>
        <v>997391279.47311592</v>
      </c>
      <c r="AV133" s="14">
        <f>'[1]功能-城建'!GH133</f>
        <v>812731882.78485489</v>
      </c>
      <c r="AW133" s="14">
        <f>'[1]功能-城建'!GI133</f>
        <v>589242675.30239773</v>
      </c>
      <c r="AX133" s="14">
        <f>'[1]功能-城建'!GJ133</f>
        <v>323847281.44711447</v>
      </c>
    </row>
    <row r="134" spans="2:50" x14ac:dyDescent="0.15">
      <c r="B134" s="14">
        <v>131</v>
      </c>
      <c r="C134" s="14">
        <f>'[1]资源-钻石'!L134</f>
        <v>26684718.358150683</v>
      </c>
      <c r="D134" s="14">
        <f>'[1]资源-钻石'!M134</f>
        <v>37706285.458295979</v>
      </c>
      <c r="E134" s="14">
        <f>'[1]资源-钻石'!N134</f>
        <v>60052703.082792744</v>
      </c>
      <c r="F134" s="14">
        <f>'[1]资源-钻石'!O134</f>
        <v>132665431.5110721</v>
      </c>
      <c r="G134" s="14">
        <f>'[1]资源-钻石'!P134</f>
        <v>178830879.03489286</v>
      </c>
      <c r="I134" s="14">
        <v>131</v>
      </c>
      <c r="J134" s="14">
        <f>'[1]资源-钻石'!T134</f>
        <v>729850.30921390315</v>
      </c>
      <c r="K134" s="14">
        <f>'[1]资源-钻石'!U134</f>
        <v>1025435.3401352937</v>
      </c>
      <c r="L134" s="14">
        <f>'[1]资源-钻石'!V134</f>
        <v>1717868.8741488231</v>
      </c>
      <c r="M134" s="14">
        <f>'[1]资源-钻石'!W134</f>
        <v>4542305.7615637053</v>
      </c>
      <c r="N134" s="14">
        <f>'[1]资源-钻石'!X134</f>
        <v>10807323.837720074</v>
      </c>
      <c r="P134" s="14">
        <v>131</v>
      </c>
      <c r="Q134" s="14">
        <f>'[1]功能-行军令'!N134</f>
        <v>403832.53743447649</v>
      </c>
      <c r="R134" s="14">
        <f>'[1]功能-行军令'!O134</f>
        <v>498727.03845383495</v>
      </c>
      <c r="S134" s="14">
        <f>'[1]功能-行军令'!P134</f>
        <v>541005.67143276311</v>
      </c>
      <c r="T134" s="14">
        <f>'[1]功能-行军令'!Q134</f>
        <v>437197.00609794882</v>
      </c>
      <c r="U134" s="14">
        <f>'[1]功能-行军令'!R134</f>
        <v>234377.38155240606</v>
      </c>
      <c r="V134" s="14">
        <f>'[1]功能-行军令'!S134</f>
        <v>27046.537434476486</v>
      </c>
      <c r="W134" s="14">
        <f>'[1]功能-行军令'!T134</f>
        <v>33621.580953834928</v>
      </c>
      <c r="X134" s="14">
        <f>'[1]功能-行军令'!U134</f>
        <v>36680.886832763092</v>
      </c>
      <c r="Y134" s="14">
        <f>'[1]功能-行军令'!V134</f>
        <v>30209.150897948828</v>
      </c>
      <c r="Z134" s="14">
        <f>'[1]功能-行军令'!W134</f>
        <v>15528.605352406041</v>
      </c>
      <c r="AC134" s="14">
        <v>131</v>
      </c>
      <c r="AD134" s="14">
        <v>24219744</v>
      </c>
      <c r="AE134" s="14">
        <v>24616728</v>
      </c>
      <c r="AF134" s="14">
        <v>25271058</v>
      </c>
      <c r="AG134" s="14">
        <v>25665750</v>
      </c>
      <c r="AH134" s="14">
        <v>26082210</v>
      </c>
      <c r="AK134" s="14">
        <v>131</v>
      </c>
      <c r="AL134" s="14">
        <f>'[1]功能-付费相关'!AH136</f>
        <v>5.5555555555555558E-3</v>
      </c>
      <c r="AM134" s="14">
        <f>'[1]功能-付费相关'!AI136</f>
        <v>5.5555555555555558E-3</v>
      </c>
      <c r="AN134" s="14">
        <f>'[1]功能-付费相关'!AJ136</f>
        <v>5.5555555555555558E-3</v>
      </c>
      <c r="AO134" s="14">
        <f>'[1]功能-付费相关'!AK136</f>
        <v>5.5555555555555558E-3</v>
      </c>
      <c r="AP134" s="14">
        <f>'[1]功能-付费相关'!AL136</f>
        <v>5.5555555555555558E-3</v>
      </c>
      <c r="AS134" s="14">
        <v>131</v>
      </c>
      <c r="AT134" s="14">
        <f>'[1]功能-城建'!GF134</f>
        <v>1245780292.614481</v>
      </c>
      <c r="AU134" s="14">
        <f>'[1]功能-城建'!GG134</f>
        <v>1065854297.700676</v>
      </c>
      <c r="AV134" s="14">
        <f>'[1]功能-城建'!GH134</f>
        <v>866066119.41036415</v>
      </c>
      <c r="AW134" s="14">
        <f>'[1]功能-城建'!GI134</f>
        <v>636679852.12880898</v>
      </c>
      <c r="AX134" s="14">
        <f>'[1]功能-城建'!GJ134</f>
        <v>330262671.5888896</v>
      </c>
    </row>
    <row r="135" spans="2:50" x14ac:dyDescent="0.15">
      <c r="B135" s="14">
        <v>132</v>
      </c>
      <c r="C135" s="14">
        <f>'[1]资源-钻石'!L135</f>
        <v>28467276.026958864</v>
      </c>
      <c r="D135" s="14">
        <f>'[1]资源-钻石'!M135</f>
        <v>40293567.583107665</v>
      </c>
      <c r="E135" s="14">
        <f>'[1]资源-钻石'!N135</f>
        <v>64339102.531990744</v>
      </c>
      <c r="F135" s="14">
        <f>'[1]资源-钻石'!O135</f>
        <v>141921621.10182008</v>
      </c>
      <c r="G135" s="14">
        <f>'[1]资源-钻石'!P135</f>
        <v>190984623.84193194</v>
      </c>
      <c r="I135" s="14">
        <v>132</v>
      </c>
      <c r="J135" s="14">
        <f>'[1]资源-钻石'!T135</f>
        <v>734183.66699768347</v>
      </c>
      <c r="K135" s="14">
        <f>'[1]资源-钻石'!U135</f>
        <v>1031882.033697452</v>
      </c>
      <c r="L135" s="14">
        <f>'[1]资源-钻石'!V135</f>
        <v>1729412.2370671972</v>
      </c>
      <c r="M135" s="14">
        <f>'[1]资源-钻石'!W135</f>
        <v>4575023.4607739169</v>
      </c>
      <c r="N135" s="14">
        <f>'[1]资源-钻石'!X135</f>
        <v>10887168.306851307</v>
      </c>
      <c r="P135" s="14">
        <v>132</v>
      </c>
      <c r="Q135" s="14">
        <f>'[1]功能-行军令'!N135</f>
        <v>432820.29851024237</v>
      </c>
      <c r="R135" s="14">
        <f>'[1]功能-行军令'!O135</f>
        <v>534904.72956865281</v>
      </c>
      <c r="S135" s="14">
        <f>'[1]功能-行军令'!P135</f>
        <v>581124.29196739208</v>
      </c>
      <c r="T135" s="14">
        <f>'[1]功能-行军令'!Q135</f>
        <v>468095.15283882717</v>
      </c>
      <c r="U135" s="14">
        <f>'[1]功能-行军令'!R135</f>
        <v>250426.06106325664</v>
      </c>
      <c r="V135" s="14">
        <f>'[1]功能-行军令'!S135</f>
        <v>28987.761075765884</v>
      </c>
      <c r="W135" s="14">
        <f>'[1]功能-行军令'!T135</f>
        <v>36177.691114817862</v>
      </c>
      <c r="X135" s="14">
        <f>'[1]功能-行军令'!U135</f>
        <v>40118.620534628979</v>
      </c>
      <c r="Y135" s="14">
        <f>'[1]功能-行军令'!V135</f>
        <v>30898.14674087835</v>
      </c>
      <c r="Z135" s="14">
        <f>'[1]功能-行军令'!W135</f>
        <v>16048.679510850576</v>
      </c>
      <c r="AC135" s="14">
        <v>132</v>
      </c>
      <c r="AD135" s="14">
        <v>24707592</v>
      </c>
      <c r="AE135" s="14">
        <v>25114398</v>
      </c>
      <c r="AF135" s="14">
        <v>25769298</v>
      </c>
      <c r="AG135" s="14">
        <v>26149686</v>
      </c>
      <c r="AH135" s="14">
        <v>26539902</v>
      </c>
      <c r="AK135" s="14">
        <v>132</v>
      </c>
      <c r="AL135" s="14">
        <f>'[1]功能-付费相关'!AH137</f>
        <v>5.5555555555555558E-3</v>
      </c>
      <c r="AM135" s="14">
        <f>'[1]功能-付费相关'!AI137</f>
        <v>5.5555555555555558E-3</v>
      </c>
      <c r="AN135" s="14">
        <f>'[1]功能-付费相关'!AJ137</f>
        <v>5.5555555555555558E-3</v>
      </c>
      <c r="AO135" s="14">
        <f>'[1]功能-付费相关'!AK137</f>
        <v>5.5555555555555558E-3</v>
      </c>
      <c r="AP135" s="14">
        <f>'[1]功能-付费相关'!AL137</f>
        <v>5.5555555555555558E-3</v>
      </c>
      <c r="AS135" s="14">
        <v>132</v>
      </c>
      <c r="AT135" s="14">
        <f>'[1]功能-城建'!GF135</f>
        <v>1338478359.2375374</v>
      </c>
      <c r="AU135" s="14">
        <f>'[1]功能-城建'!GG135</f>
        <v>1162759813.4811954</v>
      </c>
      <c r="AV135" s="14">
        <f>'[1]功能-城建'!GH135</f>
        <v>957027488.53376579</v>
      </c>
      <c r="AW135" s="14">
        <f>'[1]功能-城建'!GI135</f>
        <v>656873247.90248394</v>
      </c>
      <c r="AX135" s="14">
        <f>'[1]功能-城建'!GJ135</f>
        <v>345529627.99283743</v>
      </c>
    </row>
    <row r="136" spans="2:50" x14ac:dyDescent="0.15">
      <c r="B136" s="14">
        <v>133</v>
      </c>
      <c r="C136" s="14">
        <f>'[1]资源-钻石'!L136</f>
        <v>30377774.031828076</v>
      </c>
      <c r="D136" s="14">
        <f>'[1]资源-钻石'!M136</f>
        <v>43068489.840897977</v>
      </c>
      <c r="E136" s="14">
        <f>'[1]资源-钻石'!N136</f>
        <v>68629245.481208459</v>
      </c>
      <c r="F136" s="14">
        <f>'[1]资源-钻石'!O136</f>
        <v>151271638.58037889</v>
      </c>
      <c r="G136" s="14">
        <f>'[1]资源-钻石'!P136</f>
        <v>203811210.76051348</v>
      </c>
      <c r="I136" s="14">
        <v>133</v>
      </c>
      <c r="J136" s="14">
        <f>'[1]资源-钻石'!T136</f>
        <v>738517.0247814639</v>
      </c>
      <c r="K136" s="14">
        <f>'[1]资源-钻石'!U136</f>
        <v>1038328.7272596103</v>
      </c>
      <c r="L136" s="14">
        <f>'[1]资源-钻石'!V136</f>
        <v>1740955.5999855713</v>
      </c>
      <c r="M136" s="14">
        <f>'[1]资源-钻石'!W136</f>
        <v>4607741.1599841285</v>
      </c>
      <c r="N136" s="14">
        <f>'[1]资源-钻石'!X136</f>
        <v>10967012.77598254</v>
      </c>
      <c r="P136" s="14">
        <v>133</v>
      </c>
      <c r="Q136" s="14">
        <f>'[1]功能-行军令'!N136</f>
        <v>463888.61156959157</v>
      </c>
      <c r="R136" s="14">
        <f>'[1]功能-行军令'!O136</f>
        <v>573706.17273066507</v>
      </c>
      <c r="S136" s="14">
        <f>'[1]功能-行军令'!P136</f>
        <v>621277.94984712673</v>
      </c>
      <c r="T136" s="14">
        <f>'[1]功能-行军令'!Q136</f>
        <v>499306.50706292992</v>
      </c>
      <c r="U136" s="14">
        <f>'[1]功能-行军令'!R136</f>
        <v>267363.20973163756</v>
      </c>
      <c r="V136" s="14">
        <f>'[1]功能-行军令'!S136</f>
        <v>31068.313059349195</v>
      </c>
      <c r="W136" s="14">
        <f>'[1]功能-行军令'!T136</f>
        <v>38801.443162012263</v>
      </c>
      <c r="X136" s="14">
        <f>'[1]功能-行军令'!U136</f>
        <v>40153.657879734645</v>
      </c>
      <c r="Y136" s="14">
        <f>'[1]功能-行军令'!V136</f>
        <v>31211.354224102746</v>
      </c>
      <c r="Z136" s="14">
        <f>'[1]功能-行军令'!W136</f>
        <v>16937.14866838092</v>
      </c>
      <c r="AC136" s="14">
        <v>133</v>
      </c>
      <c r="AD136" s="14">
        <v>25200156</v>
      </c>
      <c r="AE136" s="14">
        <v>25621434</v>
      </c>
      <c r="AF136" s="14">
        <v>26250420</v>
      </c>
      <c r="AG136" s="14">
        <v>26606622</v>
      </c>
      <c r="AH136" s="14">
        <v>27005124</v>
      </c>
      <c r="AK136" s="14">
        <v>133</v>
      </c>
      <c r="AL136" s="14">
        <f>'[1]功能-付费相关'!AH138</f>
        <v>5.5555555555555558E-3</v>
      </c>
      <c r="AM136" s="14">
        <f>'[1]功能-付费相关'!AI138</f>
        <v>5.5555555555555558E-3</v>
      </c>
      <c r="AN136" s="14">
        <f>'[1]功能-付费相关'!AJ138</f>
        <v>5.5555555555555558E-3</v>
      </c>
      <c r="AO136" s="14">
        <f>'[1]功能-付费相关'!AK138</f>
        <v>5.5555555555555558E-3</v>
      </c>
      <c r="AP136" s="14">
        <f>'[1]功能-付费相关'!AL138</f>
        <v>5.5555555555555558E-3</v>
      </c>
      <c r="AS136" s="14">
        <v>133</v>
      </c>
      <c r="AT136" s="14">
        <f>'[1]功能-城建'!GF136</f>
        <v>1459299404.1537437</v>
      </c>
      <c r="AU136" s="14">
        <f>'[1]功能-城建'!GG136</f>
        <v>1257166758.4491997</v>
      </c>
      <c r="AV136" s="14">
        <f>'[1]功能-城建'!GH136</f>
        <v>966854294.68322563</v>
      </c>
      <c r="AW136" s="14">
        <f>'[1]功能-城建'!GI136</f>
        <v>671983486.67349815</v>
      </c>
      <c r="AX136" s="14">
        <f>'[1]功能-城建'!GJ136</f>
        <v>366359077.09636879</v>
      </c>
    </row>
    <row r="137" spans="2:50" x14ac:dyDescent="0.15">
      <c r="B137" s="14">
        <v>134</v>
      </c>
      <c r="C137" s="14">
        <f>'[1]资源-钻石'!L137</f>
        <v>32425395.093675382</v>
      </c>
      <c r="D137" s="14">
        <f>'[1]资源-钻石'!M137</f>
        <v>45889291.469480656</v>
      </c>
      <c r="E137" s="14">
        <f>'[1]资源-钻石'!N137</f>
        <v>73068218.939424127</v>
      </c>
      <c r="F137" s="14">
        <f>'[1]资源-钻石'!O137</f>
        <v>161374762.85707304</v>
      </c>
      <c r="G137" s="14">
        <f>'[1]资源-钻石'!P137</f>
        <v>217839169.51968169</v>
      </c>
      <c r="I137" s="14">
        <v>134</v>
      </c>
      <c r="J137" s="14">
        <f>'[1]资源-钻石'!T137</f>
        <v>742850.38256524422</v>
      </c>
      <c r="K137" s="14">
        <f>'[1]资源-钻石'!U137</f>
        <v>1044775.4208217687</v>
      </c>
      <c r="L137" s="14">
        <f>'[1]资源-钻石'!V137</f>
        <v>1752498.9629039457</v>
      </c>
      <c r="M137" s="14">
        <f>'[1]资源-钻石'!W137</f>
        <v>4640458.8591943402</v>
      </c>
      <c r="N137" s="14">
        <f>'[1]资源-钻石'!X137</f>
        <v>11046857.245113773</v>
      </c>
      <c r="P137" s="14">
        <v>134</v>
      </c>
      <c r="Q137" s="14">
        <f>'[1]功能-行军令'!N137</f>
        <v>497186.80503237102</v>
      </c>
      <c r="R137" s="14">
        <f>'[1]功能-行军令'!O137</f>
        <v>613149.14226088859</v>
      </c>
      <c r="S137" s="14">
        <f>'[1]功能-行军令'!P137</f>
        <v>662824.58912890544</v>
      </c>
      <c r="T137" s="14">
        <f>'[1]功能-行军令'!Q137</f>
        <v>533031.81199344399</v>
      </c>
      <c r="U137" s="14">
        <f>'[1]功能-行军令'!R137</f>
        <v>285886.73625713534</v>
      </c>
      <c r="V137" s="14">
        <f>'[1]功能-行军令'!S137</f>
        <v>33298.193462779454</v>
      </c>
      <c r="W137" s="14">
        <f>'[1]功能-行军令'!T137</f>
        <v>39442.96953022352</v>
      </c>
      <c r="X137" s="14">
        <f>'[1]功能-行军令'!U137</f>
        <v>41546.639281778713</v>
      </c>
      <c r="Y137" s="14">
        <f>'[1]功能-行军令'!V137</f>
        <v>33725.304930514074</v>
      </c>
      <c r="Z137" s="14">
        <f>'[1]功能-行军令'!W137</f>
        <v>18523.526525497786</v>
      </c>
      <c r="AC137" s="14">
        <v>134</v>
      </c>
      <c r="AD137" s="14">
        <v>25703676</v>
      </c>
      <c r="AE137" s="14">
        <v>26108622</v>
      </c>
      <c r="AF137" s="14">
        <v>26708580</v>
      </c>
      <c r="AG137" s="14">
        <v>27074016</v>
      </c>
      <c r="AH137" s="14">
        <v>27474840</v>
      </c>
      <c r="AK137" s="14">
        <v>134</v>
      </c>
      <c r="AL137" s="14">
        <f>'[1]功能-付费相关'!AH139</f>
        <v>5.5555555555555558E-3</v>
      </c>
      <c r="AM137" s="14">
        <f>'[1]功能-付费相关'!AI139</f>
        <v>5.5555555555555558E-3</v>
      </c>
      <c r="AN137" s="14">
        <f>'[1]功能-付费相关'!AJ139</f>
        <v>5.5555555555555558E-3</v>
      </c>
      <c r="AO137" s="14">
        <f>'[1]功能-付费相关'!AK139</f>
        <v>5.5555555555555558E-3</v>
      </c>
      <c r="AP137" s="14">
        <f>'[1]功能-付费相关'!AL139</f>
        <v>5.5555555555555558E-3</v>
      </c>
      <c r="AS137" s="14">
        <v>134</v>
      </c>
      <c r="AT137" s="14">
        <f>'[1]功能-城建'!GF137</f>
        <v>1571385181.9348145</v>
      </c>
      <c r="AU137" s="14">
        <f>'[1]功能-城建'!GG137</f>
        <v>1292210288.38834</v>
      </c>
      <c r="AV137" s="14">
        <f>'[1]功能-城建'!GH137</f>
        <v>1012459640.3436546</v>
      </c>
      <c r="AW137" s="14">
        <f>'[1]功能-城建'!GI137</f>
        <v>728740356.23464775</v>
      </c>
      <c r="AX137" s="14">
        <f>'[1]功能-城建'!GJ137</f>
        <v>407229839.45958424</v>
      </c>
    </row>
    <row r="138" spans="2:50" x14ac:dyDescent="0.15">
      <c r="B138" s="14">
        <v>135</v>
      </c>
      <c r="C138" s="14">
        <f>'[1]资源-钻石'!L138</f>
        <v>34614884.26629331</v>
      </c>
      <c r="D138" s="14">
        <f>'[1]资源-钻石'!M138</f>
        <v>48981338.466808848</v>
      </c>
      <c r="E138" s="14">
        <f>'[1]资源-钻石'!N138</f>
        <v>78050193.707845315</v>
      </c>
      <c r="F138" s="14">
        <f>'[1]资源-钻石'!O138</f>
        <v>172908161.67525318</v>
      </c>
      <c r="G138" s="14">
        <f>'[1]资源-钻石'!P138</f>
        <v>233720757.21706653</v>
      </c>
      <c r="I138" s="14">
        <v>135</v>
      </c>
      <c r="J138" s="14">
        <f>'[1]资源-钻石'!T138</f>
        <v>747183.74034902453</v>
      </c>
      <c r="K138" s="14">
        <f>'[1]资源-钻石'!U138</f>
        <v>1051222.1143839271</v>
      </c>
      <c r="L138" s="14">
        <f>'[1]资源-钻石'!V138</f>
        <v>1764042.3258223198</v>
      </c>
      <c r="M138" s="14">
        <f>'[1]资源-钻石'!W138</f>
        <v>4673176.5584045518</v>
      </c>
      <c r="N138" s="14">
        <f>'[1]资源-钻石'!X138</f>
        <v>11126701.714245005</v>
      </c>
      <c r="P138" s="14">
        <v>135</v>
      </c>
      <c r="Q138" s="14">
        <f>'[1]功能-行军令'!N138</f>
        <v>532874.92513617827</v>
      </c>
      <c r="R138" s="14">
        <f>'[1]功能-行军令'!O138</f>
        <v>656384.90696899174</v>
      </c>
      <c r="S138" s="14">
        <f>'[1]功能-行军令'!P138</f>
        <v>709453.45739380363</v>
      </c>
      <c r="T138" s="14">
        <f>'[1]功能-行军令'!Q138</f>
        <v>571531.52568355715</v>
      </c>
      <c r="U138" s="14">
        <f>'[1]功能-行军令'!R138</f>
        <v>306884.98623342562</v>
      </c>
      <c r="V138" s="14">
        <f>'[1]功能-行军令'!S138</f>
        <v>35688.120103807247</v>
      </c>
      <c r="W138" s="14">
        <f>'[1]功能-行军令'!T138</f>
        <v>43235.764708103146</v>
      </c>
      <c r="X138" s="14">
        <f>'[1]功能-行军令'!U138</f>
        <v>46628.868264898192</v>
      </c>
      <c r="Y138" s="14">
        <f>'[1]功能-行军令'!V138</f>
        <v>38499.71369011316</v>
      </c>
      <c r="Z138" s="14">
        <f>'[1]功能-行军令'!W138</f>
        <v>20998.249976290273</v>
      </c>
      <c r="AC138" s="14">
        <v>135</v>
      </c>
      <c r="AD138" s="14">
        <v>26182176</v>
      </c>
      <c r="AE138" s="14">
        <v>26582400</v>
      </c>
      <c r="AF138" s="14">
        <v>27180984</v>
      </c>
      <c r="AG138" s="14">
        <v>27548928</v>
      </c>
      <c r="AH138" s="14">
        <v>27961008</v>
      </c>
      <c r="AK138" s="14">
        <v>135</v>
      </c>
      <c r="AL138" s="14">
        <f>'[1]功能-付费相关'!AH140</f>
        <v>5.5555555555555558E-3</v>
      </c>
      <c r="AM138" s="14">
        <f>'[1]功能-付费相关'!AI140</f>
        <v>5.5555555555555558E-3</v>
      </c>
      <c r="AN138" s="14">
        <f>'[1]功能-付费相关'!AJ140</f>
        <v>5.5555555555555558E-3</v>
      </c>
      <c r="AO138" s="14">
        <f>'[1]功能-付费相关'!AK140</f>
        <v>5.5555555555555558E-3</v>
      </c>
      <c r="AP138" s="14">
        <f>'[1]功能-付费相关'!AL140</f>
        <v>5.5555555555555558E-3</v>
      </c>
      <c r="AS138" s="14">
        <v>135</v>
      </c>
      <c r="AT138" s="14">
        <f>'[1]功能-城建'!GF138</f>
        <v>1708772282.5590858</v>
      </c>
      <c r="AU138" s="14">
        <f>'[1]功能-城建'!GG138</f>
        <v>1431039280.8461151</v>
      </c>
      <c r="AV138" s="14">
        <f>'[1]功能-城建'!GH138</f>
        <v>1141828686.7751732</v>
      </c>
      <c r="AW138" s="14">
        <f>'[1]功能-城建'!GI138</f>
        <v>846395647.37759399</v>
      </c>
      <c r="AX138" s="14">
        <f>'[1]功能-城建'!GJ138</f>
        <v>462469517.13568497</v>
      </c>
    </row>
    <row r="139" spans="2:50" x14ac:dyDescent="0.15">
      <c r="B139" s="14">
        <v>136</v>
      </c>
      <c r="C139" s="14">
        <f>'[1]资源-钻石'!L139</f>
        <v>36901009.197876357</v>
      </c>
      <c r="D139" s="14">
        <f>'[1]资源-钻石'!M139</f>
        <v>52386513.266411647</v>
      </c>
      <c r="E139" s="14">
        <f>'[1]资源-钻石'!N139</f>
        <v>83768753.10691601</v>
      </c>
      <c r="F139" s="14">
        <f>'[1]资源-钻石'!O139</f>
        <v>185781671.09349987</v>
      </c>
      <c r="G139" s="14">
        <f>'[1]资源-钻石'!P139</f>
        <v>251227997.70278466</v>
      </c>
      <c r="I139" s="14">
        <v>136</v>
      </c>
      <c r="J139" s="14">
        <f>'[1]资源-钻石'!T139</f>
        <v>751517.09813280485</v>
      </c>
      <c r="K139" s="14">
        <f>'[1]资源-钻石'!U139</f>
        <v>1057668.8079460855</v>
      </c>
      <c r="L139" s="14">
        <f>'[1]资源-钻石'!V139</f>
        <v>1775585.688740694</v>
      </c>
      <c r="M139" s="14">
        <f>'[1]资源-钻石'!W139</f>
        <v>4705894.2576147635</v>
      </c>
      <c r="N139" s="14">
        <f>'[1]资源-钻石'!X139</f>
        <v>11206546.183376238</v>
      </c>
      <c r="P139" s="14">
        <v>136</v>
      </c>
      <c r="Q139" s="14">
        <f>'[1]功能-行军令'!N139</f>
        <v>571124.50519124593</v>
      </c>
      <c r="R139" s="14">
        <f>'[1]功能-行军令'!O139</f>
        <v>703999.10447401193</v>
      </c>
      <c r="S139" s="14">
        <f>'[1]功能-行军令'!P139</f>
        <v>762976.40066008712</v>
      </c>
      <c r="T139" s="14">
        <f>'[1]功能-行军令'!Q139</f>
        <v>614601.97893643519</v>
      </c>
      <c r="U139" s="14">
        <f>'[1]功能-行军令'!R139</f>
        <v>330064.0257251226</v>
      </c>
      <c r="V139" s="14">
        <f>'[1]功能-行军令'!S139</f>
        <v>38249.580055067665</v>
      </c>
      <c r="W139" s="14">
        <f>'[1]功能-行军令'!T139</f>
        <v>47614.197505020187</v>
      </c>
      <c r="X139" s="14">
        <f>'[1]功能-行军令'!U139</f>
        <v>53522.943266283488</v>
      </c>
      <c r="Y139" s="14">
        <f>'[1]功能-行军令'!V139</f>
        <v>43070.45325287804</v>
      </c>
      <c r="Z139" s="14">
        <f>'[1]功能-行军令'!W139</f>
        <v>23179.039491696982</v>
      </c>
      <c r="AC139" s="14">
        <v>136</v>
      </c>
      <c r="AD139" s="14">
        <v>26654592</v>
      </c>
      <c r="AE139" s="14">
        <v>27066840</v>
      </c>
      <c r="AF139" s="14">
        <v>27662262</v>
      </c>
      <c r="AG139" s="14">
        <v>28039350</v>
      </c>
      <c r="AH139" s="14">
        <v>28451034</v>
      </c>
      <c r="AK139" s="14">
        <v>136</v>
      </c>
      <c r="AL139" s="14">
        <f>'[1]功能-付费相关'!AH141</f>
        <v>5.5555555555555558E-3</v>
      </c>
      <c r="AM139" s="14">
        <f>'[1]功能-付费相关'!AI141</f>
        <v>5.5555555555555558E-3</v>
      </c>
      <c r="AN139" s="14">
        <f>'[1]功能-付费相关'!AJ141</f>
        <v>5.5555555555555558E-3</v>
      </c>
      <c r="AO139" s="14">
        <f>'[1]功能-付费相关'!AK141</f>
        <v>5.5555555555555558E-3</v>
      </c>
      <c r="AP139" s="14">
        <f>'[1]功能-付费相关'!AL141</f>
        <v>5.5555555555555558E-3</v>
      </c>
      <c r="AS139" s="14">
        <v>136</v>
      </c>
      <c r="AT139" s="14">
        <f>'[1]功能-城建'!GF139</f>
        <v>1843962363.6982193</v>
      </c>
      <c r="AU139" s="14">
        <f>'[1]功能-城建'!GG139</f>
        <v>1588583842.8915901</v>
      </c>
      <c r="AV139" s="14">
        <f>'[1]功能-城建'!GH139</f>
        <v>1331839041.0128822</v>
      </c>
      <c r="AW139" s="14">
        <f>'[1]功能-城建'!GI139</f>
        <v>948927361.99923515</v>
      </c>
      <c r="AX139" s="14">
        <f>'[1]功能-城建'!GJ139</f>
        <v>520110641.48747635</v>
      </c>
    </row>
    <row r="140" spans="2:50" x14ac:dyDescent="0.15">
      <c r="B140" s="14">
        <v>137</v>
      </c>
      <c r="C140" s="14">
        <f>'[1]资源-钻石'!L140</f>
        <v>39351217.23158966</v>
      </c>
      <c r="D140" s="14">
        <f>'[1]资源-钻石'!M140</f>
        <v>56064156.040933087</v>
      </c>
      <c r="E140" s="14">
        <f>'[1]资源-钻石'!N140</f>
        <v>89710676.40270111</v>
      </c>
      <c r="F140" s="14">
        <f>'[1]资源-钻石'!O140</f>
        <v>199304983.53542653</v>
      </c>
      <c r="G140" s="14">
        <f>'[1]资源-钻石'!P140</f>
        <v>269433057.58926111</v>
      </c>
      <c r="I140" s="14">
        <v>137</v>
      </c>
      <c r="J140" s="14">
        <f>'[1]资源-钻石'!T140</f>
        <v>755850.45591658517</v>
      </c>
      <c r="K140" s="14">
        <f>'[1]资源-钻石'!U140</f>
        <v>1064115.5015082438</v>
      </c>
      <c r="L140" s="14">
        <f>'[1]资源-钻石'!V140</f>
        <v>1787129.0516590683</v>
      </c>
      <c r="M140" s="14">
        <f>'[1]资源-钻石'!W140</f>
        <v>4738611.9568249751</v>
      </c>
      <c r="N140" s="14">
        <f>'[1]资源-钻石'!X140</f>
        <v>11286390.652507471</v>
      </c>
      <c r="P140" s="14">
        <v>137</v>
      </c>
      <c r="Q140" s="14">
        <f>'[1]功能-行军令'!N140</f>
        <v>612119.39004742505</v>
      </c>
      <c r="R140" s="14">
        <f>'[1]功能-行军令'!O140</f>
        <v>755423.19272915821</v>
      </c>
      <c r="S140" s="14">
        <f>'[1]功能-行军令'!P140</f>
        <v>818589.92169907386</v>
      </c>
      <c r="T140" s="14">
        <f>'[1]功能-行军令'!Q140</f>
        <v>659951.19760232652</v>
      </c>
      <c r="U140" s="14">
        <f>'[1]功能-行军令'!R140</f>
        <v>354166.95630413538</v>
      </c>
      <c r="V140" s="14">
        <f>'[1]功能-行军令'!S140</f>
        <v>40994.884856179124</v>
      </c>
      <c r="W140" s="14">
        <f>'[1]功能-行军令'!T140</f>
        <v>51424.088255146286</v>
      </c>
      <c r="X140" s="14">
        <f>'[1]功能-行军令'!U140</f>
        <v>55613.521038986742</v>
      </c>
      <c r="Y140" s="14">
        <f>'[1]功能-行军令'!V140</f>
        <v>45349.218665891327</v>
      </c>
      <c r="Z140" s="14">
        <f>'[1]功能-行军令'!W140</f>
        <v>24102.930579012784</v>
      </c>
      <c r="AC140" s="14">
        <v>137</v>
      </c>
      <c r="AD140" s="14">
        <v>27133008</v>
      </c>
      <c r="AE140" s="14">
        <v>27557124</v>
      </c>
      <c r="AF140" s="14">
        <v>28151682</v>
      </c>
      <c r="AG140" s="14">
        <v>28529520</v>
      </c>
      <c r="AH140" s="14">
        <v>28949358</v>
      </c>
      <c r="AK140" s="14">
        <v>137</v>
      </c>
      <c r="AL140" s="14">
        <f>'[1]功能-付费相关'!AH142</f>
        <v>5.5555555555555558E-3</v>
      </c>
      <c r="AM140" s="14">
        <f>'[1]功能-付费相关'!AI142</f>
        <v>5.5555555555555558E-3</v>
      </c>
      <c r="AN140" s="14">
        <f>'[1]功能-付费相关'!AJ142</f>
        <v>5.5555555555555558E-3</v>
      </c>
      <c r="AO140" s="14">
        <f>'[1]功能-付费相关'!AK142</f>
        <v>5.5555555555555558E-3</v>
      </c>
      <c r="AP140" s="14">
        <f>'[1]功能-付费相关'!AL142</f>
        <v>5.5555555555555558E-3</v>
      </c>
      <c r="AS140" s="14">
        <v>137</v>
      </c>
      <c r="AT140" s="14">
        <f>'[1]功能-城建'!GF140</f>
        <v>2000170301.0370064</v>
      </c>
      <c r="AU140" s="14">
        <f>'[1]功能-城建'!GG140</f>
        <v>1737980678.2828827</v>
      </c>
      <c r="AV140" s="14">
        <f>'[1]功能-城建'!GH140</f>
        <v>1389034671.9013023</v>
      </c>
      <c r="AW140" s="14">
        <f>'[1]功能-城建'!GI140</f>
        <v>1017583632.8214378</v>
      </c>
      <c r="AX140" s="14">
        <f>'[1]功能-城建'!GJ140</f>
        <v>541385923.35052967</v>
      </c>
    </row>
    <row r="141" spans="2:50" x14ac:dyDescent="0.15">
      <c r="B141" s="14">
        <v>138</v>
      </c>
      <c r="C141" s="14">
        <f>'[1]资源-钻石'!L141</f>
        <v>41977285.179816887</v>
      </c>
      <c r="D141" s="14">
        <f>'[1]资源-钻石'!M141</f>
        <v>59892747.061179705</v>
      </c>
      <c r="E141" s="14">
        <f>'[1]资源-钻石'!N141</f>
        <v>96057840.009374917</v>
      </c>
      <c r="F141" s="14">
        <f>'[1]资源-钻石'!O141</f>
        <v>213562480.57053208</v>
      </c>
      <c r="G141" s="14">
        <f>'[1]资源-钻石'!P141</f>
        <v>287524649.62611848</v>
      </c>
      <c r="I141" s="14">
        <v>138</v>
      </c>
      <c r="J141" s="14">
        <f>'[1]资源-钻石'!T141</f>
        <v>760183.81370036548</v>
      </c>
      <c r="K141" s="14">
        <f>'[1]资源-钻石'!U141</f>
        <v>1070562.1950704022</v>
      </c>
      <c r="L141" s="14">
        <f>'[1]资源-钻石'!V141</f>
        <v>1798672.4145774425</v>
      </c>
      <c r="M141" s="14">
        <f>'[1]资源-钻石'!W141</f>
        <v>4771329.6560351867</v>
      </c>
      <c r="N141" s="14">
        <f>'[1]资源-钻石'!X141</f>
        <v>11366235.121638704</v>
      </c>
      <c r="P141" s="14">
        <v>138</v>
      </c>
      <c r="Q141" s="14">
        <f>'[1]功能-行军令'!N141</f>
        <v>656056.61973600974</v>
      </c>
      <c r="R141" s="14">
        <f>'[1]功能-行军令'!O141</f>
        <v>809646.60546642425</v>
      </c>
      <c r="S141" s="14">
        <f>'[1]功能-行军令'!P141</f>
        <v>877996.29556257313</v>
      </c>
      <c r="T141" s="14">
        <f>'[1]功能-行军令'!Q141</f>
        <v>707762.43863146473</v>
      </c>
      <c r="U141" s="14">
        <f>'[1]功能-行军令'!R141</f>
        <v>378119.65899489215</v>
      </c>
      <c r="V141" s="14">
        <f>'[1]功能-行军令'!S141</f>
        <v>43937.229688584688</v>
      </c>
      <c r="W141" s="14">
        <f>'[1]功能-行军令'!T141</f>
        <v>54223.412737266044</v>
      </c>
      <c r="X141" s="14">
        <f>'[1]功能-行军令'!U141</f>
        <v>59406.373863499262</v>
      </c>
      <c r="Y141" s="14">
        <f>'[1]功能-行军令'!V141</f>
        <v>47811.241029138211</v>
      </c>
      <c r="Z141" s="14">
        <f>'[1]功能-行军令'!W141</f>
        <v>23952.702690756763</v>
      </c>
      <c r="AC141" s="14">
        <v>138</v>
      </c>
      <c r="AD141" s="14">
        <v>27618798</v>
      </c>
      <c r="AE141" s="14">
        <v>28055730</v>
      </c>
      <c r="AF141" s="14">
        <v>28643034</v>
      </c>
      <c r="AG141" s="14">
        <v>29028690</v>
      </c>
      <c r="AH141" s="14">
        <v>29441850</v>
      </c>
      <c r="AK141" s="14">
        <v>138</v>
      </c>
      <c r="AL141" s="14">
        <f>'[1]功能-付费相关'!AH143</f>
        <v>5.5555555555555558E-3</v>
      </c>
      <c r="AM141" s="14">
        <f>'[1]功能-付费相关'!AI143</f>
        <v>5.5555555555555558E-3</v>
      </c>
      <c r="AN141" s="14">
        <f>'[1]功能-付费相关'!AJ143</f>
        <v>5.5555555555555558E-3</v>
      </c>
      <c r="AO141" s="14">
        <f>'[1]功能-付费相关'!AK143</f>
        <v>5.5555555555555558E-3</v>
      </c>
      <c r="AP141" s="14">
        <f>'[1]功能-付费相关'!AL143</f>
        <v>5.5555555555555558E-3</v>
      </c>
      <c r="AS141" s="14">
        <v>138</v>
      </c>
      <c r="AT141" s="14">
        <f>'[1]功能-城建'!GF141</f>
        <v>2162857889.2789421</v>
      </c>
      <c r="AU141" s="14">
        <f>'[1]功能-城建'!GG141</f>
        <v>1843714488.0874443</v>
      </c>
      <c r="AV141" s="14">
        <f>'[1]功能-城建'!GH141</f>
        <v>1508791332.6738434</v>
      </c>
      <c r="AW141" s="14">
        <f>'[1]功能-城建'!GI141</f>
        <v>1073657370.7399044</v>
      </c>
      <c r="AX141" s="14">
        <f>'[1]功能-城建'!GJ141</f>
        <v>548354106.26023674</v>
      </c>
    </row>
    <row r="142" spans="2:50" x14ac:dyDescent="0.15">
      <c r="B142" s="14">
        <v>139</v>
      </c>
      <c r="C142" s="14">
        <f>'[1]资源-钻石'!L142</f>
        <v>44791835.117543951</v>
      </c>
      <c r="D142" s="14">
        <f>'[1]资源-钻石'!M142</f>
        <v>64001972.940322354</v>
      </c>
      <c r="E142" s="14">
        <f>'[1]资源-钻石'!N142</f>
        <v>102806090.60437706</v>
      </c>
      <c r="F142" s="14">
        <f>'[1]资源-钻石'!O142</f>
        <v>227819813.03246519</v>
      </c>
      <c r="G142" s="14">
        <f>'[1]资源-钻石'!P142</f>
        <v>306954009.28354383</v>
      </c>
      <c r="I142" s="14">
        <v>139</v>
      </c>
      <c r="J142" s="14">
        <f>'[1]资源-钻石'!T142</f>
        <v>764517.1714841458</v>
      </c>
      <c r="K142" s="14">
        <f>'[1]资源-钻石'!U142</f>
        <v>1077008.8886325604</v>
      </c>
      <c r="L142" s="14">
        <f>'[1]资源-钻石'!V142</f>
        <v>1810215.7774958166</v>
      </c>
      <c r="M142" s="14">
        <f>'[1]资源-钻石'!W142</f>
        <v>4804047.3552453984</v>
      </c>
      <c r="N142" s="14">
        <f>'[1]资源-钻石'!X142</f>
        <v>11446079.590769937</v>
      </c>
      <c r="P142" s="14">
        <v>139</v>
      </c>
      <c r="Q142" s="14">
        <f>'[1]功能-行军令'!N142</f>
        <v>703147.37653359666</v>
      </c>
      <c r="R142" s="14">
        <f>'[1]功能-行军令'!O142</f>
        <v>868171.48006227182</v>
      </c>
      <c r="S142" s="14">
        <f>'[1]功能-行军令'!P142</f>
        <v>941156.64916520589</v>
      </c>
      <c r="T142" s="14">
        <f>'[1]功能-行军令'!Q142</f>
        <v>755573.12777918961</v>
      </c>
      <c r="U142" s="14">
        <f>'[1]功能-行军令'!R142</f>
        <v>403843.52422455128</v>
      </c>
      <c r="V142" s="14">
        <f>'[1]功能-行军令'!S142</f>
        <v>47090.756797586917</v>
      </c>
      <c r="W142" s="14">
        <f>'[1]功能-行军令'!T142</f>
        <v>58524.874595847563</v>
      </c>
      <c r="X142" s="14">
        <f>'[1]功能-行军令'!U142</f>
        <v>63160.353602632764</v>
      </c>
      <c r="Y142" s="14">
        <f>'[1]功能-行军令'!V142</f>
        <v>47810.689147724886</v>
      </c>
      <c r="Z142" s="14">
        <f>'[1]功能-行军令'!W142</f>
        <v>25723.865229659132</v>
      </c>
      <c r="AC142" s="14">
        <v>139</v>
      </c>
      <c r="AD142" s="14">
        <v>28112046</v>
      </c>
      <c r="AE142" s="14">
        <v>28559184</v>
      </c>
      <c r="AF142" s="14">
        <v>29143836</v>
      </c>
      <c r="AG142" s="14">
        <v>29522514</v>
      </c>
      <c r="AH142" s="14">
        <v>29948940</v>
      </c>
      <c r="AK142" s="14">
        <v>139</v>
      </c>
      <c r="AL142" s="14">
        <f>'[1]功能-付费相关'!AH144</f>
        <v>5.5555555555555558E-3</v>
      </c>
      <c r="AM142" s="14">
        <f>'[1]功能-付费相关'!AI144</f>
        <v>5.5555555555555558E-3</v>
      </c>
      <c r="AN142" s="14">
        <f>'[1]功能-付费相关'!AJ144</f>
        <v>5.5555555555555558E-3</v>
      </c>
      <c r="AO142" s="14">
        <f>'[1]功能-付费相关'!AK144</f>
        <v>5.5555555555555558E-3</v>
      </c>
      <c r="AP142" s="14">
        <f>'[1]功能-付费相关'!AL144</f>
        <v>5.5555555555555558E-3</v>
      </c>
      <c r="AS142" s="14">
        <v>139</v>
      </c>
      <c r="AT142" s="14">
        <f>'[1]功能-城建'!GF142</f>
        <v>2340445718.5820122</v>
      </c>
      <c r="AU142" s="14">
        <f>'[1]功能-城建'!GG142</f>
        <v>2018846121.8794441</v>
      </c>
      <c r="AV142" s="14">
        <f>'[1]功能-城建'!GH142</f>
        <v>1607022928.7404785</v>
      </c>
      <c r="AW142" s="14">
        <f>'[1]功能-城建'!GI142</f>
        <v>1094539854.4692764</v>
      </c>
      <c r="AX142" s="14">
        <f>'[1]功能-城建'!GJ142</f>
        <v>588901691.37413883</v>
      </c>
    </row>
    <row r="143" spans="2:50" x14ac:dyDescent="0.15">
      <c r="B143" s="14">
        <v>140</v>
      </c>
      <c r="C143" s="14">
        <f>'[1]资源-钻石'!L143</f>
        <v>47808395.049782947</v>
      </c>
      <c r="D143" s="14">
        <f>'[1]资源-钻石'!M143</f>
        <v>68346540.580155924</v>
      </c>
      <c r="E143" s="14">
        <f>'[1]资源-钻石'!N143</f>
        <v>109561891.09177381</v>
      </c>
      <c r="F143" s="14">
        <f>'[1]资源-钻石'!O143</f>
        <v>242935768.4476099</v>
      </c>
      <c r="G143" s="14">
        <f>'[1]资源-钻石'!P143</f>
        <v>328083416.33812416</v>
      </c>
      <c r="I143" s="14">
        <v>140</v>
      </c>
      <c r="J143" s="14">
        <f>'[1]资源-钻石'!T143</f>
        <v>768850.52926792612</v>
      </c>
      <c r="K143" s="14">
        <f>'[1]资源-钻石'!U143</f>
        <v>1083455.5821947188</v>
      </c>
      <c r="L143" s="14">
        <f>'[1]资源-钻石'!V143</f>
        <v>1821759.1404141907</v>
      </c>
      <c r="M143" s="14">
        <f>'[1]资源-钻石'!W143</f>
        <v>4836765.05445561</v>
      </c>
      <c r="N143" s="14">
        <f>'[1]资源-钻石'!X143</f>
        <v>11525924.059901169</v>
      </c>
      <c r="P143" s="14">
        <v>140</v>
      </c>
      <c r="Q143" s="14">
        <f>'[1]功能-行军令'!N143</f>
        <v>753618</v>
      </c>
      <c r="R143" s="14">
        <f>'[1]功能-行军令'!O143</f>
        <v>930048.16530000011</v>
      </c>
      <c r="S143" s="14">
        <f>'[1]功能-行军令'!P143</f>
        <v>1004387.6661</v>
      </c>
      <c r="T143" s="14">
        <f>'[1]功能-行军令'!Q143</f>
        <v>806263.13219999999</v>
      </c>
      <c r="U143" s="14">
        <f>'[1]功能-行军令'!R143</f>
        <v>431818.19910000003</v>
      </c>
      <c r="V143" s="14">
        <f>'[1]功能-行军令'!S143</f>
        <v>50470.62346640334</v>
      </c>
      <c r="W143" s="14">
        <f>'[1]功能-行军令'!T143</f>
        <v>61876.685237728292</v>
      </c>
      <c r="X143" s="14">
        <f>'[1]功能-行军令'!U143</f>
        <v>63231.016934794141</v>
      </c>
      <c r="Y143" s="14">
        <f>'[1]功能-行军令'!V143</f>
        <v>50690.004420810379</v>
      </c>
      <c r="Z143" s="14">
        <f>'[1]功能-行军令'!W143</f>
        <v>27974.674875448749</v>
      </c>
      <c r="AC143" s="14">
        <v>140</v>
      </c>
      <c r="AD143" s="14">
        <v>28611516</v>
      </c>
      <c r="AE143" s="14">
        <v>29069280</v>
      </c>
      <c r="AF143" s="14">
        <v>29640090</v>
      </c>
      <c r="AG143" s="14">
        <v>30029382</v>
      </c>
      <c r="AH143" s="14">
        <v>30491580</v>
      </c>
      <c r="AK143" s="14">
        <v>140</v>
      </c>
      <c r="AL143" s="14">
        <f>'[1]功能-付费相关'!AH145</f>
        <v>5.5555555555555558E-3</v>
      </c>
      <c r="AM143" s="14">
        <f>'[1]功能-付费相关'!AI145</f>
        <v>5.5555555555555558E-3</v>
      </c>
      <c r="AN143" s="14">
        <f>'[1]功能-付费相关'!AJ145</f>
        <v>5.5555555555555558E-3</v>
      </c>
      <c r="AO143" s="14">
        <f>'[1]功能-付费相关'!AK145</f>
        <v>5.5555555555555558E-3</v>
      </c>
      <c r="AP143" s="14">
        <f>'[1]功能-付费相关'!AL145</f>
        <v>5.5555555555555558E-3</v>
      </c>
      <c r="AS143" s="14">
        <v>140</v>
      </c>
      <c r="AT143" s="14">
        <f>'[1]功能-城建'!GF143</f>
        <v>2535819672.9467697</v>
      </c>
      <c r="AU143" s="14">
        <f>'[1]功能-城建'!GG143</f>
        <v>2142601287.2061729</v>
      </c>
      <c r="AV143" s="14">
        <f>'[1]功能-城建'!GH143</f>
        <v>1638447669.5851059</v>
      </c>
      <c r="AW143" s="14">
        <f>'[1]功能-城建'!GI143</f>
        <v>1160456606.0608826</v>
      </c>
      <c r="AX143" s="14">
        <f>'[1]功能-城建'!GJ143</f>
        <v>651072572.8361063</v>
      </c>
    </row>
    <row r="144" spans="2:50" x14ac:dyDescent="0.15">
      <c r="B144" s="14">
        <v>141</v>
      </c>
      <c r="C144" s="14">
        <f>'[1]资源-钻石'!L144</f>
        <v>51041463.933306925</v>
      </c>
      <c r="D144" s="14">
        <f>'[1]资源-钻石'!M144</f>
        <v>72852035.694086939</v>
      </c>
      <c r="E144" s="14">
        <f>'[1]资源-钻石'!N144</f>
        <v>116846020.79875034</v>
      </c>
      <c r="F144" s="14">
        <f>'[1]资源-钻石'!O144</f>
        <v>259923710.36208475</v>
      </c>
      <c r="G144" s="14">
        <f>'[1]资源-钻石'!P144</f>
        <v>351220869.37695414</v>
      </c>
      <c r="I144" s="14">
        <v>141</v>
      </c>
      <c r="J144" s="14">
        <f>'[1]资源-钻石'!T144</f>
        <v>773183.88705170644</v>
      </c>
      <c r="K144" s="14">
        <f>'[1]资源-钻石'!U144</f>
        <v>1089902.2757568771</v>
      </c>
      <c r="L144" s="14">
        <f>'[1]资源-钻石'!V144</f>
        <v>1833302.5033325651</v>
      </c>
      <c r="M144" s="14">
        <f>'[1]资源-钻石'!W144</f>
        <v>4869482.7536658216</v>
      </c>
      <c r="N144" s="14">
        <f>'[1]资源-钻石'!X144</f>
        <v>11605768.529032402</v>
      </c>
      <c r="P144" s="14">
        <v>141</v>
      </c>
      <c r="Q144" s="14">
        <f>'[1]功能-行军令'!N144</f>
        <v>807711.07486895169</v>
      </c>
      <c r="R144" s="14">
        <f>'[1]功能-行军令'!O144</f>
        <v>994216.82973711565</v>
      </c>
      <c r="S144" s="14">
        <f>'[1]功能-行军令'!P144</f>
        <v>1072805.3614282238</v>
      </c>
      <c r="T144" s="14">
        <f>'[1]功能-行军令'!Q144</f>
        <v>863230.67590434593</v>
      </c>
      <c r="U144" s="14">
        <f>'[1]功能-行军令'!R144</f>
        <v>462451.46412893618</v>
      </c>
      <c r="V144" s="14">
        <f>'[1]功能-行军令'!S144</f>
        <v>54093.074868951691</v>
      </c>
      <c r="W144" s="14">
        <f>'[1]功能-行军令'!T144</f>
        <v>64168.664437115542</v>
      </c>
      <c r="X144" s="14">
        <f>'[1]功能-行军令'!U144</f>
        <v>68417.695328223752</v>
      </c>
      <c r="Y144" s="14">
        <f>'[1]功能-行军令'!V144</f>
        <v>56967.543704345939</v>
      </c>
      <c r="Z144" s="14">
        <f>'[1]功能-行军令'!W144</f>
        <v>30633.265028936148</v>
      </c>
      <c r="AC144" s="14">
        <v>141</v>
      </c>
      <c r="AD144" s="14">
        <v>29119944</v>
      </c>
      <c r="AE144" s="14">
        <v>29579124</v>
      </c>
      <c r="AF144" s="14">
        <v>30152754</v>
      </c>
      <c r="AG144" s="14">
        <v>30574218</v>
      </c>
      <c r="AH144" s="14">
        <v>31050828</v>
      </c>
      <c r="AK144" s="14">
        <v>141</v>
      </c>
      <c r="AL144" s="14">
        <f>'[1]功能-付费相关'!AH146</f>
        <v>5.5555555555555558E-3</v>
      </c>
      <c r="AM144" s="14">
        <f>'[1]功能-付费相关'!AI146</f>
        <v>5.5555555555555558E-3</v>
      </c>
      <c r="AN144" s="14">
        <f>'[1]功能-付费相关'!AJ146</f>
        <v>5.5555555555555558E-3</v>
      </c>
      <c r="AO144" s="14">
        <f>'[1]功能-付费相关'!AK146</f>
        <v>5.5555555555555558E-3</v>
      </c>
      <c r="AP144" s="14">
        <f>'[1]功能-付费相关'!AL146</f>
        <v>5.5555555555555558E-3</v>
      </c>
      <c r="AS144" s="14">
        <v>141</v>
      </c>
      <c r="AT144" s="14">
        <f>'[1]功能-城建'!GF144</f>
        <v>2737691357.9503632</v>
      </c>
      <c r="AU144" s="14">
        <f>'[1]功能-城建'!GG144</f>
        <v>2258353891.6823654</v>
      </c>
      <c r="AV144" s="14">
        <f>'[1]功能-城建'!GH144</f>
        <v>1772845336.0873795</v>
      </c>
      <c r="AW144" s="14">
        <f>'[1]功能-城建'!GI144</f>
        <v>1325270519.8352699</v>
      </c>
      <c r="AX144" s="14">
        <f>'[1]功能-城建'!GJ144</f>
        <v>715212385.84063911</v>
      </c>
    </row>
    <row r="145" spans="2:50" x14ac:dyDescent="0.15">
      <c r="B145" s="14">
        <v>142</v>
      </c>
      <c r="C145" s="14">
        <f>'[1]资源-钻石'!L145</f>
        <v>54506581.365219891</v>
      </c>
      <c r="D145" s="14">
        <f>'[1]资源-钻石'!M145</f>
        <v>77862630.273750991</v>
      </c>
      <c r="E145" s="14">
        <f>'[1]资源-钻石'!N145</f>
        <v>125300047.36711799</v>
      </c>
      <c r="F145" s="14">
        <f>'[1]资源-钻石'!O145</f>
        <v>279036433.30328238</v>
      </c>
      <c r="G145" s="14">
        <f>'[1]资源-钻石'!P145</f>
        <v>377170623.84265661</v>
      </c>
      <c r="I145" s="14">
        <v>142</v>
      </c>
      <c r="J145" s="14">
        <f>'[1]资源-钻石'!T145</f>
        <v>777517.24483548675</v>
      </c>
      <c r="K145" s="14">
        <f>'[1]资源-钻石'!U145</f>
        <v>1096348.9693190355</v>
      </c>
      <c r="L145" s="14">
        <f>'[1]资源-钻石'!V145</f>
        <v>1844845.8662509392</v>
      </c>
      <c r="M145" s="14">
        <f>'[1]资源-钻石'!W145</f>
        <v>4902200.4528760333</v>
      </c>
      <c r="N145" s="14">
        <f>'[1]资源-钻石'!X145</f>
        <v>11685612.998163635</v>
      </c>
      <c r="P145" s="14">
        <v>142</v>
      </c>
      <c r="Q145" s="14">
        <f>'[1]功能-行军令'!N145</f>
        <v>865686.59702048497</v>
      </c>
      <c r="R145" s="14">
        <f>'[1]功能-行军令'!O145</f>
        <v>1065579.2780546695</v>
      </c>
      <c r="S145" s="14">
        <f>'[1]功能-行军令'!P145</f>
        <v>1152720.0436817054</v>
      </c>
      <c r="T145" s="14">
        <f>'[1]功能-行军令'!Q145</f>
        <v>927323.48272834357</v>
      </c>
      <c r="U145" s="14">
        <f>'[1]功能-行军令'!R145</f>
        <v>496808.12839313212</v>
      </c>
      <c r="V145" s="14">
        <f>'[1]功能-行军令'!S145</f>
        <v>57975.522151533281</v>
      </c>
      <c r="W145" s="14">
        <f>'[1]功能-行军令'!T145</f>
        <v>71362.448317553848</v>
      </c>
      <c r="X145" s="14">
        <f>'[1]功能-行军令'!U145</f>
        <v>79914.682253481587</v>
      </c>
      <c r="Y145" s="14">
        <f>'[1]功能-行军令'!V145</f>
        <v>64092.806823997642</v>
      </c>
      <c r="Z145" s="14">
        <f>'[1]功能-行军令'!W145</f>
        <v>34356.664264195948</v>
      </c>
      <c r="AC145" s="14">
        <v>142</v>
      </c>
      <c r="AD145" s="14">
        <v>29633388</v>
      </c>
      <c r="AE145" s="14">
        <v>30106608</v>
      </c>
      <c r="AF145" s="14">
        <v>30703326</v>
      </c>
      <c r="AG145" s="14">
        <v>31138020</v>
      </c>
      <c r="AH145" s="14">
        <v>31624134</v>
      </c>
      <c r="AK145" s="14">
        <v>142</v>
      </c>
      <c r="AL145" s="14">
        <f>'[1]功能-付费相关'!AH147</f>
        <v>5.5555555555555558E-3</v>
      </c>
      <c r="AM145" s="14">
        <f>'[1]功能-付费相关'!AI147</f>
        <v>5.5555555555555558E-3</v>
      </c>
      <c r="AN145" s="14">
        <f>'[1]功能-付费相关'!AJ147</f>
        <v>5.5555555555555558E-3</v>
      </c>
      <c r="AO145" s="14">
        <f>'[1]功能-付费相关'!AK147</f>
        <v>5.5555555555555558E-3</v>
      </c>
      <c r="AP145" s="14">
        <f>'[1]功能-付费相关'!AL147</f>
        <v>5.5555555555555558E-3</v>
      </c>
      <c r="AS145" s="14">
        <v>142</v>
      </c>
      <c r="AT145" s="14">
        <f>'[1]功能-城建'!GF145</f>
        <v>2971875678.9851151</v>
      </c>
      <c r="AU145" s="14">
        <f>'[1]功能-城建'!GG145</f>
        <v>2513598667.6275558</v>
      </c>
      <c r="AV145" s="14">
        <f>'[1]功能-城建'!GH145</f>
        <v>2106897313.1890068</v>
      </c>
      <c r="AW145" s="14">
        <f>'[1]功能-城建'!GI145</f>
        <v>1496411474.275238</v>
      </c>
      <c r="AX145" s="14">
        <f>'[1]功能-城建'!GJ145</f>
        <v>813189515.3333683</v>
      </c>
    </row>
    <row r="146" spans="2:50" x14ac:dyDescent="0.15">
      <c r="B146" s="14">
        <v>143</v>
      </c>
      <c r="C146" s="14">
        <f>'[1]资源-钻石'!L146</f>
        <v>58220402.273316115</v>
      </c>
      <c r="D146" s="14">
        <f>'[1]资源-钻石'!M146</f>
        <v>83327738.486928567</v>
      </c>
      <c r="E146" s="14">
        <f>'[1]资源-钻石'!N146</f>
        <v>134227618.90301773</v>
      </c>
      <c r="F146" s="14">
        <f>'[1]资源-钻石'!O146</f>
        <v>299504631.2805295</v>
      </c>
      <c r="G146" s="14">
        <f>'[1]资源-钻石'!P146</f>
        <v>405359769.3941015</v>
      </c>
      <c r="I146" s="14">
        <v>143</v>
      </c>
      <c r="J146" s="14">
        <f>'[1]资源-钻石'!T146</f>
        <v>781850.60261926707</v>
      </c>
      <c r="K146" s="14">
        <f>'[1]资源-钻石'!U146</f>
        <v>1102795.6628811939</v>
      </c>
      <c r="L146" s="14">
        <f>'[1]资源-钻石'!V146</f>
        <v>1856389.2291693133</v>
      </c>
      <c r="M146" s="14">
        <f>'[1]资源-钻石'!W146</f>
        <v>4934918.1520862449</v>
      </c>
      <c r="N146" s="14">
        <f>'[1]资源-钻石'!X146</f>
        <v>11765457.467294868</v>
      </c>
      <c r="P146" s="14">
        <v>143</v>
      </c>
      <c r="Q146" s="14">
        <f>'[1]功能-行军令'!N146</f>
        <v>927823.22313918336</v>
      </c>
      <c r="R146" s="14">
        <f>'[1]功能-行军令'!O146</f>
        <v>1143415.0510776134</v>
      </c>
      <c r="S146" s="14">
        <f>'[1]功能-行军令'!P146</f>
        <v>1237111.0775656232</v>
      </c>
      <c r="T146" s="14">
        <f>'[1]功能-行军令'!Q146</f>
        <v>995961.75384372217</v>
      </c>
      <c r="U146" s="14">
        <f>'[1]功能-行军令'!R146</f>
        <v>534129.6764981664</v>
      </c>
      <c r="V146" s="14">
        <f>'[1]功能-行军令'!S146</f>
        <v>62136.62611869839</v>
      </c>
      <c r="W146" s="14">
        <f>'[1]功能-行军令'!T146</f>
        <v>77835.773022943875</v>
      </c>
      <c r="X146" s="14">
        <f>'[1]功能-行军令'!U146</f>
        <v>84391.033883917844</v>
      </c>
      <c r="Y146" s="14">
        <f>'[1]功能-行军令'!V146</f>
        <v>68638.271115378593</v>
      </c>
      <c r="Z146" s="14">
        <f>'[1]功能-行军令'!W146</f>
        <v>37321.548105034279</v>
      </c>
      <c r="AC146" s="14">
        <v>143</v>
      </c>
      <c r="AD146" s="14">
        <v>30166020</v>
      </c>
      <c r="AE146" s="14">
        <v>30644694</v>
      </c>
      <c r="AF146" s="14">
        <v>31266540</v>
      </c>
      <c r="AG146" s="14">
        <v>31710480</v>
      </c>
      <c r="AH146" s="14">
        <v>32211390</v>
      </c>
      <c r="AK146" s="14">
        <v>143</v>
      </c>
      <c r="AL146" s="14">
        <f>'[1]功能-付费相关'!AH148</f>
        <v>5.5555555555555558E-3</v>
      </c>
      <c r="AM146" s="14">
        <f>'[1]功能-付费相关'!AI148</f>
        <v>5.5555555555555558E-3</v>
      </c>
      <c r="AN146" s="14">
        <f>'[1]功能-付费相关'!AJ148</f>
        <v>5.5555555555555558E-3</v>
      </c>
      <c r="AO146" s="14">
        <f>'[1]功能-付费相关'!AK148</f>
        <v>5.5555555555555558E-3</v>
      </c>
      <c r="AP146" s="14">
        <f>'[1]功能-付费相关'!AL148</f>
        <v>5.5555555555555558E-3</v>
      </c>
      <c r="AS146" s="14">
        <v>143</v>
      </c>
      <c r="AT146" s="14">
        <f>'[1]功能-城建'!GF146</f>
        <v>3201326082.7769012</v>
      </c>
      <c r="AU146" s="14">
        <f>'[1]功能-城建'!GG146</f>
        <v>2793723387.5459099</v>
      </c>
      <c r="AV146" s="14">
        <f>'[1]功能-城建'!GH146</f>
        <v>2230148992.13237</v>
      </c>
      <c r="AW146" s="14">
        <f>'[1]功能-城建'!GI146</f>
        <v>1625692343.2441597</v>
      </c>
      <c r="AX146" s="14">
        <f>'[1]功能-城建'!GJ146</f>
        <v>888325313.92526436</v>
      </c>
    </row>
    <row r="147" spans="2:50" x14ac:dyDescent="0.15">
      <c r="B147" s="14">
        <v>144</v>
      </c>
      <c r="C147" s="14">
        <f>'[1]资源-钻石'!L147</f>
        <v>62200776.967225976</v>
      </c>
      <c r="D147" s="14">
        <f>'[1]资源-钻石'!M147</f>
        <v>89090210.866179213</v>
      </c>
      <c r="E147" s="14">
        <f>'[1]资源-钻石'!N147</f>
        <v>143766875.39511824</v>
      </c>
      <c r="F147" s="14">
        <f>'[1]资源-钻石'!O147</f>
        <v>321353574.21959931</v>
      </c>
      <c r="G147" s="14">
        <f>'[1]资源-钻石'!P147</f>
        <v>433475930.79776585</v>
      </c>
      <c r="I147" s="14">
        <v>144</v>
      </c>
      <c r="J147" s="14">
        <f>'[1]资源-钻石'!T147</f>
        <v>786183.96040304727</v>
      </c>
      <c r="K147" s="14">
        <f>'[1]资源-钻石'!U147</f>
        <v>1109242.3564433521</v>
      </c>
      <c r="L147" s="14">
        <f>'[1]资源-钻石'!V147</f>
        <v>1867932.5920876875</v>
      </c>
      <c r="M147" s="14">
        <f>'[1]资源-钻石'!W147</f>
        <v>4967635.8512964556</v>
      </c>
      <c r="N147" s="14">
        <f>'[1]资源-钻石'!X147</f>
        <v>11845301.936426101</v>
      </c>
      <c r="P147" s="14">
        <v>144</v>
      </c>
      <c r="Q147" s="14">
        <f>'[1]功能-行军令'!N147</f>
        <v>994419.61006474204</v>
      </c>
      <c r="R147" s="14">
        <f>'[1]功能-行军令'!O147</f>
        <v>1225485.977153851</v>
      </c>
      <c r="S147" s="14">
        <f>'[1]功能-行军令'!P147</f>
        <v>1327284.2802798264</v>
      </c>
      <c r="T147" s="14">
        <f>'[1]功能-行军令'!Q147</f>
        <v>1069230.2296862649</v>
      </c>
      <c r="U147" s="14">
        <f>'[1]功能-行军令'!R147</f>
        <v>571354.59587150253</v>
      </c>
      <c r="V147" s="14">
        <f>'[1]功能-行军令'!S147</f>
        <v>66596.386925558676</v>
      </c>
      <c r="W147" s="14">
        <f>'[1]功能-行军令'!T147</f>
        <v>82070.926076237578</v>
      </c>
      <c r="X147" s="14">
        <f>'[1]功能-行军令'!U147</f>
        <v>90173.202714203158</v>
      </c>
      <c r="Y147" s="14">
        <f>'[1]功能-行军令'!V147</f>
        <v>73268.475842542714</v>
      </c>
      <c r="Z147" s="14">
        <f>'[1]功能-行军令'!W147</f>
        <v>37224.919373336132</v>
      </c>
      <c r="AC147" s="14">
        <v>144</v>
      </c>
      <c r="AD147" s="14">
        <v>30718260</v>
      </c>
      <c r="AE147" s="14">
        <v>31200798</v>
      </c>
      <c r="AF147" s="14">
        <v>31835808</v>
      </c>
      <c r="AG147" s="14">
        <v>32295228</v>
      </c>
      <c r="AH147" s="14">
        <v>32797878</v>
      </c>
      <c r="AK147" s="14">
        <v>144</v>
      </c>
      <c r="AL147" s="14">
        <f>'[1]功能-付费相关'!AH149</f>
        <v>5.5555555555555558E-3</v>
      </c>
      <c r="AM147" s="14">
        <f>'[1]功能-付费相关'!AI149</f>
        <v>5.5555555555555558E-3</v>
      </c>
      <c r="AN147" s="14">
        <f>'[1]功能-付费相关'!AJ149</f>
        <v>5.5555555555555558E-3</v>
      </c>
      <c r="AO147" s="14">
        <f>'[1]功能-付费相关'!AK149</f>
        <v>5.5555555555555558E-3</v>
      </c>
      <c r="AP147" s="14">
        <f>'[1]功能-付费相关'!AL149</f>
        <v>5.5555555555555558E-3</v>
      </c>
      <c r="AS147" s="14">
        <v>144</v>
      </c>
      <c r="AT147" s="14">
        <f>'[1]功能-城建'!GF147</f>
        <v>3481543288.6648636</v>
      </c>
      <c r="AU147" s="14">
        <f>'[1]功能-城建'!GG147</f>
        <v>2945733776.5393372</v>
      </c>
      <c r="AV147" s="14">
        <f>'[1]功能-城建'!GH147</f>
        <v>2421485938.1561699</v>
      </c>
      <c r="AW147" s="14">
        <f>'[1]功能-城建'!GI147</f>
        <v>1743931993.9376488</v>
      </c>
      <c r="AX147" s="14">
        <f>'[1]功能-城建'!GJ147</f>
        <v>897255292.68390846</v>
      </c>
    </row>
    <row r="148" spans="2:50" x14ac:dyDescent="0.15">
      <c r="B148" s="14">
        <v>145</v>
      </c>
      <c r="C148" s="14">
        <f>'[1]资源-钻石'!L148</f>
        <v>66459132.484107137</v>
      </c>
      <c r="D148" s="14">
        <f>'[1]资源-钻石'!M148</f>
        <v>95397071.028365076</v>
      </c>
      <c r="E148" s="14">
        <f>'[1]资源-钻石'!N148</f>
        <v>154023558.61037484</v>
      </c>
      <c r="F148" s="14">
        <f>'[1]资源-钻石'!O148</f>
        <v>343599014.87185836</v>
      </c>
      <c r="G148" s="14">
        <f>'[1]资源-钻石'!P148</f>
        <v>462983146.77745134</v>
      </c>
      <c r="I148" s="14">
        <v>145</v>
      </c>
      <c r="J148" s="14">
        <f>'[1]资源-钻石'!T148</f>
        <v>790517.3181868277</v>
      </c>
      <c r="K148" s="14">
        <f>'[1]资源-钻石'!U148</f>
        <v>1115689.0500055104</v>
      </c>
      <c r="L148" s="14">
        <f>'[1]资源-钻石'!V148</f>
        <v>1879475.9550060616</v>
      </c>
      <c r="M148" s="14">
        <f>'[1]资源-钻石'!W148</f>
        <v>5000353.5505066672</v>
      </c>
      <c r="N148" s="14">
        <f>'[1]资源-钻石'!X148</f>
        <v>11925146.405557334</v>
      </c>
      <c r="P148" s="14">
        <v>145</v>
      </c>
      <c r="Q148" s="14">
        <f>'[1]功能-行军令'!N148</f>
        <v>1065795.8502723568</v>
      </c>
      <c r="R148" s="14">
        <f>'[1]功能-行军令'!O148</f>
        <v>1315310.2435586185</v>
      </c>
      <c r="S148" s="14">
        <f>'[1]功能-行军令'!P148</f>
        <v>1424239.2133514546</v>
      </c>
      <c r="T148" s="14">
        <f>'[1]功能-行军令'!Q148</f>
        <v>1143828.3251447973</v>
      </c>
      <c r="U148" s="14">
        <f>'[1]功能-行军令'!R148</f>
        <v>610455.42577099777</v>
      </c>
      <c r="V148" s="14">
        <f>'[1]功能-行军令'!S148</f>
        <v>71376.240207614726</v>
      </c>
      <c r="W148" s="14">
        <f>'[1]功能-行军令'!T148</f>
        <v>89824.266404767521</v>
      </c>
      <c r="X148" s="14">
        <f>'[1]功能-行军令'!U148</f>
        <v>96954.933071628213</v>
      </c>
      <c r="Y148" s="14">
        <f>'[1]功能-行军令'!V148</f>
        <v>74598.095458532451</v>
      </c>
      <c r="Z148" s="14">
        <f>'[1]功能-行军令'!W148</f>
        <v>39100.829899495235</v>
      </c>
      <c r="AC148" s="14">
        <v>145</v>
      </c>
      <c r="AD148" s="14">
        <v>31283544</v>
      </c>
      <c r="AE148" s="14">
        <v>31762746</v>
      </c>
      <c r="AF148" s="14">
        <v>32418762</v>
      </c>
      <c r="AG148" s="14">
        <v>32881044</v>
      </c>
      <c r="AH148" s="14">
        <v>33390942</v>
      </c>
      <c r="AK148" s="14">
        <v>145</v>
      </c>
      <c r="AL148" s="14">
        <f>'[1]功能-付费相关'!AH150</f>
        <v>5.5555555555555558E-3</v>
      </c>
      <c r="AM148" s="14">
        <f>'[1]功能-付费相关'!AI150</f>
        <v>5.5555555555555558E-3</v>
      </c>
      <c r="AN148" s="14">
        <f>'[1]功能-付费相关'!AJ150</f>
        <v>5.5555555555555558E-3</v>
      </c>
      <c r="AO148" s="14">
        <f>'[1]功能-付费相关'!AK150</f>
        <v>5.5555555555555558E-3</v>
      </c>
      <c r="AP148" s="14">
        <f>'[1]功能-付费相关'!AL150</f>
        <v>5.5555555555555558E-3</v>
      </c>
      <c r="AS148" s="14">
        <v>145</v>
      </c>
      <c r="AT148" s="14">
        <f>'[1]功能-城建'!GF148</f>
        <v>3742310215.7395248</v>
      </c>
      <c r="AU148" s="14">
        <f>'[1]功能-城建'!GG148</f>
        <v>3284017318.4586334</v>
      </c>
      <c r="AV148" s="14">
        <f>'[1]功能-城建'!GH148</f>
        <v>2612029823.2791595</v>
      </c>
      <c r="AW148" s="14">
        <f>'[1]功能-城建'!GI148</f>
        <v>1798547882.4357834</v>
      </c>
      <c r="AX148" s="14">
        <f>'[1]功能-城建'!GJ148</f>
        <v>948441877.87280273</v>
      </c>
    </row>
    <row r="149" spans="2:50" x14ac:dyDescent="0.15">
      <c r="B149" s="14">
        <v>146</v>
      </c>
      <c r="C149" s="14">
        <f>'[1]资源-钻石'!L149</f>
        <v>70932423.507837355</v>
      </c>
      <c r="D149" s="14">
        <f>'[1]资源-钻石'!M149</f>
        <v>102002437.73042709</v>
      </c>
      <c r="E149" s="14">
        <f>'[1]资源-钻石'!N149</f>
        <v>164312040.91437861</v>
      </c>
      <c r="F149" s="14">
        <f>'[1]资源-钻石'!O149</f>
        <v>366368970.22120637</v>
      </c>
      <c r="G149" s="14">
        <f>'[1]资源-钻石'!P149</f>
        <v>493891148.11210066</v>
      </c>
      <c r="I149" s="14">
        <v>146</v>
      </c>
      <c r="J149" s="14">
        <f>'[1]资源-钻石'!T149</f>
        <v>794850.6759706079</v>
      </c>
      <c r="K149" s="14">
        <f>'[1]资源-钻石'!U149</f>
        <v>1122135.7435676688</v>
      </c>
      <c r="L149" s="14">
        <f>'[1]资源-钻石'!V149</f>
        <v>1891019.3179244359</v>
      </c>
      <c r="M149" s="14">
        <f>'[1]资源-钻石'!W149</f>
        <v>5033071.2497168789</v>
      </c>
      <c r="N149" s="14">
        <f>'[1]资源-钻石'!X149</f>
        <v>12004990.874688568</v>
      </c>
      <c r="P149" s="14">
        <v>146</v>
      </c>
      <c r="Q149" s="14">
        <f>'[1]功能-行军令'!N149</f>
        <v>1142295.0103824921</v>
      </c>
      <c r="R149" s="14">
        <f>'[1]功能-行军令'!O149</f>
        <v>1409385.933060122</v>
      </c>
      <c r="S149" s="14">
        <f>'[1]功能-行军令'!P149</f>
        <v>1521494.7385790958</v>
      </c>
      <c r="T149" s="14">
        <f>'[1]功能-行军令'!Q149</f>
        <v>1220301.3433415035</v>
      </c>
      <c r="U149" s="14">
        <f>'[1]功能-行军令'!R149</f>
        <v>651458.29417120293</v>
      </c>
      <c r="V149" s="14">
        <f>'[1]功能-行军令'!S149</f>
        <v>76499.16011013533</v>
      </c>
      <c r="W149" s="14">
        <f>'[1]功能-行军令'!T149</f>
        <v>94075.689501503482</v>
      </c>
      <c r="X149" s="14">
        <f>'[1]功能-行军令'!U149</f>
        <v>97255.525227641221</v>
      </c>
      <c r="Y149" s="14">
        <f>'[1]功能-行军令'!V149</f>
        <v>76473.018196706194</v>
      </c>
      <c r="Z149" s="14">
        <f>'[1]功能-行军令'!W149</f>
        <v>41002.86840020516</v>
      </c>
      <c r="AC149" s="14">
        <v>146</v>
      </c>
      <c r="AD149" s="14">
        <v>31852134</v>
      </c>
      <c r="AE149" s="14">
        <v>32337012</v>
      </c>
      <c r="AF149" s="14">
        <v>33000324</v>
      </c>
      <c r="AG149" s="14">
        <v>33472080</v>
      </c>
      <c r="AH149" s="14">
        <v>33992814</v>
      </c>
      <c r="AK149" s="14">
        <v>146</v>
      </c>
      <c r="AL149" s="14">
        <f>'[1]功能-付费相关'!AH151</f>
        <v>5.5555555555555558E-3</v>
      </c>
      <c r="AM149" s="14">
        <f>'[1]功能-付费相关'!AI151</f>
        <v>5.5555555555555558E-3</v>
      </c>
      <c r="AN149" s="14">
        <f>'[1]功能-付费相关'!AJ151</f>
        <v>5.5555555555555558E-3</v>
      </c>
      <c r="AO149" s="14">
        <f>'[1]功能-付费相关'!AK151</f>
        <v>5.5555555555555558E-3</v>
      </c>
      <c r="AP149" s="14">
        <f>'[1]功能-付费相关'!AL151</f>
        <v>5.5555555555555558E-3</v>
      </c>
      <c r="AS149" s="14">
        <v>146</v>
      </c>
      <c r="AT149" s="14">
        <f>'[1]功能-城建'!GF149</f>
        <v>4077072628.8262558</v>
      </c>
      <c r="AU149" s="14">
        <f>'[1]功能-城建'!GG149</f>
        <v>3442327766.8938217</v>
      </c>
      <c r="AV149" s="14">
        <f>'[1]功能-城建'!GH149</f>
        <v>2657483440.5470543</v>
      </c>
      <c r="AW149" s="14">
        <f>'[1]功能-城建'!GI149</f>
        <v>1854953287.9869003</v>
      </c>
      <c r="AX149" s="14">
        <f>'[1]功能-城建'!GJ149</f>
        <v>1003247341.0416183</v>
      </c>
    </row>
    <row r="150" spans="2:50" x14ac:dyDescent="0.15">
      <c r="B150" s="14">
        <v>147</v>
      </c>
      <c r="C150" s="14">
        <f>'[1]资源-钻石'!L150</f>
        <v>75726778.117273211</v>
      </c>
      <c r="D150" s="14">
        <f>'[1]资源-钻石'!M150</f>
        <v>108754686.476156</v>
      </c>
      <c r="E150" s="14">
        <f>'[1]资源-钻石'!N150</f>
        <v>175070620.21719462</v>
      </c>
      <c r="F150" s="14">
        <f>'[1]资源-钻石'!O150</f>
        <v>390361815.80146009</v>
      </c>
      <c r="G150" s="14">
        <f>'[1]资源-钻石'!P150</f>
        <v>527278575.66912967</v>
      </c>
      <c r="I150" s="14">
        <v>147</v>
      </c>
      <c r="J150" s="14">
        <f>'[1]资源-钻石'!T150</f>
        <v>799184.03375438834</v>
      </c>
      <c r="K150" s="14">
        <f>'[1]资源-钻石'!U150</f>
        <v>1128582.4371298272</v>
      </c>
      <c r="L150" s="14">
        <f>'[1]资源-钻石'!V150</f>
        <v>1902562.6808428101</v>
      </c>
      <c r="M150" s="14">
        <f>'[1]资源-钻石'!W150</f>
        <v>5065788.9489270905</v>
      </c>
      <c r="N150" s="14">
        <f>'[1]资源-钻石'!X150</f>
        <v>12084835.343819801</v>
      </c>
      <c r="P150" s="14">
        <v>147</v>
      </c>
      <c r="Q150" s="14">
        <f>'[1]功能-行军令'!N150</f>
        <v>1224284.7800948501</v>
      </c>
      <c r="R150" s="14">
        <f>'[1]功能-行军令'!O150</f>
        <v>1505553.5623670323</v>
      </c>
      <c r="S150" s="14">
        <f>'[1]功能-行军令'!P150</f>
        <v>1623194.0222908854</v>
      </c>
      <c r="T150" s="14">
        <f>'[1]功能-行军令'!Q150</f>
        <v>1301036.7898521877</v>
      </c>
      <c r="U150" s="14">
        <f>'[1]功能-行军令'!R150</f>
        <v>695750.39457329374</v>
      </c>
      <c r="V150" s="14">
        <f>'[1]功能-行军令'!S150</f>
        <v>81989.769712358015</v>
      </c>
      <c r="W150" s="14">
        <f>'[1]功能-行军令'!T150</f>
        <v>96167.629306910327</v>
      </c>
      <c r="X150" s="14">
        <f>'[1]功能-行军令'!U150</f>
        <v>101699.28371178964</v>
      </c>
      <c r="Y150" s="14">
        <f>'[1]功能-行军令'!V150</f>
        <v>80735.446510684211</v>
      </c>
      <c r="Z150" s="14">
        <f>'[1]功能-行军令'!W150</f>
        <v>44292.100402090815</v>
      </c>
      <c r="AC150" s="14">
        <v>147</v>
      </c>
      <c r="AD150" s="14">
        <v>32435454</v>
      </c>
      <c r="AE150" s="14">
        <v>32909922</v>
      </c>
      <c r="AF150" s="14">
        <v>33590232</v>
      </c>
      <c r="AG150" s="14">
        <v>34072494</v>
      </c>
      <c r="AH150" s="14">
        <v>34608678</v>
      </c>
      <c r="AK150" s="14">
        <v>147</v>
      </c>
      <c r="AL150" s="14">
        <f>'[1]功能-付费相关'!AH152</f>
        <v>5.5555555555555558E-3</v>
      </c>
      <c r="AM150" s="14">
        <f>'[1]功能-付费相关'!AI152</f>
        <v>5.5555555555555558E-3</v>
      </c>
      <c r="AN150" s="14">
        <f>'[1]功能-付费相关'!AJ152</f>
        <v>5.5555555555555558E-3</v>
      </c>
      <c r="AO150" s="14">
        <f>'[1]功能-付费相关'!AK152</f>
        <v>5.5555555555555558E-3</v>
      </c>
      <c r="AP150" s="14">
        <f>'[1]功能-付费相关'!AL152</f>
        <v>5.5555555555555558E-3</v>
      </c>
      <c r="AS150" s="14">
        <v>147</v>
      </c>
      <c r="AT150" s="14">
        <f>'[1]功能-城建'!GF150</f>
        <v>4373395701.0232162</v>
      </c>
      <c r="AU150" s="14">
        <f>'[1]功能-城建'!GG150</f>
        <v>3577011039.4103394</v>
      </c>
      <c r="AV150" s="14">
        <f>'[1]功能-城建'!GH150</f>
        <v>2792148246.4344482</v>
      </c>
      <c r="AW150" s="14">
        <f>'[1]功能-城建'!GI150</f>
        <v>1974828004.1298943</v>
      </c>
      <c r="AX150" s="14">
        <f>'[1]功能-城建'!GJ150</f>
        <v>1094487902.363121</v>
      </c>
    </row>
    <row r="151" spans="2:50" x14ac:dyDescent="0.15">
      <c r="B151" s="14">
        <v>148</v>
      </c>
      <c r="C151" s="14">
        <f>'[1]资源-钻石'!L151</f>
        <v>80865240.157655239</v>
      </c>
      <c r="D151" s="14">
        <f>'[1]资源-钻石'!M151</f>
        <v>116273813.76123451</v>
      </c>
      <c r="E151" s="14">
        <f>'[1]资源-钻石'!N151</f>
        <v>187505483.27616221</v>
      </c>
      <c r="F151" s="14">
        <f>'[1]资源-钻石'!O151</f>
        <v>418986508.47767115</v>
      </c>
      <c r="G151" s="14">
        <f>'[1]资源-钻石'!P151</f>
        <v>565143581.12545681</v>
      </c>
      <c r="I151" s="14">
        <v>148</v>
      </c>
      <c r="J151" s="14">
        <f>'[1]资源-钻石'!T151</f>
        <v>803517.39153816865</v>
      </c>
      <c r="K151" s="14">
        <f>'[1]资源-钻石'!U151</f>
        <v>1135029.1306919856</v>
      </c>
      <c r="L151" s="14">
        <f>'[1]资源-钻石'!V151</f>
        <v>1914106.0437611842</v>
      </c>
      <c r="M151" s="14">
        <f>'[1]资源-钻石'!W151</f>
        <v>5098506.6481373021</v>
      </c>
      <c r="N151" s="14">
        <f>'[1]资源-钻石'!X151</f>
        <v>12164679.812951032</v>
      </c>
      <c r="P151" s="14">
        <v>148</v>
      </c>
      <c r="Q151" s="14">
        <f>'[1]功能-行军令'!N151</f>
        <v>1312159.2394720195</v>
      </c>
      <c r="R151" s="14">
        <f>'[1]功能-行军令'!O151</f>
        <v>1613616.414660373</v>
      </c>
      <c r="S151" s="14">
        <f>'[1]功能-行军令'!P151</f>
        <v>1740738.9722844393</v>
      </c>
      <c r="T151" s="14">
        <f>'[1]功能-行军令'!Q151</f>
        <v>1397358.3093949549</v>
      </c>
      <c r="U151" s="14">
        <f>'[1]功能-行军令'!R151</f>
        <v>745982.49528044381</v>
      </c>
      <c r="V151" s="14">
        <f>'[1]功能-行军令'!S151</f>
        <v>87874.459377169376</v>
      </c>
      <c r="W151" s="14">
        <f>'[1]功能-行军令'!T151</f>
        <v>108062.85229334072</v>
      </c>
      <c r="X151" s="14">
        <f>'[1]功能-行军令'!U151</f>
        <v>117544.9499935538</v>
      </c>
      <c r="Y151" s="14">
        <f>'[1]功能-行军令'!V151</f>
        <v>96321.519542767201</v>
      </c>
      <c r="Z151" s="14">
        <f>'[1]功能-行军令'!W151</f>
        <v>50232.100707150064</v>
      </c>
      <c r="AC151" s="14">
        <v>148</v>
      </c>
      <c r="AD151" s="14">
        <v>33020592</v>
      </c>
      <c r="AE151" s="14">
        <v>33500538</v>
      </c>
      <c r="AF151" s="14">
        <v>34198020</v>
      </c>
      <c r="AG151" s="14">
        <v>34692558</v>
      </c>
      <c r="AH151" s="14">
        <v>35234934</v>
      </c>
      <c r="AK151" s="14">
        <v>148</v>
      </c>
      <c r="AL151" s="14">
        <f>'[1]功能-付费相关'!AH153</f>
        <v>5.5555555555555558E-3</v>
      </c>
      <c r="AM151" s="14">
        <f>'[1]功能-付费相关'!AI153</f>
        <v>5.5555555555555558E-3</v>
      </c>
      <c r="AN151" s="14">
        <f>'[1]功能-付费相关'!AJ153</f>
        <v>5.5555555555555558E-3</v>
      </c>
      <c r="AO151" s="14">
        <f>'[1]功能-付费相关'!AK153</f>
        <v>5.5555555555555558E-3</v>
      </c>
      <c r="AP151" s="14">
        <f>'[1]功能-付费相关'!AL153</f>
        <v>5.5555555555555558E-3</v>
      </c>
      <c r="AS151" s="14">
        <v>148</v>
      </c>
      <c r="AT151" s="14">
        <f>'[1]功能-城建'!GF151</f>
        <v>4772729332.7808762</v>
      </c>
      <c r="AU151" s="14">
        <f>'[1]功能-城建'!GG151</f>
        <v>4029615375.6669006</v>
      </c>
      <c r="AV151" s="14">
        <f>'[1]功能-城建'!GH151</f>
        <v>3260427180.2473602</v>
      </c>
      <c r="AW151" s="14">
        <f>'[1]功能-城建'!GI151</f>
        <v>2380170209.1286545</v>
      </c>
      <c r="AX151" s="14">
        <f>'[1]功能-城建'!GJ151</f>
        <v>1247835875.0737514</v>
      </c>
    </row>
    <row r="152" spans="2:50" x14ac:dyDescent="0.15">
      <c r="B152" s="14">
        <v>149</v>
      </c>
      <c r="C152" s="14">
        <f>'[1]资源-钻石'!L152</f>
        <v>86372507.410786808</v>
      </c>
      <c r="D152" s="14">
        <f>'[1]资源-钻石'!M152</f>
        <v>124321057.99618401</v>
      </c>
      <c r="E152" s="14">
        <f>'[1]资源-钻石'!N152</f>
        <v>200899586.61430249</v>
      </c>
      <c r="F152" s="14">
        <f>'[1]资源-钻石'!O152</f>
        <v>449073300.40346277</v>
      </c>
      <c r="G152" s="14">
        <f>'[1]资源-钻石'!P152</f>
        <v>605979556.6396575</v>
      </c>
      <c r="I152" s="14">
        <v>149</v>
      </c>
      <c r="J152" s="14">
        <f>'[1]资源-钻石'!T152</f>
        <v>807850.74932194897</v>
      </c>
      <c r="K152" s="14">
        <f>'[1]资源-钻石'!U152</f>
        <v>1141475.824254144</v>
      </c>
      <c r="L152" s="14">
        <f>'[1]资源-钻石'!V152</f>
        <v>1925649.4066795586</v>
      </c>
      <c r="M152" s="14">
        <f>'[1]资源-钻石'!W152</f>
        <v>5131224.3473475138</v>
      </c>
      <c r="N152" s="14">
        <f>'[1]资源-钻石'!X152</f>
        <v>12244524.282082265</v>
      </c>
      <c r="P152" s="14">
        <v>149</v>
      </c>
      <c r="Q152" s="14">
        <f>'[1]功能-行军令'!N152</f>
        <v>1406340.7530671936</v>
      </c>
      <c r="R152" s="14">
        <f>'[1]功能-行军令'!O152</f>
        <v>1729844.985210248</v>
      </c>
      <c r="S152" s="14">
        <f>'[1]功能-行军令'!P152</f>
        <v>1867351.4809726463</v>
      </c>
      <c r="T152" s="14">
        <f>'[1]功能-行军令'!Q152</f>
        <v>1498599.763730908</v>
      </c>
      <c r="U152" s="14">
        <f>'[1]功能-行军令'!R152</f>
        <v>800155.91503261973</v>
      </c>
      <c r="V152" s="14">
        <f>'[1]功能-行军令'!S152</f>
        <v>94181.513595174067</v>
      </c>
      <c r="W152" s="14">
        <f>'[1]功能-行军令'!T152</f>
        <v>116228.57054987503</v>
      </c>
      <c r="X152" s="14">
        <f>'[1]功能-行军令'!U152</f>
        <v>126612.50868820702</v>
      </c>
      <c r="Y152" s="14">
        <f>'[1]功能-行军令'!V152</f>
        <v>101241.45433595311</v>
      </c>
      <c r="Z152" s="14">
        <f>'[1]功能-行军令'!W152</f>
        <v>54173.41975217592</v>
      </c>
      <c r="AC152" s="14">
        <v>149</v>
      </c>
      <c r="AD152" s="14">
        <v>33621684</v>
      </c>
      <c r="AE152" s="14">
        <v>34102386</v>
      </c>
      <c r="AF152" s="14">
        <v>34819722</v>
      </c>
      <c r="AG152" s="14">
        <v>35322102</v>
      </c>
      <c r="AH152" s="14">
        <v>35887302</v>
      </c>
      <c r="AK152" s="14">
        <v>149</v>
      </c>
      <c r="AL152" s="14">
        <f>'[1]功能-付费相关'!AH154</f>
        <v>5.5555555555555558E-3</v>
      </c>
      <c r="AM152" s="14">
        <f>'[1]功能-付费相关'!AI154</f>
        <v>5.5555555555555558E-3</v>
      </c>
      <c r="AN152" s="14">
        <f>'[1]功能-付费相关'!AJ154</f>
        <v>5.5555555555555558E-3</v>
      </c>
      <c r="AO152" s="14">
        <f>'[1]功能-付费相关'!AK154</f>
        <v>5.5555555555555558E-3</v>
      </c>
      <c r="AP152" s="14">
        <f>'[1]功能-付费相关'!AL154</f>
        <v>5.5555555555555558E-3</v>
      </c>
      <c r="AS152" s="14">
        <v>149</v>
      </c>
      <c r="AT152" s="14">
        <f>'[1]功能-城建'!GF152</f>
        <v>5115284642.743103</v>
      </c>
      <c r="AU152" s="14">
        <f>'[1]功能-城建'!GG152</f>
        <v>4393087452.5439987</v>
      </c>
      <c r="AV152" s="14">
        <f>'[1]功能-城建'!GH152</f>
        <v>3541254473.771698</v>
      </c>
      <c r="AW152" s="14">
        <f>'[1]功能-城建'!GI152</f>
        <v>2517892832.8712692</v>
      </c>
      <c r="AX152" s="14">
        <f>'[1]功能-城建'!GJ152</f>
        <v>1363276737.8411674</v>
      </c>
    </row>
    <row r="153" spans="2:50" x14ac:dyDescent="0.15">
      <c r="B153" s="14">
        <v>150</v>
      </c>
      <c r="C153" s="14">
        <f>'[1]资源-钻石'!L153</f>
        <v>92275050.303788245</v>
      </c>
      <c r="D153" s="14">
        <f>'[1]资源-钻石'!M153</f>
        <v>132917516.59703743</v>
      </c>
      <c r="E153" s="14">
        <f>'[1]资源-钻石'!N153</f>
        <v>215109986.92600882</v>
      </c>
      <c r="F153" s="14">
        <f>'[1]资源-钻石'!O153</f>
        <v>481339676.76755732</v>
      </c>
      <c r="G153" s="14">
        <f>'[1]资源-钻石'!P153</f>
        <v>651561402.82112622</v>
      </c>
      <c r="I153" s="14">
        <v>150</v>
      </c>
      <c r="J153" s="14">
        <f>'[1]资源-钻石'!T153</f>
        <v>812184.10710572929</v>
      </c>
      <c r="K153" s="14">
        <f>'[1]资源-钻石'!U153</f>
        <v>1147922.5178163024</v>
      </c>
      <c r="L153" s="14">
        <f>'[1]资源-钻石'!V153</f>
        <v>1937192.7695979327</v>
      </c>
      <c r="M153" s="14">
        <f>'[1]资源-钻石'!W153</f>
        <v>5163942.0465577254</v>
      </c>
      <c r="N153" s="14">
        <f>'[1]资源-钻石'!X153</f>
        <v>12324368.751213498</v>
      </c>
      <c r="P153" s="14">
        <v>150</v>
      </c>
      <c r="Q153" s="14">
        <f>'[1]功能-行军令'!N153</f>
        <v>1507282</v>
      </c>
      <c r="R153" s="14">
        <f>'[1]功能-行军令'!O153</f>
        <v>1854006.0105000001</v>
      </c>
      <c r="S153" s="14">
        <f>'[1]功能-行军令'!P153</f>
        <v>2001680.3260999999</v>
      </c>
      <c r="T153" s="14">
        <f>'[1]功能-行军令'!Q153</f>
        <v>1607175.4762000002</v>
      </c>
      <c r="U153" s="14">
        <f>'[1]功能-行军令'!R153</f>
        <v>860625.25500000012</v>
      </c>
      <c r="V153" s="14">
        <f>'[1]功能-行军令'!S153</f>
        <v>100941.24693280645</v>
      </c>
      <c r="W153" s="14">
        <f>'[1]功能-行军令'!T153</f>
        <v>124161.02528975205</v>
      </c>
      <c r="X153" s="14">
        <f>'[1]功能-行军令'!U153</f>
        <v>134328.84512735368</v>
      </c>
      <c r="Y153" s="14">
        <f>'[1]功能-行军令'!V153</f>
        <v>108575.7124690921</v>
      </c>
      <c r="Z153" s="14">
        <f>'[1]功能-行军令'!W153</f>
        <v>60469.339967380394</v>
      </c>
      <c r="AC153" s="14">
        <v>150</v>
      </c>
      <c r="AD153" s="14">
        <v>34199328</v>
      </c>
      <c r="AE153" s="14">
        <v>34692096</v>
      </c>
      <c r="AF153" s="14">
        <v>35450124</v>
      </c>
      <c r="AG153" s="14">
        <v>35982834</v>
      </c>
      <c r="AH153" s="14">
        <v>36641064</v>
      </c>
      <c r="AK153" s="14">
        <v>150</v>
      </c>
      <c r="AL153" s="14">
        <f>'[1]功能-付费相关'!AH155</f>
        <v>5.5555555555555558E-3</v>
      </c>
      <c r="AM153" s="14">
        <f>'[1]功能-付费相关'!AI155</f>
        <v>5.5555555555555558E-3</v>
      </c>
      <c r="AN153" s="14">
        <f>'[1]功能-付费相关'!AJ155</f>
        <v>5.5555555555555558E-3</v>
      </c>
      <c r="AO153" s="14">
        <f>'[1]功能-付费相关'!AK155</f>
        <v>5.5555555555555558E-3</v>
      </c>
      <c r="AP153" s="14">
        <f>'[1]功能-付费相关'!AL155</f>
        <v>5.5555555555555558E-3</v>
      </c>
      <c r="AS153" s="14">
        <v>150</v>
      </c>
      <c r="AT153" s="14">
        <f>'[1]功能-城建'!GF153</f>
        <v>5579255018.3143692</v>
      </c>
      <c r="AU153" s="14">
        <f>'[1]功能-城建'!GG153</f>
        <v>4716636441.3056259</v>
      </c>
      <c r="AV153" s="14">
        <f>'[1]功能-城建'!GH153</f>
        <v>3789355840.3481064</v>
      </c>
      <c r="AW153" s="14">
        <f>'[1]功能-城建'!GI153</f>
        <v>2732313074.9503555</v>
      </c>
      <c r="AX153" s="14">
        <f>'[1]功能-城建'!GJ153</f>
        <v>1528274447.2383347</v>
      </c>
    </row>
    <row r="154" spans="2:50" x14ac:dyDescent="0.15">
      <c r="B154" s="14">
        <v>151</v>
      </c>
      <c r="C154" s="14">
        <f>'[1]资源-钻石'!L154</f>
        <v>98601239.137989312</v>
      </c>
      <c r="D154" s="14">
        <f>'[1]资源-钻石'!M154</f>
        <v>142196137.08427939</v>
      </c>
      <c r="E154" s="14">
        <f>'[1]资源-钻石'!N154</f>
        <v>230438006.2499252</v>
      </c>
      <c r="F154" s="14">
        <f>'[1]资源-钻石'!O154</f>
        <v>518093454.99883437</v>
      </c>
      <c r="G154" s="14">
        <f>'[1]资源-钻石'!P154</f>
        <v>709031877.48814201</v>
      </c>
      <c r="I154" s="14">
        <v>151</v>
      </c>
      <c r="J154" s="14">
        <f>'[1]资源-钻石'!T154</f>
        <v>816517.4648895096</v>
      </c>
      <c r="K154" s="14">
        <f>'[1]资源-钻石'!U154</f>
        <v>1154369.2113784607</v>
      </c>
      <c r="L154" s="14">
        <f>'[1]资源-钻石'!V154</f>
        <v>1948736.1325163068</v>
      </c>
      <c r="M154" s="14">
        <f>'[1]资源-钻石'!W154</f>
        <v>5196659.745767937</v>
      </c>
      <c r="N154" s="14">
        <f>'[1]资源-钻石'!X154</f>
        <v>12404213.220344732</v>
      </c>
      <c r="P154" s="14">
        <v>151</v>
      </c>
      <c r="Q154" s="14">
        <f>'[1]功能-行军令'!N154</f>
        <v>1615468.1497379036</v>
      </c>
      <c r="R154" s="14">
        <f>'[1]功能-行军令'!O154</f>
        <v>1988019.6882784385</v>
      </c>
      <c r="S154" s="14">
        <f>'[1]功能-行军令'!P154</f>
        <v>2146950.1472271094</v>
      </c>
      <c r="T154" s="14">
        <f>'[1]功能-行军令'!Q154</f>
        <v>1730851.2063892924</v>
      </c>
      <c r="U154" s="14">
        <f>'[1]功能-行军令'!R154</f>
        <v>936866.17022952298</v>
      </c>
      <c r="V154" s="14">
        <f>'[1]功能-行军令'!S154</f>
        <v>108186.14973790362</v>
      </c>
      <c r="W154" s="14">
        <f>'[1]功能-行军令'!T154</f>
        <v>134013.67777843843</v>
      </c>
      <c r="X154" s="14">
        <f>'[1]功能-行军令'!U154</f>
        <v>145269.82112710946</v>
      </c>
      <c r="Y154" s="14">
        <f>'[1]功能-行军令'!V154</f>
        <v>123675.73018929223</v>
      </c>
      <c r="Z154" s="14">
        <f>'[1]功能-行军令'!W154</f>
        <v>76240.915229522856</v>
      </c>
      <c r="AC154" s="14">
        <v>151</v>
      </c>
      <c r="AD154" s="14">
        <v>34757184</v>
      </c>
      <c r="AE154" s="14">
        <v>35245824</v>
      </c>
      <c r="AF154" s="14">
        <v>36054438</v>
      </c>
      <c r="AG154" s="14">
        <v>36673122</v>
      </c>
      <c r="AH154" s="14">
        <v>37383336</v>
      </c>
      <c r="AK154" s="14">
        <v>151</v>
      </c>
      <c r="AL154" s="14">
        <f>'[1]功能-付费相关'!AH156</f>
        <v>5.5555555555555558E-3</v>
      </c>
      <c r="AM154" s="14">
        <f>'[1]功能-付费相关'!AI156</f>
        <v>5.5555555555555558E-3</v>
      </c>
      <c r="AN154" s="14">
        <f>'[1]功能-付费相关'!AJ156</f>
        <v>5.5555555555555558E-3</v>
      </c>
      <c r="AO154" s="14">
        <f>'[1]功能-付费相关'!AK156</f>
        <v>5.5555555555555558E-3</v>
      </c>
      <c r="AP154" s="14">
        <f>'[1]功能-付费相关'!AL156</f>
        <v>5.5555555555555558E-3</v>
      </c>
      <c r="AS154" s="14">
        <v>151</v>
      </c>
      <c r="AT154" s="14">
        <f>'[1]功能-城建'!GF154</f>
        <v>5985986702.4546204</v>
      </c>
      <c r="AU154" s="14">
        <f>'[1]功能-城建'!GG154</f>
        <v>5150027214.8100739</v>
      </c>
      <c r="AV154" s="14">
        <f>'[1]功能-城建'!GH154</f>
        <v>4137795344.6315231</v>
      </c>
      <c r="AW154" s="14">
        <f>'[1]功能-城建'!GI154</f>
        <v>3129789155.1637115</v>
      </c>
      <c r="AX154" s="14">
        <f>'[1]功能-城建'!GJ154</f>
        <v>1953247835.9967461</v>
      </c>
    </row>
    <row r="155" spans="2:50" x14ac:dyDescent="0.15">
      <c r="B155" s="14">
        <v>152</v>
      </c>
      <c r="C155" s="14">
        <f>'[1]资源-钻石'!L155</f>
        <v>105381480.44947961</v>
      </c>
      <c r="D155" s="14">
        <f>'[1]资源-钻石'!M155</f>
        <v>152040631.39419919</v>
      </c>
      <c r="E155" s="14">
        <f>'[1]资源-钻石'!N155</f>
        <v>247948519.16521761</v>
      </c>
      <c r="F155" s="14">
        <f>'[1]资源-钻石'!O155</f>
        <v>562501563.50439644</v>
      </c>
      <c r="G155" s="14">
        <f>'[1]资源-钻石'!P155</f>
        <v>1098416415.5899403</v>
      </c>
      <c r="I155" s="14">
        <v>152</v>
      </c>
      <c r="J155" s="14">
        <f>'[1]资源-钻石'!T155</f>
        <v>820850.82267328992</v>
      </c>
      <c r="K155" s="14">
        <f>'[1]资源-钻石'!U155</f>
        <v>1160815.9049406191</v>
      </c>
      <c r="L155" s="14">
        <f>'[1]资源-钻石'!V155</f>
        <v>1960279.4954346812</v>
      </c>
      <c r="M155" s="14">
        <f>'[1]资源-钻石'!W155</f>
        <v>5229377.4449781487</v>
      </c>
      <c r="N155" s="14">
        <f>'[1]资源-钻石'!X155</f>
        <v>12484057.689475963</v>
      </c>
      <c r="P155" s="14">
        <v>152</v>
      </c>
      <c r="Q155" s="14">
        <f>'[1]功能-行军令'!N155</f>
        <v>1731419.1940409699</v>
      </c>
      <c r="R155" s="14">
        <f>'[1]功能-行军令'!O155</f>
        <v>2130206.4379310715</v>
      </c>
      <c r="S155" s="14">
        <f>'[1]功能-行军令'!P155</f>
        <v>2313721.8166803354</v>
      </c>
      <c r="T155" s="14">
        <f>'[1]功能-行军令'!Q155</f>
        <v>1880283.6051807969</v>
      </c>
      <c r="U155" s="14">
        <f>'[1]功能-行军令'!R155</f>
        <v>1453827.5297789667</v>
      </c>
      <c r="V155" s="14">
        <f>'[1]功能-行军令'!S155</f>
        <v>115951.04430306633</v>
      </c>
      <c r="W155" s="14">
        <f>'[1]功能-行军令'!T155</f>
        <v>142186.74965263298</v>
      </c>
      <c r="X155" s="14">
        <f>'[1]功能-行军令'!U155</f>
        <v>166771.66945322603</v>
      </c>
      <c r="Y155" s="14">
        <f>'[1]功能-行军令'!V155</f>
        <v>149432.39879150456</v>
      </c>
      <c r="Z155" s="14">
        <f>'[1]功能-行军令'!W155</f>
        <v>516961.3595494437</v>
      </c>
      <c r="AC155" s="14">
        <v>152</v>
      </c>
      <c r="AD155" s="14">
        <v>35317614</v>
      </c>
      <c r="AE155" s="14">
        <v>35807772</v>
      </c>
      <c r="AF155" s="14">
        <v>36714774</v>
      </c>
      <c r="AG155" s="14">
        <v>37370442</v>
      </c>
      <c r="AH155" s="14">
        <v>37771296</v>
      </c>
      <c r="AK155" s="14">
        <v>152</v>
      </c>
      <c r="AL155" s="14">
        <f>'[1]功能-付费相关'!AH157</f>
        <v>5.5555555555555558E-3</v>
      </c>
      <c r="AM155" s="14">
        <f>'[1]功能-付费相关'!AI157</f>
        <v>5.5555555555555558E-3</v>
      </c>
      <c r="AN155" s="14">
        <f>'[1]功能-付费相关'!AJ157</f>
        <v>5.5555555555555558E-3</v>
      </c>
      <c r="AO155" s="14">
        <f>'[1]功能-付费相关'!AK157</f>
        <v>5.5555555555555558E-3</v>
      </c>
      <c r="AP155" s="14">
        <f>'[1]功能-付费相关'!AL157</f>
        <v>5.5555555555555558E-3</v>
      </c>
      <c r="AS155" s="14">
        <v>152</v>
      </c>
      <c r="AT155" s="14">
        <f>'[1]功能-城建'!GF155</f>
        <v>6515228819.8792114</v>
      </c>
      <c r="AU155" s="14">
        <f>'[1]功能-城建'!GG155</f>
        <v>5500717240.2929077</v>
      </c>
      <c r="AV155" s="14">
        <f>'[1]功能-城建'!GH155</f>
        <v>4786715253.6674728</v>
      </c>
      <c r="AW155" s="14">
        <f>'[1]功能-城建'!GI155</f>
        <v>3828371009.0390472</v>
      </c>
      <c r="AX155" s="14">
        <f>'[1]功能-城建'!GJ155</f>
        <v>1073429376.0032539</v>
      </c>
    </row>
    <row r="156" spans="2:50" x14ac:dyDescent="0.15">
      <c r="B156" s="14">
        <v>153</v>
      </c>
      <c r="C156" s="14">
        <f>'[1]资源-钻石'!L156</f>
        <v>112648363.15672721</v>
      </c>
      <c r="D156" s="14">
        <f>'[1]资源-钻石'!M156</f>
        <v>163805576.3922936</v>
      </c>
      <c r="E156" s="14">
        <f>'[1]资源-钻石'!N156</f>
        <v>268276036.31259289</v>
      </c>
      <c r="F156" s="14">
        <f>'[1]资源-钻石'!O156</f>
        <v>744520014.07159317</v>
      </c>
      <c r="G156" s="14">
        <f>'[1]资源-钻石'!P156</f>
        <v>1880534218.3901145</v>
      </c>
      <c r="I156" s="14">
        <v>153</v>
      </c>
      <c r="J156" s="14">
        <f>'[1]资源-钻石'!T156</f>
        <v>825184.18045707024</v>
      </c>
      <c r="K156" s="14">
        <f>'[1]资源-钻石'!U156</f>
        <v>1167262.5985027773</v>
      </c>
      <c r="L156" s="14">
        <f>'[1]资源-钻石'!V156</f>
        <v>1971822.8583530553</v>
      </c>
      <c r="M156" s="14">
        <f>'[1]资源-钻石'!W156</f>
        <v>5262095.1441883603</v>
      </c>
      <c r="N156" s="14">
        <f>'[1]资源-钻石'!X156</f>
        <v>12563902.158607196</v>
      </c>
      <c r="P156" s="14">
        <v>153</v>
      </c>
      <c r="Q156" s="14">
        <f>'[1]功能-行军令'!N156</f>
        <v>1855692.4462783667</v>
      </c>
      <c r="R156" s="14">
        <f>'[1]功能-行军令'!O156</f>
        <v>2300130.7871620352</v>
      </c>
      <c r="S156" s="14">
        <f>'[1]功能-行军令'!P156</f>
        <v>2507322.8829030287</v>
      </c>
      <c r="T156" s="14">
        <f>'[1]功能-行军令'!Q156</f>
        <v>2493082.4604348489</v>
      </c>
      <c r="U156" s="14">
        <f>'[1]功能-行军令'!R156</f>
        <v>2493082.4604348489</v>
      </c>
      <c r="V156" s="14">
        <f>'[1]功能-行军令'!S156</f>
        <v>124273.25223739678</v>
      </c>
      <c r="W156" s="14">
        <f>'[1]功能-行军令'!T156</f>
        <v>169924.34923096374</v>
      </c>
      <c r="X156" s="14">
        <f>'[1]功能-行军令'!U156</f>
        <v>193601.06622269331</v>
      </c>
      <c r="Y156" s="14">
        <f>'[1]功能-行军令'!V156</f>
        <v>612798.85525405197</v>
      </c>
      <c r="Z156" s="14">
        <f>'[1]功能-行军令'!W156</f>
        <v>1039254.9306558822</v>
      </c>
      <c r="AC156" s="14">
        <v>153</v>
      </c>
      <c r="AD156" s="14">
        <v>35922072</v>
      </c>
      <c r="AE156" s="14">
        <v>36420006</v>
      </c>
      <c r="AF156" s="14">
        <v>37394178</v>
      </c>
      <c r="AG156" s="14">
        <v>37763208</v>
      </c>
      <c r="AH156" s="14">
        <v>38062122</v>
      </c>
      <c r="AK156" s="14">
        <v>153</v>
      </c>
      <c r="AL156" s="14">
        <f>'[1]功能-付费相关'!AH158</f>
        <v>5.5555555555555558E-3</v>
      </c>
      <c r="AM156" s="14">
        <f>'[1]功能-付费相关'!AI158</f>
        <v>5.5555555555555558E-3</v>
      </c>
      <c r="AN156" s="14">
        <f>'[1]功能-付费相关'!AJ158</f>
        <v>5.5555555555555558E-3</v>
      </c>
      <c r="AO156" s="14">
        <f>'[1]功能-付费相关'!AK158</f>
        <v>5.5555555555555558E-3</v>
      </c>
      <c r="AP156" s="14">
        <f>'[1]功能-付费相关'!AL158</f>
        <v>5.5555555555555558E-3</v>
      </c>
      <c r="AS156" s="14">
        <v>153</v>
      </c>
      <c r="AT156" s="14">
        <f>'[1]功能-城建'!GF156</f>
        <v>7002527604.333313</v>
      </c>
      <c r="AU156" s="14">
        <f>'[1]功能-城建'!GG156</f>
        <v>6642525043.5583344</v>
      </c>
      <c r="AV156" s="14">
        <f>'[1]功能-城建'!GH156</f>
        <v>5614005423.6092682</v>
      </c>
      <c r="AW156" s="14">
        <f>'[1]功能-城建'!GI156</f>
        <v>1979019166.105957</v>
      </c>
      <c r="AX156" s="14">
        <f>'[1]功能-城建'!GJ156</f>
        <v>0</v>
      </c>
    </row>
    <row r="157" spans="2:50" x14ac:dyDescent="0.15">
      <c r="B157" s="14">
        <v>154</v>
      </c>
      <c r="C157" s="14">
        <f>'[1]资源-钻石'!L157</f>
        <v>120436815.19771889</v>
      </c>
      <c r="D157" s="14">
        <f>'[1]资源-钻石'!M157</f>
        <v>176038248.52770308</v>
      </c>
      <c r="E157" s="14">
        <f>'[1]资源-钻石'!N157</f>
        <v>329309296.58627486</v>
      </c>
      <c r="F157" s="14">
        <f>'[1]资源-钻石'!O157</f>
        <v>1048364358.3480647</v>
      </c>
      <c r="G157" s="14">
        <f>'[1]资源-钻石'!P157</f>
        <v>2651219260.3727632</v>
      </c>
      <c r="I157" s="14">
        <v>154</v>
      </c>
      <c r="J157" s="14">
        <f>'[1]资源-钻石'!T157</f>
        <v>829517.53824085055</v>
      </c>
      <c r="K157" s="14">
        <f>'[1]资源-钻石'!U157</f>
        <v>1173709.2920649357</v>
      </c>
      <c r="L157" s="14">
        <f>'[1]资源-钻石'!V157</f>
        <v>1983366.2212714294</v>
      </c>
      <c r="M157" s="14">
        <f>'[1]资源-钻石'!W157</f>
        <v>5294812.8433985729</v>
      </c>
      <c r="N157" s="14">
        <f>'[1]资源-钻石'!X157</f>
        <v>12643746.627738429</v>
      </c>
      <c r="P157" s="14">
        <v>154</v>
      </c>
      <c r="Q157" s="14">
        <f>'[1]功能-行军令'!N157</f>
        <v>1988885.2201294843</v>
      </c>
      <c r="R157" s="14">
        <f>'[1]功能-行军令'!O157</f>
        <v>2476810.6485895114</v>
      </c>
      <c r="S157" s="14">
        <f>'[1]功能-行军令'!P157</f>
        <v>3088609.0369554288</v>
      </c>
      <c r="T157" s="14">
        <f>'[1]功能-行军令'!Q157</f>
        <v>3518165.0078681773</v>
      </c>
      <c r="U157" s="14">
        <f>'[1]功能-行军令'!R157</f>
        <v>3518165.0078681773</v>
      </c>
      <c r="V157" s="14">
        <f>'[1]功能-行军令'!S157</f>
        <v>133192.77385111758</v>
      </c>
      <c r="W157" s="14">
        <f>'[1]功能-行军令'!T157</f>
        <v>176679.86142747616</v>
      </c>
      <c r="X157" s="14">
        <f>'[1]功能-行军令'!U157</f>
        <v>581286.15405240003</v>
      </c>
      <c r="Y157" s="14">
        <f>'[1]功能-行军令'!V157</f>
        <v>1025082.5474333283</v>
      </c>
      <c r="Z157" s="14">
        <f>'[1]功能-行军令'!W157</f>
        <v>1025082.5474333283</v>
      </c>
      <c r="AC157" s="14">
        <v>154</v>
      </c>
      <c r="AD157" s="14">
        <v>36531240</v>
      </c>
      <c r="AE157" s="14">
        <v>37040208</v>
      </c>
      <c r="AF157" s="14">
        <v>37779774</v>
      </c>
      <c r="AG157" s="14">
        <v>38052978</v>
      </c>
      <c r="AH157" s="14">
        <v>38132340</v>
      </c>
      <c r="AK157" s="14">
        <v>154</v>
      </c>
      <c r="AL157" s="14">
        <f>'[1]功能-付费相关'!AH159</f>
        <v>5.5555555555555558E-3</v>
      </c>
      <c r="AM157" s="14">
        <f>'[1]功能-付费相关'!AI159</f>
        <v>5.5555555555555558E-3</v>
      </c>
      <c r="AN157" s="14">
        <f>'[1]功能-付费相关'!AJ159</f>
        <v>5.5555555555555558E-3</v>
      </c>
      <c r="AO157" s="14">
        <f>'[1]功能-付费相关'!AK159</f>
        <v>5.5555555555555558E-3</v>
      </c>
      <c r="AP157" s="14">
        <f>'[1]功能-付费相关'!AL159</f>
        <v>5.5555555555555558E-3</v>
      </c>
      <c r="AS157" s="14">
        <v>154</v>
      </c>
      <c r="AT157" s="14">
        <f>'[1]功能-城建'!GF157</f>
        <v>7606193753.0795288</v>
      </c>
      <c r="AU157" s="14">
        <f>'[1]功能-城建'!GG157</f>
        <v>6958549527.385437</v>
      </c>
      <c r="AV157" s="14">
        <f>'[1]功能-城建'!GH157</f>
        <v>2519331725.5548019</v>
      </c>
      <c r="AW157" s="14">
        <f>'[1]功能-城建'!GI157</f>
        <v>0</v>
      </c>
      <c r="AX157" s="14">
        <f>'[1]功能-城建'!GJ157</f>
        <v>0</v>
      </c>
    </row>
    <row r="158" spans="2:50" x14ac:dyDescent="0.15">
      <c r="B158" s="14">
        <v>155</v>
      </c>
      <c r="C158" s="14">
        <f>'[1]资源-钻石'!L158</f>
        <v>128770912.15692526</v>
      </c>
      <c r="D158" s="14">
        <f>'[1]资源-钻石'!M158</f>
        <v>209026117.58476669</v>
      </c>
      <c r="E158" s="14">
        <f>'[1]资源-钻石'!N158</f>
        <v>429272515.33814478</v>
      </c>
      <c r="F158" s="14">
        <f>'[1]资源-钻石'!O158</f>
        <v>1361176657.7009187</v>
      </c>
      <c r="G158" s="14">
        <f>'[1]资源-钻石'!P158</f>
        <v>3455416492.6939464</v>
      </c>
      <c r="I158" s="14">
        <v>155</v>
      </c>
      <c r="J158" s="14">
        <f>'[1]资源-钻石'!T158</f>
        <v>833850.89602463087</v>
      </c>
      <c r="K158" s="14">
        <f>'[1]资源-钻石'!U158</f>
        <v>1180155.9856270941</v>
      </c>
      <c r="L158" s="14">
        <f>'[1]资源-钻石'!V158</f>
        <v>1994909.5841898038</v>
      </c>
      <c r="M158" s="14">
        <f>'[1]资源-钻石'!W158</f>
        <v>5327530.5426087845</v>
      </c>
      <c r="N158" s="14">
        <f>'[1]资源-钻石'!X158</f>
        <v>12723591.096869662</v>
      </c>
      <c r="P158" s="14">
        <v>155</v>
      </c>
      <c r="Q158" s="14">
        <f>'[1]功能-行军令'!N158</f>
        <v>2131637.700544714</v>
      </c>
      <c r="R158" s="14">
        <f>'[1]功能-行军令'!O158</f>
        <v>2953263.5502346703</v>
      </c>
      <c r="S158" s="14">
        <f>'[1]功能-行军令'!P158</f>
        <v>4040667.5492225429</v>
      </c>
      <c r="T158" s="14">
        <f>'[1]功能-行军令'!Q158</f>
        <v>4573502.8304387024</v>
      </c>
      <c r="U158" s="14">
        <f>'[1]功能-行军令'!R158</f>
        <v>4587821.8749923613</v>
      </c>
      <c r="V158" s="14">
        <f>'[1]功能-行军令'!S158</f>
        <v>142752.48041522969</v>
      </c>
      <c r="W158" s="14">
        <f>'[1]功能-行军令'!T158</f>
        <v>476452.90164515888</v>
      </c>
      <c r="X158" s="14">
        <f>'[1]功能-行军令'!U158</f>
        <v>952058.51226711413</v>
      </c>
      <c r="Y158" s="14">
        <f>'[1]功能-行军令'!V158</f>
        <v>1055337.8225705251</v>
      </c>
      <c r="Z158" s="14">
        <f>'[1]功能-行军令'!W158</f>
        <v>1069656.867124184</v>
      </c>
      <c r="AC158" s="14">
        <v>155</v>
      </c>
      <c r="AD158" s="14">
        <v>37152720</v>
      </c>
      <c r="AE158" s="14">
        <v>37539840</v>
      </c>
      <c r="AF158" s="14">
        <v>38068080</v>
      </c>
      <c r="AG158" s="14">
        <v>38133630</v>
      </c>
      <c r="AH158" s="14">
        <v>38183064</v>
      </c>
      <c r="AK158" s="14">
        <v>155</v>
      </c>
      <c r="AL158" s="14">
        <f>'[1]功能-付费相关'!AH160</f>
        <v>5.5555555555555558E-3</v>
      </c>
      <c r="AM158" s="14">
        <f>'[1]功能-付费相关'!AI160</f>
        <v>5.5555555555555558E-3</v>
      </c>
      <c r="AN158" s="14">
        <f>'[1]功能-付费相关'!AJ160</f>
        <v>5.5555555555555558E-3</v>
      </c>
      <c r="AO158" s="14">
        <f>'[1]功能-付费相关'!AK160</f>
        <v>5.5555555555555558E-3</v>
      </c>
      <c r="AP158" s="14">
        <f>'[1]功能-付费相关'!AL160</f>
        <v>5.5555555555555558E-3</v>
      </c>
      <c r="AS158" s="14">
        <v>155</v>
      </c>
      <c r="AT158" s="14">
        <f>'[1]功能-城建'!GF158</f>
        <v>8189027072.1675415</v>
      </c>
      <c r="AU158" s="14">
        <f>'[1]功能-城建'!GG158</f>
        <v>2752207408.6865387</v>
      </c>
      <c r="AV158" s="14">
        <f>'[1]功能-城建'!GH158</f>
        <v>0</v>
      </c>
      <c r="AW158" s="14">
        <f>'[1]功能-城建'!GI158</f>
        <v>0</v>
      </c>
      <c r="AX158" s="14">
        <f>'[1]功能-城建'!GJ158</f>
        <v>0</v>
      </c>
    </row>
    <row r="159" spans="2:50" x14ac:dyDescent="0.15">
      <c r="B159" s="14">
        <v>156</v>
      </c>
      <c r="C159" s="14">
        <f>'[1]资源-钻石'!L159</f>
        <v>137546563.07977226</v>
      </c>
      <c r="D159" s="14">
        <f>'[1]资源-钻石'!M159</f>
        <v>234742620.14612284</v>
      </c>
      <c r="E159" s="14">
        <f>'[1]资源-钻石'!N159</f>
        <v>484051157.41935933</v>
      </c>
      <c r="F159" s="14">
        <f>'[1]资源-钻石'!O159</f>
        <v>1536742765.4889503</v>
      </c>
      <c r="G159" s="14">
        <f>'[1]资源-钻石'!P159</f>
        <v>3901893226.6270924</v>
      </c>
      <c r="I159" s="14">
        <v>156</v>
      </c>
      <c r="J159" s="14">
        <f>'[1]资源-钻石'!T159</f>
        <v>838184.25380841119</v>
      </c>
      <c r="K159" s="14">
        <f>'[1]资源-钻石'!U159</f>
        <v>1186602.6791892524</v>
      </c>
      <c r="L159" s="14">
        <f>'[1]资源-钻石'!V159</f>
        <v>2006452.9471081779</v>
      </c>
      <c r="M159" s="14">
        <f>'[1]资源-钻石'!W159</f>
        <v>5360248.2418189961</v>
      </c>
      <c r="N159" s="14">
        <f>'[1]资源-钻石'!X159</f>
        <v>12803435.566000894</v>
      </c>
      <c r="P159" s="14">
        <v>156</v>
      </c>
      <c r="Q159" s="14">
        <f>'[1]功能-行军令'!N159</f>
        <v>2284636.0207649847</v>
      </c>
      <c r="R159" s="14">
        <f>'[1]功能-行军令'!O159</f>
        <v>3327622.0302446513</v>
      </c>
      <c r="S159" s="14">
        <f>'[1]功能-行军令'!P159</f>
        <v>4564802.1014893418</v>
      </c>
      <c r="T159" s="14">
        <f>'[1]功能-行军令'!Q159</f>
        <v>5166754.0269604633</v>
      </c>
      <c r="U159" s="14">
        <f>'[1]功能-行军令'!R159</f>
        <v>5182100.82109995</v>
      </c>
      <c r="V159" s="14">
        <f>'[1]功能-行军令'!S159</f>
        <v>152998.32022027066</v>
      </c>
      <c r="W159" s="14">
        <f>'[1]功能-行军令'!T159</f>
        <v>374358.48000998097</v>
      </c>
      <c r="X159" s="14">
        <f>'[1]功能-行军令'!U159</f>
        <v>524134.55226679891</v>
      </c>
      <c r="Y159" s="14">
        <f>'[1]功能-行军令'!V159</f>
        <v>593251.1965217609</v>
      </c>
      <c r="Z159" s="14">
        <f>'[1]功能-行军令'!W159</f>
        <v>594278.94610758871</v>
      </c>
      <c r="AC159" s="14">
        <v>156</v>
      </c>
      <c r="AD159" s="14">
        <v>37563288</v>
      </c>
      <c r="AE159" s="14">
        <v>37879536</v>
      </c>
      <c r="AF159" s="14">
        <v>38153976</v>
      </c>
      <c r="AG159" s="14">
        <v>38184042</v>
      </c>
      <c r="AH159" s="14">
        <v>38233806</v>
      </c>
      <c r="AK159" s="14">
        <v>156</v>
      </c>
      <c r="AL159" s="14">
        <f>'[1]功能-付费相关'!AH161</f>
        <v>5.5555555555555558E-3</v>
      </c>
      <c r="AM159" s="14">
        <f>'[1]功能-付费相关'!AI161</f>
        <v>5.5555555555555558E-3</v>
      </c>
      <c r="AN159" s="14">
        <f>'[1]功能-付费相关'!AJ161</f>
        <v>5.5555555555555558E-3</v>
      </c>
      <c r="AO159" s="14">
        <f>'[1]功能-付费相关'!AK161</f>
        <v>5.5555555555555558E-3</v>
      </c>
      <c r="AP159" s="14">
        <f>'[1]功能-付费相关'!AL161</f>
        <v>5.5555555555555558E-3</v>
      </c>
      <c r="AS159" s="14">
        <v>156</v>
      </c>
      <c r="AT159" s="14">
        <f>'[1]功能-城建'!GF159</f>
        <v>3095114458.7523804</v>
      </c>
      <c r="AU159" s="14">
        <f>'[1]功能-城建'!GG159</f>
        <v>0</v>
      </c>
      <c r="AV159" s="14">
        <f>'[1]功能-城建'!GH159</f>
        <v>0</v>
      </c>
      <c r="AW159" s="14">
        <f>'[1]功能-城建'!GI159</f>
        <v>0</v>
      </c>
      <c r="AX159" s="14">
        <f>'[1]功能-城建'!GJ159</f>
        <v>0</v>
      </c>
    </row>
    <row r="160" spans="2:50" x14ac:dyDescent="0.15">
      <c r="B160" s="14">
        <v>157</v>
      </c>
      <c r="C160" s="14">
        <f>'[1]资源-钻石'!L160</f>
        <v>146952072.85536182</v>
      </c>
      <c r="D160" s="14">
        <f>'[1]资源-钻石'!M160</f>
        <v>251077498.86086968</v>
      </c>
      <c r="E160" s="14">
        <f>'[1]资源-钻石'!N160</f>
        <v>518228278.94566095</v>
      </c>
      <c r="F160" s="14">
        <f>'[1]资源-钻石'!O160</f>
        <v>1646418014.0173526</v>
      </c>
      <c r="G160" s="14">
        <f>'[1]资源-钻石'!P160</f>
        <v>4168905505.4417071</v>
      </c>
      <c r="I160" s="14">
        <v>157</v>
      </c>
      <c r="J160" s="14">
        <f>'[1]资源-钻石'!T160</f>
        <v>842517.6115921915</v>
      </c>
      <c r="K160" s="14">
        <f>'[1]资源-钻石'!U160</f>
        <v>1193049.3727514108</v>
      </c>
      <c r="L160" s="14">
        <f>'[1]资源-钻石'!V160</f>
        <v>2017996.3100265521</v>
      </c>
      <c r="M160" s="14">
        <f>'[1]资源-钻石'!W160</f>
        <v>5392965.9410292078</v>
      </c>
      <c r="N160" s="14">
        <f>'[1]资源-钻石'!X160</f>
        <v>12883280.035132127</v>
      </c>
      <c r="P160" s="14">
        <v>157</v>
      </c>
      <c r="Q160" s="14">
        <f>'[1]功能-行军令'!N160</f>
        <v>2448615.5601897002</v>
      </c>
      <c r="R160" s="14">
        <f>'[1]功能-行军令'!O160</f>
        <v>3566461.794189346</v>
      </c>
      <c r="S160" s="14">
        <f>'[1]功能-行军令'!P160</f>
        <v>4892440.3508051168</v>
      </c>
      <c r="T160" s="14">
        <f>'[1]功能-行军令'!Q160</f>
        <v>5537597.3201420549</v>
      </c>
      <c r="U160" s="14">
        <f>'[1]功能-行军令'!R160</f>
        <v>5537597.3201420549</v>
      </c>
      <c r="V160" s="14">
        <f>'[1]功能-行军令'!S160</f>
        <v>163979.53942471556</v>
      </c>
      <c r="W160" s="14">
        <f>'[1]功能-行军令'!T160</f>
        <v>238839.76394469477</v>
      </c>
      <c r="X160" s="14">
        <f>'[1]功能-行军令'!U160</f>
        <v>327638.249315775</v>
      </c>
      <c r="Y160" s="14">
        <f>'[1]功能-行军令'!V160</f>
        <v>370843.29318159167</v>
      </c>
      <c r="Z160" s="14">
        <f>'[1]功能-行军令'!W160</f>
        <v>355496.49904210493</v>
      </c>
      <c r="AC160" s="14">
        <v>157</v>
      </c>
      <c r="AD160" s="14">
        <v>37854048</v>
      </c>
      <c r="AE160" s="14">
        <v>38112504</v>
      </c>
      <c r="AF160" s="14">
        <v>38204208</v>
      </c>
      <c r="AG160" s="14">
        <v>38234478</v>
      </c>
      <c r="AH160" s="14">
        <v>38284554</v>
      </c>
      <c r="AK160" s="14">
        <v>157</v>
      </c>
      <c r="AL160" s="14">
        <f>'[1]功能-付费相关'!AH162</f>
        <v>5.5555555555555558E-3</v>
      </c>
      <c r="AM160" s="14">
        <f>'[1]功能-付费相关'!AI162</f>
        <v>5.5555555555555558E-3</v>
      </c>
      <c r="AN160" s="14">
        <f>'[1]功能-付费相关'!AJ162</f>
        <v>5.5555555555555558E-3</v>
      </c>
      <c r="AO160" s="14">
        <f>'[1]功能-付费相关'!AK162</f>
        <v>5.5555555555555558E-3</v>
      </c>
      <c r="AP160" s="14">
        <f>'[1]功能-付费相关'!AL162</f>
        <v>5.5555555555555558E-3</v>
      </c>
      <c r="AS160" s="14">
        <v>157</v>
      </c>
      <c r="AT160" s="14">
        <f>'[1]功能-城建'!GF160</f>
        <v>0</v>
      </c>
      <c r="AU160" s="14">
        <f>'[1]功能-城建'!GG160</f>
        <v>0</v>
      </c>
      <c r="AV160" s="14">
        <f>'[1]功能-城建'!GH160</f>
        <v>0</v>
      </c>
      <c r="AW160" s="14">
        <f>'[1]功能-城建'!GI160</f>
        <v>0</v>
      </c>
      <c r="AX160" s="14">
        <f>'[1]功能-城建'!GJ160</f>
        <v>0</v>
      </c>
    </row>
    <row r="161" spans="2:50" x14ac:dyDescent="0.15">
      <c r="B161" s="14">
        <v>158</v>
      </c>
      <c r="C161" s="14">
        <f>'[1]资源-钻石'!L161</f>
        <v>157032648.63446465</v>
      </c>
      <c r="D161" s="14">
        <f>'[1]资源-钻石'!M161</f>
        <v>268584788.38108474</v>
      </c>
      <c r="E161" s="14">
        <f>'[1]资源-钻石'!N161</f>
        <v>554858410.82342982</v>
      </c>
      <c r="F161" s="14">
        <f>'[1]资源-钻石'!O161</f>
        <v>1763965034.8871698</v>
      </c>
      <c r="G161" s="14">
        <f>'[1]资源-钻石'!P161</f>
        <v>4467436435.3613586</v>
      </c>
      <c r="I161" s="14">
        <v>158</v>
      </c>
      <c r="J161" s="14">
        <f>'[1]资源-钻石'!T161</f>
        <v>846850.96937597182</v>
      </c>
      <c r="K161" s="14">
        <f>'[1]资源-钻石'!U161</f>
        <v>1199496.0663135692</v>
      </c>
      <c r="L161" s="14">
        <f>'[1]资源-钻石'!V161</f>
        <v>2029539.6729449264</v>
      </c>
      <c r="M161" s="14">
        <f>'[1]资源-钻石'!W161</f>
        <v>5425683.6402394194</v>
      </c>
      <c r="N161" s="14">
        <f>'[1]资源-钻石'!X161</f>
        <v>12963124.50426336</v>
      </c>
      <c r="P161" s="14">
        <v>158</v>
      </c>
      <c r="Q161" s="14">
        <f>'[1]功能-行军令'!N161</f>
        <v>2624364.4789440394</v>
      </c>
      <c r="R161" s="14">
        <f>'[1]功能-行军令'!O161</f>
        <v>3822443.9149837093</v>
      </c>
      <c r="S161" s="14">
        <f>'[1]功能-行军令'!P161</f>
        <v>5243594.3317336226</v>
      </c>
      <c r="T161" s="14">
        <f>'[1]功能-行军令'!Q161</f>
        <v>5935057.3205336612</v>
      </c>
      <c r="U161" s="14">
        <f>'[1]功能-行军令'!R161</f>
        <v>5935057.3205336612</v>
      </c>
      <c r="V161" s="14">
        <f>'[1]功能-行军令'!S161</f>
        <v>175748.91875433922</v>
      </c>
      <c r="W161" s="14">
        <f>'[1]功能-行军令'!T161</f>
        <v>255982.12079436332</v>
      </c>
      <c r="X161" s="14">
        <f>'[1]功能-行军令'!U161</f>
        <v>351153.98092850577</v>
      </c>
      <c r="Y161" s="14">
        <f>'[1]功能-行军令'!V161</f>
        <v>397460.00039160624</v>
      </c>
      <c r="Z161" s="14">
        <f>'[1]功能-行军令'!W161</f>
        <v>397460.00039160624</v>
      </c>
      <c r="AC161" s="14">
        <v>158</v>
      </c>
      <c r="AD161" s="14">
        <v>37996650</v>
      </c>
      <c r="AE161" s="14">
        <v>38224152</v>
      </c>
      <c r="AF161" s="14">
        <v>38254458</v>
      </c>
      <c r="AG161" s="14">
        <v>38284914</v>
      </c>
      <c r="AH161" s="14">
        <v>38335326</v>
      </c>
      <c r="AK161" s="14">
        <v>158</v>
      </c>
      <c r="AL161" s="14">
        <f>'[1]功能-付费相关'!AH163</f>
        <v>5.5555555555555558E-3</v>
      </c>
      <c r="AM161" s="14">
        <f>'[1]功能-付费相关'!AI163</f>
        <v>5.5555555555555558E-3</v>
      </c>
      <c r="AN161" s="14">
        <f>'[1]功能-付费相关'!AJ163</f>
        <v>5.5555555555555558E-3</v>
      </c>
      <c r="AO161" s="14">
        <f>'[1]功能-付费相关'!AK163</f>
        <v>5.5555555555555558E-3</v>
      </c>
      <c r="AP161" s="14">
        <f>'[1]功能-付费相关'!AL163</f>
        <v>5.5555555555555558E-3</v>
      </c>
      <c r="AS161" s="14">
        <v>158</v>
      </c>
      <c r="AT161" s="14">
        <f>'[1]功能-城建'!GF161</f>
        <v>0</v>
      </c>
      <c r="AU161" s="14">
        <f>'[1]功能-城建'!GG161</f>
        <v>0</v>
      </c>
      <c r="AV161" s="14">
        <f>'[1]功能-城建'!GH161</f>
        <v>0</v>
      </c>
      <c r="AW161" s="14">
        <f>'[1]功能-城建'!GI161</f>
        <v>0</v>
      </c>
      <c r="AX161" s="14">
        <f>'[1]功能-城建'!GJ161</f>
        <v>0</v>
      </c>
    </row>
    <row r="162" spans="2:50" x14ac:dyDescent="0.15">
      <c r="B162" s="14">
        <v>159</v>
      </c>
      <c r="C162" s="14">
        <f>'[1]资源-钻石'!L162</f>
        <v>167836742.24159318</v>
      </c>
      <c r="D162" s="14">
        <f>'[1]资源-钻石'!M162</f>
        <v>287348636.68979102</v>
      </c>
      <c r="E162" s="14">
        <f>'[1]资源-钻石'!N162</f>
        <v>594117614.09922743</v>
      </c>
      <c r="F162" s="14">
        <f>'[1]资源-钻石'!O162</f>
        <v>1889948812.4556398</v>
      </c>
      <c r="G162" s="14">
        <f>'[1]资源-钻石'!P162</f>
        <v>4787393963.7955246</v>
      </c>
      <c r="I162" s="14">
        <v>159</v>
      </c>
      <c r="J162" s="14">
        <f>'[1]资源-钻石'!T162</f>
        <v>851184.32715975214</v>
      </c>
      <c r="K162" s="14">
        <f>'[1]资源-钻石'!U162</f>
        <v>1205942.7598757276</v>
      </c>
      <c r="L162" s="14">
        <f>'[1]资源-钻石'!V162</f>
        <v>2041083.0358633006</v>
      </c>
      <c r="M162" s="14">
        <f>'[1]资源-钻石'!W162</f>
        <v>5458401.3394496311</v>
      </c>
      <c r="N162" s="14">
        <f>'[1]资源-钻石'!X162</f>
        <v>13042968.973394593</v>
      </c>
      <c r="P162" s="14">
        <v>159</v>
      </c>
      <c r="Q162" s="14">
        <f>'[1]功能-行军令'!N162</f>
        <v>2812727.5061343871</v>
      </c>
      <c r="R162" s="14">
        <f>'[1]功能-行军令'!O162</f>
        <v>4096798.758934868</v>
      </c>
      <c r="S162" s="14">
        <f>'[1]功能-行军令'!P162</f>
        <v>5619951.8497567717</v>
      </c>
      <c r="T162" s="14">
        <f>'[1]功能-行军令'!Q162</f>
        <v>6361044.4013730492</v>
      </c>
      <c r="U162" s="14">
        <f>'[1]功能-行军令'!R162</f>
        <v>6361044.4013730492</v>
      </c>
      <c r="V162" s="14">
        <f>'[1]功能-行军令'!S162</f>
        <v>188363.02719034767</v>
      </c>
      <c r="W162" s="14">
        <f>'[1]功能-行军令'!T162</f>
        <v>274354.84395115869</v>
      </c>
      <c r="X162" s="14">
        <f>'[1]功能-行军令'!U162</f>
        <v>376357.51802314911</v>
      </c>
      <c r="Y162" s="14">
        <f>'[1]功能-行军令'!V162</f>
        <v>425987.08083938807</v>
      </c>
      <c r="Z162" s="14">
        <f>'[1]功能-行军令'!W162</f>
        <v>425987.08083938807</v>
      </c>
      <c r="AC162" s="14">
        <v>159</v>
      </c>
      <c r="AD162" s="14">
        <v>38058180</v>
      </c>
      <c r="AE162" s="14">
        <v>38274222</v>
      </c>
      <c r="AF162" s="14">
        <v>38304720</v>
      </c>
      <c r="AG162" s="14">
        <v>38335380</v>
      </c>
      <c r="AH162" s="14">
        <v>38386110</v>
      </c>
      <c r="AK162" s="14">
        <v>159</v>
      </c>
      <c r="AL162" s="14">
        <f>'[1]功能-付费相关'!AH164</f>
        <v>5.5555555555555558E-3</v>
      </c>
      <c r="AM162" s="14">
        <f>'[1]功能-付费相关'!AI164</f>
        <v>5.5555555555555558E-3</v>
      </c>
      <c r="AN162" s="14">
        <f>'[1]功能-付费相关'!AJ164</f>
        <v>5.5555555555555558E-3</v>
      </c>
      <c r="AO162" s="14">
        <f>'[1]功能-付费相关'!AK164</f>
        <v>5.5555555555555558E-3</v>
      </c>
      <c r="AP162" s="14">
        <f>'[1]功能-付费相关'!AL164</f>
        <v>5.5555555555555558E-3</v>
      </c>
      <c r="AS162" s="14">
        <v>159</v>
      </c>
      <c r="AT162" s="14">
        <f>'[1]功能-城建'!GF162</f>
        <v>0</v>
      </c>
      <c r="AU162" s="14">
        <f>'[1]功能-城建'!GG162</f>
        <v>0</v>
      </c>
      <c r="AV162" s="14">
        <f>'[1]功能-城建'!GH162</f>
        <v>0</v>
      </c>
      <c r="AW162" s="14">
        <f>'[1]功能-城建'!GI162</f>
        <v>0</v>
      </c>
      <c r="AX162" s="14">
        <f>'[1]功能-城建'!GJ162</f>
        <v>0</v>
      </c>
    </row>
    <row r="163" spans="2:50" x14ac:dyDescent="0.15">
      <c r="B163" s="14">
        <v>160</v>
      </c>
      <c r="C163" s="14">
        <f>'[1]资源-钻石'!L163</f>
        <v>179416283.05647135</v>
      </c>
      <c r="D163" s="14">
        <f>'[1]资源-钻石'!M163</f>
        <v>307459231.36211848</v>
      </c>
      <c r="E163" s="14">
        <f>'[1]资源-钻石'!N163</f>
        <v>636194586.33054423</v>
      </c>
      <c r="F163" s="14">
        <f>'[1]资源-钻石'!O163</f>
        <v>2024974881.9635987</v>
      </c>
      <c r="G163" s="14">
        <f>'[1]资源-钻石'!P163</f>
        <v>5130315951.9099579</v>
      </c>
      <c r="I163" s="14">
        <v>160</v>
      </c>
      <c r="J163" s="14">
        <f>'[1]资源-钻石'!T163</f>
        <v>855517.68494353245</v>
      </c>
      <c r="K163" s="14">
        <f>'[1]资源-钻石'!U163</f>
        <v>1212389.453437886</v>
      </c>
      <c r="L163" s="14">
        <f>'[1]资源-钻石'!V163</f>
        <v>2052626.3987816747</v>
      </c>
      <c r="M163" s="14">
        <f>'[1]资源-钻石'!W163</f>
        <v>5491119.0386598427</v>
      </c>
      <c r="N163" s="14">
        <f>'[1]资源-钻石'!X163</f>
        <v>13122813.442525825</v>
      </c>
      <c r="P163" s="14">
        <v>160</v>
      </c>
      <c r="Q163" s="14">
        <f>'[1]功能-行军令'!N163</f>
        <v>3014610</v>
      </c>
      <c r="R163" s="14">
        <f>'[1]功能-行军令'!O163</f>
        <v>4390845</v>
      </c>
      <c r="S163" s="14">
        <f>'[1]功能-行军令'!P163</f>
        <v>6023321.8500000006</v>
      </c>
      <c r="T163" s="14">
        <f>'[1]功能-行军令'!Q163</f>
        <v>6817606.0500000007</v>
      </c>
      <c r="U163" s="14">
        <f>'[1]功能-行军令'!R163</f>
        <v>6817606.0500000007</v>
      </c>
      <c r="V163" s="14">
        <f>'[1]功能-行军令'!S163</f>
        <v>201882.49386561289</v>
      </c>
      <c r="W163" s="14">
        <f>'[1]功能-行军令'!T163</f>
        <v>294046.24106513197</v>
      </c>
      <c r="X163" s="14">
        <f>'[1]功能-行军令'!U163</f>
        <v>403370.00024322886</v>
      </c>
      <c r="Y163" s="14">
        <f>'[1]功能-行军令'!V163</f>
        <v>456561.6486269515</v>
      </c>
      <c r="Z163" s="14">
        <f>'[1]功能-行军令'!W163</f>
        <v>456561.6486269515</v>
      </c>
      <c r="AC163" s="14">
        <v>160</v>
      </c>
      <c r="AD163" s="14">
        <v>38119620</v>
      </c>
      <c r="AE163" s="14">
        <v>38324268</v>
      </c>
      <c r="AF163" s="14">
        <v>38354958</v>
      </c>
      <c r="AG163" s="14">
        <v>38385816</v>
      </c>
      <c r="AH163" s="14">
        <v>38436876</v>
      </c>
      <c r="AK163" s="14">
        <v>160</v>
      </c>
      <c r="AL163" s="14">
        <f>'[1]功能-付费相关'!AH165</f>
        <v>5.5555555555555558E-3</v>
      </c>
      <c r="AM163" s="14">
        <f>'[1]功能-付费相关'!AI165</f>
        <v>5.5555555555555558E-3</v>
      </c>
      <c r="AN163" s="14">
        <f>'[1]功能-付费相关'!AJ165</f>
        <v>5.5555555555555558E-3</v>
      </c>
      <c r="AO163" s="14">
        <f>'[1]功能-付费相关'!AK165</f>
        <v>5.5555555555555558E-3</v>
      </c>
      <c r="AP163" s="14">
        <f>'[1]功能-付费相关'!AL165</f>
        <v>5.5555555555555558E-3</v>
      </c>
      <c r="AS163" s="14">
        <v>160</v>
      </c>
      <c r="AT163" s="14">
        <f>'[1]功能-城建'!GF163</f>
        <v>0</v>
      </c>
      <c r="AU163" s="14">
        <f>'[1]功能-城建'!GG163</f>
        <v>0</v>
      </c>
      <c r="AV163" s="14">
        <f>'[1]功能-城建'!GH163</f>
        <v>0</v>
      </c>
      <c r="AW163" s="14">
        <f>'[1]功能-城建'!GI163</f>
        <v>0</v>
      </c>
      <c r="AX163" s="14">
        <f>'[1]功能-城建'!GJ163</f>
        <v>0</v>
      </c>
    </row>
    <row r="164" spans="2:50" x14ac:dyDescent="0.15">
      <c r="I164" s="14">
        <v>161</v>
      </c>
      <c r="J164" s="14">
        <f>'[1]资源-钻石'!T164</f>
        <v>859851.04272731277</v>
      </c>
      <c r="K164" s="14">
        <f>'[1]资源-钻石'!U164</f>
        <v>1218836.1470000444</v>
      </c>
      <c r="L164" s="14">
        <f>'[1]资源-钻石'!V164</f>
        <v>2064169.761700049</v>
      </c>
      <c r="M164" s="14">
        <f>'[1]资源-钻石'!W164</f>
        <v>5523836.7378700543</v>
      </c>
      <c r="N164" s="14">
        <f>'[1]资源-钻石'!X164</f>
        <v>13202657.911657058</v>
      </c>
    </row>
    <row r="165" spans="2:50" x14ac:dyDescent="0.15">
      <c r="I165" s="14">
        <v>162</v>
      </c>
      <c r="J165" s="14">
        <f>'[1]资源-钻石'!T165</f>
        <v>864184.40051109309</v>
      </c>
      <c r="K165" s="14">
        <f>'[1]资源-钻石'!U165</f>
        <v>1225282.8405622025</v>
      </c>
      <c r="L165" s="14">
        <f>'[1]资源-钻石'!V165</f>
        <v>2075713.1246184232</v>
      </c>
      <c r="M165" s="14">
        <f>'[1]资源-钻石'!W165</f>
        <v>5556554.437080266</v>
      </c>
      <c r="N165" s="14">
        <f>'[1]资源-钻石'!X165</f>
        <v>13282502.380788291</v>
      </c>
    </row>
    <row r="166" spans="2:50" x14ac:dyDescent="0.15">
      <c r="I166" s="14">
        <v>163</v>
      </c>
      <c r="J166" s="14">
        <f>'[1]资源-钻石'!T166</f>
        <v>868517.75829487341</v>
      </c>
      <c r="K166" s="14">
        <f>'[1]资源-钻石'!U166</f>
        <v>1231729.5341243609</v>
      </c>
      <c r="L166" s="14">
        <f>'[1]资源-钻石'!V166</f>
        <v>2087256.4875367973</v>
      </c>
      <c r="M166" s="14">
        <f>'[1]资源-钻石'!W166</f>
        <v>5589272.1362904776</v>
      </c>
      <c r="N166" s="14">
        <f>'[1]资源-钻石'!X166</f>
        <v>13362346.849919524</v>
      </c>
    </row>
    <row r="167" spans="2:50" x14ac:dyDescent="0.15">
      <c r="I167" s="14">
        <v>164</v>
      </c>
      <c r="J167" s="14">
        <f>'[1]资源-钻石'!T167</f>
        <v>872851.11607865372</v>
      </c>
      <c r="K167" s="14">
        <f>'[1]资源-钻石'!U167</f>
        <v>1238176.2276865193</v>
      </c>
      <c r="L167" s="14">
        <f>'[1]资源-钻石'!V167</f>
        <v>2098799.8504551714</v>
      </c>
      <c r="M167" s="14">
        <f>'[1]资源-钻石'!W167</f>
        <v>5621989.8355006892</v>
      </c>
      <c r="N167" s="14">
        <f>'[1]资源-钻石'!X167</f>
        <v>13442191.319050755</v>
      </c>
    </row>
    <row r="168" spans="2:50" x14ac:dyDescent="0.15">
      <c r="I168" s="14">
        <v>165</v>
      </c>
      <c r="J168" s="14">
        <f>'[1]资源-钻石'!T168</f>
        <v>877184.47386243404</v>
      </c>
      <c r="K168" s="14">
        <f>'[1]资源-钻石'!U168</f>
        <v>1244622.9212486777</v>
      </c>
      <c r="L168" s="14">
        <f>'[1]资源-钻石'!V168</f>
        <v>2110343.2133735456</v>
      </c>
      <c r="M168" s="14">
        <f>'[1]资源-钻石'!W168</f>
        <v>5654707.5347109009</v>
      </c>
      <c r="N168" s="14">
        <f>'[1]资源-钻石'!X168</f>
        <v>13522035.788181989</v>
      </c>
    </row>
    <row r="169" spans="2:50" x14ac:dyDescent="0.15">
      <c r="I169" s="14">
        <v>166</v>
      </c>
      <c r="J169" s="14">
        <f>'[1]资源-钻石'!T169</f>
        <v>881517.83164621436</v>
      </c>
      <c r="K169" s="14">
        <f>'[1]资源-钻石'!U169</f>
        <v>1251069.614810836</v>
      </c>
      <c r="L169" s="14">
        <f>'[1]资源-钻石'!V169</f>
        <v>2121886.5762919202</v>
      </c>
      <c r="M169" s="14">
        <f>'[1]资源-钻石'!W169</f>
        <v>5687425.2339211125</v>
      </c>
      <c r="N169" s="14">
        <f>'[1]资源-钻石'!X169</f>
        <v>13601880.257313222</v>
      </c>
    </row>
    <row r="170" spans="2:50" x14ac:dyDescent="0.15">
      <c r="I170" s="14">
        <v>167</v>
      </c>
      <c r="J170" s="14">
        <f>'[1]资源-钻石'!T170</f>
        <v>885851.18942999467</v>
      </c>
      <c r="K170" s="14">
        <f>'[1]资源-钻石'!U170</f>
        <v>1257516.3083729944</v>
      </c>
      <c r="L170" s="14">
        <f>'[1]资源-钻石'!V170</f>
        <v>2133429.9392102943</v>
      </c>
      <c r="M170" s="14">
        <f>'[1]资源-钻石'!W170</f>
        <v>5720142.9331313241</v>
      </c>
      <c r="N170" s="14">
        <f>'[1]资源-钻石'!X170</f>
        <v>13681724.726444455</v>
      </c>
    </row>
    <row r="171" spans="2:50" x14ac:dyDescent="0.15">
      <c r="I171" s="14">
        <v>168</v>
      </c>
      <c r="J171" s="14">
        <f>'[1]资源-钻石'!T171</f>
        <v>890184.47403977695</v>
      </c>
      <c r="K171" s="14">
        <f>'[1]资源-钻石'!U171</f>
        <v>1263963.0019351528</v>
      </c>
      <c r="L171" s="14">
        <f>'[1]资源-钻石'!V171</f>
        <v>2144973.3021286684</v>
      </c>
      <c r="M171" s="14">
        <f>'[1]资源-钻石'!W171</f>
        <v>5752860.6323415348</v>
      </c>
      <c r="N171" s="14">
        <f>'[1]资源-钻石'!X171</f>
        <v>13761569.195575688</v>
      </c>
    </row>
    <row r="172" spans="2:50" x14ac:dyDescent="0.15">
      <c r="I172" s="14">
        <v>169</v>
      </c>
      <c r="J172" s="14">
        <f>'[1]资源-钻石'!T172</f>
        <v>894517.12130961951</v>
      </c>
      <c r="K172" s="14">
        <f>'[1]资源-钻石'!U172</f>
        <v>1270409.6954973112</v>
      </c>
      <c r="L172" s="14">
        <f>'[1]资源-钻石'!V172</f>
        <v>2156512.5337531343</v>
      </c>
      <c r="M172" s="14">
        <f>'[1]资源-钻石'!W172</f>
        <v>5785578.3315517465</v>
      </c>
      <c r="N172" s="14">
        <f>'[1]资源-钻石'!X172</f>
        <v>13841413.664706919</v>
      </c>
    </row>
    <row r="173" spans="2:50" x14ac:dyDescent="0.15">
      <c r="I173" s="14">
        <v>170</v>
      </c>
      <c r="J173" s="14">
        <f>'[1]资源-钻石'!T173</f>
        <v>898849.76857946208</v>
      </c>
      <c r="K173" s="14">
        <f>'[1]资源-钻石'!U173</f>
        <v>1276856.3890594693</v>
      </c>
      <c r="L173" s="14">
        <f>'[1]资源-钻石'!V173</f>
        <v>2168040.2855180311</v>
      </c>
      <c r="M173" s="14">
        <f>'[1]资源-钻石'!W173</f>
        <v>5818296.0307619581</v>
      </c>
      <c r="N173" s="14">
        <f>'[1]资源-钻石'!X173</f>
        <v>13921258.133838153</v>
      </c>
    </row>
    <row r="174" spans="2:50" x14ac:dyDescent="0.15">
      <c r="I174" s="14">
        <v>171</v>
      </c>
      <c r="J174" s="14">
        <f>'[1]资源-钻石'!T174</f>
        <v>903182.41584930464</v>
      </c>
      <c r="K174" s="14">
        <f>'[1]资源-钻石'!U174</f>
        <v>1283303.0826216277</v>
      </c>
      <c r="L174" s="14">
        <f>'[1]资源-钻石'!V174</f>
        <v>2179568.0372829279</v>
      </c>
      <c r="M174" s="14">
        <f>'[1]资源-钻石'!W174</f>
        <v>5851013.7299721697</v>
      </c>
      <c r="N174" s="14">
        <f>'[1]资源-钻石'!X174</f>
        <v>14001102.602969386</v>
      </c>
    </row>
    <row r="175" spans="2:50" x14ac:dyDescent="0.15">
      <c r="I175" s="14">
        <v>172</v>
      </c>
      <c r="J175" s="14">
        <f>'[1]资源-钻石'!T175</f>
        <v>907515.06311914721</v>
      </c>
      <c r="K175" s="14">
        <f>'[1]资源-钻石'!U175</f>
        <v>1289749.7761837861</v>
      </c>
      <c r="L175" s="14">
        <f>'[1]资源-钻石'!V175</f>
        <v>2191095.7890478252</v>
      </c>
      <c r="M175" s="14">
        <f>'[1]资源-钻石'!W175</f>
        <v>5883731.4291823814</v>
      </c>
      <c r="N175" s="14">
        <f>'[1]资源-钻石'!X175</f>
        <v>14080947.072100619</v>
      </c>
    </row>
    <row r="176" spans="2:50" x14ac:dyDescent="0.15">
      <c r="I176" s="14">
        <v>173</v>
      </c>
      <c r="J176" s="14">
        <f>'[1]资源-钻石'!T176</f>
        <v>911847.71038898989</v>
      </c>
      <c r="K176" s="14">
        <f>'[1]资源-钻石'!U176</f>
        <v>1296196.4697459445</v>
      </c>
      <c r="L176" s="14">
        <f>'[1]资源-钻石'!V176</f>
        <v>2202623.5408127219</v>
      </c>
      <c r="M176" s="14">
        <f>'[1]资源-钻石'!W176</f>
        <v>5916443.2022817116</v>
      </c>
      <c r="N176" s="14">
        <f>'[1]资源-钻石'!X176</f>
        <v>14160791.54123185</v>
      </c>
    </row>
    <row r="177" spans="9:14" x14ac:dyDescent="0.15">
      <c r="I177" s="14">
        <v>174</v>
      </c>
      <c r="J177" s="14">
        <f>'[1]资源-钻石'!T177</f>
        <v>916180.35765883245</v>
      </c>
      <c r="K177" s="14">
        <f>'[1]资源-钻石'!U177</f>
        <v>1302643.1633081029</v>
      </c>
      <c r="L177" s="14">
        <f>'[1]资源-钻石'!V177</f>
        <v>2214151.2925776187</v>
      </c>
      <c r="M177" s="14">
        <f>'[1]资源-钻石'!W177</f>
        <v>5948898.5527772438</v>
      </c>
      <c r="N177" s="14">
        <f>'[1]资源-钻石'!X177</f>
        <v>14240636.010363083</v>
      </c>
    </row>
    <row r="178" spans="9:14" x14ac:dyDescent="0.15">
      <c r="I178" s="14">
        <v>175</v>
      </c>
      <c r="J178" s="14">
        <f>'[1]资源-钻石'!T178</f>
        <v>920513.00492867501</v>
      </c>
      <c r="K178" s="14">
        <f>'[1]资源-钻石'!U178</f>
        <v>1309089.856870261</v>
      </c>
      <c r="L178" s="14">
        <f>'[1]资源-钻石'!V178</f>
        <v>2225679.044342516</v>
      </c>
      <c r="M178" s="14">
        <f>'[1]资源-钻石'!W178</f>
        <v>5981353.9032727769</v>
      </c>
      <c r="N178" s="14">
        <f>'[1]资源-钻石'!X178</f>
        <v>14320480.479494317</v>
      </c>
    </row>
    <row r="179" spans="9:14" x14ac:dyDescent="0.15">
      <c r="I179" s="14">
        <v>176</v>
      </c>
      <c r="J179" s="14">
        <f>'[1]资源-钻石'!T179</f>
        <v>924845.65219851758</v>
      </c>
      <c r="K179" s="14">
        <f>'[1]资源-钻石'!U179</f>
        <v>1315536.5504324194</v>
      </c>
      <c r="L179" s="14">
        <f>'[1]资源-钻石'!V179</f>
        <v>2237206.7961074128</v>
      </c>
      <c r="M179" s="14">
        <f>'[1]资源-钻石'!W179</f>
        <v>6013809.25376831</v>
      </c>
      <c r="N179" s="14">
        <f>'[1]资源-钻石'!X179</f>
        <v>14400324.94862555</v>
      </c>
    </row>
    <row r="180" spans="9:14" x14ac:dyDescent="0.15">
      <c r="I180" s="14">
        <v>177</v>
      </c>
      <c r="J180" s="14">
        <f>'[1]资源-钻石'!T180</f>
        <v>929178.29946836014</v>
      </c>
      <c r="K180" s="14">
        <f>'[1]资源-钻石'!U180</f>
        <v>1321983.2439945778</v>
      </c>
      <c r="L180" s="14">
        <f>'[1]资源-钻石'!V180</f>
        <v>2248734.5478723096</v>
      </c>
      <c r="M180" s="14">
        <f>'[1]资源-钻石'!W180</f>
        <v>6046264.604263843</v>
      </c>
      <c r="N180" s="14">
        <f>'[1]资源-钻石'!X180</f>
        <v>14480169.417756781</v>
      </c>
    </row>
    <row r="181" spans="9:14" x14ac:dyDescent="0.15">
      <c r="I181" s="14">
        <v>178</v>
      </c>
      <c r="J181" s="14">
        <f>'[1]资源-钻石'!T181</f>
        <v>933510.94673820282</v>
      </c>
      <c r="K181" s="14">
        <f>'[1]资源-钻石'!U181</f>
        <v>1328429.9375567362</v>
      </c>
      <c r="L181" s="14">
        <f>'[1]资源-钻石'!V181</f>
        <v>2260262.2996372068</v>
      </c>
      <c r="M181" s="14">
        <f>'[1]资源-钻石'!W181</f>
        <v>6078719.9547593761</v>
      </c>
      <c r="N181" s="14">
        <f>'[1]资源-钻石'!X181</f>
        <v>14560013.886888014</v>
      </c>
    </row>
    <row r="182" spans="9:14" x14ac:dyDescent="0.15">
      <c r="I182" s="14">
        <v>179</v>
      </c>
      <c r="J182" s="14">
        <f>'[1]资源-钻石'!T182</f>
        <v>937843.59400804539</v>
      </c>
      <c r="K182" s="14">
        <f>'[1]资源-钻石'!U182</f>
        <v>1334876.6311188946</v>
      </c>
      <c r="L182" s="14">
        <f>'[1]资源-钻石'!V182</f>
        <v>2271790.0514021036</v>
      </c>
      <c r="M182" s="14">
        <f>'[1]资源-钻石'!W182</f>
        <v>6111175.3052549092</v>
      </c>
      <c r="N182" s="14">
        <f>'[1]资源-钻石'!X182</f>
        <v>14639858.356019247</v>
      </c>
    </row>
    <row r="183" spans="9:14" x14ac:dyDescent="0.15">
      <c r="I183" s="14">
        <v>180</v>
      </c>
      <c r="J183" s="14">
        <f>'[1]资源-钻石'!T183</f>
        <v>942176.24127788795</v>
      </c>
      <c r="K183" s="14">
        <f>'[1]资源-钻石'!U183</f>
        <v>1340923.342526078</v>
      </c>
      <c r="L183" s="14">
        <f>'[1]资源-钻石'!V183</f>
        <v>2283317.8031670004</v>
      </c>
      <c r="M183" s="14">
        <f>'[1]资源-钻石'!W183</f>
        <v>6143630.6557504414</v>
      </c>
      <c r="N183" s="14">
        <f>'[1]资源-钻石'!X183</f>
        <v>14719476.170548452</v>
      </c>
    </row>
    <row r="184" spans="9:14" x14ac:dyDescent="0.15">
      <c r="I184" s="14">
        <v>181</v>
      </c>
      <c r="J184" s="14">
        <f>'[1]资源-钻石'!T184</f>
        <v>946072.75534475804</v>
      </c>
      <c r="K184" s="14">
        <f>'[1]资源-钻石'!U184</f>
        <v>1346913.262017586</v>
      </c>
      <c r="L184" s="14">
        <f>'[1]资源-钻石'!V184</f>
        <v>2294498.0339671574</v>
      </c>
      <c r="M184" s="14">
        <f>'[1]资源-钻石'!W184</f>
        <v>6176086.0062459745</v>
      </c>
      <c r="N184" s="14">
        <f>'[1]资源-钻石'!X184</f>
        <v>14798686.112228729</v>
      </c>
    </row>
    <row r="185" spans="9:14" x14ac:dyDescent="0.15">
      <c r="I185" s="14">
        <v>182</v>
      </c>
      <c r="J185" s="14">
        <f>'[1]资源-钻石'!T185</f>
        <v>949960.67007037718</v>
      </c>
      <c r="K185" s="14">
        <f>'[1]资源-钻石'!U185</f>
        <v>1352903.1815090941</v>
      </c>
      <c r="L185" s="14">
        <f>'[1]资源-钻石'!V185</f>
        <v>2305502.4107851568</v>
      </c>
      <c r="M185" s="14">
        <f>'[1]资源-钻石'!W185</f>
        <v>6208541.3567415075</v>
      </c>
      <c r="N185" s="14">
        <f>'[1]资源-钻石'!X185</f>
        <v>14877896.053909006</v>
      </c>
    </row>
    <row r="186" spans="9:14" x14ac:dyDescent="0.15">
      <c r="I186" s="14">
        <v>183</v>
      </c>
      <c r="J186" s="14">
        <f>'[1]资源-钻石'!T186</f>
        <v>953848.58479599631</v>
      </c>
      <c r="K186" s="14">
        <f>'[1]资源-钻石'!U186</f>
        <v>1358893.1010006021</v>
      </c>
      <c r="L186" s="14">
        <f>'[1]资源-钻石'!V186</f>
        <v>2316506.7876031557</v>
      </c>
      <c r="M186" s="14">
        <f>'[1]资源-钻石'!W186</f>
        <v>6240996.7072370406</v>
      </c>
      <c r="N186" s="14">
        <f>'[1]资源-钻石'!X186</f>
        <v>14957105.995589282</v>
      </c>
    </row>
    <row r="187" spans="9:14" x14ac:dyDescent="0.15">
      <c r="I187" s="14">
        <v>184</v>
      </c>
      <c r="J187" s="14">
        <f>'[1]资源-钻石'!T187</f>
        <v>957736.49952161545</v>
      </c>
      <c r="K187" s="14">
        <f>'[1]资源-钻石'!U187</f>
        <v>1364883.0204921104</v>
      </c>
      <c r="L187" s="14">
        <f>'[1]资源-钻石'!V187</f>
        <v>2327511.1644211551</v>
      </c>
      <c r="M187" s="14">
        <f>'[1]资源-钻石'!W187</f>
        <v>6273452.0577325737</v>
      </c>
      <c r="N187" s="14">
        <f>'[1]资源-钻石'!X187</f>
        <v>15036315.937269557</v>
      </c>
    </row>
    <row r="188" spans="9:14" x14ac:dyDescent="0.15">
      <c r="I188" s="14">
        <v>185</v>
      </c>
      <c r="J188" s="14">
        <f>'[1]资源-钻石'!T188</f>
        <v>961624.41424723458</v>
      </c>
      <c r="K188" s="14">
        <f>'[1]资源-钻石'!U188</f>
        <v>1370872.9399836184</v>
      </c>
      <c r="L188" s="14">
        <f>'[1]资源-钻石'!V188</f>
        <v>2338515.5412391541</v>
      </c>
      <c r="M188" s="14">
        <f>'[1]资源-钻石'!W188</f>
        <v>6305907.4082281068</v>
      </c>
      <c r="N188" s="14">
        <f>'[1]资源-钻石'!X188</f>
        <v>15115525.878949834</v>
      </c>
    </row>
    <row r="189" spans="9:14" x14ac:dyDescent="0.15">
      <c r="I189" s="14">
        <v>186</v>
      </c>
      <c r="J189" s="14">
        <f>'[1]资源-钻石'!T189</f>
        <v>965512.32897285372</v>
      </c>
      <c r="K189" s="14">
        <f>'[1]资源-钻石'!U189</f>
        <v>1376862.8594751265</v>
      </c>
      <c r="L189" s="14">
        <f>'[1]资源-钻石'!V189</f>
        <v>2349519.918057153</v>
      </c>
      <c r="M189" s="14">
        <f>'[1]资源-钻石'!W189</f>
        <v>6338221.9098628685</v>
      </c>
      <c r="N189" s="14">
        <f>'[1]资源-钻石'!X189</f>
        <v>15194735.820630111</v>
      </c>
    </row>
    <row r="190" spans="9:14" x14ac:dyDescent="0.15">
      <c r="I190" s="14">
        <v>187</v>
      </c>
      <c r="J190" s="14">
        <f>'[1]资源-钻石'!T190</f>
        <v>969400.24369847286</v>
      </c>
      <c r="K190" s="14">
        <f>'[1]资源-钻石'!U190</f>
        <v>1382852.7789666345</v>
      </c>
      <c r="L190" s="14">
        <f>'[1]资源-钻石'!V190</f>
        <v>2360524.2948751524</v>
      </c>
      <c r="M190" s="14">
        <f>'[1]资源-钻石'!W190</f>
        <v>6370346.7243626676</v>
      </c>
      <c r="N190" s="14">
        <f>'[1]资源-钻石'!X190</f>
        <v>15273945.762310388</v>
      </c>
    </row>
    <row r="191" spans="9:14" x14ac:dyDescent="0.15">
      <c r="I191" s="14">
        <v>188</v>
      </c>
      <c r="J191" s="14">
        <f>'[1]资源-钻石'!T191</f>
        <v>973288.15842409199</v>
      </c>
      <c r="K191" s="14">
        <f>'[1]资源-钻石'!U191</f>
        <v>1388842.6984581426</v>
      </c>
      <c r="L191" s="14">
        <f>'[1]资源-钻石'!V191</f>
        <v>2371528.6716931514</v>
      </c>
      <c r="M191" s="14">
        <f>'[1]资源-钻石'!W191</f>
        <v>6402471.5388624668</v>
      </c>
      <c r="N191" s="14">
        <f>'[1]资源-钻石'!X191</f>
        <v>15353155.703990664</v>
      </c>
    </row>
    <row r="192" spans="9:14" x14ac:dyDescent="0.15">
      <c r="I192" s="14">
        <v>189</v>
      </c>
      <c r="J192" s="14">
        <f>'[1]资源-钻石'!T192</f>
        <v>977176.07314971113</v>
      </c>
      <c r="K192" s="14">
        <f>'[1]资源-钻石'!U192</f>
        <v>1394832.6179496506</v>
      </c>
      <c r="L192" s="14">
        <f>'[1]资源-钻石'!V192</f>
        <v>2382533.0485111508</v>
      </c>
      <c r="M192" s="14">
        <f>'[1]资源-钻石'!W192</f>
        <v>6434596.353362266</v>
      </c>
      <c r="N192" s="14">
        <f>'[1]资源-钻石'!X192</f>
        <v>15432365.645670941</v>
      </c>
    </row>
    <row r="193" spans="9:16" x14ac:dyDescent="0.15">
      <c r="I193" s="14">
        <v>190</v>
      </c>
      <c r="J193" s="14">
        <f>'[1]资源-钻石'!T193</f>
        <v>981063.98787533026</v>
      </c>
      <c r="K193" s="14">
        <f>'[1]资源-钻石'!U193</f>
        <v>1400822.5374411589</v>
      </c>
      <c r="L193" s="14">
        <f>'[1]资源-钻石'!V193</f>
        <v>2393537.4253291497</v>
      </c>
      <c r="M193" s="14">
        <f>'[1]资源-钻石'!W193</f>
        <v>6466721.1678620651</v>
      </c>
      <c r="N193" s="14">
        <f>'[1]资源-钻石'!X193</f>
        <v>15511575.587351218</v>
      </c>
    </row>
    <row r="194" spans="9:16" x14ac:dyDescent="0.15">
      <c r="I194" s="14">
        <v>191</v>
      </c>
      <c r="J194" s="14">
        <f>'[1]资源-钻石'!T194</f>
        <v>984951.9026009494</v>
      </c>
      <c r="K194" s="14">
        <f>'[1]资源-钻石'!U194</f>
        <v>1406812.4569326669</v>
      </c>
      <c r="L194" s="14">
        <f>'[1]资源-钻石'!V194</f>
        <v>2404541.8021471491</v>
      </c>
      <c r="M194" s="14">
        <f>'[1]资源-钻石'!W194</f>
        <v>6498845.9823618643</v>
      </c>
      <c r="N194" s="14">
        <f>'[1]资源-钻石'!X194</f>
        <v>15590785.529031493</v>
      </c>
    </row>
    <row r="195" spans="9:16" x14ac:dyDescent="0.15">
      <c r="I195" s="14">
        <v>192</v>
      </c>
      <c r="J195" s="14">
        <f>'[1]资源-钻石'!T195</f>
        <v>988839.81732656853</v>
      </c>
      <c r="K195" s="14">
        <f>'[1]资源-钻石'!U195</f>
        <v>1412802.376424175</v>
      </c>
      <c r="L195" s="14">
        <f>'[1]资源-钻石'!V195</f>
        <v>2415546.1789651481</v>
      </c>
      <c r="M195" s="14">
        <f>'[1]资源-钻石'!W195</f>
        <v>6530970.7968616635</v>
      </c>
      <c r="N195" s="14">
        <f>'[1]资源-钻石'!X195</f>
        <v>15669995.47071177</v>
      </c>
    </row>
    <row r="196" spans="9:16" x14ac:dyDescent="0.15">
      <c r="I196" s="14">
        <v>193</v>
      </c>
      <c r="J196" s="14">
        <f>'[1]资源-钻石'!T196</f>
        <v>992727.73205218767</v>
      </c>
      <c r="K196" s="14">
        <f>'[1]资源-钻石'!U196</f>
        <v>1418760.5052574067</v>
      </c>
      <c r="L196" s="14">
        <f>'[1]资源-钻石'!V196</f>
        <v>2426550.5557831475</v>
      </c>
      <c r="M196" s="14">
        <f>'[1]资源-钻石'!W196</f>
        <v>6563095.6113614617</v>
      </c>
      <c r="N196" s="14">
        <f>'[1]资源-钻石'!X196</f>
        <v>15749202.672497608</v>
      </c>
    </row>
    <row r="197" spans="9:16" x14ac:dyDescent="0.15">
      <c r="I197" s="14">
        <v>194</v>
      </c>
      <c r="J197" s="14">
        <f>'[1]资源-钻石'!T197</f>
        <v>996615.64677780692</v>
      </c>
      <c r="K197" s="14">
        <f>'[1]资源-钻石'!U197</f>
        <v>1424717.2114555878</v>
      </c>
      <c r="L197" s="14">
        <f>'[1]资源-钻石'!V197</f>
        <v>2437554.9326011464</v>
      </c>
      <c r="M197" s="14">
        <f>'[1]资源-钻石'!W197</f>
        <v>6595220.4258612609</v>
      </c>
      <c r="N197" s="14">
        <f>'[1]资源-钻石'!X197</f>
        <v>15828394.968447385</v>
      </c>
    </row>
    <row r="198" spans="9:16" x14ac:dyDescent="0.15">
      <c r="I198" s="14">
        <v>195</v>
      </c>
      <c r="J198" s="14">
        <f>'[1]资源-钻石'!T198</f>
        <v>1000503.5615034261</v>
      </c>
      <c r="K198" s="14">
        <f>'[1]资源-钻石'!U198</f>
        <v>1430673.9176537688</v>
      </c>
      <c r="L198" s="14">
        <f>'[1]资源-钻石'!V198</f>
        <v>2448559.3094191458</v>
      </c>
      <c r="M198" s="14">
        <f>'[1]资源-钻石'!W198</f>
        <v>6627345.24036106</v>
      </c>
      <c r="N198" s="14">
        <f>'[1]资源-钻石'!X198</f>
        <v>15907587.264397165</v>
      </c>
    </row>
    <row r="199" spans="9:16" x14ac:dyDescent="0.15">
      <c r="I199" s="14">
        <v>196</v>
      </c>
      <c r="J199" s="14">
        <f>'[1]资源-钻石'!T199</f>
        <v>1004391.4762290452</v>
      </c>
      <c r="K199" s="14">
        <f>'[1]资源-钻石'!U199</f>
        <v>1436630.6238519498</v>
      </c>
      <c r="L199" s="14">
        <f>'[1]资源-钻石'!V199</f>
        <v>2459563.6862371447</v>
      </c>
      <c r="M199" s="14">
        <f>'[1]资源-钻石'!W199</f>
        <v>6659470.0548608592</v>
      </c>
      <c r="N199" s="14">
        <f>'[1]资源-钻石'!X199</f>
        <v>15986779.560346944</v>
      </c>
    </row>
    <row r="200" spans="9:16" x14ac:dyDescent="0.15">
      <c r="I200" s="14">
        <v>197</v>
      </c>
      <c r="J200" s="14">
        <f>'[1]资源-钻石'!T200</f>
        <v>1008279.3909546643</v>
      </c>
      <c r="K200" s="14">
        <f>'[1]资源-钻石'!U200</f>
        <v>1442587.3300501308</v>
      </c>
      <c r="L200" s="14">
        <f>'[1]资源-钻石'!V200</f>
        <v>2470568.0630551442</v>
      </c>
      <c r="M200" s="14">
        <f>'[1]资源-钻石'!W200</f>
        <v>6691594.8693606583</v>
      </c>
      <c r="N200" s="14">
        <f>'[1]资源-钻石'!X200</f>
        <v>16065971.856296724</v>
      </c>
    </row>
    <row r="201" spans="9:16" x14ac:dyDescent="0.15">
      <c r="I201" s="14">
        <v>198</v>
      </c>
      <c r="J201" s="14">
        <f>'[1]资源-钻石'!T201</f>
        <v>1012167.3056802835</v>
      </c>
      <c r="K201" s="14">
        <f>'[1]资源-钻石'!U201</f>
        <v>1448544.0362483119</v>
      </c>
      <c r="L201" s="14">
        <f>'[1]资源-钻石'!V201</f>
        <v>2481572.4398731431</v>
      </c>
      <c r="M201" s="14">
        <f>'[1]资源-钻石'!W201</f>
        <v>6723719.6838604575</v>
      </c>
      <c r="N201" s="14">
        <f>'[1]资源-钻石'!X201</f>
        <v>16145164.152246501</v>
      </c>
    </row>
    <row r="202" spans="9:16" x14ac:dyDescent="0.15">
      <c r="I202" s="14">
        <v>199</v>
      </c>
      <c r="J202" s="14">
        <f>'[1]资源-钻石'!T202</f>
        <v>1016055.2204059026</v>
      </c>
      <c r="K202" s="14">
        <f>'[1]资源-钻石'!U202</f>
        <v>1454500.7424464929</v>
      </c>
      <c r="L202" s="14">
        <f>'[1]资源-钻石'!V202</f>
        <v>2492576.8166911425</v>
      </c>
      <c r="M202" s="14">
        <f>'[1]资源-钻石'!W202</f>
        <v>6755844.4983602567</v>
      </c>
      <c r="N202" s="14">
        <f>'[1]资源-钻石'!X202</f>
        <v>16224356.448196281</v>
      </c>
    </row>
    <row r="203" spans="9:16" x14ac:dyDescent="0.15">
      <c r="I203" s="14">
        <v>200</v>
      </c>
      <c r="J203" s="14">
        <f>'[1]资源-钻石'!T203</f>
        <v>1019943.1351315217</v>
      </c>
      <c r="K203" s="14">
        <f>'[1]资源-钻石'!U203</f>
        <v>1460457.4486446739</v>
      </c>
      <c r="L203" s="14">
        <f>'[1]资源-钻石'!V203</f>
        <v>2503581.1935091414</v>
      </c>
      <c r="M203" s="14">
        <f>'[1]资源-钻石'!W203</f>
        <v>6787969.3128600558</v>
      </c>
      <c r="N203" s="14">
        <f>'[1]资源-钻石'!X203</f>
        <v>16303548.74414606</v>
      </c>
    </row>
    <row r="204" spans="9:16" x14ac:dyDescent="0.15">
      <c r="I204" s="14">
        <v>201</v>
      </c>
      <c r="J204" s="14">
        <f>'[1]资源-钻石'!T204</f>
        <v>1023831.0498571409</v>
      </c>
      <c r="K204" s="14">
        <f>'[1]资源-钻石'!U204</f>
        <v>1466414.1548428549</v>
      </c>
      <c r="L204" s="14">
        <f>'[1]资源-钻石'!V204</f>
        <v>2514585.5703271409</v>
      </c>
      <c r="M204" s="14">
        <f>'[1]资源-钻石'!W204</f>
        <v>6820094.127359855</v>
      </c>
      <c r="N204" s="14">
        <f>'[1]资源-钻石'!X204</f>
        <v>16382741.04009584</v>
      </c>
    </row>
    <row r="205" spans="9:16" x14ac:dyDescent="0.15">
      <c r="I205" s="14">
        <v>202</v>
      </c>
      <c r="J205" s="14">
        <f>'[1]资源-钻石'!T205</f>
        <v>1027718.96458276</v>
      </c>
      <c r="K205" s="14">
        <f>'[1]资源-钻石'!U205</f>
        <v>1472370.861041036</v>
      </c>
      <c r="L205" s="14">
        <f>'[1]资源-钻石'!V205</f>
        <v>2525589.9471451398</v>
      </c>
      <c r="M205" s="14">
        <f>'[1]资源-钻石'!W205</f>
        <v>6852218.9418596542</v>
      </c>
      <c r="N205" s="14">
        <f>'[1]资源-钻石'!X205</f>
        <v>16461933.336045617</v>
      </c>
    </row>
    <row r="206" spans="9:16" x14ac:dyDescent="0.15">
      <c r="I206" s="14">
        <v>203</v>
      </c>
      <c r="J206" s="14">
        <f>'[1]资源-钻石'!T206</f>
        <v>1031606.8793083791</v>
      </c>
      <c r="K206" s="14">
        <f>'[1]资源-钻石'!U206</f>
        <v>1478327.567239217</v>
      </c>
      <c r="L206" s="14">
        <f>'[1]资源-钻石'!V206</f>
        <v>2536594.3239631392</v>
      </c>
      <c r="M206" s="14">
        <f>'[1]资源-钻石'!W206</f>
        <v>6884343.7563594533</v>
      </c>
      <c r="N206" s="14">
        <f>'[1]资源-钻石'!X206</f>
        <v>16541125.631995397</v>
      </c>
    </row>
    <row r="207" spans="9:16" x14ac:dyDescent="0.15">
      <c r="I207" s="14">
        <v>204</v>
      </c>
      <c r="J207" s="14">
        <f>'[1]资源-钻石'!T207</f>
        <v>1035494.7940339983</v>
      </c>
      <c r="K207" s="14">
        <f>'[1]资源-钻石'!U207</f>
        <v>1484284.273437398</v>
      </c>
      <c r="L207" s="14">
        <f>'[1]资源-钻石'!V207</f>
        <v>2547598.7007811381</v>
      </c>
      <c r="M207" s="14">
        <f>'[1]资源-钻石'!W207</f>
        <v>6916468.5708592515</v>
      </c>
      <c r="N207" s="14">
        <f>'[1]资源-钻石'!X207</f>
        <v>16620317.927945176</v>
      </c>
      <c r="P207" s="18"/>
    </row>
    <row r="208" spans="9:16" x14ac:dyDescent="0.15">
      <c r="I208" s="14">
        <v>205</v>
      </c>
      <c r="J208" s="14">
        <f>'[1]资源-钻石'!T208</f>
        <v>1039382.7087596174</v>
      </c>
      <c r="K208" s="14">
        <f>'[1]资源-钻石'!U208</f>
        <v>1490240.9796355793</v>
      </c>
      <c r="L208" s="14">
        <f>'[1]资源-钻石'!V208</f>
        <v>2558603.0775991376</v>
      </c>
      <c r="M208" s="14">
        <f>'[1]资源-钻石'!W208</f>
        <v>6948593.3853590507</v>
      </c>
      <c r="N208" s="14">
        <f>'[1]资源-钻石'!X208</f>
        <v>16699510.223894954</v>
      </c>
    </row>
    <row r="209" spans="9:14" x14ac:dyDescent="0.15">
      <c r="I209" s="14">
        <v>206</v>
      </c>
      <c r="J209" s="14">
        <f>'[1]资源-钻石'!T209</f>
        <v>1043270.6234852365</v>
      </c>
      <c r="K209" s="14">
        <f>'[1]资源-钻石'!U209</f>
        <v>1496197.6858337603</v>
      </c>
      <c r="L209" s="14">
        <f>'[1]资源-钻石'!V209</f>
        <v>2569607.4544171365</v>
      </c>
      <c r="M209" s="14">
        <f>'[1]资源-钻石'!W209</f>
        <v>6980718.1998588499</v>
      </c>
      <c r="N209" s="14">
        <f>'[1]资源-钻石'!X209</f>
        <v>16778702.519844733</v>
      </c>
    </row>
    <row r="210" spans="9:14" x14ac:dyDescent="0.15">
      <c r="I210" s="14">
        <v>207</v>
      </c>
      <c r="J210" s="14">
        <f>'[1]资源-钻石'!T210</f>
        <v>1047158.5382108557</v>
      </c>
      <c r="K210" s="14">
        <f>'[1]资源-钻石'!U210</f>
        <v>1502154.3920319413</v>
      </c>
      <c r="L210" s="14">
        <f>'[1]资源-钻石'!V210</f>
        <v>2580611.8312351359</v>
      </c>
      <c r="M210" s="14">
        <f>'[1]资源-钻石'!W210</f>
        <v>7012843.014358649</v>
      </c>
      <c r="N210" s="14">
        <f>'[1]资源-钻石'!X210</f>
        <v>16857894.815794513</v>
      </c>
    </row>
    <row r="211" spans="9:14" x14ac:dyDescent="0.15">
      <c r="I211" s="14">
        <v>208</v>
      </c>
      <c r="J211" s="14">
        <f>'[1]资源-钻石'!T211</f>
        <v>1051046.4529364747</v>
      </c>
      <c r="K211" s="14">
        <f>'[1]资源-钻石'!U211</f>
        <v>1508111.0982301224</v>
      </c>
      <c r="L211" s="14">
        <f>'[1]资源-钻石'!V211</f>
        <v>2591616.2080531348</v>
      </c>
      <c r="M211" s="14">
        <f>'[1]资源-钻石'!W211</f>
        <v>7044967.8288584482</v>
      </c>
      <c r="N211" s="14">
        <f>'[1]资源-钻石'!X211</f>
        <v>16937087.111744292</v>
      </c>
    </row>
    <row r="212" spans="9:14" x14ac:dyDescent="0.15">
      <c r="I212" s="14">
        <v>209</v>
      </c>
      <c r="J212" s="14">
        <f>'[1]资源-钻石'!T212</f>
        <v>1054934.3676620938</v>
      </c>
      <c r="K212" s="14">
        <f>'[1]资源-钻石'!U212</f>
        <v>1514067.8044283034</v>
      </c>
      <c r="L212" s="14">
        <f>'[1]资源-钻石'!V212</f>
        <v>2602620.5848711343</v>
      </c>
      <c r="M212" s="14">
        <f>'[1]资源-钻石'!W212</f>
        <v>7077092.6433582474</v>
      </c>
      <c r="N212" s="14">
        <f>'[1]资源-钻石'!X212</f>
        <v>17016279.407694072</v>
      </c>
    </row>
    <row r="213" spans="9:14" x14ac:dyDescent="0.15">
      <c r="I213" s="14">
        <v>210</v>
      </c>
      <c r="J213" s="14">
        <f>'[1]资源-钻石'!T213</f>
        <v>1058822.282387713</v>
      </c>
      <c r="K213" s="14">
        <f>'[1]资源-钻石'!U213</f>
        <v>1520024.5106264844</v>
      </c>
      <c r="L213" s="14">
        <f>'[1]资源-钻石'!V213</f>
        <v>2613624.9616891332</v>
      </c>
      <c r="M213" s="14">
        <f>'[1]资源-钻石'!W213</f>
        <v>7109217.4578580465</v>
      </c>
      <c r="N213" s="14">
        <f>'[1]资源-钻石'!X213</f>
        <v>17095471.703643851</v>
      </c>
    </row>
    <row r="214" spans="9:14" x14ac:dyDescent="0.15">
      <c r="I214" s="14">
        <v>211</v>
      </c>
      <c r="J214" s="14">
        <f>'[1]资源-钻石'!T214</f>
        <v>1062710.1971133321</v>
      </c>
      <c r="K214" s="14">
        <f>'[1]资源-钻石'!U214</f>
        <v>1525981.2168246654</v>
      </c>
      <c r="L214" s="14">
        <f>'[1]资源-钻石'!V214</f>
        <v>2624629.3385071326</v>
      </c>
      <c r="M214" s="14">
        <f>'[1]资源-钻石'!W214</f>
        <v>7141342.2723578457</v>
      </c>
      <c r="N214" s="14">
        <f>'[1]资源-钻石'!X214</f>
        <v>17174663.99959363</v>
      </c>
    </row>
    <row r="215" spans="9:14" x14ac:dyDescent="0.15">
      <c r="I215" s="14">
        <v>212</v>
      </c>
      <c r="J215" s="14">
        <f>'[1]资源-钻石'!T215</f>
        <v>1066598.1118389512</v>
      </c>
      <c r="K215" s="14">
        <f>'[1]资源-钻石'!U215</f>
        <v>1531937.9230228467</v>
      </c>
      <c r="L215" s="14">
        <f>'[1]资源-钻石'!V215</f>
        <v>2635633.7153251315</v>
      </c>
      <c r="M215" s="14">
        <f>'[1]资源-钻石'!W215</f>
        <v>7173467.0868576448</v>
      </c>
      <c r="N215" s="14">
        <f>'[1]资源-钻石'!X215</f>
        <v>17253856.295543406</v>
      </c>
    </row>
    <row r="216" spans="9:14" x14ac:dyDescent="0.15">
      <c r="I216" s="14">
        <v>213</v>
      </c>
      <c r="J216" s="14">
        <f>'[1]资源-钻石'!T216</f>
        <v>1070486.0265645704</v>
      </c>
      <c r="K216" s="14">
        <f>'[1]资源-钻石'!U216</f>
        <v>1537894.6292210277</v>
      </c>
      <c r="L216" s="14">
        <f>'[1]资源-钻石'!V216</f>
        <v>2646638.092143131</v>
      </c>
      <c r="M216" s="14">
        <f>'[1]资源-钻石'!W216</f>
        <v>7205591.901357444</v>
      </c>
      <c r="N216" s="14">
        <f>'[1]资源-钻石'!X216</f>
        <v>17333048.591493186</v>
      </c>
    </row>
    <row r="217" spans="9:14" x14ac:dyDescent="0.15">
      <c r="I217" s="14">
        <v>214</v>
      </c>
      <c r="J217" s="14">
        <f>'[1]资源-钻石'!T217</f>
        <v>1074373.9412901895</v>
      </c>
      <c r="K217" s="14">
        <f>'[1]资源-钻石'!U217</f>
        <v>1543851.3354192087</v>
      </c>
      <c r="L217" s="14">
        <f>'[1]资源-钻石'!V217</f>
        <v>2657642.4689611299</v>
      </c>
      <c r="M217" s="14">
        <f>'[1]资源-钻石'!W217</f>
        <v>7237716.7158572432</v>
      </c>
      <c r="N217" s="14">
        <f>'[1]资源-钻石'!X217</f>
        <v>17412240.887442965</v>
      </c>
    </row>
    <row r="218" spans="9:14" x14ac:dyDescent="0.15">
      <c r="I218" s="14">
        <v>215</v>
      </c>
      <c r="J218" s="14">
        <f>'[1]资源-钻石'!T218</f>
        <v>1078261.8560158086</v>
      </c>
      <c r="K218" s="14">
        <f>'[1]资源-钻石'!U218</f>
        <v>1549808.0416173898</v>
      </c>
      <c r="L218" s="14">
        <f>'[1]资源-钻石'!V218</f>
        <v>2668646.8457791293</v>
      </c>
      <c r="M218" s="14">
        <f>'[1]资源-钻石'!W218</f>
        <v>7269841.5303570414</v>
      </c>
      <c r="N218" s="14">
        <f>'[1]资源-钻石'!X218</f>
        <v>17491433.183392745</v>
      </c>
    </row>
    <row r="219" spans="9:14" x14ac:dyDescent="0.15">
      <c r="I219" s="14">
        <v>216</v>
      </c>
      <c r="J219" s="14">
        <f>'[1]资源-钻石'!T219</f>
        <v>1082149.7707414278</v>
      </c>
      <c r="K219" s="14">
        <f>'[1]资源-钻石'!U219</f>
        <v>1555764.7478155708</v>
      </c>
      <c r="L219" s="14">
        <f>'[1]资源-钻石'!V219</f>
        <v>2679651.2225971282</v>
      </c>
      <c r="M219" s="14">
        <f>'[1]资源-钻石'!W219</f>
        <v>7301966.3448568406</v>
      </c>
      <c r="N219" s="14">
        <f>'[1]资源-钻石'!X219</f>
        <v>17570625.479342524</v>
      </c>
    </row>
    <row r="220" spans="9:14" x14ac:dyDescent="0.15">
      <c r="I220" s="14">
        <v>217</v>
      </c>
      <c r="J220" s="14">
        <f>'[1]资源-钻石'!T220</f>
        <v>1086037.6854670469</v>
      </c>
      <c r="K220" s="14">
        <f>'[1]资源-钻石'!U220</f>
        <v>1561721.4540137518</v>
      </c>
      <c r="L220" s="14">
        <f>'[1]资源-钻石'!V220</f>
        <v>2690655.5994151277</v>
      </c>
      <c r="M220" s="14">
        <f>'[1]资源-钻石'!W220</f>
        <v>7334091.1593566397</v>
      </c>
      <c r="N220" s="14">
        <f>'[1]资源-钻石'!X220</f>
        <v>17649817.775292303</v>
      </c>
    </row>
    <row r="221" spans="9:14" x14ac:dyDescent="0.15">
      <c r="I221" s="14">
        <v>218</v>
      </c>
      <c r="J221" s="14">
        <f>'[1]资源-钻石'!T221</f>
        <v>1089925.6001926661</v>
      </c>
      <c r="K221" s="14">
        <f>'[1]资源-钻石'!U221</f>
        <v>1567678.1602119331</v>
      </c>
      <c r="L221" s="14">
        <f>'[1]资源-钻石'!V221</f>
        <v>2701659.9762331266</v>
      </c>
      <c r="M221" s="14">
        <f>'[1]资源-钻石'!W221</f>
        <v>7366215.9738564389</v>
      </c>
      <c r="N221" s="14">
        <f>'[1]资源-钻石'!X221</f>
        <v>17729010.071242083</v>
      </c>
    </row>
    <row r="222" spans="9:14" x14ac:dyDescent="0.15">
      <c r="I222" s="14">
        <v>219</v>
      </c>
      <c r="J222" s="14">
        <f>'[1]资源-钻石'!T222</f>
        <v>1093813.5149182852</v>
      </c>
      <c r="K222" s="14">
        <f>'[1]资源-钻石'!U222</f>
        <v>1573634.8664101141</v>
      </c>
      <c r="L222" s="14">
        <f>'[1]资源-钻石'!V222</f>
        <v>2712664.353051126</v>
      </c>
      <c r="M222" s="14">
        <f>'[1]资源-钻石'!W222</f>
        <v>7398340.788356238</v>
      </c>
      <c r="N222" s="14">
        <f>'[1]资源-钻石'!X222</f>
        <v>17808202.367191862</v>
      </c>
    </row>
    <row r="223" spans="9:14" x14ac:dyDescent="0.15">
      <c r="I223" s="14">
        <v>220</v>
      </c>
      <c r="J223" s="14">
        <f>'[1]资源-钻石'!T223</f>
        <v>1097701.4296439043</v>
      </c>
      <c r="K223" s="14">
        <f>'[1]资源-钻石'!U223</f>
        <v>1579591.5726082951</v>
      </c>
      <c r="L223" s="14">
        <f>'[1]资源-钻石'!V223</f>
        <v>2723668.7298691249</v>
      </c>
      <c r="M223" s="14">
        <f>'[1]资源-钻石'!W223</f>
        <v>7430465.6028560372</v>
      </c>
      <c r="N223" s="14">
        <f>'[1]资源-钻石'!X223</f>
        <v>17887394.663141642</v>
      </c>
    </row>
    <row r="224" spans="9:14" x14ac:dyDescent="0.15">
      <c r="I224" s="14">
        <v>221</v>
      </c>
      <c r="J224" s="14">
        <f>'[1]资源-钻石'!T224</f>
        <v>1101589.3443695235</v>
      </c>
      <c r="K224" s="14">
        <f>'[1]资源-钻石'!U224</f>
        <v>1585548.2788064762</v>
      </c>
      <c r="L224" s="14">
        <f>'[1]资源-钻石'!V224</f>
        <v>2734673.1066871239</v>
      </c>
      <c r="M224" s="14">
        <f>'[1]资源-钻石'!W224</f>
        <v>7462590.4173558364</v>
      </c>
      <c r="N224" s="14">
        <f>'[1]资源-钻石'!X224</f>
        <v>17966586.959091417</v>
      </c>
    </row>
    <row r="225" spans="9:14" x14ac:dyDescent="0.15">
      <c r="I225" s="14">
        <v>222</v>
      </c>
      <c r="J225" s="14">
        <f>'[1]资源-钻石'!T225</f>
        <v>1105477.2590951426</v>
      </c>
      <c r="K225" s="14">
        <f>'[1]资源-钻石'!U225</f>
        <v>1591504.9850046572</v>
      </c>
      <c r="L225" s="14">
        <f>'[1]资源-钻石'!V225</f>
        <v>2745677.4835051233</v>
      </c>
      <c r="M225" s="14">
        <f>'[1]资源-钻石'!W225</f>
        <v>7494715.2318556355</v>
      </c>
      <c r="N225" s="14">
        <f>'[1]资源-钻石'!X225</f>
        <v>18045779.255041197</v>
      </c>
    </row>
    <row r="226" spans="9:14" x14ac:dyDescent="0.15">
      <c r="I226" s="14">
        <v>223</v>
      </c>
      <c r="J226" s="14">
        <f>'[1]资源-钻石'!T226</f>
        <v>1109365.1738207617</v>
      </c>
      <c r="K226" s="14">
        <f>'[1]资源-钻石'!U226</f>
        <v>1597461.6912028382</v>
      </c>
      <c r="L226" s="14">
        <f>'[1]资源-钻石'!V226</f>
        <v>2756681.8603231222</v>
      </c>
      <c r="M226" s="14">
        <f>'[1]资源-钻石'!W226</f>
        <v>7526840.0463554347</v>
      </c>
      <c r="N226" s="14">
        <f>'[1]资源-钻石'!X226</f>
        <v>18124971.550990976</v>
      </c>
    </row>
    <row r="227" spans="9:14" x14ac:dyDescent="0.15">
      <c r="I227" s="14">
        <v>224</v>
      </c>
      <c r="J227" s="14">
        <f>'[1]资源-钻石'!T227</f>
        <v>1113253.0885463809</v>
      </c>
      <c r="K227" s="14">
        <f>'[1]资源-钻石'!U227</f>
        <v>1603418.3974010192</v>
      </c>
      <c r="L227" s="14">
        <f>'[1]资源-钻石'!V227</f>
        <v>2767686.2371411216</v>
      </c>
      <c r="M227" s="14">
        <f>'[1]资源-钻石'!W227</f>
        <v>7558964.8608552339</v>
      </c>
      <c r="N227" s="14">
        <f>'[1]资源-钻石'!X227</f>
        <v>18204163.846940756</v>
      </c>
    </row>
    <row r="228" spans="9:14" x14ac:dyDescent="0.15">
      <c r="I228" s="14">
        <v>225</v>
      </c>
      <c r="J228" s="14">
        <f>'[1]资源-钻石'!T228</f>
        <v>1117141.003272</v>
      </c>
      <c r="K228" s="14">
        <f>'[1]资源-钻石'!U228</f>
        <v>1609375.1035992003</v>
      </c>
      <c r="L228" s="14">
        <f>'[1]资源-钻石'!V228</f>
        <v>2778690.6139591206</v>
      </c>
      <c r="M228" s="14">
        <f>'[1]资源-钻石'!W228</f>
        <v>7591089.675355033</v>
      </c>
      <c r="N228" s="14">
        <f>'[1]资源-钻石'!X228</f>
        <v>18283356.142890535</v>
      </c>
    </row>
    <row r="229" spans="9:14" x14ac:dyDescent="0.15">
      <c r="I229" s="14">
        <v>226</v>
      </c>
      <c r="J229" s="14">
        <f>'[1]资源-钻石'!T229</f>
        <v>1121028.9179976194</v>
      </c>
      <c r="K229" s="14">
        <f>'[1]资源-钻石'!U229</f>
        <v>1615331.8097973813</v>
      </c>
      <c r="L229" s="14">
        <f>'[1]资源-钻石'!V229</f>
        <v>2789694.99077712</v>
      </c>
      <c r="M229" s="14">
        <f>'[1]资源-钻石'!W229</f>
        <v>7623214.4898548322</v>
      </c>
      <c r="N229" s="14">
        <f>'[1]资源-钻石'!X229</f>
        <v>18362548.438840315</v>
      </c>
    </row>
    <row r="230" spans="9:14" x14ac:dyDescent="0.15">
      <c r="I230" s="14">
        <v>227</v>
      </c>
      <c r="J230" s="14">
        <f>'[1]资源-钻石'!T230</f>
        <v>1124916.8327232385</v>
      </c>
      <c r="K230" s="14">
        <f>'[1]资源-钻石'!U230</f>
        <v>1621288.5159955623</v>
      </c>
      <c r="L230" s="14">
        <f>'[1]资源-钻石'!V230</f>
        <v>2800699.3675951189</v>
      </c>
      <c r="M230" s="14">
        <f>'[1]资源-钻石'!W230</f>
        <v>7655339.3043546304</v>
      </c>
      <c r="N230" s="14">
        <f>'[1]资源-钻石'!X230</f>
        <v>18441740.734790094</v>
      </c>
    </row>
    <row r="231" spans="9:14" x14ac:dyDescent="0.15">
      <c r="I231" s="14">
        <v>228</v>
      </c>
      <c r="J231" s="14">
        <f>'[1]资源-钻石'!T231</f>
        <v>1128804.7474488576</v>
      </c>
      <c r="K231" s="14">
        <f>'[1]资源-钻石'!U231</f>
        <v>1627245.2221937433</v>
      </c>
      <c r="L231" s="14">
        <f>'[1]资源-钻石'!V231</f>
        <v>2811703.7444131183</v>
      </c>
      <c r="M231" s="14">
        <f>'[1]资源-钻石'!W231</f>
        <v>7687464.1188544296</v>
      </c>
      <c r="N231" s="14">
        <f>'[1]资源-钻石'!X231</f>
        <v>18520933.030739874</v>
      </c>
    </row>
    <row r="232" spans="9:14" x14ac:dyDescent="0.15">
      <c r="I232" s="14">
        <v>229</v>
      </c>
      <c r="J232" s="14">
        <f>'[1]资源-钻石'!T232</f>
        <v>1132692.6621744768</v>
      </c>
      <c r="K232" s="14">
        <f>'[1]资源-钻石'!U232</f>
        <v>1633201.9283919244</v>
      </c>
      <c r="L232" s="14">
        <f>'[1]资源-钻石'!V232</f>
        <v>2822708.1212311173</v>
      </c>
      <c r="M232" s="14">
        <f>'[1]资源-钻石'!W232</f>
        <v>7719588.9333542287</v>
      </c>
      <c r="N232" s="14">
        <f>'[1]资源-钻石'!X232</f>
        <v>18600125.326689649</v>
      </c>
    </row>
    <row r="233" spans="9:14" x14ac:dyDescent="0.15">
      <c r="I233" s="14">
        <v>230</v>
      </c>
      <c r="J233" s="14">
        <f>'[1]资源-钻石'!T233</f>
        <v>1136580.5769000959</v>
      </c>
      <c r="K233" s="14">
        <f>'[1]资源-钻石'!U233</f>
        <v>1639158.6345901056</v>
      </c>
      <c r="L233" s="14">
        <f>'[1]资源-钻石'!V233</f>
        <v>2833712.4980491167</v>
      </c>
      <c r="M233" s="14">
        <f>'[1]资源-钻石'!W233</f>
        <v>7751713.7478540279</v>
      </c>
      <c r="N233" s="14">
        <f>'[1]资源-钻石'!X233</f>
        <v>18679317.622639429</v>
      </c>
    </row>
    <row r="234" spans="9:14" x14ac:dyDescent="0.15">
      <c r="I234" s="14">
        <v>231</v>
      </c>
      <c r="J234" s="14">
        <f>'[1]资源-钻石'!T234</f>
        <v>1140468.491625715</v>
      </c>
      <c r="K234" s="14">
        <f>'[1]资源-钻石'!U234</f>
        <v>1645115.3407882866</v>
      </c>
      <c r="L234" s="14">
        <f>'[1]资源-钻石'!V234</f>
        <v>2844716.8748671156</v>
      </c>
      <c r="M234" s="14">
        <f>'[1]资源-钻石'!W234</f>
        <v>7783838.5623538271</v>
      </c>
      <c r="N234" s="14">
        <f>'[1]资源-钻石'!X234</f>
        <v>18758509.918589208</v>
      </c>
    </row>
    <row r="235" spans="9:14" x14ac:dyDescent="0.15">
      <c r="I235" s="14">
        <v>232</v>
      </c>
      <c r="J235" s="14">
        <f>'[1]资源-钻石'!T235</f>
        <v>1144356.4063513342</v>
      </c>
      <c r="K235" s="14">
        <f>'[1]资源-钻石'!U235</f>
        <v>1651072.0469864677</v>
      </c>
      <c r="L235" s="14">
        <f>'[1]资源-钻石'!V235</f>
        <v>2855721.2516851146</v>
      </c>
      <c r="M235" s="14">
        <f>'[1]资源-钻石'!W235</f>
        <v>7815963.3768536262</v>
      </c>
      <c r="N235" s="14">
        <f>'[1]资源-钻石'!X235</f>
        <v>18837702.214538988</v>
      </c>
    </row>
    <row r="236" spans="9:14" x14ac:dyDescent="0.15">
      <c r="I236" s="14">
        <v>233</v>
      </c>
      <c r="J236" s="14">
        <f>'[1]资源-钻石'!T236</f>
        <v>1148244.3210769533</v>
      </c>
      <c r="K236" s="14">
        <f>'[1]资源-钻石'!U236</f>
        <v>1657028.7531846487</v>
      </c>
      <c r="L236" s="14">
        <f>'[1]资源-钻石'!V236</f>
        <v>2866725.628503114</v>
      </c>
      <c r="M236" s="14">
        <f>'[1]资源-钻石'!W236</f>
        <v>7848088.1913534254</v>
      </c>
      <c r="N236" s="14">
        <f>'[1]资源-钻石'!X236</f>
        <v>18916894.510488767</v>
      </c>
    </row>
    <row r="237" spans="9:14" x14ac:dyDescent="0.15">
      <c r="I237" s="14">
        <v>234</v>
      </c>
      <c r="J237" s="14">
        <f>'[1]资源-钻石'!T237</f>
        <v>1152132.2358025725</v>
      </c>
      <c r="K237" s="14">
        <f>'[1]资源-钻石'!U237</f>
        <v>1662985.4593828297</v>
      </c>
      <c r="L237" s="14">
        <f>'[1]资源-钻石'!V237</f>
        <v>2877730.0053211129</v>
      </c>
      <c r="M237" s="14">
        <f>'[1]资源-钻石'!W237</f>
        <v>7880213.0058532245</v>
      </c>
      <c r="N237" s="14">
        <f>'[1]资源-钻石'!X237</f>
        <v>18996086.806438547</v>
      </c>
    </row>
    <row r="238" spans="9:14" x14ac:dyDescent="0.15">
      <c r="I238" s="14">
        <v>235</v>
      </c>
      <c r="J238" s="14">
        <f>'[1]资源-钻石'!T238</f>
        <v>1156020.1505281916</v>
      </c>
      <c r="K238" s="14">
        <f>'[1]资源-钻石'!U238</f>
        <v>1668942.1655810107</v>
      </c>
      <c r="L238" s="14">
        <f>'[1]资源-钻石'!V238</f>
        <v>2888734.3821391123</v>
      </c>
      <c r="M238" s="14">
        <f>'[1]资源-钻石'!W238</f>
        <v>7912337.8203530237</v>
      </c>
      <c r="N238" s="14">
        <f>'[1]资源-钻石'!X238</f>
        <v>19075279.102388322</v>
      </c>
    </row>
    <row r="239" spans="9:14" x14ac:dyDescent="0.15">
      <c r="I239" s="14">
        <v>236</v>
      </c>
      <c r="J239" s="14">
        <f>'[1]资源-钻石'!T239</f>
        <v>1159908.0652538107</v>
      </c>
      <c r="K239" s="14">
        <f>'[1]资源-钻石'!U239</f>
        <v>1674898.8717791918</v>
      </c>
      <c r="L239" s="14">
        <f>'[1]资源-钻石'!V239</f>
        <v>2899738.7589571113</v>
      </c>
      <c r="M239" s="14">
        <f>'[1]资源-钻石'!W239</f>
        <v>7944462.6348528229</v>
      </c>
      <c r="N239" s="14">
        <f>'[1]资源-钻石'!X239</f>
        <v>19154471.398338102</v>
      </c>
    </row>
    <row r="240" spans="9:14" x14ac:dyDescent="0.15">
      <c r="I240" s="14">
        <v>237</v>
      </c>
      <c r="J240" s="14">
        <f>'[1]资源-钻石'!T240</f>
        <v>1163795.9799794299</v>
      </c>
      <c r="K240" s="14">
        <f>'[1]资源-钻石'!U240</f>
        <v>1680855.5779773728</v>
      </c>
      <c r="L240" s="14">
        <f>'[1]资源-钻石'!V240</f>
        <v>2910743.1357751107</v>
      </c>
      <c r="M240" s="14">
        <f>'[1]资源-钻石'!W240</f>
        <v>7976587.449352622</v>
      </c>
      <c r="N240" s="14">
        <f>'[1]资源-钻石'!X240</f>
        <v>19233663.694287881</v>
      </c>
    </row>
    <row r="241" spans="9:14" x14ac:dyDescent="0.15">
      <c r="I241" s="14">
        <v>238</v>
      </c>
      <c r="J241" s="14">
        <f>'[1]资源-钻石'!T241</f>
        <v>1167683.894705049</v>
      </c>
      <c r="K241" s="14">
        <f>'[1]资源-钻石'!U241</f>
        <v>1686812.2841755538</v>
      </c>
      <c r="L241" s="14">
        <f>'[1]资源-钻石'!V241</f>
        <v>2921747.5125931096</v>
      </c>
      <c r="M241" s="14">
        <f>'[1]资源-钻石'!W241</f>
        <v>8008712.2638524203</v>
      </c>
      <c r="N241" s="14">
        <f>'[1]资源-钻石'!X241</f>
        <v>19312855.990237661</v>
      </c>
    </row>
    <row r="242" spans="9:14" x14ac:dyDescent="0.15">
      <c r="I242" s="14">
        <v>239</v>
      </c>
      <c r="J242" s="14">
        <f>'[1]资源-钻石'!T242</f>
        <v>1171571.8094306681</v>
      </c>
      <c r="K242" s="14">
        <f>'[1]资源-钻石'!U242</f>
        <v>1692768.9903737349</v>
      </c>
      <c r="L242" s="14">
        <f>'[1]资源-钻石'!V242</f>
        <v>2932751.889411109</v>
      </c>
      <c r="M242" s="14">
        <f>'[1]资源-钻石'!W242</f>
        <v>8040837.0783522194</v>
      </c>
      <c r="N242" s="14">
        <f>'[1]资源-钻石'!X242</f>
        <v>19392048.28618744</v>
      </c>
    </row>
    <row r="243" spans="9:14" x14ac:dyDescent="0.15">
      <c r="I243" s="14">
        <v>240</v>
      </c>
      <c r="J243" s="14">
        <f>'[1]资源-钻石'!T243</f>
        <v>1175459.7241562873</v>
      </c>
      <c r="K243" s="14">
        <f>'[1]资源-钻石'!U243</f>
        <v>1698725.6965719159</v>
      </c>
      <c r="L243" s="14">
        <f>'[1]资源-钻石'!V243</f>
        <v>2943756.266229108</v>
      </c>
      <c r="M243" s="14">
        <f>'[1]资源-钻石'!W243</f>
        <v>8072961.8928520186</v>
      </c>
      <c r="N243" s="14">
        <f>'[1]资源-钻石'!X243</f>
        <v>19471240.58213722</v>
      </c>
    </row>
    <row r="244" spans="9:14" x14ac:dyDescent="0.15">
      <c r="I244" s="14">
        <v>241</v>
      </c>
      <c r="J244" s="14">
        <f>'[1]资源-钻石'!T244</f>
        <v>1179347.6388819064</v>
      </c>
      <c r="K244" s="14">
        <f>'[1]资源-钻石'!U244</f>
        <v>1704682.4027700971</v>
      </c>
      <c r="L244" s="14">
        <f>'[1]资源-钻石'!V244</f>
        <v>2954760.6430471069</v>
      </c>
      <c r="M244" s="14">
        <f>'[1]资源-钻石'!W244</f>
        <v>8105086.7073518177</v>
      </c>
      <c r="N244" s="14">
        <f>'[1]资源-钻石'!X244</f>
        <v>19550432.878086999</v>
      </c>
    </row>
    <row r="245" spans="9:14" x14ac:dyDescent="0.15">
      <c r="I245" s="14">
        <v>242</v>
      </c>
      <c r="J245" s="14">
        <f>'[1]资源-钻石'!T245</f>
        <v>1183235.5536075255</v>
      </c>
      <c r="K245" s="14">
        <f>'[1]资源-钻石'!U245</f>
        <v>1710639.1089682782</v>
      </c>
      <c r="L245" s="14">
        <f>'[1]资源-钻石'!V245</f>
        <v>2965765.0198651063</v>
      </c>
      <c r="M245" s="14">
        <f>'[1]资源-钻石'!W245</f>
        <v>8137211.5218516169</v>
      </c>
      <c r="N245" s="14">
        <f>'[1]资源-钻石'!X245</f>
        <v>19629625.174036775</v>
      </c>
    </row>
    <row r="246" spans="9:14" x14ac:dyDescent="0.15">
      <c r="I246" s="14">
        <v>243</v>
      </c>
      <c r="J246" s="14">
        <f>'[1]资源-钻石'!T246</f>
        <v>1187123.4683331447</v>
      </c>
      <c r="K246" s="14">
        <f>'[1]资源-钻石'!U246</f>
        <v>1716595.8151664592</v>
      </c>
      <c r="L246" s="14">
        <f>'[1]资源-钻石'!V246</f>
        <v>2976769.3966831053</v>
      </c>
      <c r="M246" s="14">
        <f>'[1]资源-钻石'!W246</f>
        <v>8169336.3363514161</v>
      </c>
      <c r="N246" s="14">
        <f>'[1]资源-钻石'!X246</f>
        <v>19708817.469986554</v>
      </c>
    </row>
    <row r="247" spans="9:14" x14ac:dyDescent="0.15">
      <c r="I247" s="14">
        <v>244</v>
      </c>
      <c r="J247" s="14">
        <f>'[1]资源-钻石'!T247</f>
        <v>1191011.3830587638</v>
      </c>
      <c r="K247" s="14">
        <f>'[1]资源-钻石'!U247</f>
        <v>1722552.5213646402</v>
      </c>
      <c r="L247" s="14">
        <f>'[1]资源-钻石'!V247</f>
        <v>2987773.7735011047</v>
      </c>
      <c r="M247" s="14">
        <f>'[1]资源-钻石'!W247</f>
        <v>8201461.1508512152</v>
      </c>
      <c r="N247" s="14">
        <f>'[1]资源-钻石'!X247</f>
        <v>19788009.765936334</v>
      </c>
    </row>
    <row r="248" spans="9:14" x14ac:dyDescent="0.15">
      <c r="I248" s="14">
        <v>245</v>
      </c>
      <c r="J248" s="14">
        <f>'[1]资源-钻石'!T248</f>
        <v>1194899.2977843829</v>
      </c>
      <c r="K248" s="14">
        <f>'[1]资源-钻石'!U248</f>
        <v>1728509.2275628212</v>
      </c>
      <c r="L248" s="14">
        <f>'[1]资源-钻石'!V248</f>
        <v>2998778.1503191036</v>
      </c>
      <c r="M248" s="14">
        <f>'[1]资源-钻石'!W248</f>
        <v>8233585.9653510144</v>
      </c>
      <c r="N248" s="14">
        <f>'[1]资源-钻石'!X248</f>
        <v>19867202.061886113</v>
      </c>
    </row>
    <row r="249" spans="9:14" x14ac:dyDescent="0.15">
      <c r="I249" s="14">
        <v>246</v>
      </c>
      <c r="J249" s="14">
        <f>'[1]资源-钻石'!T249</f>
        <v>1198787.2125100021</v>
      </c>
      <c r="K249" s="14">
        <f>'[1]资源-钻石'!U249</f>
        <v>1734465.9337610023</v>
      </c>
      <c r="L249" s="14">
        <f>'[1]资源-钻石'!V249</f>
        <v>3009782.527137103</v>
      </c>
      <c r="M249" s="14">
        <f>'[1]资源-钻石'!W249</f>
        <v>8265710.7798508136</v>
      </c>
      <c r="N249" s="14">
        <f>'[1]资源-钻石'!X249</f>
        <v>19946394.357835893</v>
      </c>
    </row>
    <row r="250" spans="9:14" x14ac:dyDescent="0.15">
      <c r="I250" s="14">
        <v>247</v>
      </c>
      <c r="J250" s="14">
        <f>'[1]资源-钻石'!T250</f>
        <v>1202675.1272356212</v>
      </c>
      <c r="K250" s="14">
        <f>'[1]资源-钻石'!U250</f>
        <v>1740422.6399591835</v>
      </c>
      <c r="L250" s="14">
        <f>'[1]资源-钻石'!V250</f>
        <v>3020786.903955102</v>
      </c>
      <c r="M250" s="14">
        <f>'[1]资源-钻石'!W250</f>
        <v>8297835.5943506127</v>
      </c>
      <c r="N250" s="14">
        <f>'[1]资源-钻石'!X250</f>
        <v>20025586.653785672</v>
      </c>
    </row>
    <row r="251" spans="9:14" x14ac:dyDescent="0.15">
      <c r="I251" s="14">
        <v>248</v>
      </c>
      <c r="J251" s="14">
        <f>'[1]资源-钻石'!T251</f>
        <v>1206563.0419612403</v>
      </c>
      <c r="K251" s="14">
        <f>'[1]资源-钻石'!U251</f>
        <v>1746379.3461573645</v>
      </c>
      <c r="L251" s="14">
        <f>'[1]资源-钻石'!V251</f>
        <v>3031791.2807731009</v>
      </c>
      <c r="M251" s="14">
        <f>'[1]资源-钻石'!W251</f>
        <v>8329960.4088504119</v>
      </c>
      <c r="N251" s="14">
        <f>'[1]资源-钻石'!X251</f>
        <v>20104778.949735451</v>
      </c>
    </row>
    <row r="252" spans="9:14" x14ac:dyDescent="0.15">
      <c r="I252" s="14">
        <v>249</v>
      </c>
      <c r="J252" s="14">
        <f>'[1]资源-钻石'!T252</f>
        <v>1210450.9566868595</v>
      </c>
      <c r="K252" s="14">
        <f>'[1]资源-钻石'!U252</f>
        <v>1752336.0523555456</v>
      </c>
      <c r="L252" s="14">
        <f>'[1]资源-钻石'!V252</f>
        <v>3042795.6575911003</v>
      </c>
      <c r="M252" s="14">
        <f>'[1]资源-钻石'!W252</f>
        <v>8362085.223350211</v>
      </c>
      <c r="N252" s="14">
        <f>'[1]资源-钻石'!X252</f>
        <v>20183971.245685227</v>
      </c>
    </row>
    <row r="253" spans="9:14" x14ac:dyDescent="0.15">
      <c r="I253" s="14">
        <v>250</v>
      </c>
      <c r="J253" s="14">
        <f>'[1]资源-钻石'!T253</f>
        <v>1214338.8714124786</v>
      </c>
      <c r="K253" s="14">
        <f>'[1]资源-钻石'!U253</f>
        <v>1758292.7585537266</v>
      </c>
      <c r="L253" s="14">
        <f>'[1]资源-钻石'!V253</f>
        <v>3053800.0344090993</v>
      </c>
      <c r="M253" s="14">
        <f>'[1]资源-钻石'!W253</f>
        <v>8394210.0378500111</v>
      </c>
      <c r="N253" s="14">
        <f>'[1]资源-钻石'!X253</f>
        <v>20263163.541635007</v>
      </c>
    </row>
    <row r="254" spans="9:14" x14ac:dyDescent="0.15">
      <c r="I254" s="14">
        <v>251</v>
      </c>
      <c r="J254" s="14">
        <f>'[1]资源-钻石'!T254</f>
        <v>1218226.7861380978</v>
      </c>
      <c r="K254" s="14">
        <f>'[1]资源-钻石'!U254</f>
        <v>1764249.4647519076</v>
      </c>
      <c r="L254" s="14">
        <f>'[1]资源-钻石'!V254</f>
        <v>3064804.4112270987</v>
      </c>
      <c r="M254" s="14">
        <f>'[1]资源-钻石'!W254</f>
        <v>8426334.8523498103</v>
      </c>
      <c r="N254" s="14">
        <f>'[1]资源-钻石'!X254</f>
        <v>20342355.837584786</v>
      </c>
    </row>
    <row r="255" spans="9:14" x14ac:dyDescent="0.15">
      <c r="I255" s="14">
        <v>252</v>
      </c>
      <c r="J255" s="14">
        <f>'[1]资源-钻石'!T255</f>
        <v>1222114.7008637169</v>
      </c>
      <c r="K255" s="14">
        <f>'[1]资源-钻石'!U255</f>
        <v>1770206.1709500886</v>
      </c>
      <c r="L255" s="14">
        <f>'[1]资源-钻石'!V255</f>
        <v>3075808.7880450976</v>
      </c>
      <c r="M255" s="14">
        <f>'[1]资源-钻石'!W255</f>
        <v>8458459.6668496095</v>
      </c>
      <c r="N255" s="14">
        <f>'[1]资源-钻石'!X255</f>
        <v>20421548.133534566</v>
      </c>
    </row>
    <row r="256" spans="9:14" x14ac:dyDescent="0.15">
      <c r="I256" s="14">
        <v>253</v>
      </c>
      <c r="J256" s="14">
        <f>'[1]资源-钻石'!T256</f>
        <v>1226002.615589336</v>
      </c>
      <c r="K256" s="14">
        <f>'[1]资源-钻石'!U256</f>
        <v>1776162.8771482697</v>
      </c>
      <c r="L256" s="14">
        <f>'[1]资源-钻石'!V256</f>
        <v>3086813.1648630966</v>
      </c>
      <c r="M256" s="14">
        <f>'[1]资源-钻石'!W256</f>
        <v>8490584.4813494068</v>
      </c>
      <c r="N256" s="14">
        <f>'[1]资源-钻石'!X256</f>
        <v>20500740.429484345</v>
      </c>
    </row>
    <row r="257" spans="9:14" x14ac:dyDescent="0.15">
      <c r="I257" s="14">
        <v>254</v>
      </c>
      <c r="J257" s="14">
        <f>'[1]资源-钻石'!T257</f>
        <v>1229890.5303149552</v>
      </c>
      <c r="K257" s="14">
        <f>'[1]资源-钻石'!U257</f>
        <v>1782119.5833464509</v>
      </c>
      <c r="L257" s="14">
        <f>'[1]资源-钻石'!V257</f>
        <v>3097817.541681096</v>
      </c>
      <c r="M257" s="14">
        <f>'[1]资源-钻石'!W257</f>
        <v>8522709.2958492059</v>
      </c>
      <c r="N257" s="14">
        <f>'[1]资源-钻石'!X257</f>
        <v>20579932.725434124</v>
      </c>
    </row>
    <row r="258" spans="9:14" x14ac:dyDescent="0.15">
      <c r="I258" s="14">
        <v>255</v>
      </c>
      <c r="J258" s="14">
        <f>'[1]资源-钻石'!T258</f>
        <v>1233778.4450405743</v>
      </c>
      <c r="K258" s="14">
        <f>'[1]资源-钻石'!U258</f>
        <v>1788076.289544632</v>
      </c>
      <c r="L258" s="14">
        <f>'[1]资源-钻石'!V258</f>
        <v>3108821.9184990949</v>
      </c>
      <c r="M258" s="14">
        <f>'[1]资源-钻石'!W258</f>
        <v>8554834.1103490051</v>
      </c>
      <c r="N258" s="14">
        <f>'[1]资源-钻石'!X258</f>
        <v>20659125.021383904</v>
      </c>
    </row>
    <row r="259" spans="9:14" x14ac:dyDescent="0.15">
      <c r="I259" s="14">
        <v>256</v>
      </c>
      <c r="J259" s="14">
        <f>'[1]资源-钻石'!T259</f>
        <v>1237666.3597661934</v>
      </c>
      <c r="K259" s="14">
        <f>'[1]资源-钻石'!U259</f>
        <v>1794032.995742813</v>
      </c>
      <c r="L259" s="14">
        <f>'[1]资源-钻石'!V259</f>
        <v>3119826.2953170943</v>
      </c>
      <c r="M259" s="14">
        <f>'[1]资源-钻石'!W259</f>
        <v>8586958.9248488043</v>
      </c>
      <c r="N259" s="14">
        <f>'[1]资源-钻石'!X259</f>
        <v>20738317.31733368</v>
      </c>
    </row>
    <row r="260" spans="9:14" x14ac:dyDescent="0.15">
      <c r="I260" s="14">
        <v>257</v>
      </c>
      <c r="J260" s="14">
        <f>'[1]资源-钻石'!T260</f>
        <v>1241554.2744918126</v>
      </c>
      <c r="K260" s="14">
        <f>'[1]资源-钻石'!U260</f>
        <v>1799989.701940994</v>
      </c>
      <c r="L260" s="14">
        <f>'[1]资源-钻石'!V260</f>
        <v>3130830.6721350932</v>
      </c>
      <c r="M260" s="14">
        <f>'[1]资源-钻石'!W260</f>
        <v>8619083.7393486034</v>
      </c>
      <c r="N260" s="14">
        <f>'[1]资源-钻石'!X260</f>
        <v>20817509.613283459</v>
      </c>
    </row>
    <row r="261" spans="9:14" x14ac:dyDescent="0.15">
      <c r="I261" s="14">
        <v>258</v>
      </c>
      <c r="J261" s="14">
        <f>'[1]资源-钻石'!T261</f>
        <v>1245442.1892174317</v>
      </c>
      <c r="K261" s="14">
        <f>'[1]资源-钻石'!U261</f>
        <v>1805946.408139175</v>
      </c>
      <c r="L261" s="14">
        <f>'[1]资源-钻石'!V261</f>
        <v>3141835.0489530927</v>
      </c>
      <c r="M261" s="14">
        <f>'[1]资源-钻石'!W261</f>
        <v>8651208.5538484026</v>
      </c>
      <c r="N261" s="14">
        <f>'[1]资源-钻石'!X261</f>
        <v>20896701.909233239</v>
      </c>
    </row>
    <row r="262" spans="9:14" x14ac:dyDescent="0.15">
      <c r="I262" s="14">
        <v>259</v>
      </c>
      <c r="J262" s="14">
        <f>'[1]资源-钻石'!T262</f>
        <v>1249330.1039430508</v>
      </c>
      <c r="K262" s="14">
        <f>'[1]资源-钻石'!U262</f>
        <v>1811903.1143373561</v>
      </c>
      <c r="L262" s="14">
        <f>'[1]资源-钻石'!V262</f>
        <v>3152839.4257710916</v>
      </c>
      <c r="M262" s="14">
        <f>'[1]资源-钻石'!W262</f>
        <v>8683333.3683482017</v>
      </c>
      <c r="N262" s="14">
        <f>'[1]资源-钻石'!X262</f>
        <v>20975894.205183018</v>
      </c>
    </row>
    <row r="263" spans="9:14" x14ac:dyDescent="0.15">
      <c r="I263" s="14">
        <v>260</v>
      </c>
      <c r="J263" s="14">
        <f>'[1]资源-钻石'!T263</f>
        <v>1253218.01866867</v>
      </c>
      <c r="K263" s="14">
        <f>'[1]资源-钻石'!U263</f>
        <v>1817859.8205355371</v>
      </c>
      <c r="L263" s="14">
        <f>'[1]资源-钻石'!V263</f>
        <v>3163843.802589091</v>
      </c>
      <c r="M263" s="14">
        <f>'[1]资源-钻石'!W263</f>
        <v>8715458.1828480009</v>
      </c>
      <c r="N263" s="14">
        <f>'[1]资源-钻石'!X263</f>
        <v>21055086.501132797</v>
      </c>
    </row>
    <row r="264" spans="9:14" x14ac:dyDescent="0.15">
      <c r="I264" s="14">
        <v>261</v>
      </c>
      <c r="J264" s="14">
        <f>'[1]资源-钻石'!T264</f>
        <v>1257105.9333942891</v>
      </c>
      <c r="K264" s="14">
        <f>'[1]资源-钻石'!U264</f>
        <v>1823816.5267337181</v>
      </c>
      <c r="L264" s="14">
        <f>'[1]资源-钻石'!V264</f>
        <v>3174848.1794070899</v>
      </c>
      <c r="M264" s="14">
        <f>'[1]资源-钻石'!W264</f>
        <v>8747582.9973478001</v>
      </c>
      <c r="N264" s="14">
        <f>'[1]资源-钻石'!X264</f>
        <v>21134278.797082577</v>
      </c>
    </row>
    <row r="265" spans="9:14" x14ac:dyDescent="0.15">
      <c r="I265" s="14">
        <v>262</v>
      </c>
      <c r="J265" s="14">
        <f>'[1]资源-钻石'!T265</f>
        <v>1260993.8481199082</v>
      </c>
      <c r="K265" s="14">
        <f>'[1]资源-钻石'!U265</f>
        <v>1829773.2329318991</v>
      </c>
      <c r="L265" s="14">
        <f>'[1]资源-钻石'!V265</f>
        <v>3185852.5562250894</v>
      </c>
      <c r="M265" s="14">
        <f>'[1]资源-钻石'!W265</f>
        <v>8779707.8118475992</v>
      </c>
      <c r="N265" s="14">
        <f>'[1]资源-钻石'!X265</f>
        <v>21213471.093032356</v>
      </c>
    </row>
    <row r="266" spans="9:14" x14ac:dyDescent="0.15">
      <c r="I266" s="14">
        <v>263</v>
      </c>
      <c r="J266" s="14">
        <f>'[1]资源-钻石'!T266</f>
        <v>1264881.7628455274</v>
      </c>
      <c r="K266" s="14">
        <f>'[1]资源-钻石'!U266</f>
        <v>1835729.9391300802</v>
      </c>
      <c r="L266" s="14">
        <f>'[1]资源-钻石'!V266</f>
        <v>3196856.9330430883</v>
      </c>
      <c r="M266" s="14">
        <f>'[1]资源-钻石'!W266</f>
        <v>8811832.6263473984</v>
      </c>
      <c r="N266" s="14">
        <f>'[1]资源-钻石'!X266</f>
        <v>21292663.388982136</v>
      </c>
    </row>
    <row r="267" spans="9:14" x14ac:dyDescent="0.15">
      <c r="I267" s="14">
        <v>264</v>
      </c>
      <c r="J267" s="14">
        <f>'[1]资源-钻石'!T267</f>
        <v>1268769.6775711465</v>
      </c>
      <c r="K267" s="14">
        <f>'[1]资源-钻石'!U267</f>
        <v>1841686.6453282614</v>
      </c>
      <c r="L267" s="14">
        <f>'[1]资源-钻石'!V267</f>
        <v>3207861.3098610877</v>
      </c>
      <c r="M267" s="14">
        <f>'[1]资源-钻石'!W267</f>
        <v>8843957.4408471957</v>
      </c>
      <c r="N267" s="14">
        <f>'[1]资源-钻石'!X267</f>
        <v>21371855.684931912</v>
      </c>
    </row>
    <row r="268" spans="9:14" x14ac:dyDescent="0.15">
      <c r="I268" s="14">
        <v>265</v>
      </c>
      <c r="J268" s="14">
        <f>'[1]资源-钻石'!T268</f>
        <v>1272657.5922967657</v>
      </c>
      <c r="K268" s="14">
        <f>'[1]资源-钻石'!U268</f>
        <v>1847643.3515264424</v>
      </c>
      <c r="L268" s="14">
        <f>'[1]资源-钻石'!V268</f>
        <v>3218865.6866790866</v>
      </c>
      <c r="M268" s="14">
        <f>'[1]资源-钻石'!W268</f>
        <v>8876082.2553469948</v>
      </c>
      <c r="N268" s="14">
        <f>'[1]资源-钻石'!X268</f>
        <v>21451047.980881691</v>
      </c>
    </row>
    <row r="269" spans="9:14" x14ac:dyDescent="0.15">
      <c r="I269" s="14">
        <v>266</v>
      </c>
      <c r="J269" s="14">
        <f>'[1]资源-钻石'!T269</f>
        <v>1276545.5070223848</v>
      </c>
      <c r="K269" s="14">
        <f>'[1]资源-钻石'!U269</f>
        <v>1853600.0577246235</v>
      </c>
      <c r="L269" s="14">
        <f>'[1]资源-钻石'!V269</f>
        <v>3229870.0634970861</v>
      </c>
      <c r="M269" s="14">
        <f>'[1]资源-钻石'!W269</f>
        <v>8908207.069846794</v>
      </c>
      <c r="N269" s="14">
        <f>'[1]资源-钻石'!X269</f>
        <v>21530240.27683147</v>
      </c>
    </row>
    <row r="270" spans="9:14" x14ac:dyDescent="0.15">
      <c r="I270" s="14">
        <v>267</v>
      </c>
      <c r="J270" s="14">
        <f>'[1]资源-钻石'!T270</f>
        <v>1280433.4217480039</v>
      </c>
      <c r="K270" s="14">
        <f>'[1]资源-钻石'!U270</f>
        <v>1859556.7639228045</v>
      </c>
      <c r="L270" s="14">
        <f>'[1]资源-钻石'!V270</f>
        <v>3240874.440315085</v>
      </c>
      <c r="M270" s="14">
        <f>'[1]资源-钻石'!W270</f>
        <v>8940331.8843465932</v>
      </c>
      <c r="N270" s="14">
        <f>'[1]资源-钻石'!X270</f>
        <v>21609432.57278125</v>
      </c>
    </row>
    <row r="271" spans="9:14" x14ac:dyDescent="0.15">
      <c r="I271" s="14">
        <v>268</v>
      </c>
      <c r="J271" s="14">
        <f>'[1]资源-钻石'!T271</f>
        <v>1284321.3364736231</v>
      </c>
      <c r="K271" s="14">
        <f>'[1]资源-钻石'!U271</f>
        <v>1865513.4701209855</v>
      </c>
      <c r="L271" s="14">
        <f>'[1]资源-钻石'!V271</f>
        <v>3251878.8171330839</v>
      </c>
      <c r="M271" s="14">
        <f>'[1]资源-钻石'!W271</f>
        <v>8972456.6988463923</v>
      </c>
      <c r="N271" s="14">
        <f>'[1]资源-钻石'!X271</f>
        <v>21688624.868731029</v>
      </c>
    </row>
    <row r="272" spans="9:14" x14ac:dyDescent="0.15">
      <c r="I272" s="14">
        <v>269</v>
      </c>
      <c r="J272" s="14">
        <f>'[1]资源-钻石'!T272</f>
        <v>1288209.2511992422</v>
      </c>
      <c r="K272" s="14">
        <f>'[1]资源-钻石'!U272</f>
        <v>1871470.1763191666</v>
      </c>
      <c r="L272" s="14">
        <f>'[1]资源-钻石'!V272</f>
        <v>3262883.1939510833</v>
      </c>
      <c r="M272" s="14">
        <f>'[1]资源-钻石'!W272</f>
        <v>9004581.5133461915</v>
      </c>
      <c r="N272" s="14">
        <f>'[1]资源-钻石'!X272</f>
        <v>21767817.164680809</v>
      </c>
    </row>
    <row r="273" spans="9:14" x14ac:dyDescent="0.15">
      <c r="I273" s="14">
        <v>270</v>
      </c>
      <c r="J273" s="14">
        <f>'[1]资源-钻石'!T273</f>
        <v>1292097.1659248616</v>
      </c>
      <c r="K273" s="14">
        <f>'[1]资源-钻石'!U273</f>
        <v>1877426.8825173476</v>
      </c>
      <c r="L273" s="14">
        <f>'[1]资源-钻石'!V273</f>
        <v>3273887.5707690823</v>
      </c>
      <c r="M273" s="14">
        <f>'[1]资源-钻石'!W273</f>
        <v>9036706.3278459907</v>
      </c>
      <c r="N273" s="14">
        <f>'[1]资源-钻石'!X273</f>
        <v>21847009.460630588</v>
      </c>
    </row>
    <row r="274" spans="9:14" x14ac:dyDescent="0.15">
      <c r="I274" s="14">
        <v>271</v>
      </c>
      <c r="J274" s="14">
        <f>'[1]资源-钻石'!T274</f>
        <v>1295985.0806504807</v>
      </c>
      <c r="K274" s="14">
        <f>'[1]资源-钻石'!U274</f>
        <v>1883383.5887155286</v>
      </c>
      <c r="L274" s="14">
        <f>'[1]资源-钻石'!V274</f>
        <v>3284891.9475870817</v>
      </c>
      <c r="M274" s="14">
        <f>'[1]资源-钻石'!W274</f>
        <v>9068831.1423457898</v>
      </c>
      <c r="N274" s="14">
        <f>'[1]资源-钻石'!X274</f>
        <v>21926201.756580368</v>
      </c>
    </row>
    <row r="275" spans="9:14" x14ac:dyDescent="0.15">
      <c r="I275" s="14">
        <v>272</v>
      </c>
      <c r="J275" s="14">
        <f>'[1]资源-钻石'!T275</f>
        <v>1299872.9953760998</v>
      </c>
      <c r="K275" s="14">
        <f>'[1]资源-钻石'!U275</f>
        <v>1889340.2949137096</v>
      </c>
      <c r="L275" s="14">
        <f>'[1]资源-钻石'!V275</f>
        <v>3295896.3244050806</v>
      </c>
      <c r="M275" s="14">
        <f>'[1]资源-钻石'!W275</f>
        <v>9100955.956845589</v>
      </c>
      <c r="N275" s="14">
        <f>'[1]资源-钻石'!X275</f>
        <v>22005394.052530147</v>
      </c>
    </row>
    <row r="276" spans="9:14" x14ac:dyDescent="0.15">
      <c r="I276" s="14">
        <v>273</v>
      </c>
      <c r="J276" s="14">
        <f>'[1]资源-钻石'!T276</f>
        <v>1303760.910101719</v>
      </c>
      <c r="K276" s="14">
        <f>'[1]资源-钻石'!U276</f>
        <v>1895297.0011118907</v>
      </c>
      <c r="L276" s="14">
        <f>'[1]资源-钻石'!V276</f>
        <v>3306900.70122308</v>
      </c>
      <c r="M276" s="14">
        <f>'[1]资源-钻石'!W276</f>
        <v>9133080.7713453881</v>
      </c>
      <c r="N276" s="14">
        <f>'[1]资源-钻石'!X276</f>
        <v>22084586.348479923</v>
      </c>
    </row>
    <row r="277" spans="9:14" x14ac:dyDescent="0.15">
      <c r="I277" s="14">
        <v>274</v>
      </c>
      <c r="J277" s="14">
        <f>'[1]资源-钻石'!T277</f>
        <v>1307648.8248273381</v>
      </c>
      <c r="K277" s="14">
        <f>'[1]资源-钻石'!U277</f>
        <v>1901253.7073100717</v>
      </c>
      <c r="L277" s="14">
        <f>'[1]资源-钻石'!V277</f>
        <v>3317905.078041079</v>
      </c>
      <c r="M277" s="14">
        <f>'[1]资源-钻石'!W277</f>
        <v>9165205.5858451873</v>
      </c>
      <c r="N277" s="14">
        <f>'[1]资源-钻石'!X277</f>
        <v>22163778.644429702</v>
      </c>
    </row>
    <row r="278" spans="9:14" x14ac:dyDescent="0.15">
      <c r="I278" s="14">
        <v>275</v>
      </c>
      <c r="J278" s="14">
        <f>'[1]资源-钻石'!T278</f>
        <v>1311536.7395529572</v>
      </c>
      <c r="K278" s="14">
        <f>'[1]资源-钻石'!U278</f>
        <v>1907210.4135082529</v>
      </c>
      <c r="L278" s="14">
        <f>'[1]资源-钻石'!V278</f>
        <v>3328909.4548590784</v>
      </c>
      <c r="M278" s="14">
        <f>'[1]资源-钻石'!W278</f>
        <v>9197330.4003449865</v>
      </c>
      <c r="N278" s="14">
        <f>'[1]资源-钻石'!X278</f>
        <v>22242970.940379482</v>
      </c>
    </row>
    <row r="279" spans="9:14" x14ac:dyDescent="0.15">
      <c r="I279" s="14">
        <v>276</v>
      </c>
      <c r="J279" s="14">
        <f>'[1]资源-钻石'!T279</f>
        <v>1315424.6542785764</v>
      </c>
      <c r="K279" s="14">
        <f>'[1]资源-钻石'!U279</f>
        <v>1913167.119706434</v>
      </c>
      <c r="L279" s="14">
        <f>'[1]资源-钻石'!V279</f>
        <v>3339913.8316770773</v>
      </c>
      <c r="M279" s="14">
        <f>'[1]资源-钻石'!W279</f>
        <v>9229455.2148447856</v>
      </c>
      <c r="N279" s="14">
        <f>'[1]资源-钻石'!X279</f>
        <v>22322163.236329261</v>
      </c>
    </row>
    <row r="280" spans="9:14" x14ac:dyDescent="0.15">
      <c r="I280" s="14">
        <v>277</v>
      </c>
      <c r="J280" s="14">
        <f>'[1]资源-钻石'!T280</f>
        <v>1319312.5690041955</v>
      </c>
      <c r="K280" s="14">
        <f>'[1]资源-钻石'!U280</f>
        <v>1919123.825904615</v>
      </c>
      <c r="L280" s="14">
        <f>'[1]资源-钻石'!V280</f>
        <v>3350918.2084950767</v>
      </c>
      <c r="M280" s="14">
        <f>'[1]资源-钻石'!W280</f>
        <v>9261580.0293445848</v>
      </c>
      <c r="N280" s="14">
        <f>'[1]资源-钻石'!X280</f>
        <v>22401355.532279041</v>
      </c>
    </row>
    <row r="281" spans="9:14" x14ac:dyDescent="0.15">
      <c r="I281" s="14">
        <v>278</v>
      </c>
      <c r="J281" s="14">
        <f>'[1]资源-钻石'!T281</f>
        <v>1323200.4837298146</v>
      </c>
      <c r="K281" s="14">
        <f>'[1]资源-钻石'!U281</f>
        <v>1925080.532102796</v>
      </c>
      <c r="L281" s="14">
        <f>'[1]资源-钻石'!V281</f>
        <v>3361922.5853130757</v>
      </c>
      <c r="M281" s="14">
        <f>'[1]资源-钻石'!W281</f>
        <v>9293704.843844384</v>
      </c>
      <c r="N281" s="14">
        <f>'[1]资源-钻石'!X281</f>
        <v>22480547.82822882</v>
      </c>
    </row>
    <row r="282" spans="9:14" x14ac:dyDescent="0.15">
      <c r="I282" s="14">
        <v>279</v>
      </c>
      <c r="J282" s="14">
        <f>'[1]资源-钻石'!T282</f>
        <v>1327088.3984554338</v>
      </c>
      <c r="K282" s="14">
        <f>'[1]资源-钻石'!U282</f>
        <v>1931037.238300977</v>
      </c>
      <c r="L282" s="14">
        <f>'[1]资源-钻石'!V282</f>
        <v>3372926.9621310751</v>
      </c>
      <c r="M282" s="14">
        <f>'[1]资源-钻石'!W282</f>
        <v>9325829.6583441831</v>
      </c>
      <c r="N282" s="14">
        <f>'[1]资源-钻石'!X282</f>
        <v>22559740.1241786</v>
      </c>
    </row>
    <row r="283" spans="9:14" x14ac:dyDescent="0.15">
      <c r="I283" s="14">
        <v>280</v>
      </c>
      <c r="J283" s="14">
        <f>'[1]资源-钻石'!T283</f>
        <v>1330976.3131810529</v>
      </c>
      <c r="K283" s="14">
        <f>'[1]资源-钻石'!U283</f>
        <v>1936993.9444991581</v>
      </c>
      <c r="L283" s="14">
        <f>'[1]资源-钻石'!V283</f>
        <v>3383931.338949074</v>
      </c>
      <c r="M283" s="14">
        <f>'[1]资源-钻石'!W283</f>
        <v>9357954.4728439823</v>
      </c>
      <c r="N283" s="14">
        <f>'[1]资源-钻石'!X283</f>
        <v>22638932.420128379</v>
      </c>
    </row>
    <row r="284" spans="9:14" x14ac:dyDescent="0.15">
      <c r="I284" s="14">
        <v>281</v>
      </c>
      <c r="J284" s="14">
        <f>'[1]资源-钻石'!T284</f>
        <v>1334864.2279066721</v>
      </c>
      <c r="K284" s="14">
        <f>'[1]资源-钻石'!U284</f>
        <v>1942950.6506973391</v>
      </c>
      <c r="L284" s="14">
        <f>'[1]资源-钻石'!V284</f>
        <v>3394935.715767073</v>
      </c>
      <c r="M284" s="14">
        <f>'[1]资源-钻石'!W284</f>
        <v>9390079.2873437814</v>
      </c>
      <c r="N284" s="14">
        <f>'[1]资源-钻石'!X284</f>
        <v>22718124.716078155</v>
      </c>
    </row>
    <row r="285" spans="9:14" x14ac:dyDescent="0.15">
      <c r="I285" s="14">
        <v>282</v>
      </c>
      <c r="J285" s="14">
        <f>'[1]资源-钻石'!T285</f>
        <v>1338752.1426322912</v>
      </c>
      <c r="K285" s="14">
        <f>'[1]资源-钻石'!U285</f>
        <v>1948907.3568955201</v>
      </c>
      <c r="L285" s="14">
        <f>'[1]资源-钻石'!V285</f>
        <v>3405940.0925850724</v>
      </c>
      <c r="M285" s="14">
        <f>'[1]资源-钻石'!W285</f>
        <v>9422204.1018435806</v>
      </c>
      <c r="N285" s="14">
        <f>'[1]资源-钻石'!X285</f>
        <v>22797317.012027934</v>
      </c>
    </row>
    <row r="286" spans="9:14" x14ac:dyDescent="0.15">
      <c r="I286" s="14">
        <v>283</v>
      </c>
      <c r="J286" s="14">
        <f>'[1]资源-钻石'!T286</f>
        <v>1342640.0573579101</v>
      </c>
      <c r="K286" s="14">
        <f>'[1]资源-钻石'!U286</f>
        <v>1954864.0630937011</v>
      </c>
      <c r="L286" s="14">
        <f>'[1]资源-钻石'!V286</f>
        <v>3416944.4694030713</v>
      </c>
      <c r="M286" s="14">
        <f>'[1]资源-钻石'!W286</f>
        <v>9454328.9163433798</v>
      </c>
      <c r="N286" s="14">
        <f>'[1]资源-钻石'!X286</f>
        <v>22876509.307977714</v>
      </c>
    </row>
    <row r="287" spans="9:14" x14ac:dyDescent="0.15">
      <c r="I287" s="14">
        <v>284</v>
      </c>
      <c r="J287" s="14">
        <f>'[1]资源-钻石'!T287</f>
        <v>1346527.9720835295</v>
      </c>
      <c r="K287" s="14">
        <f>'[1]资源-钻石'!U287</f>
        <v>1960820.7692918822</v>
      </c>
      <c r="L287" s="14">
        <f>'[1]资源-钻石'!V287</f>
        <v>3427948.8462210707</v>
      </c>
      <c r="M287" s="14">
        <f>'[1]资源-钻石'!W287</f>
        <v>9486453.7308431789</v>
      </c>
      <c r="N287" s="14">
        <f>'[1]资源-钻石'!X287</f>
        <v>22955701.603927493</v>
      </c>
    </row>
    <row r="288" spans="9:14" x14ac:dyDescent="0.15">
      <c r="I288" s="14">
        <v>285</v>
      </c>
      <c r="J288" s="14">
        <f>'[1]资源-钻石'!T288</f>
        <v>1350415.8868091484</v>
      </c>
      <c r="K288" s="14">
        <f>'[1]资源-钻石'!U288</f>
        <v>1966777.4754900634</v>
      </c>
      <c r="L288" s="14">
        <f>'[1]资源-钻石'!V288</f>
        <v>3438953.2230390697</v>
      </c>
      <c r="M288" s="14">
        <f>'[1]资源-钻石'!W288</f>
        <v>9518578.5453429781</v>
      </c>
      <c r="N288" s="14">
        <f>'[1]资源-钻石'!X288</f>
        <v>23034893.899877273</v>
      </c>
    </row>
    <row r="289" spans="9:14" x14ac:dyDescent="0.15">
      <c r="I289" s="14">
        <v>286</v>
      </c>
      <c r="J289" s="14">
        <f>'[1]资源-钻石'!T289</f>
        <v>1354303.8015347675</v>
      </c>
      <c r="K289" s="14">
        <f>'[1]资源-钻石'!U289</f>
        <v>1972734.1816882445</v>
      </c>
      <c r="L289" s="14">
        <f>'[1]资源-钻石'!V289</f>
        <v>3449957.5998570691</v>
      </c>
      <c r="M289" s="14">
        <f>'[1]资源-钻石'!W289</f>
        <v>9550703.3598427773</v>
      </c>
      <c r="N289" s="14">
        <f>'[1]资源-钻石'!X289</f>
        <v>23114086.195827052</v>
      </c>
    </row>
    <row r="290" spans="9:14" x14ac:dyDescent="0.15">
      <c r="I290" s="14">
        <v>287</v>
      </c>
      <c r="J290" s="14">
        <f>'[1]资源-钻石'!T290</f>
        <v>1358191.7162603866</v>
      </c>
      <c r="K290" s="14">
        <f>'[1]资源-钻石'!U290</f>
        <v>1978690.8878864255</v>
      </c>
      <c r="L290" s="14">
        <f>'[1]资源-钻石'!V290</f>
        <v>3460961.976675068</v>
      </c>
      <c r="M290" s="14">
        <f>'[1]资源-钻石'!W290</f>
        <v>9582828.1743425764</v>
      </c>
      <c r="N290" s="14">
        <f>'[1]资源-钻石'!X290</f>
        <v>23193278.491776831</v>
      </c>
    </row>
    <row r="291" spans="9:14" x14ac:dyDescent="0.15">
      <c r="I291" s="14">
        <v>288</v>
      </c>
      <c r="J291" s="14">
        <f>'[1]资源-钻石'!T291</f>
        <v>1362079.6309860058</v>
      </c>
      <c r="K291" s="14">
        <f>'[1]资源-钻石'!U291</f>
        <v>1984647.5940846065</v>
      </c>
      <c r="L291" s="14">
        <f>'[1]资源-钻石'!V291</f>
        <v>3471966.3534930674</v>
      </c>
      <c r="M291" s="14">
        <f>'[1]资源-钻石'!W291</f>
        <v>9614952.9888423756</v>
      </c>
      <c r="N291" s="14">
        <f>'[1]资源-钻石'!X291</f>
        <v>23272470.787726611</v>
      </c>
    </row>
    <row r="292" spans="9:14" x14ac:dyDescent="0.15">
      <c r="I292" s="14">
        <v>289</v>
      </c>
      <c r="J292" s="14">
        <f>'[1]资源-钻石'!T292</f>
        <v>1365967.5457116249</v>
      </c>
      <c r="K292" s="14">
        <f>'[1]资源-钻石'!U292</f>
        <v>1990604.3002827875</v>
      </c>
      <c r="L292" s="14">
        <f>'[1]资源-钻石'!V292</f>
        <v>3482970.7303110664</v>
      </c>
      <c r="M292" s="14">
        <f>'[1]资源-钻石'!W292</f>
        <v>9647077.8033421747</v>
      </c>
      <c r="N292" s="14">
        <f>'[1]资源-钻石'!X292</f>
        <v>23351663.08367639</v>
      </c>
    </row>
    <row r="293" spans="9:14" x14ac:dyDescent="0.15">
      <c r="I293" s="14">
        <v>290</v>
      </c>
      <c r="J293" s="14">
        <f>'[1]资源-钻石'!T293</f>
        <v>1369855.460437244</v>
      </c>
      <c r="K293" s="14">
        <f>'[1]资源-钻石'!U293</f>
        <v>1996561.0064809686</v>
      </c>
      <c r="L293" s="14">
        <f>'[1]资源-钻石'!V293</f>
        <v>3493975.1071290653</v>
      </c>
      <c r="M293" s="14">
        <f>'[1]资源-钻石'!W293</f>
        <v>9679202.6178419739</v>
      </c>
      <c r="N293" s="14">
        <f>'[1]资源-钻石'!X293</f>
        <v>23430855.37962617</v>
      </c>
    </row>
    <row r="294" spans="9:14" x14ac:dyDescent="0.15">
      <c r="I294" s="14">
        <v>291</v>
      </c>
      <c r="J294" s="14">
        <f>'[1]资源-钻石'!T294</f>
        <v>1373743.3751628632</v>
      </c>
      <c r="K294" s="14">
        <f>'[1]资源-钻石'!U294</f>
        <v>2002517.7126791496</v>
      </c>
      <c r="L294" s="14">
        <f>'[1]资源-钻石'!V294</f>
        <v>3504979.4839470647</v>
      </c>
      <c r="M294" s="14">
        <f>'[1]资源-钻石'!W294</f>
        <v>9711327.4323417731</v>
      </c>
      <c r="N294" s="14">
        <f>'[1]资源-钻石'!X294</f>
        <v>23510047.675575946</v>
      </c>
    </row>
    <row r="295" spans="9:14" x14ac:dyDescent="0.15">
      <c r="I295" s="14">
        <v>292</v>
      </c>
      <c r="J295" s="14">
        <f>'[1]资源-钻石'!T295</f>
        <v>1377631.2898884823</v>
      </c>
      <c r="K295" s="14">
        <f>'[1]资源-钻石'!U295</f>
        <v>2008474.4188773306</v>
      </c>
      <c r="L295" s="14">
        <f>'[1]资源-钻石'!V295</f>
        <v>3515983.8607650637</v>
      </c>
      <c r="M295" s="14">
        <f>'[1]资源-钻石'!W295</f>
        <v>9743452.2468415722</v>
      </c>
      <c r="N295" s="14">
        <f>'[1]资源-钻石'!X295</f>
        <v>23589239.971525725</v>
      </c>
    </row>
    <row r="296" spans="9:14" x14ac:dyDescent="0.15">
      <c r="I296" s="14">
        <v>293</v>
      </c>
      <c r="J296" s="14">
        <f>'[1]资源-钻石'!T296</f>
        <v>1381519.2046141014</v>
      </c>
      <c r="K296" s="14">
        <f>'[1]资源-钻石'!U296</f>
        <v>2014431.1250755116</v>
      </c>
      <c r="L296" s="14">
        <f>'[1]资源-钻石'!V296</f>
        <v>3526988.2375830631</v>
      </c>
      <c r="M296" s="14">
        <f>'[1]资源-钻石'!W296</f>
        <v>9775577.0613413714</v>
      </c>
      <c r="N296" s="14">
        <f>'[1]资源-钻石'!X296</f>
        <v>23668432.267475504</v>
      </c>
    </row>
    <row r="297" spans="9:14" x14ac:dyDescent="0.15">
      <c r="I297" s="14">
        <v>294</v>
      </c>
      <c r="J297" s="14">
        <f>'[1]资源-钻石'!T297</f>
        <v>1385407.1193397206</v>
      </c>
      <c r="K297" s="14">
        <f>'[1]资源-钻石'!U297</f>
        <v>2020387.8312736927</v>
      </c>
      <c r="L297" s="14">
        <f>'[1]资源-钻石'!V297</f>
        <v>3537992.614401062</v>
      </c>
      <c r="M297" s="14">
        <f>'[1]资源-钻石'!W297</f>
        <v>9807701.8758411705</v>
      </c>
      <c r="N297" s="14">
        <f>'[1]资源-钻石'!X297</f>
        <v>23747624.563425284</v>
      </c>
    </row>
    <row r="298" spans="9:14" x14ac:dyDescent="0.15">
      <c r="I298" s="14">
        <v>295</v>
      </c>
      <c r="J298" s="14">
        <f>'[1]资源-钻石'!T298</f>
        <v>1389295.0340653397</v>
      </c>
      <c r="K298" s="14">
        <f>'[1]资源-钻石'!U298</f>
        <v>2026344.5374718737</v>
      </c>
      <c r="L298" s="14">
        <f>'[1]资源-钻石'!V298</f>
        <v>3548996.9912190614</v>
      </c>
      <c r="M298" s="14">
        <f>'[1]资源-钻石'!W298</f>
        <v>9839826.6903409697</v>
      </c>
      <c r="N298" s="14">
        <f>'[1]资源-钻石'!X298</f>
        <v>23826816.859375063</v>
      </c>
    </row>
    <row r="299" spans="9:14" x14ac:dyDescent="0.15">
      <c r="I299" s="14">
        <v>296</v>
      </c>
      <c r="J299" s="14">
        <f>'[1]资源-钻石'!T299</f>
        <v>1393182.9487909588</v>
      </c>
      <c r="K299" s="14">
        <f>'[1]资源-钻石'!U299</f>
        <v>2032301.2436700547</v>
      </c>
      <c r="L299" s="14">
        <f>'[1]资源-钻石'!V299</f>
        <v>3560001.3680370604</v>
      </c>
      <c r="M299" s="14">
        <f>'[1]资源-钻石'!W299</f>
        <v>9871951.5048407689</v>
      </c>
      <c r="N299" s="14">
        <f>'[1]资源-钻石'!X299</f>
        <v>23906009.155324843</v>
      </c>
    </row>
    <row r="300" spans="9:14" x14ac:dyDescent="0.15">
      <c r="I300" s="14">
        <v>297</v>
      </c>
      <c r="J300" s="14">
        <f>'[1]资源-钻石'!T300</f>
        <v>1397070.863516578</v>
      </c>
      <c r="K300" s="14">
        <f>'[1]资源-钻石'!U300</f>
        <v>2038257.949868236</v>
      </c>
      <c r="L300" s="14">
        <f>'[1]资源-钻石'!V300</f>
        <v>3571005.7448550598</v>
      </c>
      <c r="M300" s="14">
        <f>'[1]资源-钻石'!W300</f>
        <v>9904076.3193405662</v>
      </c>
      <c r="N300" s="14">
        <f>'[1]资源-钻石'!X300</f>
        <v>23985201.451274622</v>
      </c>
    </row>
    <row r="301" spans="9:14" x14ac:dyDescent="0.15">
      <c r="I301" s="14">
        <v>298</v>
      </c>
      <c r="J301" s="14">
        <f>'[1]资源-钻石'!T301</f>
        <v>1400958.7782421971</v>
      </c>
      <c r="K301" s="14">
        <f>'[1]资源-钻石'!U301</f>
        <v>2044214.656066417</v>
      </c>
      <c r="L301" s="14">
        <f>'[1]资源-钻石'!V301</f>
        <v>3582010.1216730587</v>
      </c>
      <c r="M301" s="14">
        <f>'[1]资源-钻石'!W301</f>
        <v>9936201.1338403653</v>
      </c>
      <c r="N301" s="14">
        <f>'[1]资源-钻石'!X301</f>
        <v>24064393.747224402</v>
      </c>
    </row>
    <row r="302" spans="9:14" x14ac:dyDescent="0.15">
      <c r="I302" s="14">
        <v>299</v>
      </c>
      <c r="J302" s="14">
        <f>'[1]资源-钻石'!T302</f>
        <v>1404846.6929678163</v>
      </c>
      <c r="K302" s="14">
        <f>'[1]资源-钻石'!U302</f>
        <v>2050171.362264598</v>
      </c>
      <c r="L302" s="14">
        <f>'[1]资源-钻石'!V302</f>
        <v>3593014.4984910581</v>
      </c>
      <c r="M302" s="14">
        <f>'[1]资源-钻石'!W302</f>
        <v>9968325.9483401645</v>
      </c>
      <c r="N302" s="14">
        <f>'[1]资源-钻石'!X302</f>
        <v>24143586.043174177</v>
      </c>
    </row>
    <row r="303" spans="9:14" x14ac:dyDescent="0.15">
      <c r="I303" s="14">
        <v>300</v>
      </c>
      <c r="J303" s="14">
        <f>'[1]资源-钻石'!T303</f>
        <v>1408734.6076934354</v>
      </c>
      <c r="K303" s="14">
        <f>'[1]资源-钻石'!U303</f>
        <v>2056128.068462779</v>
      </c>
      <c r="L303" s="14">
        <f>'[1]资源-钻石'!V303</f>
        <v>3604018.8753090571</v>
      </c>
      <c r="M303" s="14">
        <f>'[1]资源-钻石'!W303</f>
        <v>10000450.762839964</v>
      </c>
      <c r="N303" s="14">
        <f>'[1]资源-钻石'!X303</f>
        <v>24222778.339123957</v>
      </c>
    </row>
    <row r="304" spans="9:14" x14ac:dyDescent="0.15">
      <c r="I304" s="14">
        <v>301</v>
      </c>
      <c r="J304" s="14">
        <f>'[1]资源-钻石'!T304</f>
        <v>1412622.5224190545</v>
      </c>
      <c r="K304" s="14">
        <f>'[1]资源-钻石'!U304</f>
        <v>2062084.7746609601</v>
      </c>
      <c r="L304" s="14">
        <f>'[1]资源-钻石'!V304</f>
        <v>3615023.2521270565</v>
      </c>
      <c r="M304" s="14">
        <f>'[1]资源-钻石'!W304</f>
        <v>10032575.577339763</v>
      </c>
      <c r="N304" s="14">
        <f>'[1]资源-钻石'!X304</f>
        <v>24301970.635073736</v>
      </c>
    </row>
    <row r="305" spans="9:14" x14ac:dyDescent="0.15">
      <c r="I305" s="14">
        <v>302</v>
      </c>
      <c r="J305" s="14">
        <f>'[1]资源-钻石'!T305</f>
        <v>1416510.4371446737</v>
      </c>
      <c r="K305" s="14">
        <f>'[1]资源-钻石'!U305</f>
        <v>2068041.4808591411</v>
      </c>
      <c r="L305" s="14">
        <f>'[1]资源-钻石'!V305</f>
        <v>3626027.6289450554</v>
      </c>
      <c r="M305" s="14">
        <f>'[1]资源-钻石'!W305</f>
        <v>10064700.391839562</v>
      </c>
      <c r="N305" s="14">
        <f>'[1]资源-钻石'!X305</f>
        <v>24381162.931023516</v>
      </c>
    </row>
    <row r="306" spans="9:14" x14ac:dyDescent="0.15">
      <c r="I306" s="14">
        <v>303</v>
      </c>
      <c r="J306" s="14">
        <f>'[1]资源-钻石'!T306</f>
        <v>1420398.3518702928</v>
      </c>
      <c r="K306" s="14">
        <f>'[1]资源-钻石'!U306</f>
        <v>2073998.1870573221</v>
      </c>
      <c r="L306" s="14">
        <f>'[1]资源-钻石'!V306</f>
        <v>3637032.0057630544</v>
      </c>
      <c r="M306" s="14">
        <f>'[1]资源-钻石'!W306</f>
        <v>10096825.206339361</v>
      </c>
      <c r="N306" s="14">
        <f>'[1]资源-钻石'!X306</f>
        <v>24460355.226973295</v>
      </c>
    </row>
    <row r="307" spans="9:14" x14ac:dyDescent="0.15">
      <c r="I307" s="14">
        <v>304</v>
      </c>
      <c r="J307" s="14">
        <f>'[1]资源-钻石'!T307</f>
        <v>1424286.2665959122</v>
      </c>
      <c r="K307" s="14">
        <f>'[1]资源-钻石'!U307</f>
        <v>2079954.8932555031</v>
      </c>
      <c r="L307" s="14">
        <f>'[1]资源-钻石'!V307</f>
        <v>3648036.3825810538</v>
      </c>
      <c r="M307" s="14">
        <f>'[1]资源-钻石'!W307</f>
        <v>10128950.02083916</v>
      </c>
      <c r="N307" s="14">
        <f>'[1]资源-钻石'!X307</f>
        <v>24539547.522923075</v>
      </c>
    </row>
    <row r="308" spans="9:14" x14ac:dyDescent="0.15">
      <c r="I308" s="14">
        <v>305</v>
      </c>
      <c r="J308" s="14">
        <f>'[1]资源-钻石'!T308</f>
        <v>1428174.1813215311</v>
      </c>
      <c r="K308" s="14">
        <f>'[1]资源-钻石'!U308</f>
        <v>2085911.5994536842</v>
      </c>
      <c r="L308" s="14">
        <f>'[1]资源-钻石'!V308</f>
        <v>3659040.7593990527</v>
      </c>
      <c r="M308" s="14">
        <f>'[1]资源-钻石'!W308</f>
        <v>10161074.835338959</v>
      </c>
      <c r="N308" s="14">
        <f>'[1]资源-钻石'!X308</f>
        <v>24618739.818872854</v>
      </c>
    </row>
    <row r="309" spans="9:14" x14ac:dyDescent="0.15">
      <c r="I309" s="14">
        <v>306</v>
      </c>
      <c r="J309" s="14">
        <f>'[1]资源-钻石'!T309</f>
        <v>1432062.0960471504</v>
      </c>
      <c r="K309" s="14">
        <f>'[1]资源-钻石'!U309</f>
        <v>2091868.3056518652</v>
      </c>
      <c r="L309" s="14">
        <f>'[1]资源-钻石'!V309</f>
        <v>3670045.1362170521</v>
      </c>
      <c r="M309" s="14">
        <f>'[1]资源-钻石'!W309</f>
        <v>10193199.649838759</v>
      </c>
      <c r="N309" s="14">
        <f>'[1]资源-钻石'!X309</f>
        <v>24697932.114822634</v>
      </c>
    </row>
    <row r="310" spans="9:14" x14ac:dyDescent="0.15">
      <c r="I310" s="14">
        <v>307</v>
      </c>
      <c r="J310" s="14">
        <f>'[1]资源-钻石'!T310</f>
        <v>1435950.0107727696</v>
      </c>
      <c r="K310" s="14">
        <f>'[1]资源-钻石'!U310</f>
        <v>2097825.0118500465</v>
      </c>
      <c r="L310" s="14">
        <f>'[1]资源-钻石'!V310</f>
        <v>3681049.5130350511</v>
      </c>
      <c r="M310" s="14">
        <f>'[1]资源-钻石'!W310</f>
        <v>10225324.464338558</v>
      </c>
      <c r="N310" s="14">
        <f>'[1]资源-钻石'!X310</f>
        <v>24777124.410772413</v>
      </c>
    </row>
    <row r="311" spans="9:14" x14ac:dyDescent="0.15">
      <c r="I311" s="14">
        <v>308</v>
      </c>
      <c r="J311" s="14">
        <f>'[1]资源-钻石'!T311</f>
        <v>1439837.9254983887</v>
      </c>
      <c r="K311" s="14">
        <f>'[1]资源-钻石'!U311</f>
        <v>2103781.7180482275</v>
      </c>
      <c r="L311" s="14">
        <f>'[1]资源-钻石'!V311</f>
        <v>3692053.8898530505</v>
      </c>
      <c r="M311" s="14">
        <f>'[1]资源-钻石'!W311</f>
        <v>10257449.278838357</v>
      </c>
      <c r="N311" s="14">
        <f>'[1]资源-钻石'!X311</f>
        <v>24856316.706722189</v>
      </c>
    </row>
    <row r="312" spans="9:14" x14ac:dyDescent="0.15">
      <c r="I312" s="14">
        <v>309</v>
      </c>
      <c r="J312" s="14">
        <f>'[1]资源-钻石'!T312</f>
        <v>1443725.8402240078</v>
      </c>
      <c r="K312" s="14">
        <f>'[1]资源-钻石'!U312</f>
        <v>2109738.4242464085</v>
      </c>
      <c r="L312" s="14">
        <f>'[1]资源-钻石'!V312</f>
        <v>3703058.2666710494</v>
      </c>
      <c r="M312" s="14">
        <f>'[1]资源-钻石'!W312</f>
        <v>10289574.093338156</v>
      </c>
      <c r="N312" s="14">
        <f>'[1]资源-钻石'!X312</f>
        <v>24935509.002671968</v>
      </c>
    </row>
    <row r="313" spans="9:14" x14ac:dyDescent="0.15">
      <c r="I313" s="14">
        <v>310</v>
      </c>
      <c r="J313" s="14">
        <f>'[1]资源-钻石'!T313</f>
        <v>1447613.754949627</v>
      </c>
      <c r="K313" s="14">
        <f>'[1]资源-钻石'!U313</f>
        <v>2115695.1304445895</v>
      </c>
      <c r="L313" s="14">
        <f>'[1]资源-钻石'!V313</f>
        <v>3714062.6434890488</v>
      </c>
      <c r="M313" s="14">
        <f>'[1]资源-钻石'!W313</f>
        <v>10321698.907837955</v>
      </c>
      <c r="N313" s="14">
        <f>'[1]资源-钻石'!X313</f>
        <v>25014701.298621748</v>
      </c>
    </row>
    <row r="314" spans="9:14" x14ac:dyDescent="0.15">
      <c r="I314" s="14">
        <v>311</v>
      </c>
      <c r="J314" s="14">
        <f>'[1]资源-钻石'!T314</f>
        <v>1451501.6696752461</v>
      </c>
      <c r="K314" s="14">
        <f>'[1]资源-钻石'!U314</f>
        <v>2121651.8366427706</v>
      </c>
      <c r="L314" s="14">
        <f>'[1]资源-钻石'!V314</f>
        <v>3725067.0203070478</v>
      </c>
      <c r="M314" s="14">
        <f>'[1]资源-钻石'!W314</f>
        <v>10353823.722337754</v>
      </c>
      <c r="N314" s="14">
        <f>'[1]资源-钻石'!X314</f>
        <v>25093893.594571527</v>
      </c>
    </row>
    <row r="315" spans="9:14" x14ac:dyDescent="0.15">
      <c r="I315" s="14">
        <v>312</v>
      </c>
      <c r="J315" s="14">
        <f>'[1]资源-钻石'!T315</f>
        <v>1455389.5844008652</v>
      </c>
      <c r="K315" s="14">
        <f>'[1]资源-钻石'!U315</f>
        <v>2127608.5428409516</v>
      </c>
      <c r="L315" s="14">
        <f>'[1]资源-钻石'!V315</f>
        <v>3736071.3971250472</v>
      </c>
      <c r="M315" s="14">
        <f>'[1]资源-钻石'!W315</f>
        <v>10385948.536837554</v>
      </c>
      <c r="N315" s="14">
        <f>'[1]资源-钻石'!X315</f>
        <v>25173085.890521307</v>
      </c>
    </row>
    <row r="316" spans="9:14" x14ac:dyDescent="0.15">
      <c r="I316" s="14">
        <v>313</v>
      </c>
      <c r="J316" s="14">
        <f>'[1]资源-钻石'!T316</f>
        <v>1459277.4991264844</v>
      </c>
      <c r="K316" s="14">
        <f>'[1]资源-钻石'!U316</f>
        <v>2133565.2490391326</v>
      </c>
      <c r="L316" s="14">
        <f>'[1]资源-钻石'!V316</f>
        <v>3747075.7739430461</v>
      </c>
      <c r="M316" s="14">
        <f>'[1]资源-钻石'!W316</f>
        <v>10418073.351337353</v>
      </c>
      <c r="N316" s="14">
        <f>'[1]资源-钻石'!X316</f>
        <v>25252278.186471086</v>
      </c>
    </row>
    <row r="317" spans="9:14" x14ac:dyDescent="0.15">
      <c r="I317" s="14">
        <v>314</v>
      </c>
      <c r="J317" s="14">
        <f>'[1]资源-钻石'!T317</f>
        <v>1463165.4138521035</v>
      </c>
      <c r="K317" s="14">
        <f>'[1]资源-钻石'!U317</f>
        <v>2139521.9552373136</v>
      </c>
      <c r="L317" s="14">
        <f>'[1]资源-钻石'!V317</f>
        <v>3758080.1507610455</v>
      </c>
      <c r="M317" s="14">
        <f>'[1]资源-钻石'!W317</f>
        <v>10450198.165837152</v>
      </c>
      <c r="N317" s="14">
        <f>'[1]资源-钻石'!X317</f>
        <v>25331470.482420865</v>
      </c>
    </row>
    <row r="318" spans="9:14" x14ac:dyDescent="0.15">
      <c r="I318" s="14">
        <v>315</v>
      </c>
      <c r="J318" s="14">
        <f>'[1]资源-钻石'!T318</f>
        <v>1467053.3285777227</v>
      </c>
      <c r="K318" s="14">
        <f>'[1]资源-钻石'!U318</f>
        <v>2145478.6614354947</v>
      </c>
      <c r="L318" s="14">
        <f>'[1]资源-钻石'!V318</f>
        <v>3769084.5275790445</v>
      </c>
      <c r="M318" s="14">
        <f>'[1]资源-钻石'!W318</f>
        <v>10482322.980336951</v>
      </c>
      <c r="N318" s="14">
        <f>'[1]资源-钻石'!X318</f>
        <v>25410662.778370641</v>
      </c>
    </row>
    <row r="319" spans="9:14" x14ac:dyDescent="0.15">
      <c r="I319" s="14">
        <v>316</v>
      </c>
      <c r="J319" s="14">
        <f>'[1]资源-钻石'!T319</f>
        <v>1470941.2433033418</v>
      </c>
      <c r="K319" s="14">
        <f>'[1]资源-钻石'!U319</f>
        <v>2151435.3676336757</v>
      </c>
      <c r="L319" s="14">
        <f>'[1]资源-钻石'!V319</f>
        <v>3780088.9043970439</v>
      </c>
      <c r="M319" s="14">
        <f>'[1]资源-钻石'!W319</f>
        <v>10514447.794836748</v>
      </c>
      <c r="N319" s="14">
        <f>'[1]资源-钻石'!X319</f>
        <v>25489855.074320421</v>
      </c>
    </row>
    <row r="320" spans="9:14" x14ac:dyDescent="0.15">
      <c r="I320" s="14">
        <v>317</v>
      </c>
      <c r="J320" s="14">
        <f>'[1]资源-钻石'!T320</f>
        <v>1474829.1580289609</v>
      </c>
      <c r="K320" s="14">
        <f>'[1]资源-钻石'!U320</f>
        <v>2157392.0738318567</v>
      </c>
      <c r="L320" s="14">
        <f>'[1]资源-钻石'!V320</f>
        <v>3791093.2812150428</v>
      </c>
      <c r="M320" s="14">
        <f>'[1]资源-钻石'!W320</f>
        <v>10546572.609336548</v>
      </c>
      <c r="N320" s="14">
        <f>'[1]资源-钻石'!X320</f>
        <v>25569047.3702702</v>
      </c>
    </row>
    <row r="321" spans="9:14" x14ac:dyDescent="0.15">
      <c r="I321" s="14">
        <v>318</v>
      </c>
      <c r="J321" s="14">
        <f>'[1]资源-钻石'!T321</f>
        <v>1478717.0727545801</v>
      </c>
      <c r="K321" s="14">
        <f>'[1]资源-钻石'!U321</f>
        <v>2163348.7800300377</v>
      </c>
      <c r="L321" s="14">
        <f>'[1]资源-钻石'!V321</f>
        <v>3802097.6580330422</v>
      </c>
      <c r="M321" s="14">
        <f>'[1]资源-钻石'!W321</f>
        <v>10578697.423836347</v>
      </c>
      <c r="N321" s="14">
        <f>'[1]资源-钻石'!X321</f>
        <v>25648239.66621998</v>
      </c>
    </row>
    <row r="322" spans="9:14" x14ac:dyDescent="0.15">
      <c r="I322" s="14">
        <v>319</v>
      </c>
      <c r="J322" s="14">
        <f>'[1]资源-钻石'!T322</f>
        <v>1482604.9874801992</v>
      </c>
      <c r="K322" s="14">
        <f>'[1]资源-钻石'!U322</f>
        <v>2169305.4862282188</v>
      </c>
      <c r="L322" s="14">
        <f>'[1]资源-钻石'!V322</f>
        <v>3813102.0348510412</v>
      </c>
      <c r="M322" s="14">
        <f>'[1]资源-钻石'!W322</f>
        <v>10610822.238336146</v>
      </c>
      <c r="N322" s="14">
        <f>'[1]资源-钻石'!X322</f>
        <v>25727431.962169759</v>
      </c>
    </row>
    <row r="323" spans="9:14" x14ac:dyDescent="0.15">
      <c r="I323" s="14">
        <v>320</v>
      </c>
      <c r="J323" s="14">
        <f>'[1]资源-钻石'!T323</f>
        <v>1486492.9022058183</v>
      </c>
      <c r="K323" s="14">
        <f>'[1]资源-钻石'!U323</f>
        <v>2175262.1924263998</v>
      </c>
      <c r="L323" s="14">
        <f>'[1]资源-钻石'!V323</f>
        <v>3824106.4116690401</v>
      </c>
      <c r="M323" s="14">
        <f>'[1]资源-钻石'!W323</f>
        <v>10642947.052835945</v>
      </c>
      <c r="N323" s="14">
        <f>'[1]资源-钻石'!X323</f>
        <v>25806624.258119538</v>
      </c>
    </row>
    <row r="324" spans="9:14" x14ac:dyDescent="0.15">
      <c r="I324" s="14">
        <v>321</v>
      </c>
      <c r="J324" s="14">
        <f>'[1]资源-钻石'!T324</f>
        <v>1490380.8169314375</v>
      </c>
      <c r="K324" s="14">
        <f>'[1]资源-钻石'!U324</f>
        <v>2181218.8986245808</v>
      </c>
      <c r="L324" s="14">
        <f>'[1]资源-钻石'!V324</f>
        <v>3835110.7884870395</v>
      </c>
      <c r="M324" s="14">
        <f>'[1]资源-钻石'!W324</f>
        <v>10675071.867335744</v>
      </c>
      <c r="N324" s="14">
        <f>'[1]资源-钻石'!X324</f>
        <v>25885816.554069318</v>
      </c>
    </row>
    <row r="325" spans="9:14" x14ac:dyDescent="0.15">
      <c r="I325" s="14">
        <v>322</v>
      </c>
      <c r="J325" s="14">
        <f>'[1]资源-钻石'!T325</f>
        <v>1494268.7316570566</v>
      </c>
      <c r="K325" s="14">
        <f>'[1]资源-钻石'!U325</f>
        <v>2187175.6048227618</v>
      </c>
      <c r="L325" s="14">
        <f>'[1]资源-钻石'!V325</f>
        <v>3846115.1653050384</v>
      </c>
      <c r="M325" s="14">
        <f>'[1]资源-钻石'!W325</f>
        <v>10707196.681835543</v>
      </c>
      <c r="N325" s="14">
        <f>'[1]资源-钻石'!X325</f>
        <v>25965008.850019094</v>
      </c>
    </row>
    <row r="326" spans="9:14" x14ac:dyDescent="0.15">
      <c r="I326" s="14">
        <v>323</v>
      </c>
      <c r="J326" s="14">
        <f>'[1]资源-钻石'!T326</f>
        <v>1498156.6463826757</v>
      </c>
      <c r="K326" s="14">
        <f>'[1]资源-钻石'!U326</f>
        <v>2193132.3110209429</v>
      </c>
      <c r="L326" s="14">
        <f>'[1]资源-钻石'!V326</f>
        <v>3857119.5421230379</v>
      </c>
      <c r="M326" s="14">
        <f>'[1]资源-钻石'!W326</f>
        <v>10739321.496335343</v>
      </c>
      <c r="N326" s="14">
        <f>'[1]资源-钻石'!X326</f>
        <v>26044201.145968873</v>
      </c>
    </row>
    <row r="327" spans="9:14" x14ac:dyDescent="0.15">
      <c r="I327" s="14">
        <v>324</v>
      </c>
      <c r="J327" s="14">
        <f>'[1]资源-钻石'!T327</f>
        <v>1502044.5611082949</v>
      </c>
      <c r="K327" s="14">
        <f>'[1]资源-钻石'!U327</f>
        <v>2199089.0172191239</v>
      </c>
      <c r="L327" s="14">
        <f>'[1]资源-钻石'!V327</f>
        <v>3868123.9189410368</v>
      </c>
      <c r="M327" s="14">
        <f>'[1]资源-钻石'!W327</f>
        <v>10771446.310835142</v>
      </c>
      <c r="N327" s="14">
        <f>'[1]资源-钻石'!X327</f>
        <v>26123393.441918653</v>
      </c>
    </row>
    <row r="328" spans="9:14" x14ac:dyDescent="0.15">
      <c r="I328" s="14">
        <v>325</v>
      </c>
      <c r="J328" s="14">
        <f>'[1]资源-钻石'!T328</f>
        <v>1505932.475833914</v>
      </c>
      <c r="K328" s="14">
        <f>'[1]资源-钻石'!U328</f>
        <v>2205045.7234173049</v>
      </c>
      <c r="L328" s="14">
        <f>'[1]资源-钻石'!V328</f>
        <v>3879128.2957590362</v>
      </c>
      <c r="M328" s="14">
        <f>'[1]资源-钻石'!W328</f>
        <v>10803571.125334941</v>
      </c>
      <c r="N328" s="14">
        <f>'[1]资源-钻石'!X328</f>
        <v>26202585.737868432</v>
      </c>
    </row>
    <row r="329" spans="9:14" x14ac:dyDescent="0.15">
      <c r="I329" s="14">
        <v>326</v>
      </c>
      <c r="J329" s="14">
        <f>'[1]资源-钻石'!T329</f>
        <v>1509820.3905595331</v>
      </c>
      <c r="K329" s="14">
        <f>'[1]资源-钻石'!U329</f>
        <v>2211002.4296154864</v>
      </c>
      <c r="L329" s="14">
        <f>'[1]资源-钻石'!V329</f>
        <v>3890132.6725770351</v>
      </c>
      <c r="M329" s="14">
        <f>'[1]资源-钻石'!W329</f>
        <v>10835695.93983474</v>
      </c>
      <c r="N329" s="14">
        <f>'[1]资源-钻石'!X329</f>
        <v>26281778.033818211</v>
      </c>
    </row>
    <row r="330" spans="9:14" x14ac:dyDescent="0.15">
      <c r="I330" s="14">
        <v>327</v>
      </c>
      <c r="J330" s="14">
        <f>'[1]资源-钻石'!T330</f>
        <v>1513708.3052851523</v>
      </c>
      <c r="K330" s="14">
        <f>'[1]资源-钻石'!U330</f>
        <v>2216959.1358136674</v>
      </c>
      <c r="L330" s="14">
        <f>'[1]资源-钻石'!V330</f>
        <v>3901137.0493950346</v>
      </c>
      <c r="M330" s="14">
        <f>'[1]资源-钻石'!W330</f>
        <v>10867820.754334539</v>
      </c>
      <c r="N330" s="14">
        <f>'[1]资源-钻石'!X330</f>
        <v>26360970.329767991</v>
      </c>
    </row>
    <row r="331" spans="9:14" x14ac:dyDescent="0.15">
      <c r="I331" s="14">
        <v>328</v>
      </c>
      <c r="J331" s="14">
        <f>'[1]资源-钻石'!T331</f>
        <v>1517596.2200107714</v>
      </c>
      <c r="K331" s="14">
        <f>'[1]资源-钻石'!U331</f>
        <v>2222915.8420118485</v>
      </c>
      <c r="L331" s="14">
        <f>'[1]资源-钻石'!V331</f>
        <v>3912141.4262130335</v>
      </c>
      <c r="M331" s="14">
        <f>'[1]资源-钻石'!W331</f>
        <v>10899945.568834338</v>
      </c>
      <c r="N331" s="14">
        <f>'[1]资源-钻石'!X331</f>
        <v>26440162.625717767</v>
      </c>
    </row>
    <row r="332" spans="9:14" x14ac:dyDescent="0.15">
      <c r="I332" s="14">
        <v>329</v>
      </c>
      <c r="J332" s="14">
        <f>'[1]资源-钻石'!T332</f>
        <v>1521484.1347363906</v>
      </c>
      <c r="K332" s="14">
        <f>'[1]资源-钻石'!U332</f>
        <v>2228872.5482100295</v>
      </c>
      <c r="L332" s="14">
        <f>'[1]资源-钻石'!V332</f>
        <v>3923145.8030310329</v>
      </c>
      <c r="M332" s="14">
        <f>'[1]资源-钻石'!W332</f>
        <v>10932070.383334137</v>
      </c>
      <c r="N332" s="14">
        <f>'[1]资源-钻石'!X332</f>
        <v>26519354.921667546</v>
      </c>
    </row>
    <row r="333" spans="9:14" x14ac:dyDescent="0.15">
      <c r="I333" s="14">
        <v>330</v>
      </c>
      <c r="J333" s="14">
        <f>'[1]资源-钻石'!T333</f>
        <v>1525372.0494620097</v>
      </c>
      <c r="K333" s="14">
        <f>'[1]资源-钻石'!U333</f>
        <v>2234829.2544082105</v>
      </c>
      <c r="L333" s="14">
        <f>'[1]资源-钻石'!V333</f>
        <v>3934150.1798490318</v>
      </c>
      <c r="M333" s="14">
        <f>'[1]资源-钻石'!W333</f>
        <v>10964195.197833937</v>
      </c>
      <c r="N333" s="14">
        <f>'[1]资源-钻石'!X333</f>
        <v>26598547.217617325</v>
      </c>
    </row>
    <row r="334" spans="9:14" x14ac:dyDescent="0.15">
      <c r="I334" s="14">
        <v>331</v>
      </c>
      <c r="J334" s="14">
        <f>'[1]资源-钻石'!T334</f>
        <v>1529259.9641876288</v>
      </c>
      <c r="K334" s="14">
        <f>'[1]资源-钻石'!U334</f>
        <v>2240785.9606063915</v>
      </c>
      <c r="L334" s="14">
        <f>'[1]资源-钻石'!V334</f>
        <v>3945154.5566670313</v>
      </c>
      <c r="M334" s="14">
        <f>'[1]资源-钻石'!W334</f>
        <v>10996320.012333736</v>
      </c>
      <c r="N334" s="14">
        <f>'[1]资源-钻石'!X334</f>
        <v>26677739.513567105</v>
      </c>
    </row>
    <row r="335" spans="9:14" x14ac:dyDescent="0.15">
      <c r="I335" s="14">
        <v>332</v>
      </c>
      <c r="J335" s="14">
        <f>'[1]资源-钻石'!T335</f>
        <v>1533147.878913248</v>
      </c>
      <c r="K335" s="14">
        <f>'[1]资源-钻石'!U335</f>
        <v>2246742.6668045726</v>
      </c>
      <c r="L335" s="14">
        <f>'[1]资源-钻石'!V335</f>
        <v>3956158.9334850302</v>
      </c>
      <c r="M335" s="14">
        <f>'[1]资源-钻石'!W335</f>
        <v>11028444.826833533</v>
      </c>
      <c r="N335" s="14">
        <f>'[1]资源-钻石'!X335</f>
        <v>26756931.809516884</v>
      </c>
    </row>
    <row r="336" spans="9:14" x14ac:dyDescent="0.15">
      <c r="I336" s="14">
        <v>333</v>
      </c>
      <c r="J336" s="14">
        <f>'[1]资源-钻石'!T336</f>
        <v>1537035.7936388671</v>
      </c>
      <c r="K336" s="14">
        <f>'[1]资源-钻石'!U336</f>
        <v>2252699.3730027536</v>
      </c>
      <c r="L336" s="14">
        <f>'[1]资源-钻石'!V336</f>
        <v>3967163.3103030296</v>
      </c>
      <c r="M336" s="14">
        <f>'[1]资源-钻石'!W336</f>
        <v>11060569.641333332</v>
      </c>
      <c r="N336" s="14">
        <f>'[1]资源-钻石'!X336</f>
        <v>26836124.105466664</v>
      </c>
    </row>
    <row r="337" spans="9:14" x14ac:dyDescent="0.15">
      <c r="I337" s="14">
        <v>334</v>
      </c>
      <c r="J337" s="14">
        <f>'[1]资源-钻石'!T337</f>
        <v>1540923.7083644862</v>
      </c>
      <c r="K337" s="14">
        <f>'[1]资源-钻石'!U337</f>
        <v>2258656.0792009346</v>
      </c>
      <c r="L337" s="14">
        <f>'[1]资源-钻石'!V337</f>
        <v>3978167.6871210285</v>
      </c>
      <c r="M337" s="14">
        <f>'[1]资源-钻石'!W337</f>
        <v>11092694.455833131</v>
      </c>
      <c r="N337" s="14">
        <f>'[1]资源-钻石'!X337</f>
        <v>26915316.40141644</v>
      </c>
    </row>
    <row r="338" spans="9:14" x14ac:dyDescent="0.15">
      <c r="I338" s="14">
        <v>335</v>
      </c>
      <c r="J338" s="14">
        <f>'[1]资源-钻石'!T338</f>
        <v>1544811.6230901054</v>
      </c>
      <c r="K338" s="14">
        <f>'[1]资源-钻石'!U338</f>
        <v>2264612.7853991156</v>
      </c>
      <c r="L338" s="14">
        <f>'[1]资源-钻石'!V338</f>
        <v>3989172.063939028</v>
      </c>
      <c r="M338" s="14">
        <f>'[1]资源-钻石'!W338</f>
        <v>11124819.270332931</v>
      </c>
      <c r="N338" s="14">
        <f>'[1]资源-钻石'!X338</f>
        <v>26994508.697366219</v>
      </c>
    </row>
    <row r="339" spans="9:14" x14ac:dyDescent="0.15">
      <c r="I339" s="14">
        <v>336</v>
      </c>
      <c r="J339" s="14">
        <f>'[1]资源-钻石'!T339</f>
        <v>1548699.5378157245</v>
      </c>
      <c r="K339" s="14">
        <f>'[1]资源-钻石'!U339</f>
        <v>2270569.4915972967</v>
      </c>
      <c r="L339" s="14">
        <f>'[1]资源-钻石'!V339</f>
        <v>4000176.4407570269</v>
      </c>
      <c r="M339" s="14">
        <f>'[1]资源-钻石'!W339</f>
        <v>11156944.08483273</v>
      </c>
      <c r="N339" s="14">
        <f>'[1]资源-钻石'!X339</f>
        <v>27073699.263363283</v>
      </c>
    </row>
    <row r="340" spans="9:14" x14ac:dyDescent="0.15">
      <c r="I340" s="14">
        <v>337</v>
      </c>
      <c r="J340" s="14">
        <f>'[1]资源-钻石'!T340</f>
        <v>1552584.3384676364</v>
      </c>
      <c r="K340" s="14">
        <f>'[1]资源-钻石'!U340</f>
        <v>2276526.1977954777</v>
      </c>
      <c r="L340" s="14">
        <f>'[1]资源-钻石'!V340</f>
        <v>4011180.8175750263</v>
      </c>
      <c r="M340" s="14">
        <f>'[1]资源-钻石'!W340</f>
        <v>11189068.899332529</v>
      </c>
      <c r="N340" s="14">
        <f>'[1]资源-钻石'!X340</f>
        <v>27152881.147005476</v>
      </c>
    </row>
    <row r="341" spans="9:14" x14ac:dyDescent="0.15">
      <c r="I341" s="14">
        <v>338</v>
      </c>
      <c r="J341" s="14">
        <f>'[1]资源-钻石'!T341</f>
        <v>1556457.134484218</v>
      </c>
      <c r="K341" s="14">
        <f>'[1]资源-钻石'!U341</f>
        <v>2282482.9039936587</v>
      </c>
      <c r="L341" s="14">
        <f>'[1]资源-钻石'!V341</f>
        <v>4022185.1943930252</v>
      </c>
      <c r="M341" s="14">
        <f>'[1]资源-钻石'!W341</f>
        <v>11221193.713832328</v>
      </c>
      <c r="N341" s="14">
        <f>'[1]资源-钻石'!X341</f>
        <v>27232063.030647673</v>
      </c>
    </row>
    <row r="342" spans="9:14" x14ac:dyDescent="0.15">
      <c r="I342" s="14">
        <v>339</v>
      </c>
      <c r="J342" s="14">
        <f>'[1]资源-钻石'!T342</f>
        <v>1560329.9305007996</v>
      </c>
      <c r="K342" s="14">
        <f>'[1]资源-钻石'!U342</f>
        <v>2288439.6101918397</v>
      </c>
      <c r="L342" s="14">
        <f>'[1]资源-钻石'!V342</f>
        <v>4033189.5712110247</v>
      </c>
      <c r="M342" s="14">
        <f>'[1]资源-钻石'!W342</f>
        <v>11253318.528332127</v>
      </c>
      <c r="N342" s="14">
        <f>'[1]资源-钻石'!X342</f>
        <v>27311244.914289866</v>
      </c>
    </row>
    <row r="343" spans="9:14" x14ac:dyDescent="0.15">
      <c r="I343" s="14">
        <v>340</v>
      </c>
      <c r="J343" s="14">
        <f>'[1]资源-钻石'!T343</f>
        <v>1564202.7265173811</v>
      </c>
      <c r="K343" s="14">
        <f>'[1]资源-钻石'!U343</f>
        <v>2294396.3163900208</v>
      </c>
      <c r="L343" s="14">
        <f>'[1]资源-钻石'!V343</f>
        <v>4044193.9480290236</v>
      </c>
      <c r="M343" s="14">
        <f>'[1]资源-钻石'!W343</f>
        <v>11285443.342831926</v>
      </c>
      <c r="N343" s="14">
        <f>'[1]资源-钻石'!X343</f>
        <v>27390426.797932062</v>
      </c>
    </row>
    <row r="344" spans="9:14" x14ac:dyDescent="0.15">
      <c r="I344" s="14">
        <v>341</v>
      </c>
      <c r="J344" s="14">
        <f>'[1]资源-钻石'!T344</f>
        <v>1568075.5225339627</v>
      </c>
      <c r="K344" s="14">
        <f>'[1]资源-钻石'!U344</f>
        <v>2300353.0225882018</v>
      </c>
      <c r="L344" s="14">
        <f>'[1]资源-钻石'!V344</f>
        <v>4055198.324847023</v>
      </c>
      <c r="M344" s="14">
        <f>'[1]资源-钻石'!W344</f>
        <v>11317568.157331726</v>
      </c>
      <c r="N344" s="14">
        <f>'[1]资源-钻石'!X344</f>
        <v>27469608.681574255</v>
      </c>
    </row>
    <row r="345" spans="9:14" x14ac:dyDescent="0.15">
      <c r="I345" s="14">
        <v>342</v>
      </c>
      <c r="J345" s="14">
        <f>'[1]资源-钻石'!T345</f>
        <v>1571948.3185505446</v>
      </c>
      <c r="K345" s="14">
        <f>'[1]资源-钻石'!U345</f>
        <v>2306309.7287863828</v>
      </c>
      <c r="L345" s="14">
        <f>'[1]资源-钻石'!V345</f>
        <v>4066202.7016650219</v>
      </c>
      <c r="M345" s="14">
        <f>'[1]资源-钻石'!W345</f>
        <v>11349692.971831525</v>
      </c>
      <c r="N345" s="14">
        <f>'[1]资源-钻石'!X345</f>
        <v>27548790.565216452</v>
      </c>
    </row>
    <row r="346" spans="9:14" x14ac:dyDescent="0.15">
      <c r="I346" s="14">
        <v>343</v>
      </c>
      <c r="J346" s="14">
        <f>'[1]资源-钻石'!T346</f>
        <v>1575821.1145671261</v>
      </c>
      <c r="K346" s="14">
        <f>'[1]资源-钻石'!U346</f>
        <v>2312266.4349845638</v>
      </c>
      <c r="L346" s="14">
        <f>'[1]资源-钻石'!V346</f>
        <v>4077207.0784830214</v>
      </c>
      <c r="M346" s="14">
        <f>'[1]资源-钻石'!W346</f>
        <v>11381817.786331324</v>
      </c>
      <c r="N346" s="14">
        <f>'[1]资源-钻石'!X346</f>
        <v>27627972.448858645</v>
      </c>
    </row>
    <row r="347" spans="9:14" x14ac:dyDescent="0.15">
      <c r="I347" s="14">
        <v>344</v>
      </c>
      <c r="J347" s="14">
        <f>'[1]资源-钻石'!T347</f>
        <v>1579693.9105837077</v>
      </c>
      <c r="K347" s="14">
        <f>'[1]资源-钻石'!U347</f>
        <v>2318223.1411827449</v>
      </c>
      <c r="L347" s="14">
        <f>'[1]资源-钻石'!V347</f>
        <v>4088211.4553010203</v>
      </c>
      <c r="M347" s="14">
        <f>'[1]资源-钻石'!W347</f>
        <v>11413942.600831123</v>
      </c>
      <c r="N347" s="14">
        <f>'[1]资源-钻石'!X347</f>
        <v>27707154.332500841</v>
      </c>
    </row>
    <row r="348" spans="9:14" x14ac:dyDescent="0.15">
      <c r="I348" s="14">
        <v>345</v>
      </c>
      <c r="J348" s="14">
        <f>'[1]资源-钻石'!T348</f>
        <v>1583566.7066002893</v>
      </c>
      <c r="K348" s="14">
        <f>'[1]资源-钻石'!U348</f>
        <v>2324179.8473809259</v>
      </c>
      <c r="L348" s="14">
        <f>'[1]资源-钻石'!V348</f>
        <v>4099215.8321190197</v>
      </c>
      <c r="M348" s="14">
        <f>'[1]资源-钻石'!W348</f>
        <v>11446067.415330922</v>
      </c>
      <c r="N348" s="14">
        <f>'[1]资源-钻石'!X348</f>
        <v>27786336.216143034</v>
      </c>
    </row>
    <row r="349" spans="9:14" x14ac:dyDescent="0.15">
      <c r="I349" s="14">
        <v>346</v>
      </c>
      <c r="J349" s="14">
        <f>'[1]资源-钻石'!T349</f>
        <v>1587439.5026168709</v>
      </c>
      <c r="K349" s="14">
        <f>'[1]资源-钻石'!U349</f>
        <v>2330136.5535791074</v>
      </c>
      <c r="L349" s="14">
        <f>'[1]资源-钻石'!V349</f>
        <v>4110220.2089370186</v>
      </c>
      <c r="M349" s="14">
        <f>'[1]资源-钻石'!W349</f>
        <v>11478192.229830721</v>
      </c>
      <c r="N349" s="14">
        <f>'[1]资源-钻石'!X349</f>
        <v>27865518.099785231</v>
      </c>
    </row>
    <row r="350" spans="9:14" x14ac:dyDescent="0.15">
      <c r="I350" s="14">
        <v>347</v>
      </c>
      <c r="J350" s="14">
        <f>'[1]资源-钻石'!T350</f>
        <v>1591312.2986334525</v>
      </c>
      <c r="K350" s="14">
        <f>'[1]资源-钻石'!U350</f>
        <v>2336093.2597772884</v>
      </c>
      <c r="L350" s="14">
        <f>'[1]资源-钻石'!V350</f>
        <v>4121224.5857550181</v>
      </c>
      <c r="M350" s="14">
        <f>'[1]资源-钻石'!W350</f>
        <v>11510317.044330521</v>
      </c>
      <c r="N350" s="14">
        <f>'[1]资源-钻石'!X350</f>
        <v>27944699.983427424</v>
      </c>
    </row>
    <row r="351" spans="9:14" x14ac:dyDescent="0.15">
      <c r="I351" s="14">
        <v>348</v>
      </c>
      <c r="J351" s="14">
        <f>'[1]资源-钻石'!T351</f>
        <v>1595185.0946500343</v>
      </c>
      <c r="K351" s="14">
        <f>'[1]资源-钻石'!U351</f>
        <v>2342049.9659754694</v>
      </c>
      <c r="L351" s="14">
        <f>'[1]资源-钻石'!V351</f>
        <v>4132228.962573017</v>
      </c>
      <c r="M351" s="14">
        <f>'[1]资源-钻石'!W351</f>
        <v>11542441.85883032</v>
      </c>
      <c r="N351" s="14">
        <f>'[1]资源-钻石'!X351</f>
        <v>28023881.867069621</v>
      </c>
    </row>
    <row r="352" spans="9:14" x14ac:dyDescent="0.15">
      <c r="I352" s="14">
        <v>349</v>
      </c>
      <c r="J352" s="14">
        <f>'[1]资源-钻石'!T352</f>
        <v>1599057.8906666159</v>
      </c>
      <c r="K352" s="14">
        <f>'[1]资源-钻石'!U352</f>
        <v>2348006.6721736505</v>
      </c>
      <c r="L352" s="14">
        <f>'[1]资源-钻石'!V352</f>
        <v>4143233.3393910164</v>
      </c>
      <c r="M352" s="14">
        <f>'[1]资源-钻石'!W352</f>
        <v>11574566.673330119</v>
      </c>
      <c r="N352" s="14">
        <f>'[1]资源-钻石'!X352</f>
        <v>28103063.750711814</v>
      </c>
    </row>
    <row r="353" spans="9:14" x14ac:dyDescent="0.15">
      <c r="I353" s="14">
        <v>350</v>
      </c>
      <c r="J353" s="14">
        <f>'[1]资源-钻石'!T353</f>
        <v>1602930.6866831975</v>
      </c>
      <c r="K353" s="14">
        <f>'[1]资源-钻石'!U353</f>
        <v>2353963.3783718315</v>
      </c>
      <c r="L353" s="14">
        <f>'[1]资源-钻石'!V353</f>
        <v>4154237.7162090153</v>
      </c>
      <c r="M353" s="14">
        <f>'[1]资源-钻石'!W353</f>
        <v>11606691.487829918</v>
      </c>
      <c r="N353" s="14">
        <f>'[1]资源-钻石'!X353</f>
        <v>28182245.63435401</v>
      </c>
    </row>
    <row r="354" spans="9:14" x14ac:dyDescent="0.15">
      <c r="I354" s="14">
        <v>351</v>
      </c>
      <c r="J354" s="14">
        <f>'[1]资源-钻石'!T354</f>
        <v>1606803.4826997791</v>
      </c>
      <c r="K354" s="14">
        <f>'[1]资源-钻石'!U354</f>
        <v>2359920.0845700125</v>
      </c>
      <c r="L354" s="14">
        <f>'[1]资源-钻石'!V354</f>
        <v>4165242.0930270143</v>
      </c>
      <c r="M354" s="14">
        <f>'[1]资源-钻石'!W354</f>
        <v>11638816.302329717</v>
      </c>
      <c r="N354" s="14">
        <f>'[1]资源-钻石'!X354</f>
        <v>28261427.517996203</v>
      </c>
    </row>
    <row r="355" spans="9:14" x14ac:dyDescent="0.15">
      <c r="I355" s="14">
        <v>352</v>
      </c>
      <c r="J355" s="14">
        <f>'[1]资源-钻石'!T355</f>
        <v>1610676.2787163607</v>
      </c>
      <c r="K355" s="14">
        <f>'[1]资源-钻石'!U355</f>
        <v>2365876.7907681935</v>
      </c>
      <c r="L355" s="14">
        <f>'[1]资源-钻石'!V355</f>
        <v>4176246.4698450137</v>
      </c>
      <c r="M355" s="14">
        <f>'[1]资源-钻石'!W355</f>
        <v>11670941.116829516</v>
      </c>
      <c r="N355" s="14">
        <f>'[1]资源-钻石'!X355</f>
        <v>28340609.4016384</v>
      </c>
    </row>
    <row r="356" spans="9:14" x14ac:dyDescent="0.15">
      <c r="I356" s="14">
        <v>353</v>
      </c>
      <c r="J356" s="14">
        <f>'[1]资源-钻石'!T356</f>
        <v>1614549.0747329423</v>
      </c>
      <c r="K356" s="14">
        <f>'[1]资源-钻石'!U356</f>
        <v>2371833.4969663746</v>
      </c>
      <c r="L356" s="14">
        <f>'[1]资源-钻石'!V356</f>
        <v>4187250.8466630131</v>
      </c>
      <c r="M356" s="14">
        <f>'[1]资源-钻石'!W356</f>
        <v>11703065.931329316</v>
      </c>
      <c r="N356" s="14">
        <f>'[1]资源-钻石'!X356</f>
        <v>28419791.285280593</v>
      </c>
    </row>
    <row r="357" spans="9:14" x14ac:dyDescent="0.15">
      <c r="I357" s="14">
        <v>354</v>
      </c>
      <c r="J357" s="14">
        <f>'[1]资源-钻石'!T357</f>
        <v>1618421.8707495241</v>
      </c>
      <c r="K357" s="14">
        <f>'[1]资源-钻石'!U357</f>
        <v>2377790.2031645556</v>
      </c>
      <c r="L357" s="14">
        <f>'[1]资源-钻石'!V357</f>
        <v>4198255.2234810125</v>
      </c>
      <c r="M357" s="14">
        <f>'[1]资源-钻石'!W357</f>
        <v>11735190.745829113</v>
      </c>
      <c r="N357" s="14">
        <f>'[1]资源-钻石'!X357</f>
        <v>28498973.168922789</v>
      </c>
    </row>
    <row r="358" spans="9:14" x14ac:dyDescent="0.15">
      <c r="I358" s="14">
        <v>355</v>
      </c>
      <c r="J358" s="14">
        <f>'[1]资源-钻石'!T358</f>
        <v>1622294.6667661057</v>
      </c>
      <c r="K358" s="14">
        <f>'[1]资源-钻石'!U358</f>
        <v>2383746.9093627366</v>
      </c>
      <c r="L358" s="14">
        <f>'[1]资源-钻石'!V358</f>
        <v>4208975.6234510429</v>
      </c>
      <c r="M358" s="14">
        <f>'[1]资源-钻石'!W358</f>
        <v>11767315.560328912</v>
      </c>
      <c r="N358" s="14">
        <f>'[1]资源-钻石'!X358</f>
        <v>28578155.052564986</v>
      </c>
    </row>
    <row r="359" spans="9:14" x14ac:dyDescent="0.15">
      <c r="I359" s="14">
        <v>356</v>
      </c>
      <c r="J359" s="14">
        <f>'[1]资源-钻石'!T359</f>
        <v>1626167.4627826873</v>
      </c>
      <c r="K359" s="14">
        <f>'[1]资源-钻石'!U359</f>
        <v>2389703.6155609176</v>
      </c>
      <c r="L359" s="14">
        <f>'[1]资源-钻石'!V359</f>
        <v>4219656.1954252925</v>
      </c>
      <c r="M359" s="14">
        <f>'[1]资源-钻石'!W359</f>
        <v>11799206.97581517</v>
      </c>
      <c r="N359" s="14">
        <f>'[1]资源-钻石'!X359</f>
        <v>28657336.936207179</v>
      </c>
    </row>
    <row r="360" spans="9:14" x14ac:dyDescent="0.15">
      <c r="I360" s="14">
        <v>357</v>
      </c>
      <c r="J360" s="14">
        <f>'[1]资源-钻石'!T360</f>
        <v>1630040.2587992689</v>
      </c>
      <c r="K360" s="14">
        <f>'[1]资源-钻石'!U360</f>
        <v>2395660.3217590987</v>
      </c>
      <c r="L360" s="14">
        <f>'[1]资源-钻石'!V360</f>
        <v>4230336.767399542</v>
      </c>
      <c r="M360" s="14">
        <f>'[1]资源-钻石'!W360</f>
        <v>11830947.585209705</v>
      </c>
      <c r="N360" s="14">
        <f>'[1]资源-钻石'!X360</f>
        <v>28736518.819849376</v>
      </c>
    </row>
    <row r="361" spans="9:14" x14ac:dyDescent="0.15">
      <c r="I361" s="14">
        <v>358</v>
      </c>
      <c r="J361" s="14">
        <f>'[1]资源-钻石'!T361</f>
        <v>1633913.0548158505</v>
      </c>
      <c r="K361" s="14">
        <f>'[1]资源-钻石'!U361</f>
        <v>2401617.0279572797</v>
      </c>
      <c r="L361" s="14">
        <f>'[1]资源-钻石'!V361</f>
        <v>4241017.3393737916</v>
      </c>
      <c r="M361" s="14">
        <f>'[1]资源-钻石'!W361</f>
        <v>11862688.194604242</v>
      </c>
      <c r="N361" s="14">
        <f>'[1]资源-钻石'!X361</f>
        <v>28815700.703491569</v>
      </c>
    </row>
    <row r="362" spans="9:14" x14ac:dyDescent="0.15">
      <c r="I362" s="14">
        <v>359</v>
      </c>
      <c r="J362" s="14">
        <f>'[1]资源-钻石'!T362</f>
        <v>1637785.850832432</v>
      </c>
      <c r="K362" s="14">
        <f>'[1]资源-钻石'!U362</f>
        <v>2407313.9784725667</v>
      </c>
      <c r="L362" s="14">
        <f>'[1]资源-钻石'!V362</f>
        <v>4251697.9113480402</v>
      </c>
      <c r="M362" s="14">
        <f>'[1]资源-钻石'!W362</f>
        <v>11894428.80399878</v>
      </c>
      <c r="N362" s="14">
        <f>'[1]资源-钻石'!X362</f>
        <v>28894882.587133765</v>
      </c>
    </row>
    <row r="363" spans="9:14" x14ac:dyDescent="0.15">
      <c r="I363" s="14">
        <v>360</v>
      </c>
      <c r="J363" s="14">
        <f>'[1]资源-钻石'!T363</f>
        <v>1641658.6468490139</v>
      </c>
      <c r="K363" s="14">
        <f>'[1]资源-钻石'!U363</f>
        <v>2412907.6343546393</v>
      </c>
      <c r="L363" s="14">
        <f>'[1]资源-钻石'!V363</f>
        <v>4262378.4833222898</v>
      </c>
      <c r="M363" s="14">
        <f>'[1]资源-钻石'!W363</f>
        <v>11926169.413393315</v>
      </c>
      <c r="N363" s="14">
        <f>'[1]资源-钻石'!X363</f>
        <v>28974064.470775958</v>
      </c>
    </row>
    <row r="364" spans="9:14" x14ac:dyDescent="0.15">
      <c r="I364" s="14">
        <v>361</v>
      </c>
      <c r="J364" s="14">
        <f>'[1]资源-钻石'!T364</f>
        <v>1645531.4428655955</v>
      </c>
      <c r="K364" s="14">
        <f>'[1]资源-钻石'!U364</f>
        <v>2418501.2902367124</v>
      </c>
      <c r="L364" s="14">
        <f>'[1]资源-钻石'!V364</f>
        <v>4273059.0552965393</v>
      </c>
      <c r="M364" s="14">
        <f>'[1]资源-钻石'!W364</f>
        <v>11957910.022787852</v>
      </c>
      <c r="N364" s="14">
        <f>'[1]资源-钻石'!X364</f>
        <v>29052991.710573517</v>
      </c>
    </row>
    <row r="365" spans="9:14" x14ac:dyDescent="0.15">
      <c r="I365" s="14">
        <v>362</v>
      </c>
      <c r="J365" s="14">
        <f>'[1]资源-钻石'!T365</f>
        <v>1649079.5198663634</v>
      </c>
      <c r="K365" s="14">
        <f>'[1]资源-钻石'!U365</f>
        <v>2424094.9461187851</v>
      </c>
      <c r="L365" s="14">
        <f>'[1]资源-钻石'!V365</f>
        <v>4283739.6272707889</v>
      </c>
      <c r="M365" s="14">
        <f>'[1]资源-钻石'!W365</f>
        <v>11989650.632182389</v>
      </c>
      <c r="N365" s="14">
        <f>'[1]资源-钻石'!X365</f>
        <v>29131667.325036339</v>
      </c>
    </row>
    <row r="366" spans="9:14" x14ac:dyDescent="0.15">
      <c r="I366" s="14">
        <v>363</v>
      </c>
      <c r="J366" s="14">
        <f>'[1]资源-钻石'!T366</f>
        <v>1652614.5341842531</v>
      </c>
      <c r="K366" s="14">
        <f>'[1]资源-钻石'!U366</f>
        <v>2429688.6020008582</v>
      </c>
      <c r="L366" s="14">
        <f>'[1]资源-钻石'!V366</f>
        <v>4294420.1992450384</v>
      </c>
      <c r="M366" s="14">
        <f>'[1]资源-钻石'!W366</f>
        <v>12021391.241576927</v>
      </c>
      <c r="N366" s="14">
        <f>'[1]资源-钻石'!X366</f>
        <v>29210342.939499162</v>
      </c>
    </row>
    <row r="367" spans="9:14" x14ac:dyDescent="0.15">
      <c r="I367" s="14">
        <v>364</v>
      </c>
      <c r="J367" s="14">
        <f>'[1]资源-钻石'!T367</f>
        <v>1656149.548502143</v>
      </c>
      <c r="K367" s="14">
        <f>'[1]资源-钻石'!U367</f>
        <v>2435282.2578829308</v>
      </c>
      <c r="L367" s="14">
        <f>'[1]资源-钻石'!V367</f>
        <v>4305100.771219288</v>
      </c>
      <c r="M367" s="14">
        <f>'[1]资源-钻石'!W367</f>
        <v>12053131.850971462</v>
      </c>
      <c r="N367" s="14">
        <f>'[1]资源-钻石'!X367</f>
        <v>29289018.553961985</v>
      </c>
    </row>
    <row r="368" spans="9:14" x14ac:dyDescent="0.15">
      <c r="I368" s="14">
        <v>365</v>
      </c>
      <c r="J368" s="14">
        <f>'[1]资源-钻石'!T368</f>
        <v>1659684.5628200327</v>
      </c>
      <c r="K368" s="14">
        <f>'[1]资源-钻石'!U368</f>
        <v>2440875.9137650039</v>
      </c>
      <c r="L368" s="14">
        <f>'[1]资源-钻石'!V368</f>
        <v>4315781.3431935376</v>
      </c>
      <c r="M368" s="14">
        <f>'[1]资源-钻石'!W368</f>
        <v>12084872.460365999</v>
      </c>
      <c r="N368" s="14">
        <f>'[1]资源-钻石'!X368</f>
        <v>29367694.168424807</v>
      </c>
    </row>
    <row r="369" spans="9:14" x14ac:dyDescent="0.15">
      <c r="I369" s="14">
        <v>366</v>
      </c>
      <c r="J369" s="14">
        <f>'[1]资源-钻石'!T369</f>
        <v>1663219.5771379226</v>
      </c>
      <c r="K369" s="14">
        <f>'[1]资源-钻石'!U369</f>
        <v>2446469.5696470765</v>
      </c>
      <c r="L369" s="14">
        <f>'[1]资源-钻石'!V369</f>
        <v>4326461.9151677871</v>
      </c>
      <c r="M369" s="14">
        <f>'[1]资源-钻石'!W369</f>
        <v>12116613.069760537</v>
      </c>
      <c r="N369" s="14">
        <f>'[1]资源-钻石'!X369</f>
        <v>29446369.78288763</v>
      </c>
    </row>
    <row r="370" spans="9:14" x14ac:dyDescent="0.15">
      <c r="I370" s="14">
        <v>367</v>
      </c>
      <c r="J370" s="14">
        <f>'[1]资源-钻石'!T370</f>
        <v>1666754.5914558123</v>
      </c>
      <c r="K370" s="14">
        <f>'[1]资源-钻石'!U370</f>
        <v>2452063.2255291492</v>
      </c>
      <c r="L370" s="14">
        <f>'[1]资源-钻石'!V370</f>
        <v>4337142.4871420367</v>
      </c>
      <c r="M370" s="14">
        <f>'[1]资源-钻石'!W370</f>
        <v>12148353.679155072</v>
      </c>
      <c r="N370" s="14">
        <f>'[1]资源-钻石'!X370</f>
        <v>29525045.397350453</v>
      </c>
    </row>
    <row r="371" spans="9:14" x14ac:dyDescent="0.15">
      <c r="I371" s="14">
        <v>368</v>
      </c>
      <c r="J371" s="14">
        <f>'[1]资源-钻石'!T371</f>
        <v>1670289.6057737023</v>
      </c>
      <c r="K371" s="14">
        <f>'[1]资源-钻石'!U371</f>
        <v>2457656.8814112223</v>
      </c>
      <c r="L371" s="14">
        <f>'[1]资源-钻石'!V371</f>
        <v>4347823.0591162862</v>
      </c>
      <c r="M371" s="14">
        <f>'[1]资源-钻石'!W371</f>
        <v>12180094.288549609</v>
      </c>
      <c r="N371" s="14">
        <f>'[1]资源-钻石'!X371</f>
        <v>29603721.011813276</v>
      </c>
    </row>
    <row r="372" spans="9:14" x14ac:dyDescent="0.15">
      <c r="I372" s="14">
        <v>369</v>
      </c>
      <c r="J372" s="14">
        <f>'[1]资源-钻石'!T372</f>
        <v>1673824.6200915922</v>
      </c>
      <c r="K372" s="14">
        <f>'[1]资源-钻石'!U372</f>
        <v>2463250.5372932949</v>
      </c>
      <c r="L372" s="14">
        <f>'[1]资源-钻石'!V372</f>
        <v>4358503.6310905358</v>
      </c>
      <c r="M372" s="14">
        <f>'[1]资源-钻石'!W372</f>
        <v>12211834.897944147</v>
      </c>
      <c r="N372" s="14">
        <f>'[1]资源-钻石'!X372</f>
        <v>29682396.626276098</v>
      </c>
    </row>
    <row r="373" spans="9:14" x14ac:dyDescent="0.15">
      <c r="I373" s="14">
        <v>370</v>
      </c>
      <c r="J373" s="14">
        <f>'[1]资源-钻石'!T373</f>
        <v>1677359.6344094819</v>
      </c>
      <c r="K373" s="14">
        <f>'[1]资源-钻石'!U373</f>
        <v>2468844.193175368</v>
      </c>
      <c r="L373" s="14">
        <f>'[1]资源-钻石'!V373</f>
        <v>4369184.2030647853</v>
      </c>
      <c r="M373" s="14">
        <f>'[1]资源-钻石'!W373</f>
        <v>12243575.507338684</v>
      </c>
      <c r="N373" s="14">
        <f>'[1]资源-钻石'!X373</f>
        <v>29761072.240738921</v>
      </c>
    </row>
    <row r="374" spans="9:14" x14ac:dyDescent="0.15">
      <c r="I374" s="14">
        <v>371</v>
      </c>
      <c r="J374" s="14">
        <f>'[1]资源-钻石'!T374</f>
        <v>1680894.6487273718</v>
      </c>
      <c r="K374" s="14">
        <f>'[1]资源-钻石'!U374</f>
        <v>2474437.8490574406</v>
      </c>
      <c r="L374" s="14">
        <f>'[1]资源-钻石'!V374</f>
        <v>4379864.7750390349</v>
      </c>
      <c r="M374" s="14">
        <f>'[1]资源-钻石'!W374</f>
        <v>12275316.116733219</v>
      </c>
      <c r="N374" s="14">
        <f>'[1]资源-钻石'!X374</f>
        <v>29839747.855201744</v>
      </c>
    </row>
    <row r="375" spans="9:14" x14ac:dyDescent="0.15">
      <c r="I375" s="14">
        <v>372</v>
      </c>
      <c r="J375" s="14">
        <f>'[1]资源-钻石'!T375</f>
        <v>1684429.6630452615</v>
      </c>
      <c r="K375" s="14">
        <f>'[1]资源-钻石'!U375</f>
        <v>2480031.5049395133</v>
      </c>
      <c r="L375" s="14">
        <f>'[1]资源-钻石'!V375</f>
        <v>4390545.3470132835</v>
      </c>
      <c r="M375" s="14">
        <f>'[1]资源-钻石'!W375</f>
        <v>12307056.726127757</v>
      </c>
      <c r="N375" s="14">
        <f>'[1]资源-钻石'!X375</f>
        <v>29918423.469664566</v>
      </c>
    </row>
    <row r="376" spans="9:14" x14ac:dyDescent="0.15">
      <c r="I376" s="14">
        <v>373</v>
      </c>
      <c r="J376" s="14">
        <f>'[1]资源-钻石'!T376</f>
        <v>1687964.6773631515</v>
      </c>
      <c r="K376" s="14">
        <f>'[1]资源-钻石'!U376</f>
        <v>2485625.1608215864</v>
      </c>
      <c r="L376" s="14">
        <f>'[1]资源-钻石'!V376</f>
        <v>4401225.9189875331</v>
      </c>
      <c r="M376" s="14">
        <f>'[1]资源-钻石'!W376</f>
        <v>12338797.335522294</v>
      </c>
      <c r="N376" s="14">
        <f>'[1]资源-钻石'!X376</f>
        <v>29997099.084127389</v>
      </c>
    </row>
    <row r="377" spans="9:14" x14ac:dyDescent="0.15">
      <c r="I377" s="14">
        <v>374</v>
      </c>
      <c r="J377" s="14">
        <f>'[1]资源-钻石'!T377</f>
        <v>1691499.6916810411</v>
      </c>
      <c r="K377" s="14">
        <f>'[1]资源-钻石'!U377</f>
        <v>2491218.816703659</v>
      </c>
      <c r="L377" s="14">
        <f>'[1]资源-钻石'!V377</f>
        <v>4411906.4909617826</v>
      </c>
      <c r="M377" s="14">
        <f>'[1]资源-钻石'!W377</f>
        <v>12370537.944916829</v>
      </c>
      <c r="N377" s="14">
        <f>'[1]资源-钻石'!X377</f>
        <v>30075774.698590212</v>
      </c>
    </row>
    <row r="378" spans="9:14" x14ac:dyDescent="0.15">
      <c r="I378" s="14">
        <v>375</v>
      </c>
      <c r="J378" s="14">
        <f>'[1]资源-钻石'!T378</f>
        <v>1695034.7059989311</v>
      </c>
      <c r="K378" s="14">
        <f>'[1]资源-钻石'!U378</f>
        <v>2496812.4725857321</v>
      </c>
      <c r="L378" s="14">
        <f>'[1]资源-钻石'!V378</f>
        <v>4422587.0629360322</v>
      </c>
      <c r="M378" s="14">
        <f>'[1]资源-钻石'!W378</f>
        <v>12402278.554311367</v>
      </c>
      <c r="N378" s="14">
        <f>'[1]资源-钻石'!X378</f>
        <v>30154450.313053031</v>
      </c>
    </row>
    <row r="379" spans="9:14" x14ac:dyDescent="0.15">
      <c r="I379" s="14">
        <v>376</v>
      </c>
      <c r="J379" s="14">
        <f>'[1]资源-钻石'!T379</f>
        <v>1698569.7203168208</v>
      </c>
      <c r="K379" s="14">
        <f>'[1]资源-钻石'!U379</f>
        <v>2502406.1284678048</v>
      </c>
      <c r="L379" s="14">
        <f>'[1]资源-钻石'!V379</f>
        <v>4433267.6349102817</v>
      </c>
      <c r="M379" s="14">
        <f>'[1]资源-钻石'!W379</f>
        <v>12434019.163705904</v>
      </c>
      <c r="N379" s="14">
        <f>'[1]资源-钻石'!X379</f>
        <v>30233125.927515853</v>
      </c>
    </row>
    <row r="380" spans="9:14" x14ac:dyDescent="0.15">
      <c r="I380" s="14">
        <v>377</v>
      </c>
      <c r="J380" s="14">
        <f>'[1]资源-钻石'!T380</f>
        <v>1702104.7346347107</v>
      </c>
      <c r="K380" s="14">
        <f>'[1]资源-钻石'!U380</f>
        <v>2507999.7843498774</v>
      </c>
      <c r="L380" s="14">
        <f>'[1]资源-钻石'!V380</f>
        <v>4443948.2068845313</v>
      </c>
      <c r="M380" s="14">
        <f>'[1]资源-钻石'!W380</f>
        <v>12465759.773100439</v>
      </c>
      <c r="N380" s="14">
        <f>'[1]资源-钻石'!X380</f>
        <v>30311801.541978676</v>
      </c>
    </row>
    <row r="381" spans="9:14" x14ac:dyDescent="0.15">
      <c r="I381" s="14">
        <v>378</v>
      </c>
      <c r="J381" s="14">
        <f>'[1]资源-钻石'!T381</f>
        <v>1705639.7489526006</v>
      </c>
      <c r="K381" s="14">
        <f>'[1]资源-钻石'!U381</f>
        <v>2513593.4402319505</v>
      </c>
      <c r="L381" s="14">
        <f>'[1]资源-钻石'!V381</f>
        <v>4454628.7788587809</v>
      </c>
      <c r="M381" s="14">
        <f>'[1]资源-钻石'!W381</f>
        <v>12497500.382494977</v>
      </c>
      <c r="N381" s="14">
        <f>'[1]资源-钻石'!X381</f>
        <v>30390477.156441499</v>
      </c>
    </row>
    <row r="382" spans="9:14" x14ac:dyDescent="0.15">
      <c r="I382" s="14">
        <v>379</v>
      </c>
      <c r="J382" s="14">
        <f>'[1]资源-钻石'!T382</f>
        <v>1709174.7632704903</v>
      </c>
      <c r="K382" s="14">
        <f>'[1]资源-钻石'!U382</f>
        <v>2519187.0961140231</v>
      </c>
      <c r="L382" s="14">
        <f>'[1]资源-钻石'!V382</f>
        <v>4465251.4635572936</v>
      </c>
      <c r="M382" s="14">
        <f>'[1]资源-钻石'!W382</f>
        <v>12529240.991889514</v>
      </c>
      <c r="N382" s="14">
        <f>'[1]资源-钻石'!X382</f>
        <v>30469152.770904321</v>
      </c>
    </row>
    <row r="383" spans="9:14" x14ac:dyDescent="0.15">
      <c r="I383" s="14">
        <v>380</v>
      </c>
      <c r="J383" s="14">
        <f>'[1]资源-钻石'!T383</f>
        <v>1712709.7775883803</v>
      </c>
      <c r="K383" s="14">
        <f>'[1]资源-钻石'!U383</f>
        <v>2524780.7519960962</v>
      </c>
      <c r="L383" s="14">
        <f>'[1]资源-钻石'!V383</f>
        <v>4475828.8308819402</v>
      </c>
      <c r="M383" s="14">
        <f>'[1]资源-钻石'!W383</f>
        <v>12560981.601284051</v>
      </c>
      <c r="N383" s="14">
        <f>'[1]资源-钻石'!X383</f>
        <v>30547828.385367144</v>
      </c>
    </row>
    <row r="384" spans="9:14" x14ac:dyDescent="0.15">
      <c r="I384" s="14">
        <v>381</v>
      </c>
      <c r="J384" s="14">
        <f>'[1]资源-钻石'!T384</f>
        <v>1716244.79190627</v>
      </c>
      <c r="K384" s="14">
        <f>'[1]资源-钻石'!U384</f>
        <v>2530374.4078781689</v>
      </c>
      <c r="L384" s="14">
        <f>'[1]资源-钻石'!V384</f>
        <v>4486406.1982065868</v>
      </c>
      <c r="M384" s="14">
        <f>'[1]资源-钻石'!W384</f>
        <v>12592696.818027247</v>
      </c>
      <c r="N384" s="14">
        <f>'[1]资源-钻石'!X384</f>
        <v>30626503.999829967</v>
      </c>
    </row>
    <row r="385" spans="9:14" x14ac:dyDescent="0.15">
      <c r="I385" s="14">
        <v>382</v>
      </c>
      <c r="J385" s="14">
        <f>'[1]资源-钻石'!T385</f>
        <v>1719779.8062241599</v>
      </c>
      <c r="K385" s="14">
        <f>'[1]资源-钻石'!U385</f>
        <v>2535968.0637602415</v>
      </c>
      <c r="L385" s="14">
        <f>'[1]资源-钻石'!V385</f>
        <v>4496983.5655312343</v>
      </c>
      <c r="M385" s="14">
        <f>'[1]资源-钻石'!W385</f>
        <v>12624351.922084358</v>
      </c>
      <c r="N385" s="14">
        <f>'[1]资源-钻石'!X385</f>
        <v>30705179.614292789</v>
      </c>
    </row>
    <row r="386" spans="9:14" x14ac:dyDescent="0.15">
      <c r="I386" s="14">
        <v>383</v>
      </c>
      <c r="J386" s="14">
        <f>'[1]资源-钻石'!T386</f>
        <v>1723314.8205420496</v>
      </c>
      <c r="K386" s="14">
        <f>'[1]资源-钻石'!U386</f>
        <v>2541561.7196423146</v>
      </c>
      <c r="L386" s="14">
        <f>'[1]资源-钻石'!V386</f>
        <v>4507560.9328558808</v>
      </c>
      <c r="M386" s="14">
        <f>'[1]资源-钻石'!W386</f>
        <v>12656007.026141468</v>
      </c>
      <c r="N386" s="14">
        <f>'[1]资源-钻石'!X386</f>
        <v>30783855.228755612</v>
      </c>
    </row>
    <row r="387" spans="9:14" x14ac:dyDescent="0.15">
      <c r="I387" s="14">
        <v>384</v>
      </c>
      <c r="J387" s="14">
        <f>'[1]资源-钻石'!T387</f>
        <v>1726849.8348599395</v>
      </c>
      <c r="K387" s="14">
        <f>'[1]资源-钻石'!U387</f>
        <v>2547155.3755243872</v>
      </c>
      <c r="L387" s="14">
        <f>'[1]资源-钻石'!V387</f>
        <v>4518138.3001805274</v>
      </c>
      <c r="M387" s="14">
        <f>'[1]资源-钻石'!W387</f>
        <v>12687662.130198581</v>
      </c>
      <c r="N387" s="14">
        <f>'[1]资源-钻石'!X387</f>
        <v>30862530.843218435</v>
      </c>
    </row>
    <row r="388" spans="9:14" x14ac:dyDescent="0.15">
      <c r="I388" s="14">
        <v>385</v>
      </c>
      <c r="J388" s="14">
        <f>'[1]资源-钻石'!T388</f>
        <v>1730384.8491778295</v>
      </c>
      <c r="K388" s="14">
        <f>'[1]资源-钻石'!U388</f>
        <v>2552743.3340956126</v>
      </c>
      <c r="L388" s="14">
        <f>'[1]资源-钻石'!V388</f>
        <v>4528715.6675051739</v>
      </c>
      <c r="M388" s="14">
        <f>'[1]资源-钻石'!W388</f>
        <v>12719317.234255692</v>
      </c>
      <c r="N388" s="14">
        <f>'[1]资源-钻石'!X388</f>
        <v>30941206.457681257</v>
      </c>
    </row>
    <row r="389" spans="9:14" x14ac:dyDescent="0.15">
      <c r="I389" s="14">
        <v>386</v>
      </c>
      <c r="J389" s="14">
        <f>'[1]资源-钻石'!T389</f>
        <v>1733919.8634957192</v>
      </c>
      <c r="K389" s="14">
        <f>'[1]资源-钻石'!U389</f>
        <v>2558311.8498452911</v>
      </c>
      <c r="L389" s="14">
        <f>'[1]资源-钻石'!V389</f>
        <v>4539293.0348298205</v>
      </c>
      <c r="M389" s="14">
        <f>'[1]资源-钻石'!W389</f>
        <v>12750972.338312803</v>
      </c>
      <c r="N389" s="14">
        <f>'[1]资源-钻石'!X389</f>
        <v>31019882.07214408</v>
      </c>
    </row>
    <row r="390" spans="9:14" x14ac:dyDescent="0.15">
      <c r="I390" s="14">
        <v>387</v>
      </c>
      <c r="J390" s="14">
        <f>'[1]资源-钻石'!T390</f>
        <v>1737454.8778136091</v>
      </c>
      <c r="K390" s="14">
        <f>'[1]资源-钻石'!U390</f>
        <v>2563880.3655949701</v>
      </c>
      <c r="L390" s="14">
        <f>'[1]资源-钻石'!V390</f>
        <v>4549870.4021544671</v>
      </c>
      <c r="M390" s="14">
        <f>'[1]资源-钻石'!W390</f>
        <v>12782627.442369914</v>
      </c>
      <c r="N390" s="14">
        <f>'[1]资源-钻石'!X390</f>
        <v>31098557.686606903</v>
      </c>
    </row>
    <row r="391" spans="9:14" x14ac:dyDescent="0.15">
      <c r="I391" s="14">
        <v>388</v>
      </c>
      <c r="J391" s="14">
        <f>'[1]资源-钻石'!T391</f>
        <v>1740989.8921314988</v>
      </c>
      <c r="K391" s="14">
        <f>'[1]资源-钻石'!U391</f>
        <v>2569448.881344649</v>
      </c>
      <c r="L391" s="14">
        <f>'[1]资源-钻石'!V391</f>
        <v>4560447.7694791136</v>
      </c>
      <c r="M391" s="14">
        <f>'[1]资源-钻石'!W391</f>
        <v>12814282.546427026</v>
      </c>
      <c r="N391" s="14">
        <f>'[1]资源-钻石'!X391</f>
        <v>31177233.301069725</v>
      </c>
    </row>
    <row r="392" spans="9:14" x14ac:dyDescent="0.15">
      <c r="I392" s="14">
        <v>389</v>
      </c>
      <c r="J392" s="14">
        <f>'[1]资源-钻石'!T392</f>
        <v>1744524.9064493887</v>
      </c>
      <c r="K392" s="14">
        <f>'[1]资源-钻石'!U392</f>
        <v>2575017.397094328</v>
      </c>
      <c r="L392" s="14">
        <f>'[1]资源-钻石'!V392</f>
        <v>4571025.1368037602</v>
      </c>
      <c r="M392" s="14">
        <f>'[1]资源-钻石'!W392</f>
        <v>12845937.650484137</v>
      </c>
      <c r="N392" s="14">
        <f>'[1]资源-钻石'!X392</f>
        <v>31255908.915532548</v>
      </c>
    </row>
    <row r="393" spans="9:14" x14ac:dyDescent="0.15">
      <c r="I393" s="14">
        <v>390</v>
      </c>
      <c r="J393" s="14">
        <f>'[1]资源-钻石'!T393</f>
        <v>1748059.9207672784</v>
      </c>
      <c r="K393" s="14">
        <f>'[1]资源-钻石'!U393</f>
        <v>2580585.9128440064</v>
      </c>
      <c r="L393" s="14">
        <f>'[1]资源-钻石'!V393</f>
        <v>4581602.5041284077</v>
      </c>
      <c r="M393" s="14">
        <f>'[1]资源-钻石'!W393</f>
        <v>12877592.754541248</v>
      </c>
      <c r="N393" s="14">
        <f>'[1]资源-钻石'!X393</f>
        <v>31334584.529995371</v>
      </c>
    </row>
    <row r="394" spans="9:14" x14ac:dyDescent="0.15">
      <c r="I394" s="14">
        <v>391</v>
      </c>
      <c r="J394" s="14">
        <f>'[1]资源-钻石'!T394</f>
        <v>1751594.9350851683</v>
      </c>
      <c r="K394" s="14">
        <f>'[1]资源-钻石'!U394</f>
        <v>2586154.4285936854</v>
      </c>
      <c r="L394" s="14">
        <f>'[1]资源-钻石'!V394</f>
        <v>4592179.8714530542</v>
      </c>
      <c r="M394" s="14">
        <f>'[1]资源-钻石'!W394</f>
        <v>12909247.858598361</v>
      </c>
      <c r="N394" s="14">
        <f>'[1]资源-钻石'!X394</f>
        <v>31413260.144458193</v>
      </c>
    </row>
    <row r="395" spans="9:14" x14ac:dyDescent="0.15">
      <c r="I395" s="14">
        <v>392</v>
      </c>
      <c r="J395" s="14">
        <f>'[1]资源-钻石'!T395</f>
        <v>1755129.949403058</v>
      </c>
      <c r="K395" s="14">
        <f>'[1]资源-钻石'!U395</f>
        <v>2591722.9443433643</v>
      </c>
      <c r="L395" s="14">
        <f>'[1]资源-钻石'!V395</f>
        <v>4602757.2387777008</v>
      </c>
      <c r="M395" s="14">
        <f>'[1]资源-钻石'!W395</f>
        <v>12940902.962655472</v>
      </c>
      <c r="N395" s="14">
        <f>'[1]资源-钻石'!X395</f>
        <v>31491935.758921012</v>
      </c>
    </row>
    <row r="396" spans="9:14" x14ac:dyDescent="0.15">
      <c r="I396" s="14">
        <v>393</v>
      </c>
      <c r="J396" s="14">
        <f>'[1]资源-钻石'!T396</f>
        <v>1758664.963720948</v>
      </c>
      <c r="K396" s="14">
        <f>'[1]资源-钻石'!U396</f>
        <v>2597291.4600930428</v>
      </c>
      <c r="L396" s="14">
        <f>'[1]资源-钻石'!V396</f>
        <v>4613334.6061023474</v>
      </c>
      <c r="M396" s="14">
        <f>'[1]资源-钻石'!W396</f>
        <v>12972558.066712582</v>
      </c>
      <c r="N396" s="14">
        <f>'[1]资源-钻石'!X396</f>
        <v>31570611.373383835</v>
      </c>
    </row>
    <row r="397" spans="9:14" x14ac:dyDescent="0.15">
      <c r="I397" s="14">
        <v>394</v>
      </c>
      <c r="J397" s="14">
        <f>'[1]资源-钻石'!T397</f>
        <v>1762199.9780388377</v>
      </c>
      <c r="K397" s="14">
        <f>'[1]资源-钻石'!U397</f>
        <v>2602859.9758427218</v>
      </c>
      <c r="L397" s="14">
        <f>'[1]资源-钻石'!V397</f>
        <v>4623911.9734269939</v>
      </c>
      <c r="M397" s="14">
        <f>'[1]资源-钻石'!W397</f>
        <v>13004213.170769693</v>
      </c>
      <c r="N397" s="14">
        <f>'[1]资源-钻石'!X397</f>
        <v>31649286.987846658</v>
      </c>
    </row>
    <row r="398" spans="9:14" x14ac:dyDescent="0.15">
      <c r="I398" s="14">
        <v>395</v>
      </c>
      <c r="J398" s="14">
        <f>'[1]资源-钻石'!T398</f>
        <v>1765734.9923567276</v>
      </c>
      <c r="K398" s="14">
        <f>'[1]资源-钻石'!U398</f>
        <v>2608428.4915924007</v>
      </c>
      <c r="L398" s="14">
        <f>'[1]资源-钻石'!V398</f>
        <v>4634489.3407516405</v>
      </c>
      <c r="M398" s="14">
        <f>'[1]资源-钻石'!W398</f>
        <v>13035868.274826806</v>
      </c>
      <c r="N398" s="14">
        <f>'[1]资源-钻石'!X398</f>
        <v>31727962.60230948</v>
      </c>
    </row>
    <row r="399" spans="9:14" x14ac:dyDescent="0.15">
      <c r="I399" s="14">
        <v>396</v>
      </c>
      <c r="J399" s="14">
        <f>'[1]资源-钻石'!T399</f>
        <v>1769270.0066746173</v>
      </c>
      <c r="K399" s="14">
        <f>'[1]资源-钻石'!U399</f>
        <v>2613997.0073420792</v>
      </c>
      <c r="L399" s="14">
        <f>'[1]资源-钻石'!V399</f>
        <v>4645066.7080762871</v>
      </c>
      <c r="M399" s="14">
        <f>'[1]资源-钻石'!W399</f>
        <v>13067523.378883917</v>
      </c>
      <c r="N399" s="14">
        <f>'[1]资源-钻石'!X399</f>
        <v>31806638.216772303</v>
      </c>
    </row>
    <row r="400" spans="9:14" x14ac:dyDescent="0.15">
      <c r="I400" s="14">
        <v>397</v>
      </c>
      <c r="J400" s="14">
        <f>'[1]资源-钻石'!T400</f>
        <v>1772805.0209925072</v>
      </c>
      <c r="K400" s="14">
        <f>'[1]资源-钻石'!U400</f>
        <v>2619565.5230917581</v>
      </c>
      <c r="L400" s="14">
        <f>'[1]资源-钻石'!V400</f>
        <v>4655644.0754009336</v>
      </c>
      <c r="M400" s="14">
        <f>'[1]资源-钻石'!W400</f>
        <v>13099178.482941028</v>
      </c>
      <c r="N400" s="14">
        <f>'[1]资源-钻石'!X400</f>
        <v>31885313.831235126</v>
      </c>
    </row>
    <row r="401" spans="9:14" x14ac:dyDescent="0.15">
      <c r="I401" s="14">
        <v>398</v>
      </c>
      <c r="J401" s="14">
        <f>'[1]资源-钻石'!T401</f>
        <v>1776340.0353103969</v>
      </c>
      <c r="K401" s="14">
        <f>'[1]资源-钻石'!U401</f>
        <v>2625134.0388414371</v>
      </c>
      <c r="L401" s="14">
        <f>'[1]资源-钻石'!V401</f>
        <v>4666221.4427255802</v>
      </c>
      <c r="M401" s="14">
        <f>'[1]资源-钻石'!W401</f>
        <v>13130833.586998139</v>
      </c>
      <c r="N401" s="14">
        <f>'[1]资源-钻石'!X401</f>
        <v>31963989.445697948</v>
      </c>
    </row>
    <row r="402" spans="9:14" x14ac:dyDescent="0.15">
      <c r="I402" s="14">
        <v>399</v>
      </c>
      <c r="J402" s="14">
        <f>'[1]资源-钻石'!T402</f>
        <v>1779875.0496282869</v>
      </c>
      <c r="K402" s="14">
        <f>'[1]资源-钻石'!U402</f>
        <v>2630702.5545911156</v>
      </c>
      <c r="L402" s="14">
        <f>'[1]资源-钻石'!V402</f>
        <v>4676798.8100502277</v>
      </c>
      <c r="M402" s="14">
        <f>'[1]资源-钻石'!W402</f>
        <v>13162488.691055251</v>
      </c>
      <c r="N402" s="14">
        <f>'[1]资源-钻石'!X402</f>
        <v>32042665.060160771</v>
      </c>
    </row>
    <row r="403" spans="9:14" x14ac:dyDescent="0.15">
      <c r="I403" s="14">
        <v>400</v>
      </c>
      <c r="J403" s="14">
        <f>'[1]资源-钻石'!T403</f>
        <v>1783410.0639461766</v>
      </c>
      <c r="K403" s="14">
        <f>'[1]资源-钻石'!U403</f>
        <v>2636271.0703407945</v>
      </c>
      <c r="L403" s="14">
        <f>'[1]资源-钻石'!V403</f>
        <v>4687376.1773748742</v>
      </c>
      <c r="M403" s="14">
        <f>'[1]资源-钻石'!W403</f>
        <v>13194143.795112362</v>
      </c>
      <c r="N403" s="14">
        <f>'[1]资源-钻石'!X403</f>
        <v>32121340.674623594</v>
      </c>
    </row>
    <row r="404" spans="9:14" x14ac:dyDescent="0.15">
      <c r="I404" s="14">
        <v>401</v>
      </c>
      <c r="J404" s="14">
        <f>'[1]资源-钻石'!T404</f>
        <v>1786945.0782640665</v>
      </c>
      <c r="K404" s="14">
        <f>'[1]资源-钻石'!U404</f>
        <v>2641839.5860904735</v>
      </c>
      <c r="L404" s="14">
        <f>'[1]资源-钻石'!V404</f>
        <v>4697953.5446995208</v>
      </c>
      <c r="M404" s="14">
        <f>'[1]资源-钻石'!W404</f>
        <v>13225798.899169473</v>
      </c>
      <c r="N404" s="14">
        <f>'[1]资源-钻石'!X404</f>
        <v>32200016.289086416</v>
      </c>
    </row>
    <row r="405" spans="9:14" x14ac:dyDescent="0.15">
      <c r="I405" s="14">
        <v>402</v>
      </c>
      <c r="J405" s="14">
        <f>'[1]资源-钻石'!T405</f>
        <v>1790480.0925819562</v>
      </c>
      <c r="K405" s="14">
        <f>'[1]资源-钻石'!U405</f>
        <v>2647408.1018401524</v>
      </c>
      <c r="L405" s="14">
        <f>'[1]资源-钻石'!V405</f>
        <v>4708530.9120241674</v>
      </c>
      <c r="M405" s="14">
        <f>'[1]资源-钻石'!W405</f>
        <v>13257454.003226584</v>
      </c>
      <c r="N405" s="14">
        <f>'[1]资源-钻石'!X405</f>
        <v>32278691.903549239</v>
      </c>
    </row>
    <row r="406" spans="9:14" x14ac:dyDescent="0.15">
      <c r="I406" s="14">
        <v>403</v>
      </c>
      <c r="J406" s="14">
        <f>'[1]资源-钻石'!T406</f>
        <v>1794015.1068998461</v>
      </c>
      <c r="K406" s="14">
        <f>'[1]资源-钻石'!U406</f>
        <v>2652976.6175898309</v>
      </c>
      <c r="L406" s="14">
        <f>'[1]资源-钻石'!V406</f>
        <v>4719108.2793488139</v>
      </c>
      <c r="M406" s="14">
        <f>'[1]资源-钻石'!W406</f>
        <v>13289109.107283697</v>
      </c>
      <c r="N406" s="14">
        <f>'[1]资源-钻石'!X406</f>
        <v>32357367.518012062</v>
      </c>
    </row>
    <row r="407" spans="9:14" x14ac:dyDescent="0.15">
      <c r="I407" s="14">
        <v>404</v>
      </c>
      <c r="J407" s="14">
        <f>'[1]资源-钻石'!T407</f>
        <v>1797550.1212177358</v>
      </c>
      <c r="K407" s="14">
        <f>'[1]资源-钻石'!U407</f>
        <v>2658545.1333395098</v>
      </c>
      <c r="L407" s="14">
        <f>'[1]资源-钻石'!V407</f>
        <v>4729685.6466734605</v>
      </c>
      <c r="M407" s="14">
        <f>'[1]资源-钻石'!W407</f>
        <v>13320764.211340807</v>
      </c>
      <c r="N407" s="14">
        <f>'[1]资源-钻石'!X407</f>
        <v>32436043.132474884</v>
      </c>
    </row>
    <row r="408" spans="9:14" x14ac:dyDescent="0.15">
      <c r="I408" s="14">
        <v>405</v>
      </c>
      <c r="J408" s="14">
        <f>'[1]资源-钻石'!T408</f>
        <v>1801085.1355356257</v>
      </c>
      <c r="K408" s="14">
        <f>'[1]资源-钻石'!U408</f>
        <v>2664113.6490891888</v>
      </c>
      <c r="L408" s="14">
        <f>'[1]资源-钻石'!V408</f>
        <v>4740263.0139981071</v>
      </c>
      <c r="M408" s="14">
        <f>'[1]资源-钻石'!W408</f>
        <v>13352419.315397918</v>
      </c>
      <c r="N408" s="14">
        <f>'[1]资源-钻石'!X408</f>
        <v>32514718.746937707</v>
      </c>
    </row>
    <row r="409" spans="9:14" x14ac:dyDescent="0.15">
      <c r="I409" s="14">
        <v>406</v>
      </c>
      <c r="J409" s="14">
        <f>'[1]资源-钻石'!T409</f>
        <v>1804620.1498535154</v>
      </c>
      <c r="K409" s="14">
        <f>'[1]资源-钻石'!U409</f>
        <v>2669682.1648388673</v>
      </c>
      <c r="L409" s="14">
        <f>'[1]资源-钻石'!V409</f>
        <v>4750840.3813227536</v>
      </c>
      <c r="M409" s="14">
        <f>'[1]资源-钻石'!W409</f>
        <v>13384074.419455029</v>
      </c>
      <c r="N409" s="14">
        <f>'[1]资源-钻石'!X409</f>
        <v>32593394.36140053</v>
      </c>
    </row>
    <row r="410" spans="9:14" x14ac:dyDescent="0.15">
      <c r="I410" s="14">
        <v>407</v>
      </c>
      <c r="J410" s="14">
        <f>'[1]资源-钻石'!T410</f>
        <v>1808155.1641714054</v>
      </c>
      <c r="K410" s="14">
        <f>'[1]资源-钻石'!U410</f>
        <v>2675250.6805885462</v>
      </c>
      <c r="L410" s="14">
        <f>'[1]资源-钻石'!V410</f>
        <v>4761417.7486474002</v>
      </c>
      <c r="M410" s="14">
        <f>'[1]资源-钻石'!W410</f>
        <v>13415729.523512142</v>
      </c>
      <c r="N410" s="14">
        <f>'[1]资源-钻石'!X410</f>
        <v>32672069.975863352</v>
      </c>
    </row>
    <row r="411" spans="9:14" x14ac:dyDescent="0.15">
      <c r="I411" s="14">
        <v>408</v>
      </c>
      <c r="J411" s="14">
        <f>'[1]资源-钻石'!T411</f>
        <v>1811690.1784892951</v>
      </c>
      <c r="K411" s="14">
        <f>'[1]资源-钻石'!U411</f>
        <v>2680819.1963382252</v>
      </c>
      <c r="L411" s="14">
        <f>'[1]资源-钻石'!V411</f>
        <v>4771995.1159720477</v>
      </c>
      <c r="M411" s="14">
        <f>'[1]资源-钻石'!W411</f>
        <v>13447384.627569253</v>
      </c>
      <c r="N411" s="14">
        <f>'[1]资源-钻石'!X411</f>
        <v>32750745.590326175</v>
      </c>
    </row>
    <row r="412" spans="9:14" x14ac:dyDescent="0.15">
      <c r="I412" s="14">
        <v>409</v>
      </c>
      <c r="J412" s="14">
        <f>'[1]资源-钻石'!T412</f>
        <v>1815225.192807185</v>
      </c>
      <c r="K412" s="14">
        <f>'[1]资源-钻石'!U412</f>
        <v>2686387.7120879041</v>
      </c>
      <c r="L412" s="14">
        <f>'[1]资源-钻石'!V412</f>
        <v>4782572.4832966942</v>
      </c>
      <c r="M412" s="14">
        <f>'[1]资源-钻石'!W412</f>
        <v>13479039.731626363</v>
      </c>
      <c r="N412" s="14">
        <f>'[1]资源-钻石'!X412</f>
        <v>32829421.204788998</v>
      </c>
    </row>
    <row r="413" spans="9:14" x14ac:dyDescent="0.15">
      <c r="I413" s="14">
        <v>410</v>
      </c>
      <c r="J413" s="14">
        <f>'[1]资源-钻石'!T413</f>
        <v>1818760.2071250747</v>
      </c>
      <c r="K413" s="14">
        <f>'[1]资源-钻石'!U413</f>
        <v>2691956.2278375826</v>
      </c>
      <c r="L413" s="14">
        <f>'[1]资源-钻石'!V413</f>
        <v>4793149.8506213408</v>
      </c>
      <c r="M413" s="14">
        <f>'[1]资源-钻石'!W413</f>
        <v>13510694.835683476</v>
      </c>
      <c r="N413" s="14">
        <f>'[1]资源-钻石'!X413</f>
        <v>32908096.81925182</v>
      </c>
    </row>
    <row r="414" spans="9:14" x14ac:dyDescent="0.15">
      <c r="I414" s="14">
        <v>411</v>
      </c>
      <c r="J414" s="14">
        <f>'[1]资源-钻石'!T414</f>
        <v>1822295.2214429646</v>
      </c>
      <c r="K414" s="14">
        <f>'[1]资源-钻石'!U414</f>
        <v>2697524.7435872615</v>
      </c>
      <c r="L414" s="14">
        <f>'[1]资源-钻石'!V414</f>
        <v>4803727.2179459874</v>
      </c>
      <c r="M414" s="14">
        <f>'[1]资源-钻石'!W414</f>
        <v>13542349.939740587</v>
      </c>
      <c r="N414" s="14">
        <f>'[1]资源-钻石'!X414</f>
        <v>32986772.433714643</v>
      </c>
    </row>
    <row r="415" spans="9:14" x14ac:dyDescent="0.15">
      <c r="I415" s="14">
        <v>412</v>
      </c>
      <c r="J415" s="14">
        <f>'[1]资源-钻石'!T415</f>
        <v>1825830.2357608543</v>
      </c>
      <c r="K415" s="14">
        <f>'[1]资源-钻石'!U415</f>
        <v>2703093.2593369405</v>
      </c>
      <c r="L415" s="14">
        <f>'[1]资源-钻石'!V415</f>
        <v>4814304.5852706339</v>
      </c>
      <c r="M415" s="14">
        <f>'[1]资源-钻石'!W415</f>
        <v>13574005.043797698</v>
      </c>
      <c r="N415" s="14">
        <f>'[1]资源-钻石'!X415</f>
        <v>33065448.048177466</v>
      </c>
    </row>
    <row r="416" spans="9:14" x14ac:dyDescent="0.15">
      <c r="I416" s="14">
        <v>413</v>
      </c>
      <c r="J416" s="14">
        <f>'[1]资源-钻石'!T416</f>
        <v>1829365.2500787443</v>
      </c>
      <c r="K416" s="14">
        <f>'[1]资源-钻石'!U416</f>
        <v>2708661.775086619</v>
      </c>
      <c r="L416" s="14">
        <f>'[1]资源-钻石'!V416</f>
        <v>4824881.9525952805</v>
      </c>
      <c r="M416" s="14">
        <f>'[1]资源-钻石'!W416</f>
        <v>13605660.147854809</v>
      </c>
      <c r="N416" s="14">
        <f>'[1]资源-钻石'!X416</f>
        <v>33144123.662640288</v>
      </c>
    </row>
    <row r="417" spans="9:14" x14ac:dyDescent="0.15">
      <c r="I417" s="14">
        <v>414</v>
      </c>
      <c r="J417" s="14">
        <f>'[1]资源-钻石'!T417</f>
        <v>1832900.264396634</v>
      </c>
      <c r="K417" s="14">
        <f>'[1]资源-钻石'!U417</f>
        <v>2714230.2908362979</v>
      </c>
      <c r="L417" s="14">
        <f>'[1]资源-钻石'!V417</f>
        <v>4835459.319919928</v>
      </c>
      <c r="M417" s="14">
        <f>'[1]资源-钻石'!W417</f>
        <v>13637315.251911921</v>
      </c>
      <c r="N417" s="14">
        <f>'[1]资源-钻石'!X417</f>
        <v>33222799.277103111</v>
      </c>
    </row>
    <row r="418" spans="9:14" x14ac:dyDescent="0.15">
      <c r="I418" s="14">
        <v>415</v>
      </c>
      <c r="J418" s="14">
        <f>'[1]资源-钻石'!T418</f>
        <v>1836435.2787145239</v>
      </c>
      <c r="K418" s="14">
        <f>'[1]资源-钻石'!U418</f>
        <v>2719798.8065859769</v>
      </c>
      <c r="L418" s="14">
        <f>'[1]资源-钻石'!V418</f>
        <v>4846036.6872445745</v>
      </c>
      <c r="M418" s="14">
        <f>'[1]资源-钻石'!W418</f>
        <v>13668970.355969032</v>
      </c>
      <c r="N418" s="14">
        <f>'[1]资源-钻石'!X418</f>
        <v>33301474.891565934</v>
      </c>
    </row>
    <row r="419" spans="9:14" x14ac:dyDescent="0.15">
      <c r="I419" s="14">
        <v>416</v>
      </c>
      <c r="J419" s="14">
        <f>'[1]资源-钻石'!T419</f>
        <v>1839970.2930324136</v>
      </c>
      <c r="K419" s="14">
        <f>'[1]资源-钻石'!U419</f>
        <v>2725367.3223356553</v>
      </c>
      <c r="L419" s="14">
        <f>'[1]资源-钻石'!V419</f>
        <v>4856614.0545692211</v>
      </c>
      <c r="M419" s="14">
        <f>'[1]资源-钻石'!W419</f>
        <v>13700625.460026143</v>
      </c>
      <c r="N419" s="14">
        <f>'[1]资源-钻石'!X419</f>
        <v>33380150.506028753</v>
      </c>
    </row>
    <row r="420" spans="9:14" x14ac:dyDescent="0.15">
      <c r="I420" s="14">
        <v>417</v>
      </c>
      <c r="J420" s="14">
        <f>'[1]资源-钻石'!T420</f>
        <v>1843505.3073503035</v>
      </c>
      <c r="K420" s="14">
        <f>'[1]资源-钻石'!U420</f>
        <v>2730935.8380853343</v>
      </c>
      <c r="L420" s="14">
        <f>'[1]资源-钻石'!V420</f>
        <v>4867191.4218938677</v>
      </c>
      <c r="M420" s="14">
        <f>'[1]资源-钻石'!W420</f>
        <v>13732280.564083254</v>
      </c>
      <c r="N420" s="14">
        <f>'[1]资源-钻石'!X420</f>
        <v>33458826.120491575</v>
      </c>
    </row>
    <row r="421" spans="9:14" x14ac:dyDescent="0.15">
      <c r="I421" s="14">
        <v>418</v>
      </c>
      <c r="J421" s="14">
        <f>'[1]资源-钻石'!T421</f>
        <v>1847040.3216681932</v>
      </c>
      <c r="K421" s="14">
        <f>'[1]资源-钻石'!U421</f>
        <v>2736504.3538350132</v>
      </c>
      <c r="L421" s="14">
        <f>'[1]资源-钻石'!V421</f>
        <v>4877768.7892185142</v>
      </c>
      <c r="M421" s="14">
        <f>'[1]资源-钻石'!W421</f>
        <v>13763935.668140367</v>
      </c>
      <c r="N421" s="14">
        <f>'[1]资源-钻石'!X421</f>
        <v>33537501.734954398</v>
      </c>
    </row>
    <row r="422" spans="9:14" x14ac:dyDescent="0.15">
      <c r="I422" s="14">
        <v>419</v>
      </c>
      <c r="J422" s="14">
        <f>'[1]资源-钻石'!T422</f>
        <v>1850575.3359860831</v>
      </c>
      <c r="K422" s="14">
        <f>'[1]资源-钻石'!U422</f>
        <v>2742072.8695846917</v>
      </c>
      <c r="L422" s="14">
        <f>'[1]资源-钻石'!V422</f>
        <v>4888346.1565431608</v>
      </c>
      <c r="M422" s="14">
        <f>'[1]资源-钻石'!W422</f>
        <v>13795590.772197478</v>
      </c>
      <c r="N422" s="14">
        <f>'[1]资源-钻石'!X422</f>
        <v>33616177.349417225</v>
      </c>
    </row>
    <row r="423" spans="9:14" x14ac:dyDescent="0.15">
      <c r="I423" s="14">
        <v>420</v>
      </c>
      <c r="J423" s="14">
        <f>'[1]资源-钻石'!T423</f>
        <v>1854110.3503039728</v>
      </c>
      <c r="K423" s="14">
        <f>'[1]资源-钻石'!U423</f>
        <v>2747641.3853343707</v>
      </c>
      <c r="L423" s="14">
        <f>'[1]资源-钻石'!V423</f>
        <v>4898923.5238678074</v>
      </c>
      <c r="M423" s="14">
        <f>'[1]资源-钻石'!W423</f>
        <v>13827245.876254588</v>
      </c>
      <c r="N423" s="14">
        <f>'[1]资源-钻石'!X423</f>
        <v>33694852.963880047</v>
      </c>
    </row>
    <row r="424" spans="9:14" x14ac:dyDescent="0.15">
      <c r="I424" s="14">
        <v>421</v>
      </c>
      <c r="J424" s="14">
        <f>'[1]资源-钻石'!T424</f>
        <v>1857645.3646218628</v>
      </c>
      <c r="K424" s="14">
        <f>'[1]资源-钻石'!U424</f>
        <v>2753209.9010840496</v>
      </c>
      <c r="L424" s="14">
        <f>'[1]资源-钻石'!V424</f>
        <v>4909500.8911924548</v>
      </c>
      <c r="M424" s="14">
        <f>'[1]资源-钻石'!W424</f>
        <v>13858900.980311701</v>
      </c>
      <c r="N424" s="14">
        <f>'[1]资源-钻石'!X424</f>
        <v>33773528.57834287</v>
      </c>
    </row>
    <row r="425" spans="9:14" x14ac:dyDescent="0.15">
      <c r="I425" s="14">
        <v>422</v>
      </c>
      <c r="J425" s="14">
        <f>'[1]资源-钻石'!T425</f>
        <v>1861180.3789397525</v>
      </c>
      <c r="K425" s="14">
        <f>'[1]资源-钻石'!U425</f>
        <v>2758778.4168337281</v>
      </c>
      <c r="L425" s="14">
        <f>'[1]资源-钻石'!V425</f>
        <v>4920078.2585171014</v>
      </c>
      <c r="M425" s="14">
        <f>'[1]资源-钻石'!W425</f>
        <v>13890556.084368812</v>
      </c>
      <c r="N425" s="14">
        <f>'[1]资源-钻石'!X425</f>
        <v>33852204.192805693</v>
      </c>
    </row>
    <row r="426" spans="9:14" x14ac:dyDescent="0.15">
      <c r="I426" s="14">
        <v>423</v>
      </c>
      <c r="J426" s="14">
        <f>'[1]资源-钻石'!T426</f>
        <v>1864715.3932576424</v>
      </c>
      <c r="K426" s="14">
        <f>'[1]资源-钻石'!U426</f>
        <v>2764346.932583407</v>
      </c>
      <c r="L426" s="14">
        <f>'[1]资源-钻石'!V426</f>
        <v>4930655.625841748</v>
      </c>
      <c r="M426" s="14">
        <f>'[1]资源-钻石'!W426</f>
        <v>13922211.188425923</v>
      </c>
      <c r="N426" s="14">
        <f>'[1]资源-钻石'!X426</f>
        <v>33930879.807268515</v>
      </c>
    </row>
    <row r="427" spans="9:14" x14ac:dyDescent="0.15">
      <c r="I427" s="14">
        <v>424</v>
      </c>
      <c r="J427" s="14">
        <f>'[1]资源-钻石'!T427</f>
        <v>1868250.4075755323</v>
      </c>
      <c r="K427" s="14">
        <f>'[1]资源-钻石'!U427</f>
        <v>2769915.448333086</v>
      </c>
      <c r="L427" s="14">
        <f>'[1]资源-钻石'!V427</f>
        <v>4941232.9931663945</v>
      </c>
      <c r="M427" s="14">
        <f>'[1]资源-钻石'!W427</f>
        <v>13953866.292483034</v>
      </c>
      <c r="N427" s="14">
        <f>'[1]资源-钻石'!X427</f>
        <v>34009555.421731338</v>
      </c>
    </row>
    <row r="428" spans="9:14" x14ac:dyDescent="0.15">
      <c r="I428" s="14">
        <v>425</v>
      </c>
      <c r="J428" s="14">
        <f>'[1]资源-钻石'!T428</f>
        <v>1871785.421893422</v>
      </c>
      <c r="K428" s="14">
        <f>'[1]资源-钻石'!U428</f>
        <v>2775483.9640827649</v>
      </c>
      <c r="L428" s="14">
        <f>'[1]资源-钻石'!V428</f>
        <v>4951810.3604910411</v>
      </c>
      <c r="M428" s="14">
        <f>'[1]资源-钻石'!W428</f>
        <v>13985521.396540146</v>
      </c>
      <c r="N428" s="14">
        <f>'[1]资源-钻石'!X428</f>
        <v>34088231.036194153</v>
      </c>
    </row>
    <row r="429" spans="9:14" x14ac:dyDescent="0.15">
      <c r="I429" s="14">
        <v>426</v>
      </c>
      <c r="J429" s="14">
        <f>'[1]资源-钻石'!T429</f>
        <v>1875320.436211312</v>
      </c>
      <c r="K429" s="14">
        <f>'[1]资源-钻石'!U429</f>
        <v>2781052.4798324434</v>
      </c>
      <c r="L429" s="14">
        <f>'[1]资源-钻石'!V429</f>
        <v>4962387.7278156877</v>
      </c>
      <c r="M429" s="14">
        <f>'[1]资源-钻石'!W429</f>
        <v>14017176.500597257</v>
      </c>
      <c r="N429" s="14">
        <f>'[1]资源-钻石'!X429</f>
        <v>34166906.650656976</v>
      </c>
    </row>
    <row r="430" spans="9:14" x14ac:dyDescent="0.15">
      <c r="I430" s="14">
        <v>427</v>
      </c>
      <c r="J430" s="14">
        <f>'[1]资源-钻石'!T430</f>
        <v>1878855.4505292017</v>
      </c>
      <c r="K430" s="14">
        <f>'[1]资源-钻石'!U430</f>
        <v>2786620.9955821224</v>
      </c>
      <c r="L430" s="14">
        <f>'[1]资源-钻石'!V430</f>
        <v>4972965.0951403352</v>
      </c>
      <c r="M430" s="14">
        <f>'[1]资源-钻石'!W430</f>
        <v>14048831.604654368</v>
      </c>
      <c r="N430" s="14">
        <f>'[1]资源-钻石'!X430</f>
        <v>34245582.265119798</v>
      </c>
    </row>
    <row r="431" spans="9:14" x14ac:dyDescent="0.15">
      <c r="I431" s="14">
        <v>428</v>
      </c>
      <c r="J431" s="14">
        <f>'[1]资源-钻石'!T431</f>
        <v>1882390.4648470916</v>
      </c>
      <c r="K431" s="14">
        <f>'[1]资源-钻石'!U431</f>
        <v>2792189.5113318013</v>
      </c>
      <c r="L431" s="14">
        <f>'[1]资源-钻石'!V431</f>
        <v>4983542.4624649817</v>
      </c>
      <c r="M431" s="14">
        <f>'[1]资源-钻石'!W431</f>
        <v>14080486.708711479</v>
      </c>
      <c r="N431" s="14">
        <f>'[1]资源-钻石'!X431</f>
        <v>34324257.879582621</v>
      </c>
    </row>
    <row r="432" spans="9:14" x14ac:dyDescent="0.15">
      <c r="I432" s="14">
        <v>429</v>
      </c>
      <c r="J432" s="14">
        <f>'[1]资源-钻石'!T432</f>
        <v>1885925.4791649813</v>
      </c>
      <c r="K432" s="14">
        <f>'[1]资源-钻石'!U432</f>
        <v>2797758.0270814798</v>
      </c>
      <c r="L432" s="14">
        <f>'[1]资源-钻石'!V432</f>
        <v>4994119.8297896283</v>
      </c>
      <c r="M432" s="14">
        <f>'[1]资源-钻石'!W432</f>
        <v>14112141.812768592</v>
      </c>
      <c r="N432" s="14">
        <f>'[1]资源-钻石'!X432</f>
        <v>34402933.494045444</v>
      </c>
    </row>
    <row r="433" spans="9:14" x14ac:dyDescent="0.15">
      <c r="I433" s="14">
        <v>430</v>
      </c>
      <c r="J433" s="14">
        <f>'[1]资源-钻石'!T433</f>
        <v>1889460.4934828712</v>
      </c>
      <c r="K433" s="14">
        <f>'[1]资源-钻石'!U433</f>
        <v>2803326.5428311587</v>
      </c>
      <c r="L433" s="14">
        <f>'[1]资源-钻石'!V433</f>
        <v>5004697.1971142748</v>
      </c>
      <c r="M433" s="14">
        <f>'[1]资源-钻石'!W433</f>
        <v>14143796.916825702</v>
      </c>
      <c r="N433" s="14">
        <f>'[1]资源-钻石'!X433</f>
        <v>34481609.108508267</v>
      </c>
    </row>
    <row r="434" spans="9:14" x14ac:dyDescent="0.15">
      <c r="I434" s="14">
        <v>431</v>
      </c>
      <c r="J434" s="14">
        <f>'[1]资源-钻石'!T434</f>
        <v>1892995.5078007609</v>
      </c>
      <c r="K434" s="14">
        <f>'[1]资源-钻石'!U434</f>
        <v>2808895.0585808377</v>
      </c>
      <c r="L434" s="14">
        <f>'[1]资源-钻石'!V434</f>
        <v>5015274.5644389214</v>
      </c>
      <c r="M434" s="14">
        <f>'[1]资源-钻石'!W434</f>
        <v>14175452.020882813</v>
      </c>
      <c r="N434" s="14">
        <f>'[1]资源-钻石'!X434</f>
        <v>34560284.722971089</v>
      </c>
    </row>
    <row r="435" spans="9:14" x14ac:dyDescent="0.15">
      <c r="I435" s="14">
        <v>432</v>
      </c>
      <c r="J435" s="14">
        <f>'[1]资源-钻石'!T435</f>
        <v>1896530.5221186508</v>
      </c>
      <c r="K435" s="14">
        <f>'[1]资源-钻石'!U435</f>
        <v>2814463.5743305162</v>
      </c>
      <c r="L435" s="14">
        <f>'[1]资源-钻石'!V435</f>
        <v>5025851.931763568</v>
      </c>
      <c r="M435" s="14">
        <f>'[1]资源-钻石'!W435</f>
        <v>14207107.124939926</v>
      </c>
      <c r="N435" s="14">
        <f>'[1]资源-钻石'!X435</f>
        <v>34638960.337433912</v>
      </c>
    </row>
    <row r="436" spans="9:14" x14ac:dyDescent="0.15">
      <c r="I436" s="14">
        <v>433</v>
      </c>
      <c r="J436" s="14">
        <f>'[1]资源-钻石'!T436</f>
        <v>1900065.5364365405</v>
      </c>
      <c r="K436" s="14">
        <f>'[1]资源-钻石'!U436</f>
        <v>2820032.0900801951</v>
      </c>
      <c r="L436" s="14">
        <f>'[1]资源-钻石'!V436</f>
        <v>5036429.2990882145</v>
      </c>
      <c r="M436" s="14">
        <f>'[1]资源-钻石'!W436</f>
        <v>14238762.228997037</v>
      </c>
      <c r="N436" s="14">
        <f>'[1]资源-钻石'!X436</f>
        <v>34717635.951896735</v>
      </c>
    </row>
    <row r="437" spans="9:14" x14ac:dyDescent="0.15">
      <c r="I437" s="14">
        <v>434</v>
      </c>
      <c r="J437" s="14">
        <f>'[1]资源-钻石'!T437</f>
        <v>1903600.5507544305</v>
      </c>
      <c r="K437" s="14">
        <f>'[1]资源-钻石'!U437</f>
        <v>2825600.6058298741</v>
      </c>
      <c r="L437" s="14">
        <f>'[1]资源-钻石'!V437</f>
        <v>5047006.666412862</v>
      </c>
      <c r="M437" s="14">
        <f>'[1]资源-钻石'!W437</f>
        <v>14270417.333054148</v>
      </c>
      <c r="N437" s="14">
        <f>'[1]资源-钻石'!X437</f>
        <v>34796311.566359557</v>
      </c>
    </row>
    <row r="438" spans="9:14" x14ac:dyDescent="0.15">
      <c r="I438" s="14">
        <v>435</v>
      </c>
      <c r="J438" s="14">
        <f>'[1]资源-钻石'!T438</f>
        <v>1907135.5650723204</v>
      </c>
      <c r="K438" s="14">
        <f>'[1]资源-钻石'!U438</f>
        <v>2831169.1215795525</v>
      </c>
      <c r="L438" s="14">
        <f>'[1]资源-钻石'!V438</f>
        <v>5057584.0337375086</v>
      </c>
      <c r="M438" s="14">
        <f>'[1]资源-钻石'!W438</f>
        <v>14302072.437111259</v>
      </c>
      <c r="N438" s="14">
        <f>'[1]资源-钻石'!X438</f>
        <v>34874987.18082238</v>
      </c>
    </row>
    <row r="439" spans="9:14" x14ac:dyDescent="0.15">
      <c r="I439" s="14">
        <v>436</v>
      </c>
      <c r="J439" s="14">
        <f>'[1]资源-钻石'!T439</f>
        <v>1910670.5793902101</v>
      </c>
      <c r="K439" s="14">
        <f>'[1]资源-钻石'!U439</f>
        <v>2836737.6373292315</v>
      </c>
      <c r="L439" s="14">
        <f>'[1]资源-钻石'!V439</f>
        <v>5068161.4010621551</v>
      </c>
      <c r="M439" s="14">
        <f>'[1]资源-钻石'!W439</f>
        <v>14333727.541168371</v>
      </c>
      <c r="N439" s="14">
        <f>'[1]资源-钻石'!X439</f>
        <v>34953662.795285203</v>
      </c>
    </row>
    <row r="440" spans="9:14" x14ac:dyDescent="0.15">
      <c r="I440" s="14">
        <v>437</v>
      </c>
      <c r="J440" s="14">
        <f>'[1]资源-钻石'!T440</f>
        <v>1914205.5937081</v>
      </c>
      <c r="K440" s="14">
        <f>'[1]资源-钻石'!U440</f>
        <v>2842306.1530789104</v>
      </c>
      <c r="L440" s="14">
        <f>'[1]资源-钻石'!V440</f>
        <v>5078738.7683868017</v>
      </c>
      <c r="M440" s="14">
        <f>'[1]资源-钻石'!W440</f>
        <v>14365382.645225482</v>
      </c>
      <c r="N440" s="14">
        <f>'[1]资源-钻石'!X440</f>
        <v>35032338.409748025</v>
      </c>
    </row>
    <row r="441" spans="9:14" x14ac:dyDescent="0.15">
      <c r="I441" s="14">
        <v>438</v>
      </c>
      <c r="J441" s="14">
        <f>'[1]资源-钻石'!T441</f>
        <v>1917740.6080259897</v>
      </c>
      <c r="K441" s="14">
        <f>'[1]资源-钻石'!U441</f>
        <v>2847874.6688285889</v>
      </c>
      <c r="L441" s="14">
        <f>'[1]资源-钻石'!V441</f>
        <v>5089316.1357114483</v>
      </c>
      <c r="M441" s="14">
        <f>'[1]资源-钻石'!W441</f>
        <v>14397037.749282593</v>
      </c>
      <c r="N441" s="14">
        <f>'[1]资源-钻石'!X441</f>
        <v>35111014.024210848</v>
      </c>
    </row>
    <row r="442" spans="9:14" x14ac:dyDescent="0.15">
      <c r="I442" s="14">
        <v>439</v>
      </c>
      <c r="J442" s="14">
        <f>'[1]资源-钻石'!T442</f>
        <v>1921275.6223438797</v>
      </c>
      <c r="K442" s="14">
        <f>'[1]资源-钻石'!U442</f>
        <v>2853443.1845782679</v>
      </c>
      <c r="L442" s="14">
        <f>'[1]资源-钻石'!V442</f>
        <v>5099893.5030360948</v>
      </c>
      <c r="M442" s="14">
        <f>'[1]资源-钻石'!W442</f>
        <v>14428692.853339704</v>
      </c>
      <c r="N442" s="14">
        <f>'[1]资源-钻石'!X442</f>
        <v>35189689.638673671</v>
      </c>
    </row>
    <row r="443" spans="9:14" x14ac:dyDescent="0.15">
      <c r="I443" s="14">
        <v>440</v>
      </c>
      <c r="J443" s="14">
        <f>'[1]资源-钻石'!T443</f>
        <v>1924810.6366617694</v>
      </c>
      <c r="K443" s="14">
        <f>'[1]资源-钻石'!U443</f>
        <v>2859011.7003279468</v>
      </c>
      <c r="L443" s="14">
        <f>'[1]资源-钻石'!V443</f>
        <v>5110470.8703607414</v>
      </c>
      <c r="M443" s="14">
        <f>'[1]资源-钻石'!W443</f>
        <v>14460347.957396816</v>
      </c>
      <c r="N443" s="14">
        <f>'[1]资源-钻石'!X443</f>
        <v>35268365.253136493</v>
      </c>
    </row>
    <row r="444" spans="9:14" x14ac:dyDescent="0.15">
      <c r="I444" s="14">
        <v>441</v>
      </c>
      <c r="J444" s="14">
        <f>'[1]资源-钻石'!T444</f>
        <v>1928345.6509796593</v>
      </c>
      <c r="K444" s="14">
        <f>'[1]资源-钻石'!U444</f>
        <v>2864580.2160776258</v>
      </c>
      <c r="L444" s="14">
        <f>'[1]资源-钻石'!V444</f>
        <v>5121048.237685388</v>
      </c>
      <c r="M444" s="14">
        <f>'[1]资源-钻石'!W444</f>
        <v>14492003.061453927</v>
      </c>
      <c r="N444" s="14">
        <f>'[1]资源-钻石'!X444</f>
        <v>35347040.867599316</v>
      </c>
    </row>
    <row r="445" spans="9:14" x14ac:dyDescent="0.15">
      <c r="I445" s="14">
        <v>442</v>
      </c>
      <c r="J445" s="14">
        <f>'[1]资源-钻石'!T445</f>
        <v>1931880.665297549</v>
      </c>
      <c r="K445" s="14">
        <f>'[1]资源-钻石'!U445</f>
        <v>2870148.7318273042</v>
      </c>
      <c r="L445" s="14">
        <f>'[1]资源-钻石'!V445</f>
        <v>5131625.6050100354</v>
      </c>
      <c r="M445" s="14">
        <f>'[1]资源-钻石'!W445</f>
        <v>14523658.165511038</v>
      </c>
      <c r="N445" s="14">
        <f>'[1]资源-钻石'!X445</f>
        <v>35425716.482062139</v>
      </c>
    </row>
    <row r="446" spans="9:14" x14ac:dyDescent="0.15">
      <c r="I446" s="14">
        <v>443</v>
      </c>
      <c r="J446" s="14">
        <f>'[1]资源-钻石'!T446</f>
        <v>1935415.6796154389</v>
      </c>
      <c r="K446" s="14">
        <f>'[1]资源-钻石'!U446</f>
        <v>2875717.2475769832</v>
      </c>
      <c r="L446" s="14">
        <f>'[1]资源-钻石'!V446</f>
        <v>5142202.972334682</v>
      </c>
      <c r="M446" s="14">
        <f>'[1]资源-钻石'!W446</f>
        <v>14555313.269568151</v>
      </c>
      <c r="N446" s="14">
        <f>'[1]资源-钻石'!X446</f>
        <v>35504392.096524961</v>
      </c>
    </row>
    <row r="447" spans="9:14" x14ac:dyDescent="0.15">
      <c r="I447" s="14">
        <v>444</v>
      </c>
      <c r="J447" s="14">
        <f>'[1]资源-钻石'!T447</f>
        <v>1938950.6939333288</v>
      </c>
      <c r="K447" s="14">
        <f>'[1]资源-钻石'!U447</f>
        <v>2881285.7633266621</v>
      </c>
      <c r="L447" s="14">
        <f>'[1]资源-钻石'!V447</f>
        <v>5152780.3396593286</v>
      </c>
      <c r="M447" s="14">
        <f>'[1]资源-钻石'!W447</f>
        <v>14586968.373625262</v>
      </c>
      <c r="N447" s="14">
        <f>'[1]资源-钻石'!X447</f>
        <v>35583067.710987784</v>
      </c>
    </row>
    <row r="448" spans="9:14" x14ac:dyDescent="0.15">
      <c r="I448" s="14">
        <v>445</v>
      </c>
      <c r="J448" s="14">
        <f>'[1]资源-钻石'!T448</f>
        <v>1942485.7082512185</v>
      </c>
      <c r="K448" s="14">
        <f>'[1]资源-钻石'!U448</f>
        <v>2886854.2790763406</v>
      </c>
      <c r="L448" s="14">
        <f>'[1]资源-钻石'!V448</f>
        <v>5163357.7069839751</v>
      </c>
      <c r="M448" s="14">
        <f>'[1]资源-钻石'!W448</f>
        <v>14618623.477682373</v>
      </c>
      <c r="N448" s="14">
        <f>'[1]资源-钻石'!X448</f>
        <v>35661743.325450607</v>
      </c>
    </row>
    <row r="449" spans="9:14" x14ac:dyDescent="0.15">
      <c r="I449" s="14">
        <v>446</v>
      </c>
      <c r="J449" s="14">
        <f>'[1]资源-钻石'!T449</f>
        <v>1946020.7225691085</v>
      </c>
      <c r="K449" s="14">
        <f>'[1]资源-钻石'!U449</f>
        <v>2892422.7948260196</v>
      </c>
      <c r="L449" s="14">
        <f>'[1]资源-钻石'!V449</f>
        <v>5173935.0743086217</v>
      </c>
      <c r="M449" s="14">
        <f>'[1]资源-钻石'!W449</f>
        <v>14650278.581739483</v>
      </c>
      <c r="N449" s="14">
        <f>'[1]资源-钻石'!X449</f>
        <v>35740418.939913429</v>
      </c>
    </row>
    <row r="450" spans="9:14" x14ac:dyDescent="0.15">
      <c r="I450" s="14">
        <v>447</v>
      </c>
      <c r="J450" s="14">
        <f>'[1]资源-钻石'!T450</f>
        <v>1949555.7368869982</v>
      </c>
      <c r="K450" s="14">
        <f>'[1]资源-钻石'!U450</f>
        <v>2897991.3105756985</v>
      </c>
      <c r="L450" s="14">
        <f>'[1]资源-钻石'!V450</f>
        <v>5184512.4416332683</v>
      </c>
      <c r="M450" s="14">
        <f>'[1]资源-钻石'!W450</f>
        <v>14681933.685796596</v>
      </c>
      <c r="N450" s="14">
        <f>'[1]资源-钻石'!X450</f>
        <v>35819094.554376252</v>
      </c>
    </row>
    <row r="451" spans="9:14" x14ac:dyDescent="0.15">
      <c r="I451" s="14">
        <v>448</v>
      </c>
      <c r="J451" s="14">
        <f>'[1]资源-钻石'!T451</f>
        <v>1953090.7512048881</v>
      </c>
      <c r="K451" s="14">
        <f>'[1]资源-钻石'!U451</f>
        <v>2903559.826325377</v>
      </c>
      <c r="L451" s="14">
        <f>'[1]资源-钻石'!V451</f>
        <v>5195089.8089579148</v>
      </c>
      <c r="M451" s="14">
        <f>'[1]资源-钻石'!W451</f>
        <v>14713588.789853707</v>
      </c>
      <c r="N451" s="14">
        <f>'[1]资源-钻石'!X451</f>
        <v>35897770.168839075</v>
      </c>
    </row>
    <row r="452" spans="9:14" x14ac:dyDescent="0.15">
      <c r="I452" s="14">
        <v>449</v>
      </c>
      <c r="J452" s="14">
        <f>'[1]资源-钻石'!T452</f>
        <v>1956625.7655227778</v>
      </c>
      <c r="K452" s="14">
        <f>'[1]资源-钻石'!U452</f>
        <v>2909128.3420750559</v>
      </c>
      <c r="L452" s="14">
        <f>'[1]资源-钻石'!V452</f>
        <v>5205667.1762825623</v>
      </c>
      <c r="M452" s="14">
        <f>'[1]资源-钻石'!W452</f>
        <v>14745243.893910818</v>
      </c>
      <c r="N452" s="14">
        <f>'[1]资源-钻石'!X452</f>
        <v>35976445.783301897</v>
      </c>
    </row>
    <row r="453" spans="9:14" x14ac:dyDescent="0.15">
      <c r="I453" s="14">
        <v>450</v>
      </c>
      <c r="J453" s="14">
        <f>'[1]资源-钻石'!T453</f>
        <v>1960160.7798406677</v>
      </c>
      <c r="K453" s="14">
        <f>'[1]资源-钻石'!U453</f>
        <v>2914696.8578247349</v>
      </c>
      <c r="L453" s="14">
        <f>'[1]资源-钻石'!V453</f>
        <v>5216244.5436072089</v>
      </c>
      <c r="M453" s="14">
        <f>'[1]资源-钻石'!W453</f>
        <v>14776898.997967931</v>
      </c>
      <c r="N453" s="14">
        <f>'[1]资源-钻石'!X453</f>
        <v>36055121.39776472</v>
      </c>
    </row>
    <row r="454" spans="9:14" x14ac:dyDescent="0.15">
      <c r="I454" s="14">
        <v>451</v>
      </c>
      <c r="J454" s="14">
        <f>'[1]资源-钻石'!T454</f>
        <v>1963695.7941585574</v>
      </c>
      <c r="K454" s="14">
        <f>'[1]资源-钻石'!U454</f>
        <v>2920265.3735744134</v>
      </c>
      <c r="L454" s="14">
        <f>'[1]资源-钻石'!V454</f>
        <v>5226821.9109318554</v>
      </c>
      <c r="M454" s="14">
        <f>'[1]资源-钻石'!W454</f>
        <v>14808554.102025041</v>
      </c>
      <c r="N454" s="14">
        <f>'[1]资源-钻石'!X454</f>
        <v>36133797.012227543</v>
      </c>
    </row>
    <row r="455" spans="9:14" x14ac:dyDescent="0.15">
      <c r="I455" s="14">
        <v>452</v>
      </c>
      <c r="J455" s="14">
        <f>'[1]资源-钻石'!T455</f>
        <v>1967230.8084764474</v>
      </c>
      <c r="K455" s="14">
        <f>'[1]资源-钻石'!U455</f>
        <v>2925833.8893240923</v>
      </c>
      <c r="L455" s="14">
        <f>'[1]资源-钻石'!V455</f>
        <v>5237399.278256502</v>
      </c>
      <c r="M455" s="14">
        <f>'[1]资源-钻石'!W455</f>
        <v>14840209.206082152</v>
      </c>
      <c r="N455" s="14">
        <f>'[1]资源-钻石'!X455</f>
        <v>36212472.626690365</v>
      </c>
    </row>
    <row r="456" spans="9:14" x14ac:dyDescent="0.15">
      <c r="I456" s="14">
        <v>453</v>
      </c>
      <c r="J456" s="14">
        <f>'[1]资源-钻石'!T456</f>
        <v>1970765.8227943371</v>
      </c>
      <c r="K456" s="14">
        <f>'[1]资源-钻石'!U456</f>
        <v>2931402.4050737713</v>
      </c>
      <c r="L456" s="14">
        <f>'[1]资源-钻石'!V456</f>
        <v>5247976.6455811486</v>
      </c>
      <c r="M456" s="14">
        <f>'[1]资源-钻石'!W456</f>
        <v>14871864.310139263</v>
      </c>
      <c r="N456" s="14">
        <f>'[1]资源-钻石'!X456</f>
        <v>36291148.241153188</v>
      </c>
    </row>
    <row r="457" spans="9:14" x14ac:dyDescent="0.15">
      <c r="I457" s="14">
        <v>454</v>
      </c>
      <c r="J457" s="14">
        <f>'[1]资源-钻石'!T457</f>
        <v>1974300.837112227</v>
      </c>
      <c r="K457" s="14">
        <f>'[1]资源-钻石'!U457</f>
        <v>2936970.9208234502</v>
      </c>
      <c r="L457" s="14">
        <f>'[1]资源-钻石'!V457</f>
        <v>5258554.0129057951</v>
      </c>
      <c r="M457" s="14">
        <f>'[1]资源-钻石'!W457</f>
        <v>14903519.414196376</v>
      </c>
      <c r="N457" s="14">
        <f>'[1]资源-钻石'!X457</f>
        <v>36369823.855616011</v>
      </c>
    </row>
    <row r="458" spans="9:14" x14ac:dyDescent="0.15">
      <c r="I458" s="14">
        <v>455</v>
      </c>
      <c r="J458" s="14">
        <f>'[1]资源-钻石'!T458</f>
        <v>1977835.8514301167</v>
      </c>
      <c r="K458" s="14">
        <f>'[1]资源-钻石'!U458</f>
        <v>2942539.4365731287</v>
      </c>
      <c r="L458" s="14">
        <f>'[1]资源-钻石'!V458</f>
        <v>5269131.3802304417</v>
      </c>
      <c r="M458" s="14">
        <f>'[1]资源-钻石'!W458</f>
        <v>14935174.518253487</v>
      </c>
      <c r="N458" s="14">
        <f>'[1]资源-钻石'!X458</f>
        <v>36448499.470078833</v>
      </c>
    </row>
    <row r="459" spans="9:14" x14ac:dyDescent="0.15">
      <c r="I459" s="14">
        <v>456</v>
      </c>
      <c r="J459" s="14">
        <f>'[1]资源-钻石'!T459</f>
        <v>1981370.8657480066</v>
      </c>
      <c r="K459" s="14">
        <f>'[1]资源-钻石'!U459</f>
        <v>2948107.9523228076</v>
      </c>
      <c r="L459" s="14">
        <f>'[1]资源-钻石'!V459</f>
        <v>5279708.7475550883</v>
      </c>
      <c r="M459" s="14">
        <f>'[1]资源-钻石'!W459</f>
        <v>14966829.622310597</v>
      </c>
      <c r="N459" s="14">
        <f>'[1]资源-钻石'!X459</f>
        <v>36527175.084541656</v>
      </c>
    </row>
    <row r="460" spans="9:14" x14ac:dyDescent="0.15">
      <c r="I460" s="14">
        <v>457</v>
      </c>
      <c r="J460" s="14">
        <f>'[1]资源-钻石'!T460</f>
        <v>1984905.8800658965</v>
      </c>
      <c r="K460" s="14">
        <f>'[1]资源-钻石'!U460</f>
        <v>2953676.4680724866</v>
      </c>
      <c r="L460" s="14">
        <f>'[1]资源-钻石'!V460</f>
        <v>5290286.1148797348</v>
      </c>
      <c r="M460" s="14">
        <f>'[1]资源-钻石'!W460</f>
        <v>14998484.72636771</v>
      </c>
      <c r="N460" s="14">
        <f>'[1]资源-钻石'!X460</f>
        <v>36605850.699004479</v>
      </c>
    </row>
    <row r="461" spans="9:14" x14ac:dyDescent="0.15">
      <c r="I461" s="14">
        <v>458</v>
      </c>
      <c r="J461" s="14">
        <f>'[1]资源-钻石'!T461</f>
        <v>1988440.8943837862</v>
      </c>
      <c r="K461" s="14">
        <f>'[1]资源-钻石'!U461</f>
        <v>2959244.9838221651</v>
      </c>
      <c r="L461" s="14">
        <f>'[1]资源-钻石'!V461</f>
        <v>5300863.4822043823</v>
      </c>
      <c r="M461" s="14">
        <f>'[1]资源-钻石'!W461</f>
        <v>15030139.830424821</v>
      </c>
      <c r="N461" s="14">
        <f>'[1]资源-钻石'!X461</f>
        <v>36684526.313467301</v>
      </c>
    </row>
    <row r="462" spans="9:14" x14ac:dyDescent="0.15">
      <c r="I462" s="14">
        <v>459</v>
      </c>
      <c r="J462" s="14">
        <f>'[1]资源-钻石'!T462</f>
        <v>1991975.9087016762</v>
      </c>
      <c r="K462" s="14">
        <f>'[1]资源-钻石'!U462</f>
        <v>2964813.499571844</v>
      </c>
      <c r="L462" s="14">
        <f>'[1]资源-钻石'!V462</f>
        <v>5311440.8495290289</v>
      </c>
      <c r="M462" s="14">
        <f>'[1]资源-钻石'!W462</f>
        <v>15061794.934481932</v>
      </c>
      <c r="N462" s="14">
        <f>'[1]资源-钻石'!X462</f>
        <v>36763201.927930124</v>
      </c>
    </row>
    <row r="463" spans="9:14" x14ac:dyDescent="0.15">
      <c r="I463" s="14">
        <v>460</v>
      </c>
      <c r="J463" s="14">
        <f>'[1]资源-钻石'!T463</f>
        <v>1995510.9230195659</v>
      </c>
      <c r="K463" s="14">
        <f>'[1]资源-钻石'!U463</f>
        <v>2970382.015321523</v>
      </c>
      <c r="L463" s="14">
        <f>'[1]资源-钻石'!V463</f>
        <v>5322018.2168536754</v>
      </c>
      <c r="M463" s="14">
        <f>'[1]资源-钻石'!W463</f>
        <v>15093450.038539043</v>
      </c>
      <c r="N463" s="14">
        <f>'[1]资源-钻石'!X463</f>
        <v>36841877.542392947</v>
      </c>
    </row>
    <row r="464" spans="9:14" x14ac:dyDescent="0.15">
      <c r="I464" s="14">
        <v>461</v>
      </c>
      <c r="J464" s="14">
        <f>'[1]资源-钻石'!T464</f>
        <v>1999045.9373374558</v>
      </c>
      <c r="K464" s="14">
        <f>'[1]资源-钻石'!U464</f>
        <v>2975950.5310712014</v>
      </c>
      <c r="L464" s="14">
        <f>'[1]资源-钻石'!V464</f>
        <v>5332595.584178322</v>
      </c>
      <c r="M464" s="14">
        <f>'[1]资源-钻石'!W464</f>
        <v>15125105.142596155</v>
      </c>
      <c r="N464" s="14">
        <f>'[1]资源-钻石'!X464</f>
        <v>36920553.156855769</v>
      </c>
    </row>
    <row r="465" spans="9:14" x14ac:dyDescent="0.15">
      <c r="I465" s="14">
        <v>462</v>
      </c>
      <c r="J465" s="14">
        <f>'[1]资源-钻石'!T465</f>
        <v>2002580.9516553455</v>
      </c>
      <c r="K465" s="14">
        <f>'[1]资源-钻石'!U465</f>
        <v>2981519.0468208804</v>
      </c>
      <c r="L465" s="14">
        <f>'[1]资源-钻石'!V465</f>
        <v>5343172.9515029686</v>
      </c>
      <c r="M465" s="14">
        <f>'[1]资源-钻石'!W465</f>
        <v>15156760.246653266</v>
      </c>
      <c r="N465" s="14">
        <f>'[1]资源-钻石'!X465</f>
        <v>36999228.771318592</v>
      </c>
    </row>
    <row r="466" spans="9:14" x14ac:dyDescent="0.15">
      <c r="I466" s="14">
        <v>463</v>
      </c>
      <c r="J466" s="14">
        <f>'[1]资源-钻石'!T466</f>
        <v>2006115.9659732354</v>
      </c>
      <c r="K466" s="14">
        <f>'[1]资源-钻石'!U466</f>
        <v>2987087.5625705593</v>
      </c>
      <c r="L466" s="14">
        <f>'[1]资源-钻石'!V466</f>
        <v>5353750.3188276151</v>
      </c>
      <c r="M466" s="14">
        <f>'[1]资源-钻石'!W466</f>
        <v>15188415.350710377</v>
      </c>
      <c r="N466" s="14">
        <f>'[1]资源-钻石'!X466</f>
        <v>37077904.385781415</v>
      </c>
    </row>
    <row r="467" spans="9:14" x14ac:dyDescent="0.15">
      <c r="I467" s="14">
        <v>464</v>
      </c>
      <c r="J467" s="14">
        <f>'[1]资源-钻石'!T467</f>
        <v>2009650.9802911251</v>
      </c>
      <c r="K467" s="14">
        <f>'[1]资源-钻石'!U467</f>
        <v>2992656.0783202378</v>
      </c>
      <c r="L467" s="14">
        <f>'[1]资源-钻石'!V467</f>
        <v>5364327.6861522617</v>
      </c>
      <c r="M467" s="14">
        <f>'[1]资源-钻石'!W467</f>
        <v>15220070.45476749</v>
      </c>
      <c r="N467" s="14">
        <f>'[1]资源-钻石'!X467</f>
        <v>37156580.000244237</v>
      </c>
    </row>
    <row r="468" spans="9:14" x14ac:dyDescent="0.15">
      <c r="I468" s="14">
        <v>465</v>
      </c>
      <c r="J468" s="14">
        <f>'[1]资源-钻石'!T468</f>
        <v>2013185.9946090151</v>
      </c>
      <c r="K468" s="14">
        <f>'[1]资源-钻石'!U468</f>
        <v>2998224.5940699168</v>
      </c>
      <c r="L468" s="14">
        <f>'[1]资源-钻石'!V468</f>
        <v>5374905.0534769092</v>
      </c>
      <c r="M468" s="14">
        <f>'[1]资源-钻石'!W468</f>
        <v>15251725.558824601</v>
      </c>
      <c r="N468" s="14">
        <f>'[1]资源-钻石'!X468</f>
        <v>37235255.61470706</v>
      </c>
    </row>
    <row r="469" spans="9:14" x14ac:dyDescent="0.15">
      <c r="I469" s="14">
        <v>466</v>
      </c>
      <c r="J469" s="14">
        <f>'[1]资源-钻石'!T469</f>
        <v>2016721.0089269048</v>
      </c>
      <c r="K469" s="14">
        <f>'[1]资源-钻石'!U469</f>
        <v>3003793.1098195957</v>
      </c>
      <c r="L469" s="14">
        <f>'[1]资源-钻石'!V469</f>
        <v>5385482.4208015557</v>
      </c>
      <c r="M469" s="14">
        <f>'[1]资源-钻石'!W469</f>
        <v>15283380.662881711</v>
      </c>
      <c r="N469" s="14">
        <f>'[1]资源-钻石'!X469</f>
        <v>37313931.229169883</v>
      </c>
    </row>
    <row r="470" spans="9:14" x14ac:dyDescent="0.15">
      <c r="I470" s="14">
        <v>467</v>
      </c>
      <c r="J470" s="14">
        <f>'[1]资源-钻石'!T470</f>
        <v>2020256.0232447947</v>
      </c>
      <c r="K470" s="14">
        <f>'[1]资源-钻石'!U470</f>
        <v>3009361.6255692746</v>
      </c>
      <c r="L470" s="14">
        <f>'[1]资源-钻石'!V470</f>
        <v>5396059.7881262023</v>
      </c>
      <c r="M470" s="14">
        <f>'[1]资源-钻石'!W470</f>
        <v>15315035.766938822</v>
      </c>
      <c r="N470" s="14">
        <f>'[1]资源-钻石'!X470</f>
        <v>37392606.843632706</v>
      </c>
    </row>
    <row r="471" spans="9:14" x14ac:dyDescent="0.15">
      <c r="I471" s="14">
        <v>468</v>
      </c>
      <c r="J471" s="14">
        <f>'[1]资源-钻石'!T471</f>
        <v>2023791.0375626844</v>
      </c>
      <c r="K471" s="14">
        <f>'[1]资源-钻石'!U471</f>
        <v>3014930.1413189531</v>
      </c>
      <c r="L471" s="14">
        <f>'[1]资源-钻石'!V471</f>
        <v>5406637.1554508489</v>
      </c>
      <c r="M471" s="14">
        <f>'[1]资源-钻石'!W471</f>
        <v>15346690.870995935</v>
      </c>
      <c r="N471" s="14">
        <f>'[1]资源-钻石'!X471</f>
        <v>37471282.458095528</v>
      </c>
    </row>
    <row r="472" spans="9:14" x14ac:dyDescent="0.15">
      <c r="I472" s="14">
        <v>469</v>
      </c>
      <c r="J472" s="14">
        <f>'[1]资源-钻石'!T472</f>
        <v>2027326.0518805743</v>
      </c>
      <c r="K472" s="14">
        <f>'[1]资源-钻石'!U472</f>
        <v>3020498.6570686321</v>
      </c>
      <c r="L472" s="14">
        <f>'[1]资源-钻石'!V472</f>
        <v>5417214.5227754954</v>
      </c>
      <c r="M472" s="14">
        <f>'[1]资源-钻石'!W472</f>
        <v>15378345.975053046</v>
      </c>
      <c r="N472" s="14">
        <f>'[1]资源-钻石'!X472</f>
        <v>37549958.072558351</v>
      </c>
    </row>
    <row r="473" spans="9:14" x14ac:dyDescent="0.15">
      <c r="I473" s="14">
        <v>470</v>
      </c>
      <c r="J473" s="14">
        <f>'[1]资源-钻石'!T473</f>
        <v>2030861.066198464</v>
      </c>
      <c r="K473" s="14">
        <f>'[1]资源-钻石'!U473</f>
        <v>3026067.172818311</v>
      </c>
      <c r="L473" s="14">
        <f>'[1]资源-钻石'!V473</f>
        <v>5427791.890100142</v>
      </c>
      <c r="M473" s="14">
        <f>'[1]资源-钻石'!W473</f>
        <v>15410001.079110157</v>
      </c>
      <c r="N473" s="14">
        <f>'[1]资源-钻石'!X473</f>
        <v>37628633.687021174</v>
      </c>
    </row>
    <row r="474" spans="9:14" x14ac:dyDescent="0.15">
      <c r="I474" s="14">
        <v>471</v>
      </c>
      <c r="J474" s="14">
        <f>'[1]资源-钻石'!T474</f>
        <v>2034396.0805163539</v>
      </c>
      <c r="K474" s="14">
        <f>'[1]资源-钻石'!U474</f>
        <v>3031635.6885679895</v>
      </c>
      <c r="L474" s="14">
        <f>'[1]资源-钻石'!V474</f>
        <v>5438369.2574247885</v>
      </c>
      <c r="M474" s="14">
        <f>'[1]资源-钻石'!W474</f>
        <v>15441656.183167269</v>
      </c>
      <c r="N474" s="14">
        <f>'[1]资源-钻石'!X474</f>
        <v>37707309.301483996</v>
      </c>
    </row>
    <row r="475" spans="9:14" x14ac:dyDescent="0.15">
      <c r="I475" s="14">
        <v>472</v>
      </c>
      <c r="J475" s="14">
        <f>'[1]资源-钻石'!T475</f>
        <v>2037931.0948342439</v>
      </c>
      <c r="K475" s="14">
        <f>'[1]资源-钻石'!U475</f>
        <v>3037204.2043176685</v>
      </c>
      <c r="L475" s="14">
        <f>'[1]资源-钻石'!V475</f>
        <v>5448946.6247494351</v>
      </c>
      <c r="M475" s="14">
        <f>'[1]资源-钻石'!W475</f>
        <v>15473311.28722438</v>
      </c>
      <c r="N475" s="14">
        <f>'[1]资源-钻石'!X475</f>
        <v>37785984.915946819</v>
      </c>
    </row>
    <row r="476" spans="9:14" x14ac:dyDescent="0.15">
      <c r="I476" s="14">
        <v>473</v>
      </c>
      <c r="J476" s="14">
        <f>'[1]资源-钻石'!T476</f>
        <v>2041466.1091521336</v>
      </c>
      <c r="K476" s="14">
        <f>'[1]资源-钻石'!U476</f>
        <v>3042772.7200673474</v>
      </c>
      <c r="L476" s="14">
        <f>'[1]资源-钻石'!V476</f>
        <v>5459523.9920740826</v>
      </c>
      <c r="M476" s="14">
        <f>'[1]资源-钻石'!W476</f>
        <v>15504966.391281491</v>
      </c>
      <c r="N476" s="14">
        <f>'[1]资源-钻石'!X476</f>
        <v>37864660.530409642</v>
      </c>
    </row>
    <row r="477" spans="9:14" x14ac:dyDescent="0.15">
      <c r="I477" s="14">
        <v>474</v>
      </c>
      <c r="J477" s="14">
        <f>'[1]资源-钻石'!T477</f>
        <v>2045001.1234700235</v>
      </c>
      <c r="K477" s="14">
        <f>'[1]资源-钻石'!U477</f>
        <v>3048341.2358170259</v>
      </c>
      <c r="L477" s="14">
        <f>'[1]资源-钻石'!V477</f>
        <v>5470101.3593987292</v>
      </c>
      <c r="M477" s="14">
        <f>'[1]资源-钻石'!W477</f>
        <v>15536621.495338602</v>
      </c>
      <c r="N477" s="14">
        <f>'[1]资源-钻石'!X477</f>
        <v>37943336.144872457</v>
      </c>
    </row>
    <row r="478" spans="9:14" x14ac:dyDescent="0.15">
      <c r="I478" s="14">
        <v>475</v>
      </c>
      <c r="J478" s="14">
        <f>'[1]资源-钻石'!T478</f>
        <v>2048536.1377879132</v>
      </c>
      <c r="K478" s="14">
        <f>'[1]资源-钻石'!U478</f>
        <v>3053909.7515667048</v>
      </c>
      <c r="L478" s="14">
        <f>'[1]资源-钻石'!V478</f>
        <v>5480678.7267233757</v>
      </c>
      <c r="M478" s="14">
        <f>'[1]资源-钻石'!W478</f>
        <v>15568276.599395715</v>
      </c>
      <c r="N478" s="14">
        <f>'[1]资源-钻石'!X478</f>
        <v>38022011.759335279</v>
      </c>
    </row>
    <row r="479" spans="9:14" x14ac:dyDescent="0.15">
      <c r="I479" s="14">
        <v>476</v>
      </c>
      <c r="J479" s="14">
        <f>'[1]资源-钻石'!T479</f>
        <v>2052071.1521058031</v>
      </c>
      <c r="K479" s="14">
        <f>'[1]资源-钻石'!U479</f>
        <v>3059478.2673163838</v>
      </c>
      <c r="L479" s="14">
        <f>'[1]资源-钻石'!V479</f>
        <v>5491256.0940480223</v>
      </c>
      <c r="M479" s="14">
        <f>'[1]资源-钻石'!W479</f>
        <v>15599931.703452826</v>
      </c>
      <c r="N479" s="14">
        <f>'[1]资源-钻石'!X479</f>
        <v>38100687.373798102</v>
      </c>
    </row>
    <row r="480" spans="9:14" x14ac:dyDescent="0.15">
      <c r="I480" s="14">
        <v>477</v>
      </c>
      <c r="J480" s="14">
        <f>'[1]资源-钻石'!T480</f>
        <v>2055606.1664236928</v>
      </c>
      <c r="K480" s="14">
        <f>'[1]资源-钻石'!U480</f>
        <v>3065046.7830660627</v>
      </c>
      <c r="L480" s="14">
        <f>'[1]资源-钻石'!V480</f>
        <v>5501833.4613726689</v>
      </c>
      <c r="M480" s="14">
        <f>'[1]资源-钻石'!W480</f>
        <v>15631586.807509936</v>
      </c>
      <c r="N480" s="14">
        <f>'[1]资源-钻石'!X480</f>
        <v>38179362.988260925</v>
      </c>
    </row>
    <row r="481" spans="9:14" x14ac:dyDescent="0.15">
      <c r="I481" s="14">
        <v>478</v>
      </c>
      <c r="J481" s="14">
        <f>'[1]资源-钻石'!T481</f>
        <v>2059141.1807415828</v>
      </c>
      <c r="K481" s="14">
        <f>'[1]资源-钻石'!U481</f>
        <v>3070615.2988157412</v>
      </c>
      <c r="L481" s="14">
        <f>'[1]资源-钻石'!V481</f>
        <v>5512410.8286973154</v>
      </c>
      <c r="M481" s="14">
        <f>'[1]资源-钻石'!W481</f>
        <v>15663241.911567047</v>
      </c>
      <c r="N481" s="14">
        <f>'[1]资源-钻石'!X481</f>
        <v>38258038.602723747</v>
      </c>
    </row>
    <row r="482" spans="9:14" x14ac:dyDescent="0.15">
      <c r="I482" s="14">
        <v>479</v>
      </c>
      <c r="J482" s="14">
        <f>'[1]资源-钻石'!T482</f>
        <v>2062676.1950594725</v>
      </c>
      <c r="K482" s="14">
        <f>'[1]资源-钻石'!U482</f>
        <v>3076183.8145654202</v>
      </c>
      <c r="L482" s="14">
        <f>'[1]资源-钻石'!V482</f>
        <v>5522988.196021962</v>
      </c>
      <c r="M482" s="14">
        <f>'[1]资源-钻石'!W482</f>
        <v>15694897.01562416</v>
      </c>
      <c r="N482" s="14">
        <f>'[1]资源-钻石'!X482</f>
        <v>38336714.21718657</v>
      </c>
    </row>
    <row r="483" spans="9:14" x14ac:dyDescent="0.15">
      <c r="I483" s="14">
        <v>480</v>
      </c>
      <c r="J483" s="14">
        <f>'[1]资源-钻石'!T483</f>
        <v>2066211.2093773624</v>
      </c>
      <c r="K483" s="14">
        <f>'[1]资源-钻石'!U483</f>
        <v>3081752.3303150991</v>
      </c>
      <c r="L483" s="14">
        <f>'[1]资源-钻石'!V483</f>
        <v>5533565.5633466095</v>
      </c>
      <c r="M483" s="14">
        <f>'[1]资源-钻石'!W483</f>
        <v>15726552.119681271</v>
      </c>
      <c r="N483" s="14">
        <f>'[1]资源-钻石'!X483</f>
        <v>38415389.831649393</v>
      </c>
    </row>
    <row r="484" spans="9:14" x14ac:dyDescent="0.15">
      <c r="I484" s="14">
        <v>481</v>
      </c>
      <c r="J484" s="14">
        <f>'[1]资源-钻石'!T484</f>
        <v>2069746.2236952521</v>
      </c>
      <c r="K484" s="14">
        <f>'[1]资源-钻石'!U484</f>
        <v>3087320.8460647776</v>
      </c>
      <c r="L484" s="14">
        <f>'[1]资源-钻石'!V484</f>
        <v>5544142.930671256</v>
      </c>
      <c r="M484" s="14">
        <f>'[1]资源-钻石'!W484</f>
        <v>15758207.223738382</v>
      </c>
      <c r="N484" s="14">
        <f>'[1]资源-钻石'!X484</f>
        <v>38494065.446112216</v>
      </c>
    </row>
    <row r="485" spans="9:14" x14ac:dyDescent="0.15">
      <c r="I485" s="14">
        <v>482</v>
      </c>
      <c r="J485" s="14">
        <f>'[1]资源-钻石'!T485</f>
        <v>2073281.238013142</v>
      </c>
      <c r="K485" s="14">
        <f>'[1]资源-钻石'!U485</f>
        <v>3092889.3618144565</v>
      </c>
      <c r="L485" s="14">
        <f>'[1]资源-钻石'!V485</f>
        <v>5554720.2979959026</v>
      </c>
      <c r="M485" s="14">
        <f>'[1]资源-钻石'!W485</f>
        <v>15789862.327795492</v>
      </c>
      <c r="N485" s="14">
        <f>'[1]资源-钻石'!X485</f>
        <v>38572741.060575038</v>
      </c>
    </row>
    <row r="486" spans="9:14" x14ac:dyDescent="0.15">
      <c r="I486" s="14">
        <v>483</v>
      </c>
      <c r="J486" s="14">
        <f>'[1]资源-钻石'!T486</f>
        <v>2076816.2523310317</v>
      </c>
      <c r="K486" s="14">
        <f>'[1]资源-钻石'!U486</f>
        <v>3098457.8775641355</v>
      </c>
      <c r="L486" s="14">
        <f>'[1]资源-钻石'!V486</f>
        <v>5565297.6653205492</v>
      </c>
      <c r="M486" s="14">
        <f>'[1]资源-钻石'!W486</f>
        <v>15821517.431852605</v>
      </c>
      <c r="N486" s="14">
        <f>'[1]资源-钻石'!X486</f>
        <v>38651416.675037861</v>
      </c>
    </row>
    <row r="487" spans="9:14" x14ac:dyDescent="0.15">
      <c r="I487" s="14">
        <v>484</v>
      </c>
      <c r="J487" s="14">
        <f>'[1]资源-钻石'!T487</f>
        <v>2080351.2666489216</v>
      </c>
      <c r="K487" s="14">
        <f>'[1]资源-钻石'!U487</f>
        <v>3104026.3933138144</v>
      </c>
      <c r="L487" s="14">
        <f>'[1]资源-钻石'!V487</f>
        <v>5575875.0326451957</v>
      </c>
      <c r="M487" s="14">
        <f>'[1]资源-钻石'!W487</f>
        <v>15853172.535909716</v>
      </c>
      <c r="N487" s="14">
        <f>'[1]资源-钻石'!X487</f>
        <v>38730092.289500684</v>
      </c>
    </row>
    <row r="488" spans="9:14" x14ac:dyDescent="0.15">
      <c r="I488" s="14">
        <v>485</v>
      </c>
      <c r="J488" s="14">
        <f>'[1]资源-钻石'!T488</f>
        <v>2083886.2809668113</v>
      </c>
      <c r="K488" s="14">
        <f>'[1]资源-钻石'!U488</f>
        <v>3109594.9090634929</v>
      </c>
      <c r="L488" s="14">
        <f>'[1]资源-钻石'!V488</f>
        <v>5586452.3999698423</v>
      </c>
      <c r="M488" s="14">
        <f>'[1]资源-钻石'!W488</f>
        <v>15884827.639966827</v>
      </c>
      <c r="N488" s="14">
        <f>'[1]资源-钻石'!X488</f>
        <v>38808767.903963506</v>
      </c>
    </row>
    <row r="489" spans="9:14" x14ac:dyDescent="0.15">
      <c r="I489" s="14">
        <v>486</v>
      </c>
      <c r="J489" s="14">
        <f>'[1]资源-钻石'!T489</f>
        <v>2087421.2952847013</v>
      </c>
      <c r="K489" s="14">
        <f>'[1]资源-钻石'!U489</f>
        <v>3115163.4248131718</v>
      </c>
      <c r="L489" s="14">
        <f>'[1]资源-钻石'!V489</f>
        <v>5597029.7672944888</v>
      </c>
      <c r="M489" s="14">
        <f>'[1]资源-钻石'!W489</f>
        <v>15916482.74402394</v>
      </c>
      <c r="N489" s="14">
        <f>'[1]资源-钻石'!X489</f>
        <v>38887443.518426329</v>
      </c>
    </row>
    <row r="490" spans="9:14" x14ac:dyDescent="0.15">
      <c r="I490" s="14">
        <v>487</v>
      </c>
      <c r="J490" s="14">
        <f>'[1]资源-钻石'!T490</f>
        <v>2090956.309602591</v>
      </c>
      <c r="K490" s="14">
        <f>'[1]资源-钻石'!U490</f>
        <v>3120731.9405628508</v>
      </c>
      <c r="L490" s="14">
        <f>'[1]资源-钻石'!V490</f>
        <v>5607607.1346191354</v>
      </c>
      <c r="M490" s="14">
        <f>'[1]资源-钻石'!W490</f>
        <v>15948137.84808105</v>
      </c>
      <c r="N490" s="14">
        <f>'[1]资源-钻石'!X490</f>
        <v>38966119.132889152</v>
      </c>
    </row>
    <row r="491" spans="9:14" x14ac:dyDescent="0.15">
      <c r="I491" s="14">
        <v>488</v>
      </c>
      <c r="J491" s="14">
        <f>'[1]资源-钻石'!T491</f>
        <v>2094491.3239204809</v>
      </c>
      <c r="K491" s="14">
        <f>'[1]资源-钻石'!U491</f>
        <v>3126300.4563125293</v>
      </c>
      <c r="L491" s="14">
        <f>'[1]资源-钻石'!V491</f>
        <v>5618184.5019437829</v>
      </c>
      <c r="M491" s="14">
        <f>'[1]资源-钻石'!W491</f>
        <v>15979792.952138161</v>
      </c>
      <c r="N491" s="14">
        <f>'[1]资源-钻石'!X491</f>
        <v>39044794.747351974</v>
      </c>
    </row>
    <row r="492" spans="9:14" x14ac:dyDescent="0.15">
      <c r="I492" s="14">
        <v>489</v>
      </c>
      <c r="J492" s="14">
        <f>'[1]资源-钻石'!T492</f>
        <v>2098026.3382383706</v>
      </c>
      <c r="K492" s="14">
        <f>'[1]资源-钻石'!U492</f>
        <v>3131868.9720622082</v>
      </c>
      <c r="L492" s="14">
        <f>'[1]资源-钻石'!V492</f>
        <v>5628761.8692684295</v>
      </c>
      <c r="M492" s="14">
        <f>'[1]资源-钻石'!W492</f>
        <v>16011448.056195272</v>
      </c>
      <c r="N492" s="14">
        <f>'[1]资源-钻石'!X492</f>
        <v>39123470.361814797</v>
      </c>
    </row>
    <row r="493" spans="9:14" x14ac:dyDescent="0.15">
      <c r="I493" s="14">
        <v>490</v>
      </c>
      <c r="J493" s="14">
        <f>'[1]资源-钻石'!T493</f>
        <v>2101561.3525562608</v>
      </c>
      <c r="K493" s="14">
        <f>'[1]资源-钻石'!U493</f>
        <v>3137437.4878118872</v>
      </c>
      <c r="L493" s="14">
        <f>'[1]资源-钻石'!V493</f>
        <v>5639339.236593076</v>
      </c>
      <c r="M493" s="14">
        <f>'[1]资源-钻石'!W493</f>
        <v>16043103.160252385</v>
      </c>
      <c r="N493" s="14">
        <f>'[1]资源-钻石'!X493</f>
        <v>39202145.97627762</v>
      </c>
    </row>
    <row r="494" spans="9:14" x14ac:dyDescent="0.15">
      <c r="I494" s="14">
        <v>491</v>
      </c>
      <c r="J494" s="14">
        <f>'[1]资源-钻石'!T494</f>
        <v>2105096.3668741505</v>
      </c>
      <c r="K494" s="14">
        <f>'[1]资源-钻石'!U494</f>
        <v>3143006.0035615657</v>
      </c>
      <c r="L494" s="14">
        <f>'[1]资源-钻石'!V494</f>
        <v>5649916.6039177226</v>
      </c>
      <c r="M494" s="14">
        <f>'[1]资源-钻石'!W494</f>
        <v>16074758.264309496</v>
      </c>
      <c r="N494" s="14">
        <f>'[1]资源-钻石'!X494</f>
        <v>39280821.590740442</v>
      </c>
    </row>
    <row r="495" spans="9:14" x14ac:dyDescent="0.15">
      <c r="I495" s="14">
        <v>492</v>
      </c>
      <c r="J495" s="14">
        <f>'[1]资源-钻石'!T495</f>
        <v>2108631.3811920402</v>
      </c>
      <c r="K495" s="14">
        <f>'[1]资源-钻石'!U495</f>
        <v>3148574.5193112446</v>
      </c>
      <c r="L495" s="14">
        <f>'[1]资源-钻石'!V495</f>
        <v>5660493.9712423692</v>
      </c>
      <c r="M495" s="14">
        <f>'[1]资源-钻石'!W495</f>
        <v>16106413.368366607</v>
      </c>
      <c r="N495" s="14">
        <f>'[1]资源-钻石'!X495</f>
        <v>39359497.205203265</v>
      </c>
    </row>
    <row r="496" spans="9:14" x14ac:dyDescent="0.15">
      <c r="I496" s="14">
        <v>493</v>
      </c>
      <c r="J496" s="14">
        <f>'[1]资源-钻石'!T496</f>
        <v>2112166.3955099299</v>
      </c>
      <c r="K496" s="14">
        <f>'[1]资源-钻石'!U496</f>
        <v>3154143.0350609235</v>
      </c>
      <c r="L496" s="14">
        <f>'[1]资源-钻石'!V496</f>
        <v>5671071.3385670157</v>
      </c>
      <c r="M496" s="14">
        <f>'[1]资源-钻石'!W496</f>
        <v>16138068.472423717</v>
      </c>
      <c r="N496" s="14">
        <f>'[1]资源-钻石'!X496</f>
        <v>39438172.819666088</v>
      </c>
    </row>
    <row r="497" spans="9:14" x14ac:dyDescent="0.15">
      <c r="I497" s="14">
        <v>494</v>
      </c>
      <c r="J497" s="14">
        <f>'[1]资源-钻石'!T497</f>
        <v>2115701.40982782</v>
      </c>
      <c r="K497" s="14">
        <f>'[1]资源-钻石'!U497</f>
        <v>3159711.5508106025</v>
      </c>
      <c r="L497" s="14">
        <f>'[1]资源-钻石'!V497</f>
        <v>5681648.7058916623</v>
      </c>
      <c r="M497" s="14">
        <f>'[1]资源-钻石'!W497</f>
        <v>16169723.57648083</v>
      </c>
      <c r="N497" s="14">
        <f>'[1]资源-钻石'!X497</f>
        <v>39516848.43412891</v>
      </c>
    </row>
    <row r="498" spans="9:14" x14ac:dyDescent="0.15">
      <c r="I498" s="14">
        <v>495</v>
      </c>
      <c r="J498" s="14">
        <f>'[1]资源-钻石'!T498</f>
        <v>2119236.4241457097</v>
      </c>
      <c r="K498" s="14">
        <f>'[1]资源-钻石'!U498</f>
        <v>3165280.066560281</v>
      </c>
      <c r="L498" s="14">
        <f>'[1]资源-钻石'!V498</f>
        <v>5692226.0732163088</v>
      </c>
      <c r="M498" s="14">
        <f>'[1]资源-钻石'!W498</f>
        <v>16201378.680537941</v>
      </c>
      <c r="N498" s="14">
        <f>'[1]资源-钻石'!X498</f>
        <v>39595524.048591733</v>
      </c>
    </row>
    <row r="499" spans="9:14" x14ac:dyDescent="0.15">
      <c r="I499" s="14">
        <v>496</v>
      </c>
      <c r="J499" s="14">
        <f>'[1]资源-钻石'!T499</f>
        <v>2122771.4384635994</v>
      </c>
      <c r="K499" s="14">
        <f>'[1]资源-钻石'!U499</f>
        <v>3170848.5823099599</v>
      </c>
      <c r="L499" s="14">
        <f>'[1]资源-钻石'!V499</f>
        <v>5702803.4405409563</v>
      </c>
      <c r="M499" s="14">
        <f>'[1]资源-钻石'!W499</f>
        <v>16233033.784595052</v>
      </c>
      <c r="N499" s="14">
        <f>'[1]资源-钻石'!X499</f>
        <v>39674199.663054548</v>
      </c>
    </row>
    <row r="500" spans="9:14" x14ac:dyDescent="0.15">
      <c r="I500" s="14">
        <v>497</v>
      </c>
      <c r="J500" s="14">
        <f>'[1]资源-钻石'!T500</f>
        <v>2126306.4527814891</v>
      </c>
      <c r="K500" s="14">
        <f>'[1]资源-钻石'!U500</f>
        <v>3176417.0980596389</v>
      </c>
      <c r="L500" s="14">
        <f>'[1]资源-钻石'!V500</f>
        <v>5713380.8078656029</v>
      </c>
      <c r="M500" s="14">
        <f>'[1]资源-钻石'!W500</f>
        <v>16264688.888652163</v>
      </c>
      <c r="N500" s="14">
        <f>'[1]资源-钻石'!X500</f>
        <v>39752875.277517371</v>
      </c>
    </row>
    <row r="501" spans="9:14" x14ac:dyDescent="0.15">
      <c r="I501" s="14">
        <v>498</v>
      </c>
      <c r="J501" s="14">
        <f>'[1]资源-钻石'!T501</f>
        <v>2129841.4670993793</v>
      </c>
      <c r="K501" s="14">
        <f>'[1]资源-钻石'!U501</f>
        <v>3181985.6138093174</v>
      </c>
      <c r="L501" s="14">
        <f>'[1]资源-钻石'!V501</f>
        <v>5723958.1751902495</v>
      </c>
      <c r="M501" s="14">
        <f>'[1]资源-钻石'!W501</f>
        <v>16296343.992709275</v>
      </c>
      <c r="N501" s="14">
        <f>'[1]资源-钻石'!X501</f>
        <v>39831550.891980194</v>
      </c>
    </row>
    <row r="502" spans="9:14" x14ac:dyDescent="0.15">
      <c r="I502" s="14">
        <v>499</v>
      </c>
      <c r="J502" s="14">
        <f>'[1]资源-钻石'!T502</f>
        <v>2133376.481417269</v>
      </c>
      <c r="K502" s="14">
        <f>'[1]资源-钻石'!U502</f>
        <v>3187554.1295589963</v>
      </c>
      <c r="L502" s="14">
        <f>'[1]资源-钻石'!V502</f>
        <v>5734535.542514896</v>
      </c>
      <c r="M502" s="14">
        <f>'[1]资源-钻石'!W502</f>
        <v>16327999.096766386</v>
      </c>
      <c r="N502" s="14">
        <f>'[1]资源-钻石'!X502</f>
        <v>39910226.506443016</v>
      </c>
    </row>
    <row r="503" spans="9:14" x14ac:dyDescent="0.15">
      <c r="I503" s="14">
        <v>500</v>
      </c>
      <c r="J503" s="14">
        <f>'[1]资源-钻石'!T503</f>
        <v>2136911.4957351587</v>
      </c>
      <c r="K503" s="14">
        <f>'[1]资源-钻石'!U503</f>
        <v>3193122.6453086752</v>
      </c>
      <c r="L503" s="14">
        <f>'[1]资源-钻石'!V503</f>
        <v>5745112.9098395426</v>
      </c>
      <c r="M503" s="14">
        <f>'[1]资源-钻石'!W503</f>
        <v>16359654.200823497</v>
      </c>
      <c r="N503" s="14">
        <f>'[1]资源-钻石'!X503</f>
        <v>39988902.120905839</v>
      </c>
    </row>
  </sheetData>
  <mergeCells count="7">
    <mergeCell ref="AL2:AP2"/>
    <mergeCell ref="AT2:AX2"/>
    <mergeCell ref="B2:G2"/>
    <mergeCell ref="I2:N2"/>
    <mergeCell ref="Q2:U2"/>
    <mergeCell ref="V2:Z2"/>
    <mergeCell ref="AD2:AH2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D10C5-30F2-4F4C-A1BE-D6EF870CD497}">
  <sheetPr codeName="Sheet5"/>
  <dimension ref="C2:AD105"/>
  <sheetViews>
    <sheetView workbookViewId="0">
      <selection activeCell="H44" sqref="H44"/>
    </sheetView>
  </sheetViews>
  <sheetFormatPr defaultRowHeight="11.25" x14ac:dyDescent="0.15"/>
  <cols>
    <col min="1" max="8" width="9" style="5"/>
    <col min="9" max="9" width="12.25" style="5" bestFit="1" customWidth="1"/>
    <col min="10" max="16384" width="9" style="5"/>
  </cols>
  <sheetData>
    <row r="2" spans="3:30" x14ac:dyDescent="0.15">
      <c r="G2" s="16"/>
      <c r="H2" s="16"/>
      <c r="I2" s="16"/>
      <c r="J2" s="16"/>
      <c r="K2" s="16"/>
      <c r="L2" s="16"/>
      <c r="O2" s="16"/>
      <c r="P2" s="16"/>
      <c r="Q2" s="16"/>
      <c r="R2" s="16"/>
      <c r="S2" s="16"/>
      <c r="T2" s="16"/>
      <c r="U2" s="16"/>
      <c r="V2" s="16"/>
    </row>
    <row r="3" spans="3:30" x14ac:dyDescent="0.15">
      <c r="C3" s="52" t="s">
        <v>182</v>
      </c>
      <c r="D3" s="52"/>
      <c r="M3" s="52" t="s">
        <v>182</v>
      </c>
      <c r="N3" s="52"/>
      <c r="O3" s="52" t="s">
        <v>211</v>
      </c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</row>
    <row r="4" spans="3:30" x14ac:dyDescent="0.15">
      <c r="C4" s="5" t="s">
        <v>181</v>
      </c>
      <c r="D4" s="5" t="s">
        <v>180</v>
      </c>
      <c r="G4" s="5" t="s">
        <v>206</v>
      </c>
      <c r="H4" s="5" t="s">
        <v>207</v>
      </c>
      <c r="I4" s="5" t="s">
        <v>210</v>
      </c>
      <c r="J4" s="5" t="s">
        <v>209</v>
      </c>
      <c r="M4" s="5" t="s">
        <v>181</v>
      </c>
      <c r="N4" s="5" t="s">
        <v>180</v>
      </c>
      <c r="O4" s="5">
        <v>5</v>
      </c>
      <c r="P4" s="5">
        <v>6</v>
      </c>
      <c r="Q4" s="5">
        <v>7</v>
      </c>
      <c r="R4" s="5">
        <v>8</v>
      </c>
      <c r="S4" s="5">
        <v>9</v>
      </c>
      <c r="T4" s="5">
        <v>10</v>
      </c>
      <c r="U4" s="5">
        <v>11</v>
      </c>
      <c r="V4" s="5">
        <v>12</v>
      </c>
      <c r="W4" s="5">
        <v>13</v>
      </c>
      <c r="X4" s="5">
        <v>14</v>
      </c>
      <c r="Y4" s="5">
        <v>15</v>
      </c>
      <c r="Z4" s="5">
        <v>16</v>
      </c>
      <c r="AA4" s="5">
        <v>17</v>
      </c>
      <c r="AB4" s="5">
        <v>18</v>
      </c>
      <c r="AC4" s="5">
        <v>19</v>
      </c>
      <c r="AD4" s="5">
        <v>20</v>
      </c>
    </row>
    <row r="5" spans="3:30" x14ac:dyDescent="0.15">
      <c r="C5" s="5">
        <v>0</v>
      </c>
      <c r="D5" s="5">
        <v>0</v>
      </c>
      <c r="F5" s="48" t="s">
        <v>208</v>
      </c>
      <c r="G5" s="5">
        <v>5</v>
      </c>
      <c r="H5" s="5">
        <v>6</v>
      </c>
      <c r="I5" s="5">
        <f>INDEX(阵旗升级!$E$28:$E$47,MATCH(G5,阵旗升级!$C$28:$C$47,0))*0.9/INDEX(阵旗升级!$E$28:$E$47,MATCH(H5,阵旗升级!$C$28:$C$47,0))</f>
        <v>0.72000000000000008</v>
      </c>
      <c r="J5" s="5">
        <f t="shared" ref="J5:J19" si="0">求节点($D$5:$D$45,$C$5:$C$45,0.9)-求节点($D$5:$D$45,$C$5:$C$45,I5)</f>
        <v>121.83275781297513</v>
      </c>
      <c r="M5" s="5">
        <v>0</v>
      </c>
      <c r="N5" s="5">
        <f>IF(D5="",N4,D5)</f>
        <v>0</v>
      </c>
      <c r="O5" s="5">
        <f>N5</f>
        <v>0</v>
      </c>
      <c r="P5" s="5">
        <f t="shared" ref="P5:AD5" si="1">IF(O5&lt;0.9,INDEX($I$5:$I$19,MATCH(P$4,$H$5:$H$19,0))*O5/0.9,求节点($C$5:$C$45,$D$5:$D$45,求节点($D$5:$D$45,$C$5:$C$45,INDEX($I$5:$I$19,MATCH(P$4,$H$5:$H$19,0)))+$M5-求节点(O$5:O$105,$M$5:$M$105,0.9)))</f>
        <v>0</v>
      </c>
      <c r="Q5" s="5">
        <f t="shared" si="1"/>
        <v>0</v>
      </c>
      <c r="R5" s="5">
        <f t="shared" si="1"/>
        <v>0</v>
      </c>
      <c r="S5" s="5">
        <f t="shared" si="1"/>
        <v>0</v>
      </c>
      <c r="T5" s="5">
        <f t="shared" si="1"/>
        <v>0</v>
      </c>
      <c r="U5" s="5">
        <f t="shared" si="1"/>
        <v>0</v>
      </c>
      <c r="V5" s="5">
        <f t="shared" si="1"/>
        <v>0</v>
      </c>
      <c r="W5" s="5">
        <f t="shared" si="1"/>
        <v>0</v>
      </c>
      <c r="X5" s="5">
        <f t="shared" si="1"/>
        <v>0</v>
      </c>
      <c r="Y5" s="5">
        <f t="shared" si="1"/>
        <v>0</v>
      </c>
      <c r="Z5" s="5">
        <f t="shared" si="1"/>
        <v>0</v>
      </c>
      <c r="AA5" s="5">
        <f t="shared" si="1"/>
        <v>0</v>
      </c>
      <c r="AB5" s="5">
        <f t="shared" si="1"/>
        <v>0</v>
      </c>
      <c r="AC5" s="5">
        <f t="shared" si="1"/>
        <v>0</v>
      </c>
      <c r="AD5" s="5">
        <f t="shared" si="1"/>
        <v>0</v>
      </c>
    </row>
    <row r="6" spans="3:30" x14ac:dyDescent="0.15">
      <c r="C6" s="5">
        <v>20</v>
      </c>
      <c r="D6" s="5">
        <f>INDEX([2]阵旗洗练模拟!$D$16:$AQ$16,MATCH(C6,[2]阵旗洗练模拟!$D$8:$AQ$8,0))</f>
        <v>0.52542315945625306</v>
      </c>
      <c r="F6" s="48"/>
      <c r="G6" s="5">
        <v>6</v>
      </c>
      <c r="H6" s="5">
        <v>7</v>
      </c>
      <c r="I6" s="5">
        <f>INDEX(阵旗升级!$E$28:$E$47,MATCH(G6,阵旗升级!$C$28:$C$47,0))*0.9/INDEX(阵旗升级!$E$28:$E$47,MATCH(H6,阵旗升级!$C$28:$C$47,0))</f>
        <v>0.75</v>
      </c>
      <c r="J6" s="5">
        <f t="shared" si="0"/>
        <v>112.31637809712852</v>
      </c>
      <c r="M6" s="5">
        <v>20</v>
      </c>
      <c r="N6" s="5">
        <f t="shared" ref="N6:N69" si="2">IF(D6="",N5,D6)</f>
        <v>0.52542315945625306</v>
      </c>
      <c r="O6" s="5">
        <f t="shared" ref="O6:O69" si="3">N6</f>
        <v>0.52542315945625306</v>
      </c>
      <c r="P6" s="5">
        <f t="shared" ref="P6:AD6" si="4">IF(O6&lt;0.9,INDEX($I$5:$I$19,MATCH(P$4,$H$5:$H$19,0))*O6/0.9,求节点($C$5:$C$45,$D$5:$D$45,求节点($D$5:$D$45,$C$5:$C$45,INDEX($I$5:$I$19,MATCH(P$4,$H$5:$H$19,0)))+$M6-求节点(O$5:O$105,$M$5:$M$105,0.9)))</f>
        <v>0.42033852756500251</v>
      </c>
      <c r="Q6" s="5">
        <f t="shared" si="4"/>
        <v>0.35028210630416878</v>
      </c>
      <c r="R6" s="5">
        <f t="shared" si="4"/>
        <v>0.3002418054035732</v>
      </c>
      <c r="S6" s="5">
        <f t="shared" si="4"/>
        <v>0.26271157972812653</v>
      </c>
      <c r="T6" s="5">
        <f t="shared" si="4"/>
        <v>0.23352140420277914</v>
      </c>
      <c r="U6" s="5">
        <f t="shared" si="4"/>
        <v>0.2101692637825012</v>
      </c>
      <c r="V6" s="5">
        <f t="shared" si="4"/>
        <v>0.19106296707500109</v>
      </c>
      <c r="W6" s="5">
        <f t="shared" si="4"/>
        <v>0.17514105315208436</v>
      </c>
      <c r="X6" s="5">
        <f t="shared" si="4"/>
        <v>0.16166866444807784</v>
      </c>
      <c r="Y6" s="5">
        <f t="shared" si="4"/>
        <v>0.15012090270178657</v>
      </c>
      <c r="Z6" s="5">
        <f t="shared" si="4"/>
        <v>0.14011284252166747</v>
      </c>
      <c r="AA6" s="5">
        <f t="shared" si="4"/>
        <v>0.13135578986406324</v>
      </c>
      <c r="AB6" s="5">
        <f t="shared" si="4"/>
        <v>0.12362897869558895</v>
      </c>
      <c r="AC6" s="5">
        <f t="shared" si="4"/>
        <v>0.11676070210138956</v>
      </c>
      <c r="AD6" s="5">
        <f t="shared" si="4"/>
        <v>0.11061540199079009</v>
      </c>
    </row>
    <row r="7" spans="3:30" x14ac:dyDescent="0.15">
      <c r="C7" s="5">
        <v>40</v>
      </c>
      <c r="D7" s="5">
        <f>INDEX([2]阵旗洗练模拟!$D$16:$AQ$16,MATCH(C7,[2]阵旗洗练模拟!$D$8:$AQ$8,0))</f>
        <v>0.56752616138458245</v>
      </c>
      <c r="F7" s="48"/>
      <c r="G7" s="5">
        <v>7</v>
      </c>
      <c r="H7" s="5">
        <v>8</v>
      </c>
      <c r="I7" s="5">
        <f>INDEX(阵旗升级!$E$28:$E$47,MATCH(G7,阵旗升级!$C$28:$C$47,0))*0.9/INDEX(阵旗升级!$E$28:$E$47,MATCH(H7,阵旗升级!$C$28:$C$47,0))</f>
        <v>0.77142857142857135</v>
      </c>
      <c r="J7" s="5">
        <f t="shared" si="0"/>
        <v>94.205630157648187</v>
      </c>
      <c r="M7" s="5">
        <v>40</v>
      </c>
      <c r="N7" s="5">
        <f t="shared" si="2"/>
        <v>0.56752616138458245</v>
      </c>
      <c r="O7" s="5">
        <f t="shared" si="3"/>
        <v>0.56752616138458245</v>
      </c>
      <c r="P7" s="5">
        <f t="shared" ref="P7:AD7" si="5">IF(O7&lt;0.9,INDEX($I$5:$I$19,MATCH(P$4,$H$5:$H$19,0))*O7/0.9,求节点($C$5:$C$45,$D$5:$D$45,求节点($D$5:$D$45,$C$5:$C$45,INDEX($I$5:$I$19,MATCH(P$4,$H$5:$H$19,0)))+$M7-求节点(O$5:O$105,$M$5:$M$105,0.9)))</f>
        <v>0.454020929107666</v>
      </c>
      <c r="Q7" s="5">
        <f t="shared" si="5"/>
        <v>0.3783507742563883</v>
      </c>
      <c r="R7" s="5">
        <f t="shared" si="5"/>
        <v>0.32430066364833277</v>
      </c>
      <c r="S7" s="5">
        <f t="shared" si="5"/>
        <v>0.28376308069229111</v>
      </c>
      <c r="T7" s="5">
        <f t="shared" si="5"/>
        <v>0.25223384950425876</v>
      </c>
      <c r="U7" s="5">
        <f t="shared" si="5"/>
        <v>0.22701046455383286</v>
      </c>
      <c r="V7" s="5">
        <f t="shared" si="5"/>
        <v>0.20637314959439351</v>
      </c>
      <c r="W7" s="5">
        <f t="shared" si="5"/>
        <v>0.18917538712819407</v>
      </c>
      <c r="X7" s="5">
        <f t="shared" si="5"/>
        <v>0.17462343427217913</v>
      </c>
      <c r="Y7" s="5">
        <f t="shared" si="5"/>
        <v>0.16215033182416633</v>
      </c>
      <c r="Z7" s="5">
        <f t="shared" si="5"/>
        <v>0.15134030970255527</v>
      </c>
      <c r="AA7" s="5">
        <f t="shared" si="5"/>
        <v>0.14188154034614556</v>
      </c>
      <c r="AB7" s="5">
        <f t="shared" si="5"/>
        <v>0.13353556738460759</v>
      </c>
      <c r="AC7" s="5">
        <f t="shared" si="5"/>
        <v>0.12611692475212938</v>
      </c>
      <c r="AD7" s="5">
        <f t="shared" si="5"/>
        <v>0.11947919187043833</v>
      </c>
    </row>
    <row r="8" spans="3:30" x14ac:dyDescent="0.15">
      <c r="C8" s="5">
        <v>60</v>
      </c>
      <c r="D8" s="5">
        <f>INDEX([2]阵旗洗练模拟!$D$16:$AQ$16,MATCH(C8,[2]阵旗洗练模拟!$D$8:$AQ$8,0))</f>
        <v>0.62023783147335054</v>
      </c>
      <c r="F8" s="48"/>
      <c r="G8" s="5">
        <v>8</v>
      </c>
      <c r="H8" s="5">
        <v>9</v>
      </c>
      <c r="I8" s="5">
        <f>INDEX(阵旗升级!$E$28:$E$47,MATCH(G8,阵旗升级!$C$28:$C$47,0))*0.9/INDEX(阵旗升级!$E$28:$E$47,MATCH(H8,阵旗升级!$C$28:$C$47,0))</f>
        <v>0.78749999999999998</v>
      </c>
      <c r="J8" s="5">
        <f t="shared" si="0"/>
        <v>86.062900391642813</v>
      </c>
      <c r="M8" s="5">
        <v>60</v>
      </c>
      <c r="N8" s="5">
        <f t="shared" si="2"/>
        <v>0.62023783147335054</v>
      </c>
      <c r="O8" s="5">
        <f t="shared" si="3"/>
        <v>0.62023783147335054</v>
      </c>
      <c r="P8" s="5">
        <f t="shared" ref="P8:AD8" si="6">IF(O8&lt;0.9,INDEX($I$5:$I$19,MATCH(P$4,$H$5:$H$19,0))*O8/0.9,求节点($C$5:$C$45,$D$5:$D$45,求节点($D$5:$D$45,$C$5:$C$45,INDEX($I$5:$I$19,MATCH(P$4,$H$5:$H$19,0)))+$M8-求节点(O$5:O$105,$M$5:$M$105,0.9)))</f>
        <v>0.49619026517868048</v>
      </c>
      <c r="Q8" s="5">
        <f t="shared" si="6"/>
        <v>0.41349188764890038</v>
      </c>
      <c r="R8" s="5">
        <f t="shared" si="6"/>
        <v>0.35442161798477168</v>
      </c>
      <c r="S8" s="5">
        <f t="shared" si="6"/>
        <v>0.31011891573667522</v>
      </c>
      <c r="T8" s="5">
        <f t="shared" si="6"/>
        <v>0.2756612584326002</v>
      </c>
      <c r="U8" s="5">
        <f t="shared" si="6"/>
        <v>0.24809513258934016</v>
      </c>
      <c r="V8" s="5">
        <f t="shared" si="6"/>
        <v>0.22554102962667283</v>
      </c>
      <c r="W8" s="5">
        <f t="shared" si="6"/>
        <v>0.20674594382445011</v>
      </c>
      <c r="X8" s="5">
        <f t="shared" si="6"/>
        <v>0.19084240968410776</v>
      </c>
      <c r="Y8" s="5">
        <f t="shared" si="6"/>
        <v>0.17721080899238575</v>
      </c>
      <c r="Z8" s="5">
        <f t="shared" si="6"/>
        <v>0.16539675505956006</v>
      </c>
      <c r="AA8" s="5">
        <f t="shared" si="6"/>
        <v>0.15505945786833755</v>
      </c>
      <c r="AB8" s="5">
        <f t="shared" si="6"/>
        <v>0.14593831328784715</v>
      </c>
      <c r="AC8" s="5">
        <f t="shared" si="6"/>
        <v>0.13783062921630007</v>
      </c>
      <c r="AD8" s="5">
        <f t="shared" si="6"/>
        <v>0.13057638557333689</v>
      </c>
    </row>
    <row r="9" spans="3:30" x14ac:dyDescent="0.15">
      <c r="C9" s="5">
        <v>80</v>
      </c>
      <c r="D9" s="5">
        <f>INDEX([2]阵旗洗练模拟!$D$16:$AQ$16,MATCH(C9,[2]阵旗洗练模拟!$D$8:$AQ$8,0))</f>
        <v>0.67020851382017133</v>
      </c>
      <c r="F9" s="48"/>
      <c r="G9" s="5">
        <v>9</v>
      </c>
      <c r="H9" s="5">
        <v>10</v>
      </c>
      <c r="I9" s="5">
        <f>INDEX(阵旗升级!$E$28:$E$47,MATCH(G9,阵旗升级!$C$28:$C$47,0))*0.9/INDEX(阵旗升级!$E$28:$E$47,MATCH(H9,阵旗升级!$C$28:$C$47,0))</f>
        <v>0.8</v>
      </c>
      <c r="J9" s="5">
        <f t="shared" si="0"/>
        <v>80.654680304722092</v>
      </c>
      <c r="M9" s="5">
        <v>80</v>
      </c>
      <c r="N9" s="5">
        <f t="shared" si="2"/>
        <v>0.67020851382017133</v>
      </c>
      <c r="O9" s="5">
        <f t="shared" si="3"/>
        <v>0.67020851382017133</v>
      </c>
      <c r="P9" s="5">
        <f t="shared" ref="P9:AD9" si="7">IF(O9&lt;0.9,INDEX($I$5:$I$19,MATCH(P$4,$H$5:$H$19,0))*O9/0.9,求节点($C$5:$C$45,$D$5:$D$45,求节点($D$5:$D$45,$C$5:$C$45,INDEX($I$5:$I$19,MATCH(P$4,$H$5:$H$19,0)))+$M9-求节点(O$5:O$105,$M$5:$M$105,0.9)))</f>
        <v>0.53616681105613717</v>
      </c>
      <c r="Q9" s="5">
        <f t="shared" si="7"/>
        <v>0.44680567588011433</v>
      </c>
      <c r="R9" s="5">
        <f t="shared" si="7"/>
        <v>0.38297629361152652</v>
      </c>
      <c r="S9" s="5">
        <f t="shared" si="7"/>
        <v>0.33510425691008566</v>
      </c>
      <c r="T9" s="5">
        <f t="shared" si="7"/>
        <v>0.29787045058674283</v>
      </c>
      <c r="U9" s="5">
        <f t="shared" si="7"/>
        <v>0.26808340552806853</v>
      </c>
      <c r="V9" s="5">
        <f t="shared" si="7"/>
        <v>0.24371218684369864</v>
      </c>
      <c r="W9" s="5">
        <f t="shared" si="7"/>
        <v>0.22340283794005711</v>
      </c>
      <c r="X9" s="5">
        <f t="shared" si="7"/>
        <v>0.20621800425236039</v>
      </c>
      <c r="Y9" s="5">
        <f t="shared" si="7"/>
        <v>0.19148814680576318</v>
      </c>
      <c r="Z9" s="5">
        <f t="shared" si="7"/>
        <v>0.17872227035204563</v>
      </c>
      <c r="AA9" s="5">
        <f t="shared" si="7"/>
        <v>0.16755212845504278</v>
      </c>
      <c r="AB9" s="5">
        <f t="shared" si="7"/>
        <v>0.15769612089886378</v>
      </c>
      <c r="AC9" s="5">
        <f t="shared" si="7"/>
        <v>0.14893522529337133</v>
      </c>
      <c r="AD9" s="5">
        <f t="shared" si="7"/>
        <v>0.14109652922529914</v>
      </c>
    </row>
    <row r="10" spans="3:30" x14ac:dyDescent="0.15">
      <c r="C10" s="5">
        <v>100</v>
      </c>
      <c r="D10" s="5">
        <f>INDEX([2]阵旗洗练模拟!$D$16:$AQ$16,MATCH(C10,[2]阵旗洗练模拟!$D$8:$AQ$8,0))</f>
        <v>0.68835315982103329</v>
      </c>
      <c r="F10" s="48"/>
      <c r="G10" s="5">
        <v>10</v>
      </c>
      <c r="H10" s="5">
        <v>11</v>
      </c>
      <c r="I10" s="5">
        <f>INDEX(阵旗升级!$E$28:$E$47,MATCH(G10,阵旗升级!$C$28:$C$47,0))*0.9/INDEX(阵旗升级!$E$28:$E$47,MATCH(H10,阵旗升级!$C$28:$C$47,0))</f>
        <v>0.80999999999999994</v>
      </c>
      <c r="J10" s="5">
        <f t="shared" si="0"/>
        <v>76.328104235185606</v>
      </c>
      <c r="M10" s="5">
        <v>100</v>
      </c>
      <c r="N10" s="5">
        <f t="shared" si="2"/>
        <v>0.68835315982103329</v>
      </c>
      <c r="O10" s="5">
        <f t="shared" si="3"/>
        <v>0.68835315982103329</v>
      </c>
      <c r="P10" s="5">
        <f t="shared" ref="P10:AD10" si="8">IF(O10&lt;0.9,INDEX($I$5:$I$19,MATCH(P$4,$H$5:$H$19,0))*O10/0.9,求节点($C$5:$C$45,$D$5:$D$45,求节点($D$5:$D$45,$C$5:$C$45,INDEX($I$5:$I$19,MATCH(P$4,$H$5:$H$19,0)))+$M10-求节点(O$5:O$105,$M$5:$M$105,0.9)))</f>
        <v>0.5506825278568267</v>
      </c>
      <c r="Q10" s="5">
        <f t="shared" si="8"/>
        <v>0.45890210654735553</v>
      </c>
      <c r="R10" s="5">
        <f t="shared" si="8"/>
        <v>0.39334466275487612</v>
      </c>
      <c r="S10" s="5">
        <f t="shared" si="8"/>
        <v>0.34417657991051659</v>
      </c>
      <c r="T10" s="5">
        <f t="shared" si="8"/>
        <v>0.30593473769823698</v>
      </c>
      <c r="U10" s="5">
        <f t="shared" si="8"/>
        <v>0.27534126392841324</v>
      </c>
      <c r="V10" s="5">
        <f t="shared" si="8"/>
        <v>0.25031023993492107</v>
      </c>
      <c r="W10" s="5">
        <f t="shared" si="8"/>
        <v>0.22945105327367768</v>
      </c>
      <c r="X10" s="5">
        <f t="shared" si="8"/>
        <v>0.21180097225262551</v>
      </c>
      <c r="Y10" s="5">
        <f t="shared" si="8"/>
        <v>0.19667233137743795</v>
      </c>
      <c r="Z10" s="5">
        <f t="shared" si="8"/>
        <v>0.18356084261894209</v>
      </c>
      <c r="AA10" s="5">
        <f t="shared" si="8"/>
        <v>0.17208828995525821</v>
      </c>
      <c r="AB10" s="5">
        <f t="shared" si="8"/>
        <v>0.16196544936965482</v>
      </c>
      <c r="AC10" s="5">
        <f t="shared" si="8"/>
        <v>0.15296736884911843</v>
      </c>
      <c r="AD10" s="5">
        <f t="shared" si="8"/>
        <v>0.14491645469916478</v>
      </c>
    </row>
    <row r="11" spans="3:30" x14ac:dyDescent="0.15">
      <c r="C11" s="5">
        <v>120</v>
      </c>
      <c r="D11" s="5">
        <f>INDEX([2]阵旗洗练模拟!$D$16:$AQ$16,MATCH(C11,[2]阵旗洗练模拟!$D$8:$AQ$8,0))</f>
        <v>0.75140234637260417</v>
      </c>
      <c r="F11" s="48"/>
      <c r="G11" s="5">
        <v>11</v>
      </c>
      <c r="H11" s="5">
        <v>12</v>
      </c>
      <c r="I11" s="5">
        <f>INDEX(阵旗升级!$E$28:$E$47,MATCH(G11,阵旗升级!$C$28:$C$47,0))*0.9/INDEX(阵旗升级!$E$28:$E$47,MATCH(H11,阵旗升级!$C$28:$C$47,0))</f>
        <v>0.81818181818181812</v>
      </c>
      <c r="J11" s="5">
        <f t="shared" si="0"/>
        <v>72.788178360110265</v>
      </c>
      <c r="M11" s="5">
        <v>120</v>
      </c>
      <c r="N11" s="5">
        <f t="shared" si="2"/>
        <v>0.75140234637260417</v>
      </c>
      <c r="O11" s="5">
        <f t="shared" si="3"/>
        <v>0.75140234637260417</v>
      </c>
      <c r="P11" s="5">
        <f t="shared" ref="P11:AD11" si="9">IF(O11&lt;0.9,INDEX($I$5:$I$19,MATCH(P$4,$H$5:$H$19,0))*O11/0.9,求节点($C$5:$C$45,$D$5:$D$45,求节点($D$5:$D$45,$C$5:$C$45,INDEX($I$5:$I$19,MATCH(P$4,$H$5:$H$19,0)))+$M11-求节点(O$5:O$105,$M$5:$M$105,0.9)))</f>
        <v>0.6011218770980834</v>
      </c>
      <c r="Q11" s="5">
        <f t="shared" si="9"/>
        <v>0.50093489758173615</v>
      </c>
      <c r="R11" s="5">
        <f t="shared" si="9"/>
        <v>0.42937276935577379</v>
      </c>
      <c r="S11" s="5">
        <f t="shared" si="9"/>
        <v>0.37570117318630203</v>
      </c>
      <c r="T11" s="5">
        <f t="shared" si="9"/>
        <v>0.33395659838782404</v>
      </c>
      <c r="U11" s="5">
        <f t="shared" si="9"/>
        <v>0.30056093854904159</v>
      </c>
      <c r="V11" s="5">
        <f t="shared" si="9"/>
        <v>0.27323721686276503</v>
      </c>
      <c r="W11" s="5">
        <f t="shared" si="9"/>
        <v>0.25046744879086796</v>
      </c>
      <c r="X11" s="5">
        <f t="shared" si="9"/>
        <v>0.23120072196080119</v>
      </c>
      <c r="Y11" s="5">
        <f t="shared" si="9"/>
        <v>0.21468638467788681</v>
      </c>
      <c r="Z11" s="5">
        <f t="shared" si="9"/>
        <v>0.20037395903269439</v>
      </c>
      <c r="AA11" s="5">
        <f t="shared" si="9"/>
        <v>0.18785058659315099</v>
      </c>
      <c r="AB11" s="5">
        <f t="shared" si="9"/>
        <v>0.17680055208767154</v>
      </c>
      <c r="AC11" s="5">
        <f t="shared" si="9"/>
        <v>0.16697829919391199</v>
      </c>
      <c r="AD11" s="5">
        <f t="shared" si="9"/>
        <v>0.1581899676573903</v>
      </c>
    </row>
    <row r="12" spans="3:30" x14ac:dyDescent="0.15">
      <c r="C12" s="5">
        <v>140</v>
      </c>
      <c r="D12" s="5">
        <f>INDEX([2]阵旗洗练模拟!$D$16:$AQ$16,MATCH(C12,[2]阵旗洗练模拟!$D$8:$AQ$8,0))</f>
        <v>0.77407452083826056</v>
      </c>
      <c r="F12" s="48"/>
      <c r="G12" s="5">
        <v>12</v>
      </c>
      <c r="H12" s="5">
        <v>13</v>
      </c>
      <c r="I12" s="5">
        <f>INDEX(阵旗升级!$E$28:$E$47,MATCH(G12,阵旗升级!$C$28:$C$47,0))*0.9/INDEX(阵旗升级!$E$28:$E$47,MATCH(H12,阵旗升级!$C$28:$C$47,0))</f>
        <v>0.82500000000000007</v>
      </c>
      <c r="J12" s="5">
        <f t="shared" si="0"/>
        <v>68.63007036134897</v>
      </c>
      <c r="M12" s="5">
        <v>140</v>
      </c>
      <c r="N12" s="5">
        <f t="shared" si="2"/>
        <v>0.77407452083826056</v>
      </c>
      <c r="O12" s="5">
        <f t="shared" si="3"/>
        <v>0.77407452083826056</v>
      </c>
      <c r="P12" s="5">
        <f t="shared" ref="P12:AD12" si="10">IF(O12&lt;0.9,INDEX($I$5:$I$19,MATCH(P$4,$H$5:$H$19,0))*O12/0.9,求节点($C$5:$C$45,$D$5:$D$45,求节点($D$5:$D$45,$C$5:$C$45,INDEX($I$5:$I$19,MATCH(P$4,$H$5:$H$19,0)))+$M12-求节点(O$5:O$105,$M$5:$M$105,0.9)))</f>
        <v>0.61925961667060858</v>
      </c>
      <c r="Q12" s="5">
        <f t="shared" si="10"/>
        <v>0.51604968055884048</v>
      </c>
      <c r="R12" s="5">
        <f t="shared" si="10"/>
        <v>0.44232829762186321</v>
      </c>
      <c r="S12" s="5">
        <f t="shared" si="10"/>
        <v>0.38703726041913028</v>
      </c>
      <c r="T12" s="5">
        <f t="shared" si="10"/>
        <v>0.34403312037256023</v>
      </c>
      <c r="U12" s="5">
        <f t="shared" si="10"/>
        <v>0.30962980833530412</v>
      </c>
      <c r="V12" s="5">
        <f t="shared" si="10"/>
        <v>0.28148164394118552</v>
      </c>
      <c r="W12" s="5">
        <f t="shared" si="10"/>
        <v>0.25802484027942008</v>
      </c>
      <c r="X12" s="5">
        <f t="shared" si="10"/>
        <v>0.23817677564254158</v>
      </c>
      <c r="Y12" s="5">
        <f t="shared" si="10"/>
        <v>0.22116414881093144</v>
      </c>
      <c r="Z12" s="5">
        <f t="shared" si="10"/>
        <v>0.20641987222353603</v>
      </c>
      <c r="AA12" s="5">
        <f t="shared" si="10"/>
        <v>0.193518630209565</v>
      </c>
      <c r="AB12" s="5">
        <f t="shared" si="10"/>
        <v>0.18213518137370827</v>
      </c>
      <c r="AC12" s="5">
        <f t="shared" si="10"/>
        <v>0.17201656018628003</v>
      </c>
      <c r="AD12" s="5">
        <f t="shared" si="10"/>
        <v>0.16296305701858108</v>
      </c>
    </row>
    <row r="13" spans="3:30" x14ac:dyDescent="0.15">
      <c r="C13" s="5">
        <v>160</v>
      </c>
      <c r="D13" s="5">
        <f>INDEX([2]阵旗洗练模拟!$D$16:$AQ$16,MATCH(C13,[2]阵旗洗练模拟!$D$8:$AQ$8,0))</f>
        <v>0.82030045025348608</v>
      </c>
      <c r="F13" s="48"/>
      <c r="G13" s="5">
        <v>13</v>
      </c>
      <c r="H13" s="5">
        <v>14</v>
      </c>
      <c r="I13" s="5">
        <f>INDEX(阵旗升级!$E$28:$E$47,MATCH(G13,阵旗升级!$C$28:$C$47,0))*0.9/INDEX(阵旗升级!$E$28:$E$47,MATCH(H13,阵旗升级!$C$28:$C$47,0))</f>
        <v>0.8307692307692307</v>
      </c>
      <c r="J13" s="5">
        <f t="shared" si="0"/>
        <v>64.650803248879015</v>
      </c>
      <c r="M13" s="5">
        <v>160</v>
      </c>
      <c r="N13" s="5">
        <f t="shared" si="2"/>
        <v>0.82030045025348608</v>
      </c>
      <c r="O13" s="5">
        <f t="shared" si="3"/>
        <v>0.82030045025348608</v>
      </c>
      <c r="P13" s="5">
        <f t="shared" ref="P13:AD13" si="11">IF(O13&lt;0.9,INDEX($I$5:$I$19,MATCH(P$4,$H$5:$H$19,0))*O13/0.9,求节点($C$5:$C$45,$D$5:$D$45,求节点($D$5:$D$45,$C$5:$C$45,INDEX($I$5:$I$19,MATCH(P$4,$H$5:$H$19,0)))+$M13-求节点(O$5:O$105,$M$5:$M$105,0.9)))</f>
        <v>0.65624036020278897</v>
      </c>
      <c r="Q13" s="5">
        <f t="shared" si="11"/>
        <v>0.5468669668356575</v>
      </c>
      <c r="R13" s="5">
        <f t="shared" si="11"/>
        <v>0.46874311443056349</v>
      </c>
      <c r="S13" s="5">
        <f t="shared" si="11"/>
        <v>0.41015022512674304</v>
      </c>
      <c r="T13" s="5">
        <f t="shared" si="11"/>
        <v>0.36457797789043828</v>
      </c>
      <c r="U13" s="5">
        <f t="shared" si="11"/>
        <v>0.32812018010139443</v>
      </c>
      <c r="V13" s="5">
        <f t="shared" si="11"/>
        <v>0.29829107281944944</v>
      </c>
      <c r="W13" s="5">
        <f t="shared" si="11"/>
        <v>0.27343348341782869</v>
      </c>
      <c r="X13" s="5">
        <f t="shared" si="11"/>
        <v>0.25240013853953414</v>
      </c>
      <c r="Y13" s="5">
        <f t="shared" si="11"/>
        <v>0.23437155721528166</v>
      </c>
      <c r="Z13" s="5">
        <f t="shared" si="11"/>
        <v>0.2187467867342629</v>
      </c>
      <c r="AA13" s="5">
        <f t="shared" si="11"/>
        <v>0.20507511256337146</v>
      </c>
      <c r="AB13" s="5">
        <f t="shared" si="11"/>
        <v>0.19301187064787903</v>
      </c>
      <c r="AC13" s="5">
        <f t="shared" si="11"/>
        <v>0.18228898894521905</v>
      </c>
      <c r="AD13" s="5">
        <f t="shared" si="11"/>
        <v>0.17269483163231275</v>
      </c>
    </row>
    <row r="14" spans="3:30" x14ac:dyDescent="0.15">
      <c r="C14" s="5">
        <v>180</v>
      </c>
      <c r="D14" s="5">
        <f>INDEX([2]阵旗洗练模拟!$D$16:$AQ$16,MATCH(C14,[2]阵旗洗练模拟!$D$8:$AQ$8,0))</f>
        <v>0.84929689912796047</v>
      </c>
      <c r="F14" s="48"/>
      <c r="G14" s="5">
        <v>14</v>
      </c>
      <c r="H14" s="5">
        <v>15</v>
      </c>
      <c r="I14" s="5">
        <f>INDEX(阵旗升级!$E$28:$E$47,MATCH(G14,阵旗升级!$C$28:$C$47,0))*0.9/INDEX(阵旗升级!$E$28:$E$47,MATCH(H14,阵旗升级!$C$28:$C$47,0))</f>
        <v>0.83571428571428563</v>
      </c>
      <c r="J14" s="5">
        <f t="shared" si="0"/>
        <v>61.240002866761841</v>
      </c>
      <c r="M14" s="5">
        <v>180</v>
      </c>
      <c r="N14" s="5">
        <f t="shared" si="2"/>
        <v>0.84929689912796047</v>
      </c>
      <c r="O14" s="5">
        <f t="shared" si="3"/>
        <v>0.84929689912796047</v>
      </c>
      <c r="P14" s="5">
        <f t="shared" ref="P14:AD14" si="12">IF(O14&lt;0.9,INDEX($I$5:$I$19,MATCH(P$4,$H$5:$H$19,0))*O14/0.9,求节点($C$5:$C$45,$D$5:$D$45,求节点($D$5:$D$45,$C$5:$C$45,INDEX($I$5:$I$19,MATCH(P$4,$H$5:$H$19,0)))+$M14-求节点(O$5:O$105,$M$5:$M$105,0.9)))</f>
        <v>0.6794375193023684</v>
      </c>
      <c r="Q14" s="5">
        <f t="shared" si="12"/>
        <v>0.56619793275197372</v>
      </c>
      <c r="R14" s="5">
        <f t="shared" si="12"/>
        <v>0.48531251378740597</v>
      </c>
      <c r="S14" s="5">
        <f t="shared" si="12"/>
        <v>0.42464844956398023</v>
      </c>
      <c r="T14" s="5">
        <f t="shared" si="12"/>
        <v>0.37746528850131578</v>
      </c>
      <c r="U14" s="5">
        <f t="shared" si="12"/>
        <v>0.3397187596511842</v>
      </c>
      <c r="V14" s="5">
        <f t="shared" si="12"/>
        <v>0.30883523604653101</v>
      </c>
      <c r="W14" s="5">
        <f t="shared" si="12"/>
        <v>0.2830989663759868</v>
      </c>
      <c r="X14" s="5">
        <f t="shared" si="12"/>
        <v>0.26132212280860317</v>
      </c>
      <c r="Y14" s="5">
        <f t="shared" si="12"/>
        <v>0.24265625689370293</v>
      </c>
      <c r="Z14" s="5">
        <f t="shared" si="12"/>
        <v>0.22647917310078941</v>
      </c>
      <c r="AA14" s="5">
        <f t="shared" si="12"/>
        <v>0.21232422478199006</v>
      </c>
      <c r="AB14" s="5">
        <f t="shared" si="12"/>
        <v>0.19983456450069656</v>
      </c>
      <c r="AC14" s="5">
        <f t="shared" si="12"/>
        <v>0.18873264425065786</v>
      </c>
      <c r="AD14" s="5">
        <f t="shared" si="12"/>
        <v>0.17879934718483373</v>
      </c>
    </row>
    <row r="15" spans="3:30" x14ac:dyDescent="0.15">
      <c r="C15" s="5">
        <v>200</v>
      </c>
      <c r="D15" s="5">
        <f>INDEX([2]阵旗洗练模拟!$D$16:$AQ$16,MATCH(C15,[2]阵旗洗练模拟!$D$8:$AQ$8,0))</f>
        <v>0.87041914061307923</v>
      </c>
      <c r="F15" s="48"/>
      <c r="G15" s="5">
        <v>15</v>
      </c>
      <c r="H15" s="5">
        <v>16</v>
      </c>
      <c r="I15" s="5">
        <f>INDEX(阵旗升级!$E$28:$E$47,MATCH(G15,阵旗升级!$C$28:$C$47,0))*0.9/INDEX(阵旗升级!$E$28:$E$47,MATCH(H15,阵旗升级!$C$28:$C$47,0))</f>
        <v>0.84000000000000008</v>
      </c>
      <c r="J15" s="5">
        <f t="shared" si="0"/>
        <v>58.283975868926831</v>
      </c>
      <c r="M15" s="5">
        <v>200</v>
      </c>
      <c r="N15" s="5">
        <f t="shared" si="2"/>
        <v>0.87041914061307923</v>
      </c>
      <c r="O15" s="5">
        <f t="shared" si="3"/>
        <v>0.87041914061307923</v>
      </c>
      <c r="P15" s="5">
        <f t="shared" ref="P15:AD15" si="13">IF(O15&lt;0.9,INDEX($I$5:$I$19,MATCH(P$4,$H$5:$H$19,0))*O15/0.9,求节点($C$5:$C$45,$D$5:$D$45,求节点($D$5:$D$45,$C$5:$C$45,INDEX($I$5:$I$19,MATCH(P$4,$H$5:$H$19,0)))+$M15-求节点(O$5:O$105,$M$5:$M$105,0.9)))</f>
        <v>0.69633531249046354</v>
      </c>
      <c r="Q15" s="5">
        <f t="shared" si="13"/>
        <v>0.58027942707538627</v>
      </c>
      <c r="R15" s="5">
        <f t="shared" si="13"/>
        <v>0.49738236606461672</v>
      </c>
      <c r="S15" s="5">
        <f t="shared" si="13"/>
        <v>0.43520957030653962</v>
      </c>
      <c r="T15" s="5">
        <f t="shared" si="13"/>
        <v>0.38685295138359077</v>
      </c>
      <c r="U15" s="5">
        <f t="shared" si="13"/>
        <v>0.34816765624523166</v>
      </c>
      <c r="V15" s="5">
        <f t="shared" si="13"/>
        <v>0.31651605113202874</v>
      </c>
      <c r="W15" s="5">
        <f t="shared" si="13"/>
        <v>0.29013971353769308</v>
      </c>
      <c r="X15" s="5">
        <f t="shared" si="13"/>
        <v>0.26782127403479361</v>
      </c>
      <c r="Y15" s="5">
        <f t="shared" si="13"/>
        <v>0.24869118303230833</v>
      </c>
      <c r="Z15" s="5">
        <f t="shared" si="13"/>
        <v>0.23211177083015444</v>
      </c>
      <c r="AA15" s="5">
        <f t="shared" si="13"/>
        <v>0.21760478515326978</v>
      </c>
      <c r="AB15" s="5">
        <f t="shared" si="13"/>
        <v>0.20480450367366571</v>
      </c>
      <c r="AC15" s="5">
        <f t="shared" si="13"/>
        <v>0.19342647569179539</v>
      </c>
      <c r="AD15" s="5">
        <f t="shared" si="13"/>
        <v>0.1832461348659114</v>
      </c>
    </row>
    <row r="16" spans="3:30" x14ac:dyDescent="0.15">
      <c r="C16" s="5">
        <v>220</v>
      </c>
      <c r="D16" s="5">
        <f>INDEX([2]阵旗洗练模拟!$D$16:$AQ$16,MATCH(C16,[2]阵旗洗练模拟!$D$8:$AQ$8,0))</f>
        <v>0.88798393162488964</v>
      </c>
      <c r="F16" s="48"/>
      <c r="G16" s="5">
        <v>16</v>
      </c>
      <c r="H16" s="5">
        <v>17</v>
      </c>
      <c r="I16" s="5">
        <f>INDEX(阵旗升级!$E$28:$E$47,MATCH(G16,阵旗升级!$C$28:$C$47,0))*0.9/INDEX(阵旗升级!$E$28:$E$47,MATCH(H16,阵旗升级!$C$28:$C$47,0))</f>
        <v>0.84375</v>
      </c>
      <c r="J16" s="5">
        <f t="shared" si="0"/>
        <v>55.697452245821324</v>
      </c>
      <c r="M16" s="5">
        <v>220</v>
      </c>
      <c r="N16" s="5">
        <f t="shared" si="2"/>
        <v>0.88798393162488964</v>
      </c>
      <c r="O16" s="5">
        <f t="shared" si="3"/>
        <v>0.88798393162488964</v>
      </c>
      <c r="P16" s="5">
        <f t="shared" ref="P16:AD16" si="14">IF(O16&lt;0.9,INDEX($I$5:$I$19,MATCH(P$4,$H$5:$H$19,0))*O16/0.9,求节点($C$5:$C$45,$D$5:$D$45,求节点($D$5:$D$45,$C$5:$C$45,INDEX($I$5:$I$19,MATCH(P$4,$H$5:$H$19,0)))+$M16-求节点(O$5:O$105,$M$5:$M$105,0.9)))</f>
        <v>0.71038714529991187</v>
      </c>
      <c r="Q16" s="5">
        <f t="shared" si="14"/>
        <v>0.59198928774992654</v>
      </c>
      <c r="R16" s="5">
        <f t="shared" si="14"/>
        <v>0.50741938949993703</v>
      </c>
      <c r="S16" s="5">
        <f t="shared" si="14"/>
        <v>0.44399196581244488</v>
      </c>
      <c r="T16" s="5">
        <f t="shared" si="14"/>
        <v>0.39465952516661768</v>
      </c>
      <c r="U16" s="5">
        <f t="shared" si="14"/>
        <v>0.35519357264995582</v>
      </c>
      <c r="V16" s="5">
        <f t="shared" si="14"/>
        <v>0.3229032478635962</v>
      </c>
      <c r="W16" s="5">
        <f t="shared" si="14"/>
        <v>0.29599464387496321</v>
      </c>
      <c r="X16" s="5">
        <f t="shared" si="14"/>
        <v>0.27322582511535065</v>
      </c>
      <c r="Y16" s="5">
        <f t="shared" si="14"/>
        <v>0.25370969474996841</v>
      </c>
      <c r="Z16" s="5">
        <f t="shared" si="14"/>
        <v>0.23679571509997055</v>
      </c>
      <c r="AA16" s="5">
        <f t="shared" si="14"/>
        <v>0.22199598290622238</v>
      </c>
      <c r="AB16" s="5">
        <f t="shared" si="14"/>
        <v>0.20893739567644462</v>
      </c>
      <c r="AC16" s="5">
        <f t="shared" si="14"/>
        <v>0.19732976258330878</v>
      </c>
      <c r="AD16" s="5">
        <f t="shared" si="14"/>
        <v>0.18694398560523987</v>
      </c>
    </row>
    <row r="17" spans="3:30" x14ac:dyDescent="0.15">
      <c r="C17" s="5">
        <v>240</v>
      </c>
      <c r="D17" s="5">
        <f>INDEX([2]阵旗洗练模拟!$D$16:$AQ$16,MATCH(C17,[2]阵旗洗练模拟!$D$8:$AQ$8,0))</f>
        <v>0.90822742546796775</v>
      </c>
      <c r="F17" s="48"/>
      <c r="G17" s="5">
        <v>17</v>
      </c>
      <c r="H17" s="5">
        <v>18</v>
      </c>
      <c r="I17" s="5">
        <f>INDEX(阵旗升级!$E$28:$E$47,MATCH(G17,阵旗升级!$C$28:$C$47,0))*0.9/INDEX(阵旗升级!$E$28:$E$47,MATCH(H17,阵旗升级!$C$28:$C$47,0))</f>
        <v>0.84705882352941186</v>
      </c>
      <c r="J17" s="5">
        <f t="shared" si="0"/>
        <v>53.415225519551683</v>
      </c>
      <c r="M17" s="5">
        <v>240</v>
      </c>
      <c r="N17" s="5">
        <f t="shared" si="2"/>
        <v>0.90822742546796775</v>
      </c>
      <c r="O17" s="5">
        <f t="shared" si="3"/>
        <v>0.90822742546796775</v>
      </c>
      <c r="P17" s="5">
        <f t="shared" ref="P17:AD17" si="15">IF(O17&lt;0.9,INDEX($I$5:$I$19,MATCH(P$4,$H$5:$H$19,0))*O17/0.9,求节点($C$5:$C$45,$D$5:$D$45,求节点($D$5:$D$45,$C$5:$C$45,INDEX($I$5:$I$19,MATCH(P$4,$H$5:$H$19,0)))+$M17-求节点(O$5:O$105,$M$5:$M$105,0.9)))</f>
        <v>0.74562465190989824</v>
      </c>
      <c r="Q17" s="5">
        <f t="shared" si="15"/>
        <v>0.62135387659158181</v>
      </c>
      <c r="R17" s="5">
        <f t="shared" si="15"/>
        <v>0.53258903707849858</v>
      </c>
      <c r="S17" s="5">
        <f t="shared" si="15"/>
        <v>0.46601540744368625</v>
      </c>
      <c r="T17" s="5">
        <f t="shared" si="15"/>
        <v>0.41423591772772111</v>
      </c>
      <c r="U17" s="5">
        <f t="shared" si="15"/>
        <v>0.37281232595494895</v>
      </c>
      <c r="V17" s="5">
        <f t="shared" si="15"/>
        <v>0.33892029632268084</v>
      </c>
      <c r="W17" s="5">
        <f t="shared" si="15"/>
        <v>0.31067693829579079</v>
      </c>
      <c r="X17" s="5">
        <f t="shared" si="15"/>
        <v>0.28677871227303764</v>
      </c>
      <c r="Y17" s="5">
        <f t="shared" si="15"/>
        <v>0.26629451853924918</v>
      </c>
      <c r="Z17" s="5">
        <f t="shared" si="15"/>
        <v>0.24854155063663258</v>
      </c>
      <c r="AA17" s="5">
        <f t="shared" si="15"/>
        <v>0.23300770372184304</v>
      </c>
      <c r="AB17" s="5">
        <f t="shared" si="15"/>
        <v>0.21930136820879348</v>
      </c>
      <c r="AC17" s="5">
        <f t="shared" si="15"/>
        <v>0.2071179588638605</v>
      </c>
      <c r="AD17" s="5">
        <f t="shared" si="15"/>
        <v>0.19621701366049937</v>
      </c>
    </row>
    <row r="18" spans="3:30" x14ac:dyDescent="0.15">
      <c r="C18" s="5">
        <v>260</v>
      </c>
      <c r="D18" s="5">
        <f>INDEX([2]阵旗洗练模拟!$D$16:$AQ$16,MATCH(C18,[2]阵旗洗练模拟!$D$8:$AQ$8,0))</f>
        <v>0.93461291073560693</v>
      </c>
      <c r="F18" s="48"/>
      <c r="G18" s="5">
        <v>18</v>
      </c>
      <c r="H18" s="5">
        <v>19</v>
      </c>
      <c r="I18" s="5">
        <f>INDEX(阵旗升级!$E$28:$E$47,MATCH(G18,阵旗升级!$C$28:$C$47,0))*0.9/INDEX(阵旗升级!$E$28:$E$47,MATCH(H18,阵旗升级!$C$28:$C$47,0))</f>
        <v>0.85</v>
      </c>
      <c r="J18" s="5">
        <f t="shared" si="0"/>
        <v>51.205791514318577</v>
      </c>
      <c r="M18" s="5">
        <v>260</v>
      </c>
      <c r="N18" s="5">
        <f t="shared" si="2"/>
        <v>0.93461291073560693</v>
      </c>
      <c r="O18" s="5">
        <f t="shared" si="3"/>
        <v>0.93461291073560693</v>
      </c>
      <c r="P18" s="5">
        <f t="shared" ref="P18:AD18" si="16">IF(O18&lt;0.9,INDEX($I$5:$I$19,MATCH(P$4,$H$5:$H$19,0))*O18/0.9,求节点($C$5:$C$45,$D$5:$D$45,求节点($D$5:$D$45,$C$5:$C$45,INDEX($I$5:$I$19,MATCH(P$4,$H$5:$H$19,0)))+$M18-求节点(O$5:O$105,$M$5:$M$105,0.9)))</f>
        <v>0.77199689059380716</v>
      </c>
      <c r="Q18" s="5">
        <f t="shared" si="16"/>
        <v>0.64333074216150588</v>
      </c>
      <c r="R18" s="5">
        <f t="shared" si="16"/>
        <v>0.55142635042414778</v>
      </c>
      <c r="S18" s="5">
        <f t="shared" si="16"/>
        <v>0.48249805662112927</v>
      </c>
      <c r="T18" s="5">
        <f t="shared" si="16"/>
        <v>0.42888716144100381</v>
      </c>
      <c r="U18" s="5">
        <f t="shared" si="16"/>
        <v>0.38599844529690341</v>
      </c>
      <c r="V18" s="5">
        <f t="shared" si="16"/>
        <v>0.35090767754263946</v>
      </c>
      <c r="W18" s="5">
        <f t="shared" si="16"/>
        <v>0.32166537108075283</v>
      </c>
      <c r="X18" s="5">
        <f t="shared" si="16"/>
        <v>0.29692188099761802</v>
      </c>
      <c r="Y18" s="5">
        <f t="shared" si="16"/>
        <v>0.27571317521207384</v>
      </c>
      <c r="Z18" s="5">
        <f t="shared" si="16"/>
        <v>0.25733229686460229</v>
      </c>
      <c r="AA18" s="5">
        <f t="shared" si="16"/>
        <v>0.24124902831056463</v>
      </c>
      <c r="AB18" s="5">
        <f t="shared" si="16"/>
        <v>0.22705790899817849</v>
      </c>
      <c r="AC18" s="5">
        <f t="shared" si="16"/>
        <v>0.2144435807205019</v>
      </c>
      <c r="AD18" s="5">
        <f t="shared" si="16"/>
        <v>0.20315707647205442</v>
      </c>
    </row>
    <row r="19" spans="3:30" x14ac:dyDescent="0.15">
      <c r="C19" s="5">
        <v>280</v>
      </c>
      <c r="D19" s="5">
        <f>INDEX([2]阵旗洗练模拟!$D$16:$AQ$16,MATCH(C19,[2]阵旗洗练模拟!$D$8:$AQ$8,0))</f>
        <v>0.94206559002399504</v>
      </c>
      <c r="F19" s="48"/>
      <c r="G19" s="5">
        <v>19</v>
      </c>
      <c r="H19" s="5">
        <v>20</v>
      </c>
      <c r="I19" s="5">
        <f>INDEX(阵旗升级!$E$28:$E$47,MATCH(G19,阵旗升级!$C$28:$C$47,0))*0.9/INDEX(阵旗升级!$E$28:$E$47,MATCH(H19,阵旗升级!$C$28:$C$47,0))</f>
        <v>0.8526315789473683</v>
      </c>
      <c r="J19" s="5">
        <f t="shared" si="0"/>
        <v>48.714030448882085</v>
      </c>
      <c r="M19" s="5">
        <v>280</v>
      </c>
      <c r="N19" s="5">
        <f t="shared" si="2"/>
        <v>0.94206559002399504</v>
      </c>
      <c r="O19" s="5">
        <f t="shared" si="3"/>
        <v>0.94206559002399504</v>
      </c>
      <c r="P19" s="5">
        <f t="shared" ref="P19:AD19" si="17">IF(O19&lt;0.9,INDEX($I$5:$I$19,MATCH(P$4,$H$5:$H$19,0))*O19/0.9,求节点($C$5:$C$45,$D$5:$D$45,求节点($D$5:$D$45,$C$5:$C$45,INDEX($I$5:$I$19,MATCH(P$4,$H$5:$H$19,0)))+$M19-求节点(O$5:O$105,$M$5:$M$105,0.9)))</f>
        <v>0.81606440358859644</v>
      </c>
      <c r="Q19" s="5">
        <f t="shared" si="17"/>
        <v>0.68005366965716374</v>
      </c>
      <c r="R19" s="5">
        <f t="shared" si="17"/>
        <v>0.58290314542042598</v>
      </c>
      <c r="S19" s="5">
        <f t="shared" si="17"/>
        <v>0.51004025224287264</v>
      </c>
      <c r="T19" s="5">
        <f t="shared" si="17"/>
        <v>0.45336911310477568</v>
      </c>
      <c r="U19" s="5">
        <f t="shared" si="17"/>
        <v>0.40803220179429806</v>
      </c>
      <c r="V19" s="5">
        <f t="shared" si="17"/>
        <v>0.37093836526754365</v>
      </c>
      <c r="W19" s="5">
        <f t="shared" si="17"/>
        <v>0.3400268348285817</v>
      </c>
      <c r="X19" s="5">
        <f t="shared" si="17"/>
        <v>0.31387092445715231</v>
      </c>
      <c r="Y19" s="5">
        <f t="shared" si="17"/>
        <v>0.29145157271021283</v>
      </c>
      <c r="Z19" s="5">
        <f t="shared" si="17"/>
        <v>0.27202146786286535</v>
      </c>
      <c r="AA19" s="5">
        <f t="shared" si="17"/>
        <v>0.25502012612143626</v>
      </c>
      <c r="AB19" s="5">
        <f t="shared" si="17"/>
        <v>0.24001894223194004</v>
      </c>
      <c r="AC19" s="5">
        <f t="shared" si="17"/>
        <v>0.22668455655238781</v>
      </c>
      <c r="AD19" s="5">
        <f t="shared" si="17"/>
        <v>0.21475379041805159</v>
      </c>
    </row>
    <row r="20" spans="3:30" x14ac:dyDescent="0.15">
      <c r="C20" s="5">
        <v>300</v>
      </c>
      <c r="D20" s="5">
        <f>INDEX([2]阵旗洗练模拟!$D$16:$AQ$16,MATCH(C20,[2]阵旗洗练模拟!$D$8:$AQ$8,0))</f>
        <v>0.96081660952568015</v>
      </c>
      <c r="M20" s="5">
        <v>300</v>
      </c>
      <c r="N20" s="5">
        <f t="shared" si="2"/>
        <v>0.96081660952568015</v>
      </c>
      <c r="O20" s="5">
        <f t="shared" si="3"/>
        <v>0.96081660952568015</v>
      </c>
      <c r="P20" s="5">
        <f t="shared" ref="P20:AD20" si="18">IF(O20&lt;0.9,INDEX($I$5:$I$19,MATCH(P$4,$H$5:$H$19,0))*O20/0.9,求节点($C$5:$C$45,$D$5:$D$45,求节点($D$5:$D$45,$C$5:$C$45,INDEX($I$5:$I$19,MATCH(P$4,$H$5:$H$19,0)))+$M20-求节点(O$5:O$105,$M$5:$M$105,0.9)))</f>
        <v>0.84663972571679913</v>
      </c>
      <c r="Q20" s="5">
        <f t="shared" si="18"/>
        <v>0.70553310476399922</v>
      </c>
      <c r="R20" s="5">
        <f t="shared" si="18"/>
        <v>0.60474266122628495</v>
      </c>
      <c r="S20" s="5">
        <f t="shared" si="18"/>
        <v>0.5291498285729993</v>
      </c>
      <c r="T20" s="5">
        <f t="shared" si="18"/>
        <v>0.47035540317599939</v>
      </c>
      <c r="U20" s="5">
        <f t="shared" si="18"/>
        <v>0.42331986285839945</v>
      </c>
      <c r="V20" s="5">
        <f t="shared" si="18"/>
        <v>0.38483623896218128</v>
      </c>
      <c r="W20" s="5">
        <f t="shared" si="18"/>
        <v>0.35276655238199955</v>
      </c>
      <c r="X20" s="5">
        <f t="shared" si="18"/>
        <v>0.32563066373723032</v>
      </c>
      <c r="Y20" s="5">
        <f t="shared" si="18"/>
        <v>0.30237133061314242</v>
      </c>
      <c r="Z20" s="5">
        <f t="shared" si="18"/>
        <v>0.2822132419055996</v>
      </c>
      <c r="AA20" s="5">
        <f t="shared" si="18"/>
        <v>0.2645749142864996</v>
      </c>
      <c r="AB20" s="5">
        <f t="shared" si="18"/>
        <v>0.24901168403435259</v>
      </c>
      <c r="AC20" s="5">
        <f t="shared" si="18"/>
        <v>0.23517770158799967</v>
      </c>
      <c r="AD20" s="5">
        <f t="shared" si="18"/>
        <v>0.22279992782021016</v>
      </c>
    </row>
    <row r="21" spans="3:30" x14ac:dyDescent="0.15">
      <c r="C21" s="5">
        <v>320</v>
      </c>
      <c r="D21" s="5">
        <f>INDEX([2]阵旗洗练模拟!$D$16:$AQ$16,MATCH(C21,[2]阵旗洗练模拟!$D$8:$AQ$8,0))</f>
        <v>0.97526698400974265</v>
      </c>
      <c r="M21" s="5">
        <v>320</v>
      </c>
      <c r="N21" s="5">
        <f t="shared" si="2"/>
        <v>0.97526698400974265</v>
      </c>
      <c r="O21" s="5">
        <f t="shared" si="3"/>
        <v>0.97526698400974265</v>
      </c>
      <c r="P21" s="5">
        <f t="shared" ref="P21:AD21" si="19">IF(O21&lt;0.9,INDEX($I$5:$I$19,MATCH(P$4,$H$5:$H$19,0))*O21/0.9,求节点($C$5:$C$45,$D$5:$D$45,求节点($D$5:$D$45,$C$5:$C$45,INDEX($I$5:$I$19,MATCH(P$4,$H$5:$H$19,0)))+$M21-求节点(O$5:O$105,$M$5:$M$105,0.9)))</f>
        <v>0.86848354295760932</v>
      </c>
      <c r="Q21" s="5">
        <f t="shared" si="19"/>
        <v>0.72373628579800775</v>
      </c>
      <c r="R21" s="5">
        <f t="shared" si="19"/>
        <v>0.62034538782686377</v>
      </c>
      <c r="S21" s="5">
        <f t="shared" si="19"/>
        <v>0.54280221434850584</v>
      </c>
      <c r="T21" s="5">
        <f t="shared" si="19"/>
        <v>0.48249085719867191</v>
      </c>
      <c r="U21" s="5">
        <f t="shared" si="19"/>
        <v>0.43424177147880466</v>
      </c>
      <c r="V21" s="5">
        <f t="shared" si="19"/>
        <v>0.39476524679891328</v>
      </c>
      <c r="W21" s="5">
        <f t="shared" si="19"/>
        <v>0.36186814289900388</v>
      </c>
      <c r="X21" s="5">
        <f t="shared" si="19"/>
        <v>0.33403213190677278</v>
      </c>
      <c r="Y21" s="5">
        <f t="shared" si="19"/>
        <v>0.31017269391343183</v>
      </c>
      <c r="Z21" s="5">
        <f t="shared" si="19"/>
        <v>0.28949451431920303</v>
      </c>
      <c r="AA21" s="5">
        <f t="shared" si="19"/>
        <v>0.27140110717425281</v>
      </c>
      <c r="AB21" s="5">
        <f t="shared" si="19"/>
        <v>0.25543633616400269</v>
      </c>
      <c r="AC21" s="5">
        <f t="shared" si="19"/>
        <v>0.24124542859933584</v>
      </c>
      <c r="AD21" s="5">
        <f t="shared" si="19"/>
        <v>0.22854830077831814</v>
      </c>
    </row>
    <row r="22" spans="3:30" x14ac:dyDescent="0.15">
      <c r="C22" s="5">
        <v>340</v>
      </c>
      <c r="D22" s="5">
        <f>INDEX([2]阵旗洗练模拟!$D$16:$AQ$16,MATCH(C22,[2]阵旗洗练模拟!$D$8:$AQ$8,0))</f>
        <v>0.97928628472089752</v>
      </c>
      <c r="M22" s="5">
        <v>340</v>
      </c>
      <c r="N22" s="5">
        <f t="shared" si="2"/>
        <v>0.97928628472089752</v>
      </c>
      <c r="O22" s="5">
        <f t="shared" si="3"/>
        <v>0.97928628472089752</v>
      </c>
      <c r="P22" s="5">
        <f t="shared" ref="P22:AD22" si="20">IF(O22&lt;0.9,INDEX($I$5:$I$19,MATCH(P$4,$H$5:$H$19,0))*O22/0.9,求节点($C$5:$C$45,$D$5:$D$45,求节点($D$5:$D$45,$C$5:$C$45,INDEX($I$5:$I$19,MATCH(P$4,$H$5:$H$19,0)))+$M22-求节点(O$5:O$105,$M$5:$M$105,0.9)))</f>
        <v>0.88637433122688114</v>
      </c>
      <c r="Q22" s="5">
        <f t="shared" si="20"/>
        <v>0.73864527602240093</v>
      </c>
      <c r="R22" s="5">
        <f t="shared" si="20"/>
        <v>0.63312452230491501</v>
      </c>
      <c r="S22" s="5">
        <f t="shared" si="20"/>
        <v>0.55398395701680059</v>
      </c>
      <c r="T22" s="5">
        <f t="shared" si="20"/>
        <v>0.49243018401493388</v>
      </c>
      <c r="U22" s="5">
        <f t="shared" si="20"/>
        <v>0.4431871656134404</v>
      </c>
      <c r="V22" s="5">
        <f t="shared" si="20"/>
        <v>0.40289742328494582</v>
      </c>
      <c r="W22" s="5">
        <f t="shared" si="20"/>
        <v>0.36932263801120035</v>
      </c>
      <c r="X22" s="5">
        <f t="shared" si="20"/>
        <v>0.34091320431803102</v>
      </c>
      <c r="Y22" s="5">
        <f t="shared" si="20"/>
        <v>0.31656226115245734</v>
      </c>
      <c r="Z22" s="5">
        <f t="shared" si="20"/>
        <v>0.29545811040896025</v>
      </c>
      <c r="AA22" s="5">
        <f t="shared" si="20"/>
        <v>0.27699197850840024</v>
      </c>
      <c r="AB22" s="5">
        <f t="shared" si="20"/>
        <v>0.26069833271378851</v>
      </c>
      <c r="AC22" s="5">
        <f t="shared" si="20"/>
        <v>0.24621509200746691</v>
      </c>
      <c r="AD22" s="5">
        <f t="shared" si="20"/>
        <v>0.2332564029544423</v>
      </c>
    </row>
    <row r="23" spans="3:30" x14ac:dyDescent="0.15">
      <c r="C23" s="5">
        <v>360</v>
      </c>
      <c r="D23" s="5">
        <f>INDEX([2]阵旗洗练模拟!$D$16:$AQ$16,MATCH(C23,[2]阵旗洗练模拟!$D$8:$AQ$8,0))</f>
        <v>0.98834840663671497</v>
      </c>
      <c r="M23" s="5">
        <v>360</v>
      </c>
      <c r="N23" s="5">
        <f t="shared" si="2"/>
        <v>0.98834840663671497</v>
      </c>
      <c r="O23" s="5">
        <f t="shared" si="3"/>
        <v>0.98834840663671497</v>
      </c>
      <c r="P23" s="5">
        <f t="shared" ref="P23:AD23" si="21">IF(O23&lt;0.9,INDEX($I$5:$I$19,MATCH(P$4,$H$5:$H$19,0))*O23/0.9,求节点($C$5:$C$45,$D$5:$D$45,求节点($D$5:$D$45,$C$5:$C$45,INDEX($I$5:$I$19,MATCH(P$4,$H$5:$H$19,0)))+$M23-求节点(O$5:O$105,$M$5:$M$105,0.9)))</f>
        <v>0.90637235439282704</v>
      </c>
      <c r="Q23" s="5">
        <f t="shared" si="21"/>
        <v>0.75812254018573422</v>
      </c>
      <c r="R23" s="5">
        <f t="shared" si="21"/>
        <v>0.64981932015920074</v>
      </c>
      <c r="S23" s="5">
        <f t="shared" si="21"/>
        <v>0.56859190513930069</v>
      </c>
      <c r="T23" s="5">
        <f t="shared" si="21"/>
        <v>0.50541502679048944</v>
      </c>
      <c r="U23" s="5">
        <f t="shared" si="21"/>
        <v>0.45487352411144044</v>
      </c>
      <c r="V23" s="5">
        <f t="shared" si="21"/>
        <v>0.41352138555585494</v>
      </c>
      <c r="W23" s="5">
        <f t="shared" si="21"/>
        <v>0.37906127009286705</v>
      </c>
      <c r="X23" s="5">
        <f t="shared" si="21"/>
        <v>0.34990271085495417</v>
      </c>
      <c r="Y23" s="5">
        <f t="shared" si="21"/>
        <v>0.32490966007960026</v>
      </c>
      <c r="Z23" s="5">
        <f t="shared" si="21"/>
        <v>0.30324901607429361</v>
      </c>
      <c r="AA23" s="5">
        <f t="shared" si="21"/>
        <v>0.28429595256965029</v>
      </c>
      <c r="AB23" s="5">
        <f t="shared" si="21"/>
        <v>0.26757266124202383</v>
      </c>
      <c r="AC23" s="5">
        <f t="shared" si="21"/>
        <v>0.25270751339524472</v>
      </c>
      <c r="AD23" s="5">
        <f t="shared" si="21"/>
        <v>0.2394071179533897</v>
      </c>
    </row>
    <row r="24" spans="3:30" x14ac:dyDescent="0.15">
      <c r="C24" s="5">
        <v>380</v>
      </c>
      <c r="D24" s="5">
        <f>INDEX([2]阵旗洗练模拟!$D$16:$AQ$16,MATCH(C24,[2]阵旗洗练模拟!$D$8:$AQ$8,0))</f>
        <v>0.989973742353916</v>
      </c>
      <c r="M24" s="5">
        <v>380</v>
      </c>
      <c r="N24" s="5">
        <f t="shared" si="2"/>
        <v>0.989973742353916</v>
      </c>
      <c r="O24" s="5">
        <f t="shared" si="3"/>
        <v>0.989973742353916</v>
      </c>
      <c r="P24" s="5">
        <f t="shared" ref="P24:AD24" si="22">IF(O24&lt;0.9,INDEX($I$5:$I$19,MATCH(P$4,$H$5:$H$19,0))*O24/0.9,求节点($C$5:$C$45,$D$5:$D$45,求节点($D$5:$D$45,$C$5:$C$45,INDEX($I$5:$I$19,MATCH(P$4,$H$5:$H$19,0)))+$M24-求节点(O$5:O$105,$M$5:$M$105,0.9)))</f>
        <v>0.9321950005219366</v>
      </c>
      <c r="Q24" s="5">
        <f t="shared" si="22"/>
        <v>0.78777621519196939</v>
      </c>
      <c r="R24" s="5">
        <f t="shared" si="22"/>
        <v>0.67523675587883081</v>
      </c>
      <c r="S24" s="5">
        <f t="shared" si="22"/>
        <v>0.59083216139397698</v>
      </c>
      <c r="T24" s="5">
        <f t="shared" si="22"/>
        <v>0.52518414346131292</v>
      </c>
      <c r="U24" s="5">
        <f t="shared" si="22"/>
        <v>0.47266572911518157</v>
      </c>
      <c r="V24" s="5">
        <f t="shared" si="22"/>
        <v>0.42969611737743774</v>
      </c>
      <c r="W24" s="5">
        <f t="shared" si="22"/>
        <v>0.39388810759598458</v>
      </c>
      <c r="X24" s="5">
        <f t="shared" si="22"/>
        <v>0.36358902239629343</v>
      </c>
      <c r="Y24" s="5">
        <f t="shared" si="22"/>
        <v>0.33761837793941529</v>
      </c>
      <c r="Z24" s="5">
        <f t="shared" si="22"/>
        <v>0.31511048607678765</v>
      </c>
      <c r="AA24" s="5">
        <f t="shared" si="22"/>
        <v>0.29541608069698844</v>
      </c>
      <c r="AB24" s="5">
        <f t="shared" si="22"/>
        <v>0.27803866418540091</v>
      </c>
      <c r="AC24" s="5">
        <f t="shared" si="22"/>
        <v>0.26259207173065641</v>
      </c>
      <c r="AD24" s="5">
        <f t="shared" si="22"/>
        <v>0.2487714363764113</v>
      </c>
    </row>
    <row r="25" spans="3:30" x14ac:dyDescent="0.15">
      <c r="C25" s="5">
        <v>400</v>
      </c>
      <c r="D25" s="5">
        <f>INDEX([2]阵旗洗练模拟!$D$16:$AQ$16,MATCH(C25,[2]阵旗洗练模拟!$D$8:$AQ$8,0))</f>
        <v>0.99325009346008342</v>
      </c>
      <c r="M25" s="5">
        <v>400</v>
      </c>
      <c r="N25" s="5">
        <f t="shared" si="2"/>
        <v>0.99325009346008342</v>
      </c>
      <c r="O25" s="5">
        <f t="shared" si="3"/>
        <v>0.99325009346008342</v>
      </c>
      <c r="P25" s="5">
        <f t="shared" ref="P25:AD25" si="23">IF(O25&lt;0.9,INDEX($I$5:$I$19,MATCH(P$4,$H$5:$H$19,0))*O25/0.9,求节点($C$5:$C$45,$D$5:$D$45,求节点($D$5:$D$45,$C$5:$C$45,INDEX($I$5:$I$19,MATCH(P$4,$H$5:$H$19,0)))+$M25-求节点(O$5:O$105,$M$5:$M$105,0.9)))</f>
        <v>0.94138264221432544</v>
      </c>
      <c r="Q25" s="5">
        <f t="shared" si="23"/>
        <v>0.82889520399553063</v>
      </c>
      <c r="R25" s="5">
        <f t="shared" si="23"/>
        <v>0.71048160342474054</v>
      </c>
      <c r="S25" s="5">
        <f t="shared" si="23"/>
        <v>0.62167140299664791</v>
      </c>
      <c r="T25" s="5">
        <f t="shared" si="23"/>
        <v>0.55259680266368705</v>
      </c>
      <c r="U25" s="5">
        <f t="shared" si="23"/>
        <v>0.49733712239731831</v>
      </c>
      <c r="V25" s="5">
        <f t="shared" si="23"/>
        <v>0.45212465672483482</v>
      </c>
      <c r="W25" s="5">
        <f t="shared" si="23"/>
        <v>0.41444760199776526</v>
      </c>
      <c r="X25" s="5">
        <f t="shared" si="23"/>
        <v>0.38256701722870634</v>
      </c>
      <c r="Y25" s="5">
        <f t="shared" si="23"/>
        <v>0.3552408017123701</v>
      </c>
      <c r="Z25" s="5">
        <f t="shared" si="23"/>
        <v>0.33155808159821215</v>
      </c>
      <c r="AA25" s="5">
        <f t="shared" si="23"/>
        <v>0.3108357014983239</v>
      </c>
      <c r="AB25" s="5">
        <f t="shared" si="23"/>
        <v>0.29255124846901076</v>
      </c>
      <c r="AC25" s="5">
        <f t="shared" si="23"/>
        <v>0.27629840133184347</v>
      </c>
      <c r="AD25" s="5">
        <f t="shared" si="23"/>
        <v>0.26175638020911485</v>
      </c>
    </row>
    <row r="26" spans="3:30" x14ac:dyDescent="0.15">
      <c r="C26" s="5">
        <v>420</v>
      </c>
      <c r="D26" s="5">
        <f>INDEX([2]阵旗洗练模拟!$D$16:$AQ$16,MATCH(C26,[2]阵旗洗练模拟!$D$8:$AQ$8,0))</f>
        <v>0.99588274111747777</v>
      </c>
      <c r="M26" s="5">
        <v>420</v>
      </c>
      <c r="N26" s="5">
        <f t="shared" si="2"/>
        <v>0.99588274111747777</v>
      </c>
      <c r="O26" s="5">
        <f t="shared" si="3"/>
        <v>0.99588274111747777</v>
      </c>
      <c r="P26" s="5">
        <f t="shared" ref="P26:AD26" si="24">IF(O26&lt;0.9,INDEX($I$5:$I$19,MATCH(P$4,$H$5:$H$19,0))*O26/0.9,求节点($C$5:$C$45,$D$5:$D$45,求节点($D$5:$D$45,$C$5:$C$45,INDEX($I$5:$I$19,MATCH(P$4,$H$5:$H$19,0)))+$M26-求节点(O$5:O$105,$M$5:$M$105,0.9)))</f>
        <v>0.95909830565103216</v>
      </c>
      <c r="Q26" s="5">
        <f t="shared" si="24"/>
        <v>0.85555768177863889</v>
      </c>
      <c r="R26" s="5">
        <f t="shared" si="24"/>
        <v>0.73333515581026187</v>
      </c>
      <c r="S26" s="5">
        <f t="shared" si="24"/>
        <v>0.64166826133397903</v>
      </c>
      <c r="T26" s="5">
        <f t="shared" si="24"/>
        <v>0.57037178785242582</v>
      </c>
      <c r="U26" s="5">
        <f t="shared" si="24"/>
        <v>0.5133346090671832</v>
      </c>
      <c r="V26" s="5">
        <f t="shared" si="24"/>
        <v>0.466667826424712</v>
      </c>
      <c r="W26" s="5">
        <f t="shared" si="24"/>
        <v>0.42777884088931933</v>
      </c>
      <c r="X26" s="5">
        <f t="shared" si="24"/>
        <v>0.39487277620552552</v>
      </c>
      <c r="Y26" s="5">
        <f t="shared" si="24"/>
        <v>0.36666757790513083</v>
      </c>
      <c r="Z26" s="5">
        <f t="shared" si="24"/>
        <v>0.34222307271145547</v>
      </c>
      <c r="AA26" s="5">
        <f t="shared" si="24"/>
        <v>0.32083413066698946</v>
      </c>
      <c r="AB26" s="5">
        <f t="shared" si="24"/>
        <v>0.30196153474540188</v>
      </c>
      <c r="AC26" s="5">
        <f t="shared" si="24"/>
        <v>0.28518589392621291</v>
      </c>
      <c r="AD26" s="5">
        <f t="shared" si="24"/>
        <v>0.27017611003535957</v>
      </c>
    </row>
    <row r="27" spans="3:30" x14ac:dyDescent="0.15">
      <c r="C27" s="5">
        <v>440</v>
      </c>
      <c r="D27" s="5">
        <f>INDEX([2]阵旗洗练模拟!$D$16:$AQ$16,MATCH(C27,[2]阵旗洗练模拟!$D$8:$AQ$8,0))</f>
        <v>0.99780333521366116</v>
      </c>
      <c r="M27" s="5">
        <v>440</v>
      </c>
      <c r="N27" s="5">
        <f t="shared" si="2"/>
        <v>0.99780333521366116</v>
      </c>
      <c r="O27" s="5">
        <f t="shared" si="3"/>
        <v>0.99780333521366116</v>
      </c>
      <c r="P27" s="5">
        <f t="shared" ref="P27:AD27" si="25">IF(O27&lt;0.9,INDEX($I$5:$I$19,MATCH(P$4,$H$5:$H$19,0))*O27/0.9,求节点($C$5:$C$45,$D$5:$D$45,求节点($D$5:$D$45,$C$5:$C$45,INDEX($I$5:$I$19,MATCH(P$4,$H$5:$H$19,0)))+$M27-求节点(O$5:O$105,$M$5:$M$105,0.9)))</f>
        <v>0.97394278217293861</v>
      </c>
      <c r="Q27" s="5">
        <f t="shared" si="25"/>
        <v>0.87562546963393684</v>
      </c>
      <c r="R27" s="5">
        <f t="shared" si="25"/>
        <v>0.75053611682908861</v>
      </c>
      <c r="S27" s="5">
        <f t="shared" si="25"/>
        <v>0.65671910222545249</v>
      </c>
      <c r="T27" s="5">
        <f t="shared" si="25"/>
        <v>0.58375031308929104</v>
      </c>
      <c r="U27" s="5">
        <f t="shared" si="25"/>
        <v>0.52537528178036186</v>
      </c>
      <c r="V27" s="5">
        <f t="shared" si="25"/>
        <v>0.47761389252760161</v>
      </c>
      <c r="W27" s="5">
        <f t="shared" si="25"/>
        <v>0.43781273481696814</v>
      </c>
      <c r="X27" s="5">
        <f t="shared" si="25"/>
        <v>0.40413483213873974</v>
      </c>
      <c r="Y27" s="5">
        <f t="shared" si="25"/>
        <v>0.37526805841454403</v>
      </c>
      <c r="Z27" s="5">
        <f t="shared" si="25"/>
        <v>0.35025018785357448</v>
      </c>
      <c r="AA27" s="5">
        <f t="shared" si="25"/>
        <v>0.32835955111272602</v>
      </c>
      <c r="AB27" s="5">
        <f t="shared" si="25"/>
        <v>0.30904428340021278</v>
      </c>
      <c r="AC27" s="5">
        <f t="shared" si="25"/>
        <v>0.29187515654464541</v>
      </c>
      <c r="AD27" s="5">
        <f t="shared" si="25"/>
        <v>0.27651330620019032</v>
      </c>
    </row>
    <row r="28" spans="3:30" x14ac:dyDescent="0.15">
      <c r="C28" s="5">
        <v>460</v>
      </c>
      <c r="D28" s="5">
        <f>INDEX([2]阵旗洗练模拟!$D$16:$AQ$16,MATCH(C28,[2]阵旗洗练模拟!$D$8:$AQ$8,0))</f>
        <v>0.99829709641933428</v>
      </c>
      <c r="M28" s="5">
        <v>460</v>
      </c>
      <c r="N28" s="5">
        <f t="shared" si="2"/>
        <v>0.99829709641933428</v>
      </c>
      <c r="O28" s="5">
        <f t="shared" si="3"/>
        <v>0.99829709641933428</v>
      </c>
      <c r="P28" s="5">
        <f t="shared" ref="P28:AD28" si="26">IF(O28&lt;0.9,INDEX($I$5:$I$19,MATCH(P$4,$H$5:$H$19,0))*O28/0.9,求节点($C$5:$C$45,$D$5:$D$45,求节点($D$5:$D$45,$C$5:$C$45,INDEX($I$5:$I$19,MATCH(P$4,$H$5:$H$19,0)))+$M28-求节点(O$5:O$105,$M$5:$M$105,0.9)))</f>
        <v>0.9789179644818442</v>
      </c>
      <c r="Q28" s="5">
        <f t="shared" si="26"/>
        <v>0.89398424722260461</v>
      </c>
      <c r="R28" s="5">
        <f t="shared" si="26"/>
        <v>0.76627221190508954</v>
      </c>
      <c r="S28" s="5">
        <f t="shared" si="26"/>
        <v>0.67048818541695332</v>
      </c>
      <c r="T28" s="5">
        <f t="shared" si="26"/>
        <v>0.59598949814840296</v>
      </c>
      <c r="U28" s="5">
        <f t="shared" si="26"/>
        <v>0.53639054833356259</v>
      </c>
      <c r="V28" s="5">
        <f t="shared" si="26"/>
        <v>0.48762777121232959</v>
      </c>
      <c r="W28" s="5">
        <f t="shared" si="26"/>
        <v>0.44699212361130214</v>
      </c>
      <c r="X28" s="5">
        <f t="shared" si="26"/>
        <v>0.4126081141027404</v>
      </c>
      <c r="Y28" s="5">
        <f t="shared" si="26"/>
        <v>0.3831361059525446</v>
      </c>
      <c r="Z28" s="5">
        <f t="shared" si="26"/>
        <v>0.35759369888904163</v>
      </c>
      <c r="AA28" s="5">
        <f t="shared" si="26"/>
        <v>0.33524409270847655</v>
      </c>
      <c r="AB28" s="5">
        <f t="shared" si="26"/>
        <v>0.31552385196091909</v>
      </c>
      <c r="AC28" s="5">
        <f t="shared" si="26"/>
        <v>0.29799474907420137</v>
      </c>
      <c r="AD28" s="5">
        <f t="shared" si="26"/>
        <v>0.28231081491240123</v>
      </c>
    </row>
    <row r="29" spans="3:30" x14ac:dyDescent="0.15">
      <c r="C29" s="5">
        <v>480</v>
      </c>
      <c r="D29" s="5">
        <f>INDEX([2]阵旗洗练模拟!$D$16:$AQ$16,MATCH(C29,[2]阵旗洗练模拟!$D$8:$AQ$8,0))</f>
        <v>0.99853140313625266</v>
      </c>
      <c r="M29" s="5">
        <v>480</v>
      </c>
      <c r="N29" s="5">
        <f t="shared" si="2"/>
        <v>0.99853140313625266</v>
      </c>
      <c r="O29" s="5">
        <f t="shared" si="3"/>
        <v>0.99853140313625266</v>
      </c>
      <c r="P29" s="5">
        <f t="shared" ref="P29:AD29" si="27">IF(O29&lt;0.9,INDEX($I$5:$I$19,MATCH(P$4,$H$5:$H$19,0))*O29/0.9,求节点($C$5:$C$45,$D$5:$D$45,求节点($D$5:$D$45,$C$5:$C$45,INDEX($I$5:$I$19,MATCH(P$4,$H$5:$H$19,0)))+$M29-求节点(O$5:O$105,$M$5:$M$105,0.9)))</f>
        <v>0.98751797289954768</v>
      </c>
      <c r="Q29" s="5">
        <f t="shared" si="27"/>
        <v>0.91604827102120845</v>
      </c>
      <c r="R29" s="5">
        <f t="shared" si="27"/>
        <v>0.80230217412706395</v>
      </c>
      <c r="S29" s="5">
        <f t="shared" si="27"/>
        <v>0.70201440236118096</v>
      </c>
      <c r="T29" s="5">
        <f t="shared" si="27"/>
        <v>0.62401280209882759</v>
      </c>
      <c r="U29" s="5">
        <f t="shared" si="27"/>
        <v>0.56161152188894481</v>
      </c>
      <c r="V29" s="5">
        <f t="shared" si="27"/>
        <v>0.51055592898994973</v>
      </c>
      <c r="W29" s="5">
        <f t="shared" si="27"/>
        <v>0.46800960157412058</v>
      </c>
      <c r="X29" s="5">
        <f t="shared" si="27"/>
        <v>0.43200886299149588</v>
      </c>
      <c r="Y29" s="5">
        <f t="shared" si="27"/>
        <v>0.40115108706353181</v>
      </c>
      <c r="Z29" s="5">
        <f t="shared" si="27"/>
        <v>0.37440768125929635</v>
      </c>
      <c r="AA29" s="5">
        <f t="shared" si="27"/>
        <v>0.35100720118059031</v>
      </c>
      <c r="AB29" s="5">
        <f t="shared" si="27"/>
        <v>0.33035971875820264</v>
      </c>
      <c r="AC29" s="5">
        <f t="shared" si="27"/>
        <v>0.31200640104941357</v>
      </c>
      <c r="AD29" s="5">
        <f t="shared" si="27"/>
        <v>0.29558501152049704</v>
      </c>
    </row>
    <row r="30" spans="3:30" x14ac:dyDescent="0.15">
      <c r="C30" s="5">
        <v>500</v>
      </c>
      <c r="D30" s="5">
        <f>INDEX([2]阵旗洗练模拟!$D$16:$AQ$16,MATCH(C30,[2]阵旗洗练模拟!$D$8:$AQ$8,0))</f>
        <v>0.99916749064922328</v>
      </c>
      <c r="M30" s="5">
        <v>500</v>
      </c>
      <c r="N30" s="5">
        <f t="shared" si="2"/>
        <v>0.99916749064922328</v>
      </c>
      <c r="O30" s="5">
        <f t="shared" si="3"/>
        <v>0.99916749064922328</v>
      </c>
      <c r="P30" s="5">
        <f t="shared" ref="P30:AD30" si="28">IF(O30&lt;0.9,INDEX($I$5:$I$19,MATCH(P$4,$H$5:$H$19,0))*O30/0.9,求节点($C$5:$C$45,$D$5:$D$45,求节点($D$5:$D$45,$C$5:$C$45,INDEX($I$5:$I$19,MATCH(P$4,$H$5:$H$19,0)))+$M30-求节点(O$5:O$105,$M$5:$M$105,0.9)))</f>
        <v>0.98982480001719564</v>
      </c>
      <c r="Q30" s="5">
        <f t="shared" si="28"/>
        <v>0.93682193789887858</v>
      </c>
      <c r="R30" s="5">
        <f t="shared" si="28"/>
        <v>0.83800699971153947</v>
      </c>
      <c r="S30" s="5">
        <f t="shared" si="28"/>
        <v>0.73325612474759694</v>
      </c>
      <c r="T30" s="5">
        <f t="shared" si="28"/>
        <v>0.65178322199786398</v>
      </c>
      <c r="U30" s="5">
        <f t="shared" si="28"/>
        <v>0.58660489979807751</v>
      </c>
      <c r="V30" s="5">
        <f t="shared" si="28"/>
        <v>0.5332771816346159</v>
      </c>
      <c r="W30" s="5">
        <f t="shared" si="28"/>
        <v>0.4888374164983979</v>
      </c>
      <c r="X30" s="5">
        <f t="shared" si="28"/>
        <v>0.45123453830621341</v>
      </c>
      <c r="Y30" s="5">
        <f t="shared" si="28"/>
        <v>0.41900349985576957</v>
      </c>
      <c r="Z30" s="5">
        <f t="shared" si="28"/>
        <v>0.3910699331987183</v>
      </c>
      <c r="AA30" s="5">
        <f t="shared" si="28"/>
        <v>0.36662806237379841</v>
      </c>
      <c r="AB30" s="5">
        <f t="shared" si="28"/>
        <v>0.34506170576357503</v>
      </c>
      <c r="AC30" s="5">
        <f t="shared" si="28"/>
        <v>0.32589161099893194</v>
      </c>
      <c r="AD30" s="5">
        <f t="shared" si="28"/>
        <v>0.30873942094635648</v>
      </c>
    </row>
    <row r="31" spans="3:30" x14ac:dyDescent="0.15">
      <c r="C31" s="5">
        <v>520</v>
      </c>
      <c r="D31" s="5">
        <f>INDEX([2]阵旗洗练模拟!$D$16:$AQ$16,MATCH(C31,[2]阵旗洗练模拟!$D$8:$AQ$8,0))</f>
        <v>0.99880198748111748</v>
      </c>
      <c r="M31" s="5">
        <v>520</v>
      </c>
      <c r="N31" s="5">
        <f t="shared" si="2"/>
        <v>0.99880198748111748</v>
      </c>
      <c r="O31" s="5">
        <f t="shared" si="3"/>
        <v>0.99880198748111748</v>
      </c>
      <c r="P31" s="5">
        <f t="shared" ref="P31:AD31" si="29">IF(O31&lt;0.9,INDEX($I$5:$I$19,MATCH(P$4,$H$5:$H$19,0))*O31/0.9,求节点($C$5:$C$45,$D$5:$D$45,求节点($D$5:$D$45,$C$5:$C$45,INDEX($I$5:$I$19,MATCH(P$4,$H$5:$H$19,0)))+$M31-求节点(O$5:O$105,$M$5:$M$105,0.9)))</f>
        <v>0.99294985555568949</v>
      </c>
      <c r="Q31" s="5">
        <f t="shared" si="29"/>
        <v>0.94762352560869101</v>
      </c>
      <c r="R31" s="5">
        <f t="shared" si="29"/>
        <v>0.8621950997021155</v>
      </c>
      <c r="S31" s="5">
        <f t="shared" si="29"/>
        <v>0.75442071223935103</v>
      </c>
      <c r="T31" s="5">
        <f t="shared" si="29"/>
        <v>0.67059618865720094</v>
      </c>
      <c r="U31" s="5">
        <f t="shared" si="29"/>
        <v>0.60353656979148085</v>
      </c>
      <c r="V31" s="5">
        <f t="shared" si="29"/>
        <v>0.5486696089013462</v>
      </c>
      <c r="W31" s="5">
        <f t="shared" si="29"/>
        <v>0.50294714149290076</v>
      </c>
      <c r="X31" s="5">
        <f t="shared" si="29"/>
        <v>0.46425889983960067</v>
      </c>
      <c r="Y31" s="5">
        <f t="shared" si="29"/>
        <v>0.43109754985105775</v>
      </c>
      <c r="Z31" s="5">
        <f t="shared" si="29"/>
        <v>0.40235771319432062</v>
      </c>
      <c r="AA31" s="5">
        <f t="shared" si="29"/>
        <v>0.37721035611967557</v>
      </c>
      <c r="AB31" s="5">
        <f t="shared" si="29"/>
        <v>0.35502151164204759</v>
      </c>
      <c r="AC31" s="5">
        <f t="shared" si="29"/>
        <v>0.33529809432860047</v>
      </c>
      <c r="AD31" s="5">
        <f t="shared" si="29"/>
        <v>0.31765082620604251</v>
      </c>
    </row>
    <row r="32" spans="3:30" x14ac:dyDescent="0.15">
      <c r="C32" s="5">
        <v>540</v>
      </c>
      <c r="D32" s="5">
        <f>INDEX([2]阵旗洗练模拟!$D$16:$AQ$16,MATCH(C32,[2]阵旗洗练模拟!$D$8:$AQ$8,0))</f>
        <v>0.99930716769695249</v>
      </c>
      <c r="M32" s="5">
        <v>540</v>
      </c>
      <c r="N32" s="5">
        <f t="shared" si="2"/>
        <v>0.99930716769695249</v>
      </c>
      <c r="O32" s="5">
        <f t="shared" si="3"/>
        <v>0.99930716769695249</v>
      </c>
      <c r="P32" s="5">
        <f t="shared" ref="P32:AD32" si="30">IF(O32&lt;0.9,INDEX($I$5:$I$19,MATCH(P$4,$H$5:$H$19,0))*O32/0.9,求节点($C$5:$C$45,$D$5:$D$45,求节点($D$5:$D$45,$C$5:$C$45,INDEX($I$5:$I$19,MATCH(P$4,$H$5:$H$19,0)))+$M32-求节点(O$5:O$105,$M$5:$M$105,0.9)))</f>
        <v>0.99564149083933273</v>
      </c>
      <c r="Q32" s="5">
        <f t="shared" si="30"/>
        <v>0.96509980333015233</v>
      </c>
      <c r="R32" s="5">
        <f t="shared" si="30"/>
        <v>0.88114500025600873</v>
      </c>
      <c r="S32" s="5">
        <f t="shared" si="30"/>
        <v>0.77100187522400765</v>
      </c>
      <c r="T32" s="5">
        <f t="shared" si="30"/>
        <v>0.68533500019911797</v>
      </c>
      <c r="U32" s="5">
        <f t="shared" si="30"/>
        <v>0.6168015001792061</v>
      </c>
      <c r="V32" s="5">
        <f t="shared" si="30"/>
        <v>0.56072863652655092</v>
      </c>
      <c r="W32" s="5">
        <f t="shared" si="30"/>
        <v>0.5140012501493384</v>
      </c>
      <c r="X32" s="5">
        <f t="shared" si="30"/>
        <v>0.47446269244554312</v>
      </c>
      <c r="Y32" s="5">
        <f t="shared" si="30"/>
        <v>0.44057250012800425</v>
      </c>
      <c r="Z32" s="5">
        <f t="shared" si="30"/>
        <v>0.41120100011947064</v>
      </c>
      <c r="AA32" s="5">
        <f t="shared" si="30"/>
        <v>0.38550093761200366</v>
      </c>
      <c r="AB32" s="5">
        <f t="shared" si="30"/>
        <v>0.36282441187012116</v>
      </c>
      <c r="AC32" s="5">
        <f t="shared" si="30"/>
        <v>0.34266750009955887</v>
      </c>
      <c r="AD32" s="5">
        <f t="shared" si="30"/>
        <v>0.32463236851537147</v>
      </c>
    </row>
    <row r="33" spans="3:30" x14ac:dyDescent="0.15">
      <c r="C33" s="5">
        <v>560</v>
      </c>
      <c r="D33" s="5">
        <f>INDEX([2]阵旗洗练模拟!$D$16:$AQ$16,MATCH(C33,[2]阵旗洗练模拟!$D$8:$AQ$8,0))</f>
        <v>0.99954186573028525</v>
      </c>
      <c r="M33" s="5">
        <v>560</v>
      </c>
      <c r="N33" s="5">
        <f t="shared" si="2"/>
        <v>0.99954186573028525</v>
      </c>
      <c r="O33" s="5">
        <f t="shared" si="3"/>
        <v>0.99954186573028525</v>
      </c>
      <c r="P33" s="5">
        <f t="shared" ref="P33:AD33" si="31">IF(O33&lt;0.9,INDEX($I$5:$I$19,MATCH(P$4,$H$5:$H$19,0))*O33/0.9,求节点($C$5:$C$45,$D$5:$D$45,求节点($D$5:$D$45,$C$5:$C$45,INDEX($I$5:$I$19,MATCH(P$4,$H$5:$H$19,0)))+$M33-求节点(O$5:O$105,$M$5:$M$105,0.9)))</f>
        <v>0.99762733602189446</v>
      </c>
      <c r="Q33" s="5">
        <f t="shared" si="31"/>
        <v>0.97645833333590137</v>
      </c>
      <c r="R33" s="5">
        <f t="shared" si="31"/>
        <v>0.900345528953168</v>
      </c>
      <c r="S33" s="5">
        <f t="shared" si="31"/>
        <v>0.78833187277037964</v>
      </c>
      <c r="T33" s="5">
        <f t="shared" si="31"/>
        <v>0.70073944246255981</v>
      </c>
      <c r="U33" s="5">
        <f t="shared" si="31"/>
        <v>0.6306654982163038</v>
      </c>
      <c r="V33" s="5">
        <f t="shared" si="31"/>
        <v>0.57333227110573071</v>
      </c>
      <c r="W33" s="5">
        <f t="shared" si="31"/>
        <v>0.52555458184691983</v>
      </c>
      <c r="X33" s="5">
        <f t="shared" si="31"/>
        <v>0.4851273063202336</v>
      </c>
      <c r="Y33" s="5">
        <f t="shared" si="31"/>
        <v>0.45047535586878829</v>
      </c>
      <c r="Z33" s="5">
        <f t="shared" si="31"/>
        <v>0.42044366547753576</v>
      </c>
      <c r="AA33" s="5">
        <f t="shared" si="31"/>
        <v>0.39416593638518976</v>
      </c>
      <c r="AB33" s="5">
        <f t="shared" si="31"/>
        <v>0.37097970483311982</v>
      </c>
      <c r="AC33" s="5">
        <f t="shared" si="31"/>
        <v>0.3503697212312798</v>
      </c>
      <c r="AD33" s="5">
        <f t="shared" si="31"/>
        <v>0.3319292095875282</v>
      </c>
    </row>
    <row r="34" spans="3:30" x14ac:dyDescent="0.15">
      <c r="C34" s="5">
        <v>580</v>
      </c>
      <c r="D34" s="5">
        <f>INDEX([2]阵旗洗练模拟!$D$16:$AQ$16,MATCH(C34,[2]阵旗洗练模拟!$D$8:$AQ$8,0))</f>
        <v>0.99956277024745954</v>
      </c>
      <c r="M34" s="5">
        <v>580</v>
      </c>
      <c r="N34" s="5">
        <f t="shared" si="2"/>
        <v>0.99956277024745954</v>
      </c>
      <c r="O34" s="5">
        <f t="shared" si="3"/>
        <v>0.99956277024745954</v>
      </c>
      <c r="P34" s="5">
        <f t="shared" ref="P34:AD34" si="32">IF(O34&lt;0.9,INDEX($I$5:$I$19,MATCH(P$4,$H$5:$H$19,0))*O34/0.9,求节点($C$5:$C$45,$D$5:$D$45,求节点($D$5:$D$45,$C$5:$C$45,INDEX($I$5:$I$19,MATCH(P$4,$H$5:$H$19,0)))+$M34-求节点(O$5:O$105,$M$5:$M$105,0.9)))</f>
        <v>0.99825184918396226</v>
      </c>
      <c r="Q34" s="5">
        <f t="shared" si="32"/>
        <v>0.9819723621293418</v>
      </c>
      <c r="R34" s="5">
        <f t="shared" si="32"/>
        <v>0.92433960188959385</v>
      </c>
      <c r="S34" s="5">
        <f t="shared" si="32"/>
        <v>0.8292437550526518</v>
      </c>
      <c r="T34" s="5">
        <f t="shared" si="32"/>
        <v>0.73710556004680161</v>
      </c>
      <c r="U34" s="5">
        <f t="shared" si="32"/>
        <v>0.66339500404212137</v>
      </c>
      <c r="V34" s="5">
        <f t="shared" si="32"/>
        <v>0.60308636731101928</v>
      </c>
      <c r="W34" s="5">
        <f t="shared" si="32"/>
        <v>0.55282917003510101</v>
      </c>
      <c r="X34" s="5">
        <f t="shared" si="32"/>
        <v>0.51030384926317007</v>
      </c>
      <c r="Y34" s="5">
        <f t="shared" si="32"/>
        <v>0.47385357431580072</v>
      </c>
      <c r="Z34" s="5">
        <f t="shared" si="32"/>
        <v>0.44226333602808066</v>
      </c>
      <c r="AA34" s="5">
        <f t="shared" si="32"/>
        <v>0.41462187752632562</v>
      </c>
      <c r="AB34" s="5">
        <f t="shared" si="32"/>
        <v>0.39023235531889472</v>
      </c>
      <c r="AC34" s="5">
        <f t="shared" si="32"/>
        <v>0.36855278002340058</v>
      </c>
      <c r="AD34" s="5">
        <f t="shared" si="32"/>
        <v>0.34915526528532681</v>
      </c>
    </row>
    <row r="35" spans="3:30" x14ac:dyDescent="0.15">
      <c r="C35" s="5">
        <v>600</v>
      </c>
      <c r="D35" s="5">
        <f>INDEX([2]阵旗洗练模拟!$D$16:$AQ$16,MATCH(C35,[2]阵旗洗练模拟!$D$8:$AQ$8,0))</f>
        <v>0.99966639521121958</v>
      </c>
      <c r="M35" s="5">
        <v>600</v>
      </c>
      <c r="N35" s="5">
        <f t="shared" si="2"/>
        <v>0.99966639521121958</v>
      </c>
      <c r="O35" s="5">
        <f t="shared" si="3"/>
        <v>0.99966639521121958</v>
      </c>
      <c r="P35" s="5">
        <f t="shared" ref="P35:AD35" si="33">IF(O35&lt;0.9,INDEX($I$5:$I$19,MATCH(P$4,$H$5:$H$19,0))*O35/0.9,求节点($C$5:$C$45,$D$5:$D$45,求节点($D$5:$D$45,$C$5:$C$45,INDEX($I$5:$I$19,MATCH(P$4,$H$5:$H$19,0)))+$M35-求节点(O$5:O$105,$M$5:$M$105,0.9)))</f>
        <v>0.99850993176294944</v>
      </c>
      <c r="Q35" s="5">
        <f t="shared" si="33"/>
        <v>0.98883016770676757</v>
      </c>
      <c r="R35" s="5">
        <f t="shared" si="33"/>
        <v>0.9391638554042494</v>
      </c>
      <c r="S35" s="5">
        <f t="shared" si="33"/>
        <v>0.85581158113128986</v>
      </c>
      <c r="T35" s="5">
        <f t="shared" si="33"/>
        <v>0.76072140545003553</v>
      </c>
      <c r="U35" s="5">
        <f t="shared" si="33"/>
        <v>0.68464926490503186</v>
      </c>
      <c r="V35" s="5">
        <f t="shared" si="33"/>
        <v>0.62240842264093799</v>
      </c>
      <c r="W35" s="5">
        <f t="shared" si="33"/>
        <v>0.57054105408752653</v>
      </c>
      <c r="X35" s="5">
        <f t="shared" si="33"/>
        <v>0.52665328069617823</v>
      </c>
      <c r="Y35" s="5">
        <f t="shared" si="33"/>
        <v>0.4890351892178797</v>
      </c>
      <c r="Z35" s="5">
        <f t="shared" si="33"/>
        <v>0.45643284327002109</v>
      </c>
      <c r="AA35" s="5">
        <f t="shared" si="33"/>
        <v>0.42790579056564476</v>
      </c>
      <c r="AB35" s="5">
        <f t="shared" si="33"/>
        <v>0.40273486170884215</v>
      </c>
      <c r="AC35" s="5">
        <f t="shared" si="33"/>
        <v>0.38036070272501754</v>
      </c>
      <c r="AD35" s="5">
        <f t="shared" si="33"/>
        <v>0.36034171837106915</v>
      </c>
    </row>
    <row r="36" spans="3:30" x14ac:dyDescent="0.15">
      <c r="C36" s="5">
        <v>620</v>
      </c>
      <c r="D36" s="5">
        <f>INDEX([2]阵旗洗练模拟!$D$16:$AQ$16,MATCH(C36,[2]阵旗洗练模拟!$D$8:$AQ$8,0))</f>
        <v>0.99970386941432954</v>
      </c>
      <c r="M36" s="5">
        <v>620</v>
      </c>
      <c r="N36" s="5">
        <f t="shared" si="2"/>
        <v>0.99970386941432954</v>
      </c>
      <c r="O36" s="5">
        <f t="shared" si="3"/>
        <v>0.99970386941432954</v>
      </c>
      <c r="P36" s="5">
        <f t="shared" ref="P36:AD36" si="34">IF(O36&lt;0.9,INDEX($I$5:$I$19,MATCH(P$4,$H$5:$H$19,0))*O36/0.9,求节点($C$5:$C$45,$D$5:$D$45,求节点($D$5:$D$45,$C$5:$C$45,INDEX($I$5:$I$19,MATCH(P$4,$H$5:$H$19,0)))+$M36-求节点(O$5:O$105,$M$5:$M$105,0.9)))</f>
        <v>0.99910920093126665</v>
      </c>
      <c r="Q36" s="5">
        <f t="shared" si="34"/>
        <v>0.99094487613143079</v>
      </c>
      <c r="R36" s="5">
        <f t="shared" si="34"/>
        <v>0.95351581469229174</v>
      </c>
      <c r="S36" s="5">
        <f t="shared" si="34"/>
        <v>0.87583660674599428</v>
      </c>
      <c r="T36" s="5">
        <f t="shared" si="34"/>
        <v>0.77852142821866166</v>
      </c>
      <c r="U36" s="5">
        <f t="shared" si="34"/>
        <v>0.7006692853967954</v>
      </c>
      <c r="V36" s="5">
        <f t="shared" si="34"/>
        <v>0.63697207763345032</v>
      </c>
      <c r="W36" s="5">
        <f t="shared" si="34"/>
        <v>0.58389107116399608</v>
      </c>
      <c r="X36" s="5">
        <f t="shared" si="34"/>
        <v>0.5389763733821501</v>
      </c>
      <c r="Y36" s="5">
        <f t="shared" si="34"/>
        <v>0.50047806099771075</v>
      </c>
      <c r="Z36" s="5">
        <f t="shared" si="34"/>
        <v>0.46711285693119675</v>
      </c>
      <c r="AA36" s="5">
        <f t="shared" si="34"/>
        <v>0.43791830337299692</v>
      </c>
      <c r="AB36" s="5">
        <f t="shared" si="34"/>
        <v>0.41215840317458535</v>
      </c>
      <c r="AC36" s="5">
        <f t="shared" si="34"/>
        <v>0.38926071410933061</v>
      </c>
      <c r="AD36" s="5">
        <f t="shared" si="34"/>
        <v>0.36877330810357628</v>
      </c>
    </row>
    <row r="37" spans="3:30" x14ac:dyDescent="0.15">
      <c r="C37" s="5">
        <v>640</v>
      </c>
      <c r="D37" s="5">
        <f>INDEX([2]阵旗洗练模拟!$D$16:$AQ$16,MATCH(C37,[2]阵旗洗练模拟!$D$8:$AQ$8,0))</f>
        <v>0.99968300621509587</v>
      </c>
      <c r="M37" s="5">
        <v>640</v>
      </c>
      <c r="N37" s="5">
        <f t="shared" si="2"/>
        <v>0.99968300621509587</v>
      </c>
      <c r="O37" s="5">
        <f t="shared" si="3"/>
        <v>0.99968300621509587</v>
      </c>
      <c r="P37" s="5">
        <f t="shared" ref="P37:AD37" si="35">IF(O37&lt;0.9,INDEX($I$5:$I$19,MATCH(P$4,$H$5:$H$19,0))*O37/0.9,求节点($C$5:$C$45,$D$5:$D$45,求节点($D$5:$D$45,$C$5:$C$45,INDEX($I$5:$I$19,MATCH(P$4,$H$5:$H$19,0)))+$M37-求节点(O$5:O$105,$M$5:$M$105,0.9)))</f>
        <v>0.99883548142046819</v>
      </c>
      <c r="Q37" s="5">
        <f t="shared" si="35"/>
        <v>0.99403042895574456</v>
      </c>
      <c r="R37" s="5">
        <f t="shared" si="35"/>
        <v>0.96964066489870504</v>
      </c>
      <c r="S37" s="5">
        <f t="shared" si="35"/>
        <v>0.8942275836121526</v>
      </c>
      <c r="T37" s="5">
        <f t="shared" si="35"/>
        <v>0.79486896321080236</v>
      </c>
      <c r="U37" s="5">
        <f t="shared" si="35"/>
        <v>0.71538206688972206</v>
      </c>
      <c r="V37" s="5">
        <f t="shared" si="35"/>
        <v>0.65034733353611096</v>
      </c>
      <c r="W37" s="5">
        <f t="shared" si="35"/>
        <v>0.59615172240810177</v>
      </c>
      <c r="X37" s="5">
        <f t="shared" si="35"/>
        <v>0.55029389760747849</v>
      </c>
      <c r="Y37" s="5">
        <f t="shared" si="35"/>
        <v>0.51098719063551568</v>
      </c>
      <c r="Z37" s="5">
        <f t="shared" si="35"/>
        <v>0.47692137792648137</v>
      </c>
      <c r="AA37" s="5">
        <f t="shared" si="35"/>
        <v>0.4471137918060763</v>
      </c>
      <c r="AB37" s="5">
        <f t="shared" si="35"/>
        <v>0.42081298052336596</v>
      </c>
      <c r="AC37" s="5">
        <f t="shared" si="35"/>
        <v>0.39743448160540118</v>
      </c>
      <c r="AD37" s="5">
        <f t="shared" si="35"/>
        <v>0.37651687731038003</v>
      </c>
    </row>
    <row r="38" spans="3:30" x14ac:dyDescent="0.15">
      <c r="C38" s="5">
        <v>660</v>
      </c>
      <c r="D38" s="5">
        <f>INDEX([2]阵旗洗练模拟!$D$16:$AQ$16,MATCH(C38,[2]阵旗洗练模拟!$D$8:$AQ$8,0))</f>
        <v>0.99968003375530212</v>
      </c>
      <c r="M38" s="5">
        <v>660</v>
      </c>
      <c r="N38" s="5">
        <f t="shared" si="2"/>
        <v>0.99968003375530212</v>
      </c>
      <c r="O38" s="5">
        <f t="shared" si="3"/>
        <v>0.99968003375530212</v>
      </c>
      <c r="P38" s="5">
        <f t="shared" ref="P38:AD38" si="36">IF(O38&lt;0.9,INDEX($I$5:$I$19,MATCH(P$4,$H$5:$H$19,0))*O38/0.9,求节点($C$5:$C$45,$D$5:$D$45,求节点($D$5:$D$45,$C$5:$C$45,INDEX($I$5:$I$19,MATCH(P$4,$H$5:$H$19,0)))+$M38-求节点(O$5:O$105,$M$5:$M$105,0.9)))</f>
        <v>0.99926087404757591</v>
      </c>
      <c r="Q38" s="5">
        <f t="shared" si="36"/>
        <v>0.99645201887168067</v>
      </c>
      <c r="R38" s="5">
        <f t="shared" si="36"/>
        <v>0.97772135168548591</v>
      </c>
      <c r="S38" s="5">
        <f t="shared" si="36"/>
        <v>0.91636543705841877</v>
      </c>
      <c r="T38" s="5">
        <f t="shared" si="36"/>
        <v>0.82900211330885554</v>
      </c>
      <c r="U38" s="5">
        <f t="shared" si="36"/>
        <v>0.74610190197796999</v>
      </c>
      <c r="V38" s="5">
        <f t="shared" si="36"/>
        <v>0.67827445634360906</v>
      </c>
      <c r="W38" s="5">
        <f t="shared" si="36"/>
        <v>0.62175158498164163</v>
      </c>
      <c r="X38" s="5">
        <f t="shared" si="36"/>
        <v>0.57392453998305382</v>
      </c>
      <c r="Y38" s="5">
        <f t="shared" si="36"/>
        <v>0.53292992998426414</v>
      </c>
      <c r="Z38" s="5">
        <f t="shared" si="36"/>
        <v>0.4974012679853132</v>
      </c>
      <c r="AA38" s="5">
        <f t="shared" si="36"/>
        <v>0.46631368873623114</v>
      </c>
      <c r="AB38" s="5">
        <f t="shared" si="36"/>
        <v>0.43888347175174702</v>
      </c>
      <c r="AC38" s="5">
        <f t="shared" si="36"/>
        <v>0.41450105665442771</v>
      </c>
      <c r="AD38" s="5">
        <f t="shared" si="36"/>
        <v>0.39268521156735248</v>
      </c>
    </row>
    <row r="39" spans="3:30" x14ac:dyDescent="0.15">
      <c r="C39" s="5">
        <v>680</v>
      </c>
      <c r="D39" s="5">
        <f>INDEX([2]阵旗洗练模拟!$D$16:$AQ$16,MATCH(C39,[2]阵旗洗练模拟!$D$8:$AQ$8,0))</f>
        <v>0.99972219686508212</v>
      </c>
      <c r="M39" s="5">
        <v>680</v>
      </c>
      <c r="N39" s="5">
        <f t="shared" si="2"/>
        <v>0.99972219686508212</v>
      </c>
      <c r="O39" s="5">
        <f t="shared" si="3"/>
        <v>0.99972219686508212</v>
      </c>
      <c r="P39" s="5">
        <f t="shared" ref="P39:AD39" si="37">IF(O39&lt;0.9,INDEX($I$5:$I$19,MATCH(P$4,$H$5:$H$19,0))*O39/0.9,求节点($C$5:$C$45,$D$5:$D$45,求节点($D$5:$D$45,$C$5:$C$45,INDEX($I$5:$I$19,MATCH(P$4,$H$5:$H$19,0)))+$M39-求节点(O$5:O$105,$M$5:$M$105,0.9)))</f>
        <v>0.99952035849757126</v>
      </c>
      <c r="Q39" s="5">
        <f t="shared" si="37"/>
        <v>0.99794968954789387</v>
      </c>
      <c r="R39" s="5">
        <f t="shared" si="37"/>
        <v>0.984820028200727</v>
      </c>
      <c r="S39" s="5">
        <f t="shared" si="37"/>
        <v>0.93691152263580957</v>
      </c>
      <c r="T39" s="5">
        <f t="shared" si="37"/>
        <v>0.85563555905053623</v>
      </c>
      <c r="U39" s="5">
        <f t="shared" si="37"/>
        <v>0.77007200314548252</v>
      </c>
      <c r="V39" s="5">
        <f t="shared" si="37"/>
        <v>0.70006545740498405</v>
      </c>
      <c r="W39" s="5">
        <f t="shared" si="37"/>
        <v>0.64172666928790212</v>
      </c>
      <c r="X39" s="5">
        <f t="shared" si="37"/>
        <v>0.59236307934267873</v>
      </c>
      <c r="Y39" s="5">
        <f t="shared" si="37"/>
        <v>0.55005143081820163</v>
      </c>
      <c r="Z39" s="5">
        <f t="shared" si="37"/>
        <v>0.51338133543032161</v>
      </c>
      <c r="AA39" s="5">
        <f t="shared" si="37"/>
        <v>0.48129500196592651</v>
      </c>
      <c r="AB39" s="5">
        <f t="shared" si="37"/>
        <v>0.45298353126204849</v>
      </c>
      <c r="AC39" s="5">
        <f t="shared" si="37"/>
        <v>0.427817779525268</v>
      </c>
      <c r="AD39" s="5">
        <f t="shared" si="37"/>
        <v>0.40530105428709595</v>
      </c>
    </row>
    <row r="40" spans="3:30" x14ac:dyDescent="0.15">
      <c r="C40" s="5">
        <v>700</v>
      </c>
      <c r="D40" s="5">
        <f>INDEX([2]阵旗洗练模拟!$D$16:$AQ$16,MATCH(C40,[2]阵旗洗练模拟!$D$8:$AQ$8,0))</f>
        <v>0.99974809594154312</v>
      </c>
      <c r="M40" s="5">
        <v>700</v>
      </c>
      <c r="N40" s="5">
        <f t="shared" si="2"/>
        <v>0.99974809594154312</v>
      </c>
      <c r="O40" s="5">
        <f t="shared" si="3"/>
        <v>0.99974809594154312</v>
      </c>
      <c r="P40" s="5">
        <f t="shared" ref="P40:AD40" si="38">IF(O40&lt;0.9,INDEX($I$5:$I$19,MATCH(P$4,$H$5:$H$19,0))*O40/0.9,求节点($C$5:$C$45,$D$5:$D$45,求节点($D$5:$D$45,$C$5:$C$45,INDEX($I$5:$I$19,MATCH(P$4,$H$5:$H$19,0)))+$M40-求节点(O$5:O$105,$M$5:$M$105,0.9)))</f>
        <v>0.99956085460160071</v>
      </c>
      <c r="Q40" s="5">
        <f t="shared" si="38"/>
        <v>0.99836654659720736</v>
      </c>
      <c r="R40" s="5">
        <f t="shared" si="38"/>
        <v>0.98934091049079531</v>
      </c>
      <c r="S40" s="5">
        <f t="shared" si="38"/>
        <v>0.94784892174935997</v>
      </c>
      <c r="T40" s="5">
        <f t="shared" si="38"/>
        <v>0.8756902306587746</v>
      </c>
      <c r="U40" s="5">
        <f t="shared" si="38"/>
        <v>0.78812120759289706</v>
      </c>
      <c r="V40" s="5">
        <f t="shared" si="38"/>
        <v>0.71647382508445179</v>
      </c>
      <c r="W40" s="5">
        <f t="shared" si="38"/>
        <v>0.6567676729940809</v>
      </c>
      <c r="X40" s="5">
        <f t="shared" si="38"/>
        <v>0.60624708276376693</v>
      </c>
      <c r="Y40" s="5">
        <f t="shared" si="38"/>
        <v>0.56294371970921209</v>
      </c>
      <c r="Z40" s="5">
        <f t="shared" si="38"/>
        <v>0.52541413839526463</v>
      </c>
      <c r="AA40" s="5">
        <f t="shared" si="38"/>
        <v>0.49257575474556059</v>
      </c>
      <c r="AB40" s="5">
        <f t="shared" si="38"/>
        <v>0.46360071034876293</v>
      </c>
      <c r="AC40" s="5">
        <f t="shared" si="38"/>
        <v>0.43784511532938719</v>
      </c>
      <c r="AD40" s="5">
        <f t="shared" si="38"/>
        <v>0.41480063557520885</v>
      </c>
    </row>
    <row r="41" spans="3:30" x14ac:dyDescent="0.15">
      <c r="C41" s="5">
        <v>720</v>
      </c>
      <c r="D41" s="5">
        <f>INDEX([2]阵旗洗练模拟!$D$16:$AQ$16,MATCH(C41,[2]阵旗洗练模拟!$D$8:$AQ$8,0))</f>
        <v>0.99976681106090537</v>
      </c>
      <c r="M41" s="5">
        <v>720</v>
      </c>
      <c r="N41" s="5">
        <f t="shared" si="2"/>
        <v>0.99976681106090537</v>
      </c>
      <c r="O41" s="5">
        <f t="shared" si="3"/>
        <v>0.99976681106090537</v>
      </c>
      <c r="P41" s="5">
        <f t="shared" ref="P41:AD41" si="39">IF(O41&lt;0.9,INDEX($I$5:$I$19,MATCH(P$4,$H$5:$H$19,0))*O41/0.9,求节点($C$5:$C$45,$D$5:$D$45,求节点($D$5:$D$45,$C$5:$C$45,INDEX($I$5:$I$19,MATCH(P$4,$H$5:$H$19,0)))+$M41-求节点(O$5:O$105,$M$5:$M$105,0.9)))</f>
        <v>0.99965689923812207</v>
      </c>
      <c r="Q41" s="5">
        <f t="shared" si="39"/>
        <v>0.99871994400055086</v>
      </c>
      <c r="R41" s="5">
        <f t="shared" si="39"/>
        <v>0.99197443123669748</v>
      </c>
      <c r="S41" s="5">
        <f t="shared" si="39"/>
        <v>0.96527350367959919</v>
      </c>
      <c r="T41" s="5">
        <f t="shared" si="39"/>
        <v>0.89405888456993721</v>
      </c>
      <c r="U41" s="5">
        <f t="shared" si="39"/>
        <v>0.80465299611294339</v>
      </c>
      <c r="V41" s="5">
        <f t="shared" si="39"/>
        <v>0.73150272373903935</v>
      </c>
      <c r="W41" s="5">
        <f t="shared" si="39"/>
        <v>0.67054416342745271</v>
      </c>
      <c r="X41" s="5">
        <f t="shared" si="39"/>
        <v>0.61896384316380249</v>
      </c>
      <c r="Y41" s="5">
        <f t="shared" si="39"/>
        <v>0.57475214008067366</v>
      </c>
      <c r="Z41" s="5">
        <f t="shared" si="39"/>
        <v>0.53643533074196215</v>
      </c>
      <c r="AA41" s="5">
        <f t="shared" si="39"/>
        <v>0.50290812257058948</v>
      </c>
      <c r="AB41" s="5">
        <f t="shared" si="39"/>
        <v>0.47332529183114308</v>
      </c>
      <c r="AC41" s="5">
        <f t="shared" si="39"/>
        <v>0.44702944228496844</v>
      </c>
      <c r="AD41" s="5">
        <f t="shared" si="39"/>
        <v>0.42350157690154894</v>
      </c>
    </row>
    <row r="42" spans="3:30" x14ac:dyDescent="0.15">
      <c r="C42" s="5">
        <v>740</v>
      </c>
      <c r="D42" s="5">
        <f>INDEX([2]阵旗洗练模拟!$D$16:$AQ$16,MATCH(C42,[2]阵旗洗练模拟!$D$8:$AQ$8,0))</f>
        <v>0.9998010349035259</v>
      </c>
      <c r="M42" s="5">
        <v>740</v>
      </c>
      <c r="N42" s="5">
        <f t="shared" si="2"/>
        <v>0.9998010349035259</v>
      </c>
      <c r="O42" s="5">
        <f t="shared" si="3"/>
        <v>0.9998010349035259</v>
      </c>
      <c r="P42" s="5">
        <f t="shared" ref="P42:AD42" si="40">IF(O42&lt;0.9,INDEX($I$5:$I$19,MATCH(P$4,$H$5:$H$19,0))*O42/0.9,求节点($C$5:$C$45,$D$5:$D$45,求节点($D$5:$D$45,$C$5:$C$45,INDEX($I$5:$I$19,MATCH(P$4,$H$5:$H$19,0)))+$M42-求节点(O$5:O$105,$M$5:$M$105,0.9)))</f>
        <v>0.99970043535740283</v>
      </c>
      <c r="Q42" s="5">
        <f t="shared" si="40"/>
        <v>0.99905915290981917</v>
      </c>
      <c r="R42" s="5">
        <f t="shared" si="40"/>
        <v>0.99485770776323756</v>
      </c>
      <c r="S42" s="5">
        <f t="shared" si="40"/>
        <v>0.97650664723522829</v>
      </c>
      <c r="T42" s="5">
        <f t="shared" si="40"/>
        <v>0.91614555376517193</v>
      </c>
      <c r="U42" s="5">
        <f t="shared" si="40"/>
        <v>0.83503588255438366</v>
      </c>
      <c r="V42" s="5">
        <f t="shared" si="40"/>
        <v>0.75912352959489415</v>
      </c>
      <c r="W42" s="5">
        <f t="shared" si="40"/>
        <v>0.69586323546198636</v>
      </c>
      <c r="X42" s="5">
        <f t="shared" si="40"/>
        <v>0.64233529427260272</v>
      </c>
      <c r="Y42" s="5">
        <f t="shared" si="40"/>
        <v>0.59645420182455966</v>
      </c>
      <c r="Z42" s="5">
        <f t="shared" si="40"/>
        <v>0.55669058836958907</v>
      </c>
      <c r="AA42" s="5">
        <f t="shared" si="40"/>
        <v>0.52189742659648974</v>
      </c>
      <c r="AB42" s="5">
        <f t="shared" si="40"/>
        <v>0.49119757797316688</v>
      </c>
      <c r="AC42" s="5">
        <f t="shared" si="40"/>
        <v>0.46390882364132424</v>
      </c>
      <c r="AD42" s="5">
        <f t="shared" si="40"/>
        <v>0.43949256976546502</v>
      </c>
    </row>
    <row r="43" spans="3:30" x14ac:dyDescent="0.15">
      <c r="C43" s="5">
        <v>760</v>
      </c>
      <c r="D43" s="5">
        <f>INDEX([2]阵旗洗练模拟!$D$16:$AQ$16,MATCH(C43,[2]阵旗洗练模拟!$D$8:$AQ$8,0))</f>
        <v>0.99978066380023978</v>
      </c>
      <c r="M43" s="5">
        <v>760</v>
      </c>
      <c r="N43" s="5">
        <f t="shared" si="2"/>
        <v>0.99978066380023978</v>
      </c>
      <c r="O43" s="5">
        <f t="shared" si="3"/>
        <v>0.99978066380023978</v>
      </c>
      <c r="P43" s="5">
        <f t="shared" ref="P43:AD43" si="41">IF(O43&lt;0.9,INDEX($I$5:$I$19,MATCH(P$4,$H$5:$H$19,0))*O43/0.9,求节点($C$5:$C$45,$D$5:$D$45,求节点($D$5:$D$45,$C$5:$C$45,INDEX($I$5:$I$19,MATCH(P$4,$H$5:$H$19,0)))+$M43-求节点(O$5:O$105,$M$5:$M$105,0.9)))</f>
        <v>0.99968491807466586</v>
      </c>
      <c r="Q43" s="5">
        <f t="shared" si="41"/>
        <v>0.9989517264912029</v>
      </c>
      <c r="R43" s="5">
        <f t="shared" si="41"/>
        <v>0.99705554315610445</v>
      </c>
      <c r="S43" s="5">
        <f t="shared" si="41"/>
        <v>0.9820812931293823</v>
      </c>
      <c r="T43" s="5">
        <f t="shared" si="41"/>
        <v>0.93684941577482816</v>
      </c>
      <c r="U43" s="5">
        <f t="shared" si="41"/>
        <v>0.8600308121251885</v>
      </c>
      <c r="V43" s="5">
        <f t="shared" si="41"/>
        <v>0.78184619284108037</v>
      </c>
      <c r="W43" s="5">
        <f t="shared" si="41"/>
        <v>0.71669234343765709</v>
      </c>
      <c r="X43" s="5">
        <f t="shared" si="41"/>
        <v>0.66156216317322181</v>
      </c>
      <c r="Y43" s="5">
        <f t="shared" si="41"/>
        <v>0.61430772294656311</v>
      </c>
      <c r="Z43" s="5">
        <f t="shared" si="41"/>
        <v>0.57335387475012556</v>
      </c>
      <c r="AA43" s="5">
        <f t="shared" si="41"/>
        <v>0.5375192575782427</v>
      </c>
      <c r="AB43" s="5">
        <f t="shared" si="41"/>
        <v>0.50590047772069913</v>
      </c>
      <c r="AC43" s="5">
        <f t="shared" si="41"/>
        <v>0.47779489562510469</v>
      </c>
      <c r="AD43" s="5">
        <f t="shared" si="41"/>
        <v>0.45264779585536224</v>
      </c>
    </row>
    <row r="44" spans="3:30" x14ac:dyDescent="0.15">
      <c r="C44" s="5">
        <v>780</v>
      </c>
      <c r="D44" s="5">
        <f>INDEX([2]阵旗洗练模拟!$D$16:$AQ$16,MATCH(C44,[2]阵旗洗练模拟!$D$8:$AQ$8,0))</f>
        <v>0.99981656780242967</v>
      </c>
      <c r="M44" s="5">
        <v>780</v>
      </c>
      <c r="N44" s="5">
        <f t="shared" si="2"/>
        <v>0.99981656780242967</v>
      </c>
      <c r="O44" s="5">
        <f t="shared" si="3"/>
        <v>0.99981656780242967</v>
      </c>
      <c r="P44" s="5">
        <f t="shared" ref="P44:AD44" si="42">IF(O44&lt;0.9,INDEX($I$5:$I$19,MATCH(P$4,$H$5:$H$19,0))*O44/0.9,求节点($C$5:$C$45,$D$5:$D$45,求节点($D$5:$D$45,$C$5:$C$45,INDEX($I$5:$I$19,MATCH(P$4,$H$5:$H$19,0)))+$M44-求节点(O$5:O$105,$M$5:$M$105,0.9)))</f>
        <v>0.99968030614524761</v>
      </c>
      <c r="Q44" s="5">
        <f t="shared" si="42"/>
        <v>0.99937673386379489</v>
      </c>
      <c r="R44" s="5">
        <f t="shared" si="42"/>
        <v>0.99810484824536261</v>
      </c>
      <c r="S44" s="5">
        <f t="shared" si="42"/>
        <v>0.98884970501234792</v>
      </c>
      <c r="T44" s="5">
        <f t="shared" si="42"/>
        <v>0.94769266023368404</v>
      </c>
      <c r="U44" s="5">
        <f t="shared" si="42"/>
        <v>0.87934522635393664</v>
      </c>
      <c r="V44" s="5">
        <f t="shared" si="42"/>
        <v>0.79940475123085142</v>
      </c>
      <c r="W44" s="5">
        <f t="shared" si="42"/>
        <v>0.73278768862828048</v>
      </c>
      <c r="X44" s="5">
        <f t="shared" si="42"/>
        <v>0.67641940488764352</v>
      </c>
      <c r="Y44" s="5">
        <f t="shared" si="42"/>
        <v>0.6281037331099546</v>
      </c>
      <c r="Z44" s="5">
        <f t="shared" si="42"/>
        <v>0.58623015090262443</v>
      </c>
      <c r="AA44" s="5">
        <f t="shared" si="42"/>
        <v>0.54959076647121041</v>
      </c>
      <c r="AB44" s="5">
        <f t="shared" si="42"/>
        <v>0.51726189785525689</v>
      </c>
      <c r="AC44" s="5">
        <f t="shared" si="42"/>
        <v>0.48852512575218698</v>
      </c>
      <c r="AD44" s="5">
        <f t="shared" si="42"/>
        <v>0.46281327702838759</v>
      </c>
    </row>
    <row r="45" spans="3:30" x14ac:dyDescent="0.15">
      <c r="C45" s="5">
        <v>800</v>
      </c>
      <c r="D45" s="5">
        <f>INDEX([2]阵旗洗练模拟!$D$16:$AQ$16,MATCH(C45,[2]阵旗洗练模拟!$D$8:$AQ$8,0))</f>
        <v>0.99985759973525989</v>
      </c>
      <c r="M45" s="5">
        <v>800</v>
      </c>
      <c r="N45" s="5">
        <f t="shared" si="2"/>
        <v>0.99985759973525989</v>
      </c>
      <c r="O45" s="5">
        <f t="shared" si="3"/>
        <v>0.99985759973525989</v>
      </c>
      <c r="P45" s="5">
        <f t="shared" ref="P45:AD45" si="43">IF(O45&lt;0.9,INDEX($I$5:$I$19,MATCH(P$4,$H$5:$H$19,0))*O45/0.9,求节点($C$5:$C$45,$D$5:$D$45,求节点($D$5:$D$45,$C$5:$C$45,INDEX($I$5:$I$19,MATCH(P$4,$H$5:$H$19,0)))+$M45-求节点(O$5:O$105,$M$5:$M$105,0.9)))</f>
        <v>0.99971833312663871</v>
      </c>
      <c r="Q45" s="5">
        <f t="shared" si="43"/>
        <v>0.99954806197790125</v>
      </c>
      <c r="R45" s="5">
        <f t="shared" si="43"/>
        <v>0.99844017474900937</v>
      </c>
      <c r="S45" s="5">
        <f t="shared" si="43"/>
        <v>0.99098425942441604</v>
      </c>
      <c r="T45" s="5">
        <f t="shared" si="43"/>
        <v>0.965153081565017</v>
      </c>
      <c r="U45" s="5">
        <f t="shared" si="43"/>
        <v>0.89827128213286533</v>
      </c>
      <c r="V45" s="5">
        <f t="shared" si="43"/>
        <v>0.81661025648442287</v>
      </c>
      <c r="W45" s="5">
        <f t="shared" si="43"/>
        <v>0.74855940177738767</v>
      </c>
      <c r="X45" s="5">
        <f t="shared" si="43"/>
        <v>0.69097790933297309</v>
      </c>
      <c r="Y45" s="5">
        <f t="shared" si="43"/>
        <v>0.64162234438061783</v>
      </c>
      <c r="Z45" s="5">
        <f t="shared" si="43"/>
        <v>0.59884752142191</v>
      </c>
      <c r="AA45" s="5">
        <f t="shared" si="43"/>
        <v>0.56141955133304056</v>
      </c>
      <c r="AB45" s="5">
        <f t="shared" si="43"/>
        <v>0.52839487184286182</v>
      </c>
      <c r="AC45" s="5">
        <f t="shared" si="43"/>
        <v>0.49903960118492507</v>
      </c>
      <c r="AD45" s="5">
        <f t="shared" si="43"/>
        <v>0.47277435901729736</v>
      </c>
    </row>
    <row r="46" spans="3:30" x14ac:dyDescent="0.15">
      <c r="M46" s="5">
        <v>820</v>
      </c>
      <c r="N46" s="5">
        <f t="shared" si="2"/>
        <v>0.99985759973525989</v>
      </c>
      <c r="O46" s="5">
        <f t="shared" si="3"/>
        <v>0.99985759973525989</v>
      </c>
      <c r="P46" s="5">
        <f t="shared" ref="P46:AD46" si="44">IF(O46&lt;0.9,INDEX($I$5:$I$19,MATCH(P$4,$H$5:$H$19,0))*O46/0.9,求节点($C$5:$C$45,$D$5:$D$45,求节点($D$5:$D$45,$C$5:$C$45,INDEX($I$5:$I$19,MATCH(P$4,$H$5:$H$19,0)))+$M46-求节点(O$5:O$105,$M$5:$M$105,0.9)))</f>
        <v>0.99974572260480654</v>
      </c>
      <c r="Q46" s="5">
        <f t="shared" si="44"/>
        <v>0.99959348542395932</v>
      </c>
      <c r="R46" s="5">
        <f t="shared" si="44"/>
        <v>0.99891982707936455</v>
      </c>
      <c r="S46" s="5">
        <f t="shared" si="44"/>
        <v>0.99406207462821927</v>
      </c>
      <c r="T46" s="5">
        <f t="shared" si="44"/>
        <v>0.97647315241533195</v>
      </c>
      <c r="U46" s="5">
        <f t="shared" si="44"/>
        <v>0.92163601676032736</v>
      </c>
      <c r="V46" s="5">
        <f t="shared" si="44"/>
        <v>0.84582253153388043</v>
      </c>
      <c r="W46" s="5">
        <f t="shared" si="44"/>
        <v>0.77533732057272375</v>
      </c>
      <c r="X46" s="5">
        <f t="shared" si="44"/>
        <v>0.71569598822097569</v>
      </c>
      <c r="Y46" s="5">
        <f t="shared" si="44"/>
        <v>0.66457484620519158</v>
      </c>
      <c r="Z46" s="5">
        <f t="shared" si="44"/>
        <v>0.62026985645817889</v>
      </c>
      <c r="AA46" s="5">
        <f t="shared" si="44"/>
        <v>0.58150299042954268</v>
      </c>
      <c r="AB46" s="5">
        <f t="shared" si="44"/>
        <v>0.54729693216898134</v>
      </c>
      <c r="AC46" s="5">
        <f t="shared" si="44"/>
        <v>0.51689154704848239</v>
      </c>
      <c r="AD46" s="5">
        <f t="shared" si="44"/>
        <v>0.4896867287827727</v>
      </c>
    </row>
    <row r="47" spans="3:30" x14ac:dyDescent="0.15">
      <c r="M47" s="5">
        <v>840</v>
      </c>
      <c r="N47" s="5">
        <f t="shared" si="2"/>
        <v>0.99985759973525989</v>
      </c>
      <c r="O47" s="5">
        <f t="shared" si="3"/>
        <v>0.99985759973525989</v>
      </c>
      <c r="P47" s="5">
        <f t="shared" ref="P47:AD47" si="45">IF(O47&lt;0.9,INDEX($I$5:$I$19,MATCH(P$4,$H$5:$H$19,0))*O47/0.9,求节点($C$5:$C$45,$D$5:$D$45,求节点($D$5:$D$45,$C$5:$C$45,INDEX($I$5:$I$19,MATCH(P$4,$H$5:$H$19,0)))+$M47-求节点(O$5:O$105,$M$5:$M$105,0.9)))</f>
        <v>0.99976509604684383</v>
      </c>
      <c r="Q47" s="5">
        <f t="shared" si="45"/>
        <v>0.99967750283163215</v>
      </c>
      <c r="R47" s="5">
        <f t="shared" si="45"/>
        <v>0.99894429780408711</v>
      </c>
      <c r="S47" s="5">
        <f t="shared" si="45"/>
        <v>0.99647510532290173</v>
      </c>
      <c r="T47" s="5">
        <f t="shared" si="45"/>
        <v>0.98200577398730693</v>
      </c>
      <c r="U47" s="5">
        <f t="shared" si="45"/>
        <v>0.93840021764307513</v>
      </c>
      <c r="V47" s="5">
        <f t="shared" si="45"/>
        <v>0.8678882641030653</v>
      </c>
      <c r="W47" s="5">
        <f t="shared" si="45"/>
        <v>0.79556424209447651</v>
      </c>
      <c r="X47" s="5">
        <f t="shared" si="45"/>
        <v>0.73436699270259365</v>
      </c>
      <c r="Y47" s="5">
        <f t="shared" si="45"/>
        <v>0.68191220750955117</v>
      </c>
      <c r="Z47" s="5">
        <f t="shared" si="45"/>
        <v>0.63645139367558112</v>
      </c>
      <c r="AA47" s="5">
        <f t="shared" si="45"/>
        <v>0.59667318157085725</v>
      </c>
      <c r="AB47" s="5">
        <f t="shared" si="45"/>
        <v>0.5615747591255128</v>
      </c>
      <c r="AC47" s="5">
        <f t="shared" si="45"/>
        <v>0.5303761613963176</v>
      </c>
      <c r="AD47" s="5">
        <f t="shared" si="45"/>
        <v>0.50246162658598503</v>
      </c>
    </row>
    <row r="48" spans="3:30" x14ac:dyDescent="0.15">
      <c r="M48" s="5">
        <v>860</v>
      </c>
      <c r="N48" s="5">
        <f t="shared" si="2"/>
        <v>0.99985759973525989</v>
      </c>
      <c r="O48" s="5">
        <f t="shared" si="3"/>
        <v>0.99985759973525989</v>
      </c>
      <c r="P48" s="5">
        <f t="shared" ref="P48:AD48" si="46">IF(O48&lt;0.9,INDEX($I$5:$I$19,MATCH(P$4,$H$5:$H$19,0))*O48/0.9,求节点($C$5:$C$45,$D$5:$D$45,求节点($D$5:$D$45,$C$5:$C$45,INDEX($I$5:$I$19,MATCH(P$4,$H$5:$H$19,0)))+$M48-求节点(O$5:O$105,$M$5:$M$105,0.9)))</f>
        <v>0.99979789870277824</v>
      </c>
      <c r="Q48" s="5">
        <f t="shared" si="46"/>
        <v>0.99969768541364512</v>
      </c>
      <c r="R48" s="5">
        <f t="shared" si="46"/>
        <v>0.99911047347937321</v>
      </c>
      <c r="S48" s="5">
        <f t="shared" si="46"/>
        <v>0.9979556247915834</v>
      </c>
      <c r="T48" s="5">
        <f t="shared" si="46"/>
        <v>0.98883616028627963</v>
      </c>
      <c r="U48" s="5">
        <f t="shared" si="46"/>
        <v>0.95159449405069196</v>
      </c>
      <c r="V48" s="5">
        <f t="shared" si="46"/>
        <v>0.88587931043653634</v>
      </c>
      <c r="W48" s="5">
        <f t="shared" si="46"/>
        <v>0.81205603456682507</v>
      </c>
      <c r="X48" s="5">
        <f t="shared" si="46"/>
        <v>0.74959018575399228</v>
      </c>
      <c r="Y48" s="5">
        <f t="shared" si="46"/>
        <v>0.69604802962870693</v>
      </c>
      <c r="Z48" s="5">
        <f t="shared" si="46"/>
        <v>0.64964482765345988</v>
      </c>
      <c r="AA48" s="5">
        <f t="shared" si="46"/>
        <v>0.60904202592511858</v>
      </c>
      <c r="AB48" s="5">
        <f t="shared" si="46"/>
        <v>0.57321602440011166</v>
      </c>
      <c r="AC48" s="5">
        <f t="shared" si="46"/>
        <v>0.5413706897112166</v>
      </c>
      <c r="AD48" s="5">
        <f t="shared" si="46"/>
        <v>0.51287749551588935</v>
      </c>
    </row>
    <row r="49" spans="13:30" x14ac:dyDescent="0.15">
      <c r="M49" s="5">
        <v>880</v>
      </c>
      <c r="N49" s="5">
        <f t="shared" si="2"/>
        <v>0.99985759973525989</v>
      </c>
      <c r="O49" s="5">
        <f t="shared" si="3"/>
        <v>0.99985759973525989</v>
      </c>
      <c r="P49" s="5">
        <f t="shared" ref="P49:AD49" si="47">IF(O49&lt;0.9,INDEX($I$5:$I$19,MATCH(P$4,$H$5:$H$19,0))*O49/0.9,求节点($C$5:$C$45,$D$5:$D$45,求节点($D$5:$D$45,$C$5:$C$45,INDEX($I$5:$I$19,MATCH(P$4,$H$5:$H$19,0)))+$M49-求节点(O$5:O$105,$M$5:$M$105,0.9)))</f>
        <v>0.99978253056517508</v>
      </c>
      <c r="Q49" s="5">
        <f t="shared" si="47"/>
        <v>0.99968212515686539</v>
      </c>
      <c r="R49" s="5">
        <f t="shared" si="47"/>
        <v>0.999450484982214</v>
      </c>
      <c r="S49" s="5">
        <f t="shared" si="47"/>
        <v>0.99836936307498458</v>
      </c>
      <c r="T49" s="5">
        <f t="shared" si="47"/>
        <v>0.99095695597087907</v>
      </c>
      <c r="U49" s="5">
        <f t="shared" si="47"/>
        <v>0.96816000925901669</v>
      </c>
      <c r="V49" s="5">
        <f t="shared" si="47"/>
        <v>0.90580184089711835</v>
      </c>
      <c r="W49" s="5">
        <f t="shared" si="47"/>
        <v>0.83344434813559387</v>
      </c>
      <c r="X49" s="5">
        <f t="shared" si="47"/>
        <v>0.76933324443285589</v>
      </c>
      <c r="Y49" s="5">
        <f t="shared" si="47"/>
        <v>0.71438086983050897</v>
      </c>
      <c r="Z49" s="5">
        <f t="shared" si="47"/>
        <v>0.66675547850847505</v>
      </c>
      <c r="AA49" s="5">
        <f t="shared" si="47"/>
        <v>0.62508326110169532</v>
      </c>
      <c r="AB49" s="5">
        <f t="shared" si="47"/>
        <v>0.58831365750747799</v>
      </c>
      <c r="AC49" s="5">
        <f t="shared" si="47"/>
        <v>0.5556295654237291</v>
      </c>
      <c r="AD49" s="5">
        <f t="shared" si="47"/>
        <v>0.52638590408563801</v>
      </c>
    </row>
    <row r="50" spans="13:30" x14ac:dyDescent="0.15">
      <c r="M50" s="5">
        <v>900</v>
      </c>
      <c r="N50" s="5">
        <f t="shared" si="2"/>
        <v>0.99985759973525989</v>
      </c>
      <c r="O50" s="5">
        <f t="shared" si="3"/>
        <v>0.99985759973525989</v>
      </c>
      <c r="P50" s="5">
        <f t="shared" ref="P50:AD50" si="48">IF(O50&lt;0.9,INDEX($I$5:$I$19,MATCH(P$4,$H$5:$H$19,0))*O50/0.9,求节点($C$5:$C$45,$D$5:$D$45,求节点($D$5:$D$45,$C$5:$C$45,INDEX($I$5:$I$19,MATCH(P$4,$H$5:$H$19,0)))+$M50-求节点(O$5:O$105,$M$5:$M$105,0.9)))</f>
        <v>0.99981327763540317</v>
      </c>
      <c r="Q50" s="5">
        <f t="shared" si="48"/>
        <v>0.99969253120101098</v>
      </c>
      <c r="R50" s="5">
        <f t="shared" si="48"/>
        <v>0.9995546309785005</v>
      </c>
      <c r="S50" s="5">
        <f t="shared" si="48"/>
        <v>0.99872759007390377</v>
      </c>
      <c r="T50" s="5">
        <f t="shared" si="48"/>
        <v>0.99404013547375636</v>
      </c>
      <c r="U50" s="5">
        <f t="shared" si="48"/>
        <v>0.97730951458935134</v>
      </c>
      <c r="V50" s="5">
        <f t="shared" si="48"/>
        <v>0.93145138997957189</v>
      </c>
      <c r="W50" s="5">
        <f t="shared" si="48"/>
        <v>0.85887147104617978</v>
      </c>
      <c r="X50" s="5">
        <f t="shared" si="48"/>
        <v>0.79280443481185814</v>
      </c>
      <c r="Y50" s="5">
        <f t="shared" si="48"/>
        <v>0.73617554661101103</v>
      </c>
      <c r="Z50" s="5">
        <f t="shared" si="48"/>
        <v>0.68709717683694371</v>
      </c>
      <c r="AA50" s="5">
        <f t="shared" si="48"/>
        <v>0.64415360328463478</v>
      </c>
      <c r="AB50" s="5">
        <f t="shared" si="48"/>
        <v>0.60626221485612697</v>
      </c>
      <c r="AC50" s="5">
        <f t="shared" si="48"/>
        <v>0.57258098069745322</v>
      </c>
      <c r="AD50" s="5">
        <f t="shared" si="48"/>
        <v>0.54244513960811347</v>
      </c>
    </row>
    <row r="51" spans="13:30" x14ac:dyDescent="0.15">
      <c r="M51" s="5">
        <v>920</v>
      </c>
      <c r="N51" s="5">
        <f t="shared" si="2"/>
        <v>0.99985759973525989</v>
      </c>
      <c r="O51" s="5">
        <f t="shared" si="3"/>
        <v>0.99985759973525989</v>
      </c>
      <c r="P51" s="5">
        <f t="shared" ref="P51:AD51" si="49">IF(O51&lt;0.9,INDEX($I$5:$I$19,MATCH(P$4,$H$5:$H$19,0))*O51/0.9,求节点($C$5:$C$45,$D$5:$D$45,求节点($D$5:$D$45,$C$5:$C$45,INDEX($I$5:$I$19,MATCH(P$4,$H$5:$H$19,0)))+$M51-求节点(O$5:O$105,$M$5:$M$105,0.9)))</f>
        <v>0.99985383965548613</v>
      </c>
      <c r="Q51" s="5">
        <f t="shared" si="49"/>
        <v>0.9997298735356045</v>
      </c>
      <c r="R51" s="5">
        <f t="shared" si="49"/>
        <v>0.99962604835968116</v>
      </c>
      <c r="S51" s="5">
        <f t="shared" si="49"/>
        <v>0.99905475938852373</v>
      </c>
      <c r="T51" s="5">
        <f t="shared" si="49"/>
        <v>0.99645910006279093</v>
      </c>
      <c r="U51" s="5">
        <f t="shared" si="49"/>
        <v>0.98389147912146291</v>
      </c>
      <c r="V51" s="5">
        <f t="shared" si="49"/>
        <v>0.94117260662727842</v>
      </c>
      <c r="W51" s="5">
        <f t="shared" si="49"/>
        <v>0.87838114383558541</v>
      </c>
      <c r="X51" s="5">
        <f t="shared" si="49"/>
        <v>0.81081336354054034</v>
      </c>
      <c r="Y51" s="5">
        <f t="shared" si="49"/>
        <v>0.75289812328764449</v>
      </c>
      <c r="Z51" s="5">
        <f t="shared" si="49"/>
        <v>0.70270491506846822</v>
      </c>
      <c r="AA51" s="5">
        <f t="shared" si="49"/>
        <v>0.65878585787668897</v>
      </c>
      <c r="AB51" s="5">
        <f t="shared" si="49"/>
        <v>0.62003374858982496</v>
      </c>
      <c r="AC51" s="5">
        <f t="shared" si="49"/>
        <v>0.58558742922372364</v>
      </c>
      <c r="AD51" s="5">
        <f t="shared" si="49"/>
        <v>0.55476703821194862</v>
      </c>
    </row>
    <row r="52" spans="13:30" x14ac:dyDescent="0.15">
      <c r="M52" s="5">
        <v>940</v>
      </c>
      <c r="N52" s="5">
        <f t="shared" si="2"/>
        <v>0.99985759973525989</v>
      </c>
      <c r="O52" s="5">
        <f t="shared" si="3"/>
        <v>0.99985759973525989</v>
      </c>
      <c r="P52" s="5">
        <f t="shared" ref="P52:AD52" si="50">IF(O52&lt;0.9,INDEX($I$5:$I$19,MATCH(P$4,$H$5:$H$19,0))*O52/0.9,求节点($C$5:$C$45,$D$5:$D$45,求节点($D$5:$D$45,$C$5:$C$45,INDEX($I$5:$I$19,MATCH(P$4,$H$5:$H$19,0)))+$M52-求节点(O$5:O$105,$M$5:$M$105,0.9)))</f>
        <v>0.99985759973525989</v>
      </c>
      <c r="Q52" s="5">
        <f t="shared" si="50"/>
        <v>0.99975364323607108</v>
      </c>
      <c r="R52" s="5">
        <f t="shared" si="50"/>
        <v>0.99968927866269464</v>
      </c>
      <c r="S52" s="5">
        <f t="shared" si="50"/>
        <v>0.99895779899680615</v>
      </c>
      <c r="T52" s="5">
        <f t="shared" si="50"/>
        <v>0.99795151003534988</v>
      </c>
      <c r="U52" s="5">
        <f t="shared" si="50"/>
        <v>0.98917437068944181</v>
      </c>
      <c r="V52" s="5">
        <f t="shared" si="50"/>
        <v>0.95856985390416793</v>
      </c>
      <c r="W52" s="5">
        <f t="shared" si="50"/>
        <v>0.8971601730675004</v>
      </c>
      <c r="X52" s="5">
        <f t="shared" si="50"/>
        <v>0.8281478520623079</v>
      </c>
      <c r="Y52" s="5">
        <f t="shared" si="50"/>
        <v>0.76899443405785728</v>
      </c>
      <c r="Z52" s="5">
        <f t="shared" si="50"/>
        <v>0.71772813845400019</v>
      </c>
      <c r="AA52" s="5">
        <f t="shared" si="50"/>
        <v>0.67287012980062511</v>
      </c>
      <c r="AB52" s="5">
        <f t="shared" si="50"/>
        <v>0.6332895339300002</v>
      </c>
      <c r="AC52" s="5">
        <f t="shared" si="50"/>
        <v>0.59810678204500023</v>
      </c>
      <c r="AD52" s="5">
        <f t="shared" si="50"/>
        <v>0.56662747772684219</v>
      </c>
    </row>
    <row r="53" spans="13:30" x14ac:dyDescent="0.15">
      <c r="M53" s="5">
        <v>960</v>
      </c>
      <c r="N53" s="5">
        <f t="shared" si="2"/>
        <v>0.99985759973525989</v>
      </c>
      <c r="O53" s="5">
        <f t="shared" si="3"/>
        <v>0.99985759973525989</v>
      </c>
      <c r="P53" s="5">
        <f t="shared" ref="P53:AD53" si="51">IF(O53&lt;0.9,INDEX($I$5:$I$19,MATCH(P$4,$H$5:$H$19,0))*O53/0.9,求节点($C$5:$C$45,$D$5:$D$45,求节点($D$5:$D$45,$C$5:$C$45,INDEX($I$5:$I$19,MATCH(P$4,$H$5:$H$19,0)))+$M53-求节点(O$5:O$105,$M$5:$M$105,0.9)))</f>
        <v>0.99985759973525989</v>
      </c>
      <c r="Q53" s="5">
        <f t="shared" si="51"/>
        <v>0.99977695525134413</v>
      </c>
      <c r="R53" s="5">
        <f t="shared" si="51"/>
        <v>0.99969112939672655</v>
      </c>
      <c r="S53" s="5">
        <f t="shared" si="51"/>
        <v>0.99937955504538079</v>
      </c>
      <c r="T53" s="5">
        <f t="shared" si="51"/>
        <v>0.99836741048127542</v>
      </c>
      <c r="U53" s="5">
        <f t="shared" si="51"/>
        <v>0.99163872036994472</v>
      </c>
      <c r="V53" s="5">
        <f t="shared" si="51"/>
        <v>0.97353553361569312</v>
      </c>
      <c r="W53" s="5">
        <f t="shared" si="51"/>
        <v>0.92018779087095359</v>
      </c>
      <c r="X53" s="5">
        <f t="shared" si="51"/>
        <v>0.8543179513848288</v>
      </c>
      <c r="Y53" s="5">
        <f t="shared" si="51"/>
        <v>0.79329524057162659</v>
      </c>
      <c r="Z53" s="5">
        <f t="shared" si="51"/>
        <v>0.74040889120018494</v>
      </c>
      <c r="AA53" s="5">
        <f t="shared" si="51"/>
        <v>0.69413333550017342</v>
      </c>
      <c r="AB53" s="5">
        <f t="shared" si="51"/>
        <v>0.65330196282369268</v>
      </c>
      <c r="AC53" s="5">
        <f t="shared" si="51"/>
        <v>0.61700740933348752</v>
      </c>
      <c r="AD53" s="5">
        <f t="shared" si="51"/>
        <v>0.58453333515804073</v>
      </c>
    </row>
    <row r="54" spans="13:30" x14ac:dyDescent="0.15">
      <c r="M54" s="5">
        <v>980</v>
      </c>
      <c r="N54" s="5">
        <f t="shared" si="2"/>
        <v>0.99985759973525989</v>
      </c>
      <c r="O54" s="5">
        <f t="shared" si="3"/>
        <v>0.99985759973525989</v>
      </c>
      <c r="P54" s="5">
        <f t="shared" ref="P54:AD54" si="52">IF(O54&lt;0.9,INDEX($I$5:$I$19,MATCH(P$4,$H$5:$H$19,0))*O54/0.9,求节点($C$5:$C$45,$D$5:$D$45,求节点($D$5:$D$45,$C$5:$C$45,INDEX($I$5:$I$19,MATCH(P$4,$H$5:$H$19,0)))+$M54-求节点(O$5:O$105,$M$5:$M$105,0.9)))</f>
        <v>0.99985759973525989</v>
      </c>
      <c r="Q54" s="5">
        <f t="shared" si="52"/>
        <v>0.99979499676358141</v>
      </c>
      <c r="R54" s="5">
        <f t="shared" si="52"/>
        <v>0.99968119109605913</v>
      </c>
      <c r="S54" s="5">
        <f t="shared" si="52"/>
        <v>0.9995483132601044</v>
      </c>
      <c r="T54" s="5">
        <f t="shared" si="52"/>
        <v>0.99872228924218787</v>
      </c>
      <c r="U54" s="5">
        <f t="shared" si="52"/>
        <v>0.99458795388208154</v>
      </c>
      <c r="V54" s="5">
        <f t="shared" si="52"/>
        <v>0.97880469029524386</v>
      </c>
      <c r="W54" s="5">
        <f t="shared" si="52"/>
        <v>0.93799116080818412</v>
      </c>
      <c r="X54" s="5">
        <f t="shared" si="52"/>
        <v>0.87459453713117163</v>
      </c>
      <c r="Y54" s="5">
        <f t="shared" si="52"/>
        <v>0.81212349876465928</v>
      </c>
      <c r="Z54" s="5">
        <f t="shared" si="52"/>
        <v>0.75798193218034871</v>
      </c>
      <c r="AA54" s="5">
        <f t="shared" si="52"/>
        <v>0.71060806141907695</v>
      </c>
      <c r="AB54" s="5">
        <f t="shared" si="52"/>
        <v>0.66880758721795486</v>
      </c>
      <c r="AC54" s="5">
        <f t="shared" si="52"/>
        <v>0.63165161015029059</v>
      </c>
      <c r="AD54" s="5">
        <f t="shared" si="52"/>
        <v>0.59840678856343299</v>
      </c>
    </row>
    <row r="55" spans="13:30" x14ac:dyDescent="0.15">
      <c r="M55" s="5">
        <v>1000</v>
      </c>
      <c r="N55" s="5">
        <f t="shared" si="2"/>
        <v>0.99985759973525989</v>
      </c>
      <c r="O55" s="5">
        <f t="shared" si="3"/>
        <v>0.99985759973525989</v>
      </c>
      <c r="P55" s="5">
        <f t="shared" ref="P55:AD55" si="53">IF(O55&lt;0.9,INDEX($I$5:$I$19,MATCH(P$4,$H$5:$H$19,0))*O55/0.9,求节点($C$5:$C$45,$D$5:$D$45,求节点($D$5:$D$45,$C$5:$C$45,INDEX($I$5:$I$19,MATCH(P$4,$H$5:$H$19,0)))+$M55-求节点(O$5:O$105,$M$5:$M$105,0.9)))</f>
        <v>0.99985759973525989</v>
      </c>
      <c r="Q55" s="5">
        <f t="shared" si="53"/>
        <v>0.99979130600192845</v>
      </c>
      <c r="R55" s="5">
        <f t="shared" si="53"/>
        <v>0.99970578046628233</v>
      </c>
      <c r="S55" s="5">
        <f t="shared" si="53"/>
        <v>0.99959473104513241</v>
      </c>
      <c r="T55" s="5">
        <f t="shared" si="53"/>
        <v>0.99905780530712174</v>
      </c>
      <c r="U55" s="5">
        <f t="shared" si="53"/>
        <v>0.99685874974544209</v>
      </c>
      <c r="V55" s="5">
        <f t="shared" si="53"/>
        <v>0.987262579097825</v>
      </c>
      <c r="W55" s="5">
        <f t="shared" si="53"/>
        <v>0.95056530275028417</v>
      </c>
      <c r="X55" s="5">
        <f t="shared" si="53"/>
        <v>0.89279609327540854</v>
      </c>
      <c r="Y55" s="5">
        <f t="shared" si="53"/>
        <v>0.82902494375573643</v>
      </c>
      <c r="Z55" s="5">
        <f t="shared" si="53"/>
        <v>0.7737566141720208</v>
      </c>
      <c r="AA55" s="5">
        <f t="shared" si="53"/>
        <v>0.72539682578626952</v>
      </c>
      <c r="AB55" s="5">
        <f t="shared" si="53"/>
        <v>0.6827264242694302</v>
      </c>
      <c r="AC55" s="5">
        <f t="shared" si="53"/>
        <v>0.64479717847668405</v>
      </c>
      <c r="AD55" s="5">
        <f t="shared" si="53"/>
        <v>0.61086048487264788</v>
      </c>
    </row>
    <row r="56" spans="13:30" x14ac:dyDescent="0.15">
      <c r="M56" s="5">
        <v>1020</v>
      </c>
      <c r="N56" s="5">
        <f t="shared" si="2"/>
        <v>0.99985759973525989</v>
      </c>
      <c r="O56" s="5">
        <f t="shared" si="3"/>
        <v>0.99985759973525989</v>
      </c>
      <c r="P56" s="5">
        <f t="shared" ref="P56:AD56" si="54">IF(O56&lt;0.9,INDEX($I$5:$I$19,MATCH(P$4,$H$5:$H$19,0))*O56/0.9,求节点($C$5:$C$45,$D$5:$D$45,求节点($D$5:$D$45,$C$5:$C$45,INDEX($I$5:$I$19,MATCH(P$4,$H$5:$H$19,0)))+$M56-求节点(O$5:O$105,$M$5:$M$105,0.9)))</f>
        <v>0.99985759973525989</v>
      </c>
      <c r="Q56" s="5">
        <f t="shared" si="54"/>
        <v>0.99982872995924277</v>
      </c>
      <c r="R56" s="5">
        <f t="shared" si="54"/>
        <v>0.99973801201818102</v>
      </c>
      <c r="S56" s="5">
        <f t="shared" si="54"/>
        <v>0.99967795328931286</v>
      </c>
      <c r="T56" s="5">
        <f t="shared" si="54"/>
        <v>0.99895358908031551</v>
      </c>
      <c r="U56" s="5">
        <f t="shared" si="54"/>
        <v>0.99805425507114109</v>
      </c>
      <c r="V56" s="5">
        <f t="shared" si="54"/>
        <v>0.9897789938945516</v>
      </c>
      <c r="W56" s="5">
        <f t="shared" si="54"/>
        <v>0.9673668684004465</v>
      </c>
      <c r="X56" s="5">
        <f t="shared" si="54"/>
        <v>0.91449962439368238</v>
      </c>
      <c r="Y56" s="5">
        <f t="shared" si="54"/>
        <v>0.85351402654353603</v>
      </c>
      <c r="Z56" s="5">
        <f t="shared" si="54"/>
        <v>0.79661309144063364</v>
      </c>
      <c r="AA56" s="5">
        <f t="shared" si="54"/>
        <v>0.74682477322559404</v>
      </c>
      <c r="AB56" s="5">
        <f t="shared" si="54"/>
        <v>0.70289390421232389</v>
      </c>
      <c r="AC56" s="5">
        <f t="shared" si="54"/>
        <v>0.66384424286719468</v>
      </c>
      <c r="AD56" s="5">
        <f t="shared" si="54"/>
        <v>0.62890507218997382</v>
      </c>
    </row>
    <row r="57" spans="13:30" x14ac:dyDescent="0.15">
      <c r="M57" s="5">
        <v>1040</v>
      </c>
      <c r="N57" s="5">
        <f t="shared" si="2"/>
        <v>0.99985759973525989</v>
      </c>
      <c r="O57" s="5">
        <f t="shared" si="3"/>
        <v>0.99985759973525989</v>
      </c>
      <c r="P57" s="5">
        <f t="shared" ref="P57:AD57" si="55">IF(O57&lt;0.9,INDEX($I$5:$I$19,MATCH(P$4,$H$5:$H$19,0))*O57/0.9,求节点($C$5:$C$45,$D$5:$D$45,求节点($D$5:$D$45,$C$5:$C$45,INDEX($I$5:$I$19,MATCH(P$4,$H$5:$H$19,0)))+$M57-求节点(O$5:O$105,$M$5:$M$105,0.9)))</f>
        <v>0.99985759973525989</v>
      </c>
      <c r="Q57" s="5">
        <f t="shared" si="55"/>
        <v>0.99985759973525989</v>
      </c>
      <c r="R57" s="5">
        <f t="shared" si="55"/>
        <v>0.99975952424395476</v>
      </c>
      <c r="S57" s="5">
        <f t="shared" si="55"/>
        <v>0.99969743462810312</v>
      </c>
      <c r="T57" s="5">
        <f t="shared" si="55"/>
        <v>0.99937759919063851</v>
      </c>
      <c r="U57" s="5">
        <f t="shared" si="55"/>
        <v>0.99841616654339471</v>
      </c>
      <c r="V57" s="5">
        <f t="shared" si="55"/>
        <v>0.99285751959149093</v>
      </c>
      <c r="W57" s="5">
        <f t="shared" si="55"/>
        <v>0.97708890635387524</v>
      </c>
      <c r="X57" s="5">
        <f t="shared" si="55"/>
        <v>0.93638451684980839</v>
      </c>
      <c r="Y57" s="5">
        <f t="shared" si="55"/>
        <v>0.87392601093159861</v>
      </c>
      <c r="Z57" s="5">
        <f t="shared" si="55"/>
        <v>0.81566427686949217</v>
      </c>
      <c r="AA57" s="5">
        <f t="shared" si="55"/>
        <v>0.76468525956514888</v>
      </c>
      <c r="AB57" s="5">
        <f t="shared" si="55"/>
        <v>0.71970377370837546</v>
      </c>
      <c r="AC57" s="5">
        <f t="shared" si="55"/>
        <v>0.67972023072457677</v>
      </c>
      <c r="AD57" s="5">
        <f t="shared" si="55"/>
        <v>0.64394548173907262</v>
      </c>
    </row>
    <row r="58" spans="13:30" x14ac:dyDescent="0.15">
      <c r="M58" s="5">
        <v>1060</v>
      </c>
      <c r="N58" s="5">
        <f t="shared" si="2"/>
        <v>0.99985759973525989</v>
      </c>
      <c r="O58" s="5">
        <f t="shared" si="3"/>
        <v>0.99985759973525989</v>
      </c>
      <c r="P58" s="5">
        <f t="shared" ref="P58:AD58" si="56">IF(O58&lt;0.9,INDEX($I$5:$I$19,MATCH(P$4,$H$5:$H$19,0))*O58/0.9,求节点($C$5:$C$45,$D$5:$D$45,求节点($D$5:$D$45,$C$5:$C$45,INDEX($I$5:$I$19,MATCH(P$4,$H$5:$H$19,0)))+$M58-求节点(O$5:O$105,$M$5:$M$105,0.9)))</f>
        <v>0.99985759973525989</v>
      </c>
      <c r="Q58" s="5">
        <f t="shared" si="56"/>
        <v>0.99985759973525989</v>
      </c>
      <c r="R58" s="5">
        <f t="shared" si="56"/>
        <v>0.99978770969454933</v>
      </c>
      <c r="S58" s="5">
        <f t="shared" si="56"/>
        <v>0.99968208942648995</v>
      </c>
      <c r="T58" s="5">
        <f t="shared" si="56"/>
        <v>0.99954813905242801</v>
      </c>
      <c r="U58" s="5">
        <f t="shared" si="56"/>
        <v>0.99885465045958532</v>
      </c>
      <c r="V58" s="5">
        <f t="shared" si="56"/>
        <v>0.99556729608670591</v>
      </c>
      <c r="W58" s="5">
        <f t="shared" si="56"/>
        <v>0.98339408445776699</v>
      </c>
      <c r="X58" s="5">
        <f t="shared" si="56"/>
        <v>0.94652296964697913</v>
      </c>
      <c r="Y58" s="5">
        <f t="shared" si="56"/>
        <v>0.89202561408235159</v>
      </c>
      <c r="Z58" s="5">
        <f t="shared" si="56"/>
        <v>0.8325572398101948</v>
      </c>
      <c r="AA58" s="5">
        <f t="shared" si="56"/>
        <v>0.78052241232205766</v>
      </c>
      <c r="AB58" s="5">
        <f t="shared" si="56"/>
        <v>0.73460932924428957</v>
      </c>
      <c r="AC58" s="5">
        <f t="shared" si="56"/>
        <v>0.69379769984182904</v>
      </c>
      <c r="AD58" s="5">
        <f t="shared" si="56"/>
        <v>0.65728203142910102</v>
      </c>
    </row>
    <row r="59" spans="13:30" x14ac:dyDescent="0.15">
      <c r="M59" s="5">
        <v>1080</v>
      </c>
      <c r="N59" s="5">
        <f t="shared" si="2"/>
        <v>0.99985759973525989</v>
      </c>
      <c r="O59" s="5">
        <f t="shared" si="3"/>
        <v>0.99985759973525989</v>
      </c>
      <c r="P59" s="5">
        <f t="shared" ref="P59:AD59" si="57">IF(O59&lt;0.9,INDEX($I$5:$I$19,MATCH(P$4,$H$5:$H$19,0))*O59/0.9,求节点($C$5:$C$45,$D$5:$D$45,求节点($D$5:$D$45,$C$5:$C$45,INDEX($I$5:$I$19,MATCH(P$4,$H$5:$H$19,0)))+$M59-求节点(O$5:O$105,$M$5:$M$105,0.9)))</f>
        <v>0.99985759973525989</v>
      </c>
      <c r="Q59" s="5">
        <f t="shared" si="57"/>
        <v>0.99985759973525989</v>
      </c>
      <c r="R59" s="5">
        <f t="shared" si="57"/>
        <v>0.99978859538207232</v>
      </c>
      <c r="S59" s="5">
        <f t="shared" si="57"/>
        <v>0.99969303802157194</v>
      </c>
      <c r="T59" s="5">
        <f t="shared" si="57"/>
        <v>0.99959386748707901</v>
      </c>
      <c r="U59" s="5">
        <f t="shared" si="57"/>
        <v>0.9989817490360795</v>
      </c>
      <c r="V59" s="5">
        <f t="shared" si="57"/>
        <v>0.99757320876203781</v>
      </c>
      <c r="W59" s="5">
        <f t="shared" si="57"/>
        <v>0.98908516053314943</v>
      </c>
      <c r="X59" s="5">
        <f t="shared" si="57"/>
        <v>0.96425166567097198</v>
      </c>
      <c r="Y59" s="5">
        <f t="shared" si="57"/>
        <v>0.9134953774215433</v>
      </c>
      <c r="Z59" s="5">
        <f t="shared" si="57"/>
        <v>0.85580157757261321</v>
      </c>
      <c r="AA59" s="5">
        <f t="shared" si="57"/>
        <v>0.80231397897432488</v>
      </c>
      <c r="AB59" s="5">
        <f t="shared" si="57"/>
        <v>0.75511903903465882</v>
      </c>
      <c r="AC59" s="5">
        <f t="shared" si="57"/>
        <v>0.71316798131051107</v>
      </c>
      <c r="AD59" s="5">
        <f t="shared" si="57"/>
        <v>0.6756328243994314</v>
      </c>
    </row>
    <row r="60" spans="13:30" x14ac:dyDescent="0.15">
      <c r="M60" s="5">
        <v>1100</v>
      </c>
      <c r="N60" s="5">
        <f t="shared" si="2"/>
        <v>0.99985759973525989</v>
      </c>
      <c r="O60" s="5">
        <f t="shared" si="3"/>
        <v>0.99985759973525989</v>
      </c>
      <c r="P60" s="5">
        <f t="shared" ref="P60:AD60" si="58">IF(O60&lt;0.9,INDEX($I$5:$I$19,MATCH(P$4,$H$5:$H$19,0))*O60/0.9,求节点($C$5:$C$45,$D$5:$D$45,求节点($D$5:$D$45,$C$5:$C$45,INDEX($I$5:$I$19,MATCH(P$4,$H$5:$H$19,0)))+$M60-求节点(O$5:O$105,$M$5:$M$105,0.9)))</f>
        <v>0.99985759973525989</v>
      </c>
      <c r="Q60" s="5">
        <f t="shared" si="58"/>
        <v>0.99985759973525989</v>
      </c>
      <c r="R60" s="5">
        <f t="shared" si="58"/>
        <v>0.99980258841567349</v>
      </c>
      <c r="S60" s="5">
        <f t="shared" si="58"/>
        <v>0.99973018485477738</v>
      </c>
      <c r="T60" s="5">
        <f t="shared" si="58"/>
        <v>0.99967764099825174</v>
      </c>
      <c r="U60" s="5">
        <f t="shared" si="58"/>
        <v>0.99905871025784143</v>
      </c>
      <c r="V60" s="5">
        <f t="shared" si="58"/>
        <v>0.99823793372877068</v>
      </c>
      <c r="W60" s="5">
        <f t="shared" si="58"/>
        <v>0.99145889057161052</v>
      </c>
      <c r="X60" s="5">
        <f t="shared" si="58"/>
        <v>0.97622242801037085</v>
      </c>
      <c r="Y60" s="5">
        <f t="shared" si="58"/>
        <v>0.93610086352549893</v>
      </c>
      <c r="Z60" s="5">
        <f t="shared" si="58"/>
        <v>0.87582828800682766</v>
      </c>
      <c r="AA60" s="5">
        <f t="shared" si="58"/>
        <v>0.82108902000640083</v>
      </c>
      <c r="AB60" s="5">
        <f t="shared" si="58"/>
        <v>0.77278966588837728</v>
      </c>
      <c r="AC60" s="5">
        <f t="shared" si="58"/>
        <v>0.72985690667235625</v>
      </c>
      <c r="AD60" s="5">
        <f t="shared" si="58"/>
        <v>0.69144338526854787</v>
      </c>
    </row>
    <row r="61" spans="13:30" x14ac:dyDescent="0.15">
      <c r="M61" s="5">
        <v>1120</v>
      </c>
      <c r="N61" s="5">
        <f t="shared" si="2"/>
        <v>0.99985759973525989</v>
      </c>
      <c r="O61" s="5">
        <f t="shared" si="3"/>
        <v>0.99985759973525989</v>
      </c>
      <c r="P61" s="5">
        <f t="shared" ref="P61:AD61" si="59">IF(O61&lt;0.9,INDEX($I$5:$I$19,MATCH(P$4,$H$5:$H$19,0))*O61/0.9,求节点($C$5:$C$45,$D$5:$D$45,求节点($D$5:$D$45,$C$5:$C$45,INDEX($I$5:$I$19,MATCH(P$4,$H$5:$H$19,0)))+$M61-求节点(O$5:O$105,$M$5:$M$105,0.9)))</f>
        <v>0.99985759973525989</v>
      </c>
      <c r="Q61" s="5">
        <f t="shared" si="59"/>
        <v>0.99985759973525989</v>
      </c>
      <c r="R61" s="5">
        <f t="shared" si="59"/>
        <v>0.99984162376535679</v>
      </c>
      <c r="S61" s="5">
        <f t="shared" si="59"/>
        <v>0.99975386820067502</v>
      </c>
      <c r="T61" s="5">
        <f t="shared" si="59"/>
        <v>0.99969760849145672</v>
      </c>
      <c r="U61" s="5">
        <f t="shared" si="59"/>
        <v>0.99942643668041664</v>
      </c>
      <c r="V61" s="5">
        <f t="shared" si="59"/>
        <v>0.99850332839965783</v>
      </c>
      <c r="W61" s="5">
        <f t="shared" si="59"/>
        <v>0.9944434551754493</v>
      </c>
      <c r="X61" s="5">
        <f t="shared" si="59"/>
        <v>0.98144047786036559</v>
      </c>
      <c r="Y61" s="5">
        <f t="shared" si="59"/>
        <v>0.94580929489860599</v>
      </c>
      <c r="Z61" s="5">
        <f t="shared" si="59"/>
        <v>0.89421799623106801</v>
      </c>
      <c r="AA61" s="5">
        <f t="shared" si="59"/>
        <v>0.83832937146662623</v>
      </c>
      <c r="AB61" s="5">
        <f t="shared" si="59"/>
        <v>0.78901587902741299</v>
      </c>
      <c r="AC61" s="5">
        <f t="shared" si="59"/>
        <v>0.74518166352588999</v>
      </c>
      <c r="AD61" s="5">
        <f t="shared" si="59"/>
        <v>0.70596157597189557</v>
      </c>
    </row>
    <row r="62" spans="13:30" x14ac:dyDescent="0.15">
      <c r="M62" s="5">
        <v>1140</v>
      </c>
      <c r="N62" s="5">
        <f t="shared" si="2"/>
        <v>0.99985759973525989</v>
      </c>
      <c r="O62" s="5">
        <f t="shared" si="3"/>
        <v>0.99985759973525989</v>
      </c>
      <c r="P62" s="5">
        <f t="shared" ref="P62:AD62" si="60">IF(O62&lt;0.9,INDEX($I$5:$I$19,MATCH(P$4,$H$5:$H$19,0))*O62/0.9,求节点($C$5:$C$45,$D$5:$D$45,求节点($D$5:$D$45,$C$5:$C$45,INDEX($I$5:$I$19,MATCH(P$4,$H$5:$H$19,0)))+$M62-求节点(O$5:O$105,$M$5:$M$105,0.9)))</f>
        <v>0.99985759973525989</v>
      </c>
      <c r="Q62" s="5">
        <f t="shared" si="60"/>
        <v>0.99985759973525989</v>
      </c>
      <c r="R62" s="5">
        <f t="shared" si="60"/>
        <v>0.99985759973525989</v>
      </c>
      <c r="S62" s="5">
        <f t="shared" si="60"/>
        <v>0.99977736663815131</v>
      </c>
      <c r="T62" s="5">
        <f t="shared" si="60"/>
        <v>0.999682114197467</v>
      </c>
      <c r="U62" s="5">
        <f t="shared" si="60"/>
        <v>0.99955248900001525</v>
      </c>
      <c r="V62" s="5">
        <f t="shared" si="60"/>
        <v>0.99909127435626854</v>
      </c>
      <c r="W62" s="5">
        <f t="shared" si="60"/>
        <v>0.99675333367805286</v>
      </c>
      <c r="X62" s="5">
        <f t="shared" si="60"/>
        <v>0.98873477167173129</v>
      </c>
      <c r="Y62" s="5">
        <f t="shared" si="60"/>
        <v>0.9637016759825241</v>
      </c>
      <c r="Z62" s="5">
        <f t="shared" si="60"/>
        <v>0.91635294081126284</v>
      </c>
      <c r="AA62" s="5">
        <f t="shared" si="60"/>
        <v>0.86086107493128183</v>
      </c>
      <c r="AB62" s="5">
        <f t="shared" si="60"/>
        <v>0.81022218817061831</v>
      </c>
      <c r="AC62" s="5">
        <f t="shared" si="60"/>
        <v>0.76520984438336159</v>
      </c>
      <c r="AD62" s="5">
        <f t="shared" si="60"/>
        <v>0.72493564204739513</v>
      </c>
    </row>
    <row r="63" spans="13:30" x14ac:dyDescent="0.15">
      <c r="M63" s="5">
        <v>1160</v>
      </c>
      <c r="N63" s="5">
        <f t="shared" si="2"/>
        <v>0.99985759973525989</v>
      </c>
      <c r="O63" s="5">
        <f t="shared" si="3"/>
        <v>0.99985759973525989</v>
      </c>
      <c r="P63" s="5">
        <f t="shared" ref="P63:AD63" si="61">IF(O63&lt;0.9,INDEX($I$5:$I$19,MATCH(P$4,$H$5:$H$19,0))*O63/0.9,求节点($C$5:$C$45,$D$5:$D$45,求节点($D$5:$D$45,$C$5:$C$45,INDEX($I$5:$I$19,MATCH(P$4,$H$5:$H$19,0)))+$M63-求节点(O$5:O$105,$M$5:$M$105,0.9)))</f>
        <v>0.99985759973525989</v>
      </c>
      <c r="Q63" s="5">
        <f t="shared" si="61"/>
        <v>0.99985759973525989</v>
      </c>
      <c r="R63" s="5">
        <f t="shared" si="61"/>
        <v>0.99985759973525989</v>
      </c>
      <c r="S63" s="5">
        <f t="shared" si="61"/>
        <v>0.99979475189326583</v>
      </c>
      <c r="T63" s="5">
        <f t="shared" si="61"/>
        <v>0.99969268665553346</v>
      </c>
      <c r="U63" s="5">
        <f t="shared" si="61"/>
        <v>0.99961543044198131</v>
      </c>
      <c r="V63" s="5">
        <f t="shared" si="61"/>
        <v>0.99884578223571996</v>
      </c>
      <c r="W63" s="5">
        <f t="shared" si="61"/>
        <v>0.99802715389206587</v>
      </c>
      <c r="X63" s="5">
        <f t="shared" si="61"/>
        <v>0.99075257684113205</v>
      </c>
      <c r="Y63" s="5">
        <f t="shared" si="61"/>
        <v>0.9760694510789879</v>
      </c>
      <c r="Z63" s="5">
        <f t="shared" si="61"/>
        <v>0.93690799302392569</v>
      </c>
      <c r="AA63" s="5">
        <f t="shared" si="61"/>
        <v>0.88003565462520628</v>
      </c>
      <c r="AB63" s="5">
        <f t="shared" si="61"/>
        <v>0.82826885141195894</v>
      </c>
      <c r="AC63" s="5">
        <f t="shared" si="61"/>
        <v>0.78225391522240562</v>
      </c>
      <c r="AD63" s="5">
        <f t="shared" si="61"/>
        <v>0.74108265652648941</v>
      </c>
    </row>
    <row r="64" spans="13:30" x14ac:dyDescent="0.15">
      <c r="M64" s="5">
        <v>1180</v>
      </c>
      <c r="N64" s="5">
        <f t="shared" si="2"/>
        <v>0.99985759973525989</v>
      </c>
      <c r="O64" s="5">
        <f t="shared" si="3"/>
        <v>0.99985759973525989</v>
      </c>
      <c r="P64" s="5">
        <f t="shared" ref="P64:AD64" si="62">IF(O64&lt;0.9,INDEX($I$5:$I$19,MATCH(P$4,$H$5:$H$19,0))*O64/0.9,求节点($C$5:$C$45,$D$5:$D$45,求节点($D$5:$D$45,$C$5:$C$45,INDEX($I$5:$I$19,MATCH(P$4,$H$5:$H$19,0)))+$M64-求节点(O$5:O$105,$M$5:$M$105,0.9)))</f>
        <v>0.99985759973525989</v>
      </c>
      <c r="Q64" s="5">
        <f t="shared" si="62"/>
        <v>0.99985759973525989</v>
      </c>
      <c r="R64" s="5">
        <f t="shared" si="62"/>
        <v>0.99985759973525989</v>
      </c>
      <c r="S64" s="5">
        <f t="shared" si="62"/>
        <v>0.99979173758504991</v>
      </c>
      <c r="T64" s="5">
        <f t="shared" si="62"/>
        <v>0.99972996902496913</v>
      </c>
      <c r="U64" s="5">
        <f t="shared" si="62"/>
        <v>0.99968543887361239</v>
      </c>
      <c r="V64" s="5">
        <f t="shared" si="62"/>
        <v>0.99924663677543635</v>
      </c>
      <c r="W64" s="5">
        <f t="shared" si="62"/>
        <v>0.99840330609947814</v>
      </c>
      <c r="X64" s="5">
        <f t="shared" si="62"/>
        <v>0.99387591063346492</v>
      </c>
      <c r="Y64" s="5">
        <f t="shared" si="62"/>
        <v>0.98109556821012411</v>
      </c>
      <c r="Z64" s="5">
        <f t="shared" si="62"/>
        <v>0.947840041208724</v>
      </c>
      <c r="AA64" s="5">
        <f t="shared" si="62"/>
        <v>0.89906700355358338</v>
      </c>
      <c r="AB64" s="5">
        <f t="shared" si="62"/>
        <v>0.84618070922690203</v>
      </c>
      <c r="AC64" s="5">
        <f t="shared" si="62"/>
        <v>0.79917066982540741</v>
      </c>
      <c r="AD64" s="5">
        <f t="shared" si="62"/>
        <v>0.75710905562407005</v>
      </c>
    </row>
    <row r="65" spans="13:30" x14ac:dyDescent="0.15">
      <c r="M65" s="5">
        <v>1200</v>
      </c>
      <c r="N65" s="5">
        <f t="shared" si="2"/>
        <v>0.99985759973525989</v>
      </c>
      <c r="O65" s="5">
        <f t="shared" si="3"/>
        <v>0.99985759973525989</v>
      </c>
      <c r="P65" s="5">
        <f t="shared" ref="P65:AD65" si="63">IF(O65&lt;0.9,INDEX($I$5:$I$19,MATCH(P$4,$H$5:$H$19,0))*O65/0.9,求节点($C$5:$C$45,$D$5:$D$45,求节点($D$5:$D$45,$C$5:$C$45,INDEX($I$5:$I$19,MATCH(P$4,$H$5:$H$19,0)))+$M65-求节点(O$5:O$105,$M$5:$M$105,0.9)))</f>
        <v>0.99985759973525989</v>
      </c>
      <c r="Q65" s="5">
        <f t="shared" si="63"/>
        <v>0.99985759973525989</v>
      </c>
      <c r="R65" s="5">
        <f t="shared" si="63"/>
        <v>0.99985759973525989</v>
      </c>
      <c r="S65" s="5">
        <f t="shared" si="63"/>
        <v>0.99982922318252077</v>
      </c>
      <c r="T65" s="5">
        <f t="shared" si="63"/>
        <v>0.99975371223833298</v>
      </c>
      <c r="U65" s="5">
        <f t="shared" si="63"/>
        <v>0.99969326714157469</v>
      </c>
      <c r="V65" s="5">
        <f t="shared" si="63"/>
        <v>0.99951374410598104</v>
      </c>
      <c r="W65" s="5">
        <f t="shared" si="63"/>
        <v>0.99881973738541407</v>
      </c>
      <c r="X65" s="5">
        <f t="shared" si="63"/>
        <v>0.99633929319922365</v>
      </c>
      <c r="Y65" s="5">
        <f t="shared" si="63"/>
        <v>0.98867291044552486</v>
      </c>
      <c r="Z65" s="5">
        <f t="shared" si="63"/>
        <v>0.96526665993770033</v>
      </c>
      <c r="AA65" s="5">
        <f t="shared" si="63"/>
        <v>0.92267316459588633</v>
      </c>
      <c r="AB65" s="5">
        <f t="shared" si="63"/>
        <v>0.86795400812849988</v>
      </c>
      <c r="AC65" s="5">
        <f t="shared" si="63"/>
        <v>0.81973434101024989</v>
      </c>
      <c r="AD65" s="5">
        <f t="shared" si="63"/>
        <v>0.77659042832549974</v>
      </c>
    </row>
    <row r="66" spans="13:30" x14ac:dyDescent="0.15">
      <c r="M66" s="5">
        <v>1220</v>
      </c>
      <c r="N66" s="5">
        <f t="shared" si="2"/>
        <v>0.99985759973525989</v>
      </c>
      <c r="O66" s="5">
        <f t="shared" si="3"/>
        <v>0.99985759973525989</v>
      </c>
      <c r="P66" s="5">
        <f t="shared" ref="P66:AD66" si="64">IF(O66&lt;0.9,INDEX($I$5:$I$19,MATCH(P$4,$H$5:$H$19,0))*O66/0.9,求节点($C$5:$C$45,$D$5:$D$45,求节点($D$5:$D$45,$C$5:$C$45,INDEX($I$5:$I$19,MATCH(P$4,$H$5:$H$19,0)))+$M66-求节点(O$5:O$105,$M$5:$M$105,0.9)))</f>
        <v>0.99985759973525989</v>
      </c>
      <c r="Q66" s="5">
        <f t="shared" si="64"/>
        <v>0.99985759973525989</v>
      </c>
      <c r="R66" s="5">
        <f t="shared" si="64"/>
        <v>0.99985759973525989</v>
      </c>
      <c r="S66" s="5">
        <f t="shared" si="64"/>
        <v>0.99985759973525989</v>
      </c>
      <c r="T66" s="5">
        <f t="shared" si="64"/>
        <v>0.99977708143395116</v>
      </c>
      <c r="U66" s="5">
        <f t="shared" si="64"/>
        <v>0.9996814956687442</v>
      </c>
      <c r="V66" s="5">
        <f t="shared" si="64"/>
        <v>0.99956026545877474</v>
      </c>
      <c r="W66" s="5">
        <f t="shared" si="64"/>
        <v>0.99900181048825021</v>
      </c>
      <c r="X66" s="5">
        <f t="shared" si="64"/>
        <v>0.99792070915893327</v>
      </c>
      <c r="Y66" s="5">
        <f t="shared" si="64"/>
        <v>0.99062787700542088</v>
      </c>
      <c r="Z66" s="5">
        <f t="shared" si="64"/>
        <v>0.976504743682022</v>
      </c>
      <c r="AA66" s="5">
        <f t="shared" si="64"/>
        <v>0.93869316393967206</v>
      </c>
      <c r="AB66" s="5">
        <f t="shared" si="64"/>
        <v>0.88593398172072979</v>
      </c>
      <c r="AC66" s="5">
        <f t="shared" si="64"/>
        <v>0.83671542718068914</v>
      </c>
      <c r="AD66" s="5">
        <f t="shared" si="64"/>
        <v>0.79267777311854748</v>
      </c>
    </row>
    <row r="67" spans="13:30" x14ac:dyDescent="0.15">
      <c r="M67" s="5">
        <v>1240</v>
      </c>
      <c r="N67" s="5">
        <f t="shared" si="2"/>
        <v>0.99985759973525989</v>
      </c>
      <c r="O67" s="5">
        <f t="shared" si="3"/>
        <v>0.99985759973525989</v>
      </c>
      <c r="P67" s="5">
        <f t="shared" ref="P67:AD67" si="65">IF(O67&lt;0.9,INDEX($I$5:$I$19,MATCH(P$4,$H$5:$H$19,0))*O67/0.9,求节点($C$5:$C$45,$D$5:$D$45,求节点($D$5:$D$45,$C$5:$C$45,INDEX($I$5:$I$19,MATCH(P$4,$H$5:$H$19,0)))+$M67-求节点(O$5:O$105,$M$5:$M$105,0.9)))</f>
        <v>0.99985759973525989</v>
      </c>
      <c r="Q67" s="5">
        <f t="shared" si="65"/>
        <v>0.99985759973525989</v>
      </c>
      <c r="R67" s="5">
        <f t="shared" si="65"/>
        <v>0.99985759973525989</v>
      </c>
      <c r="S67" s="5">
        <f t="shared" si="65"/>
        <v>0.99985759973525989</v>
      </c>
      <c r="T67" s="5">
        <f t="shared" si="65"/>
        <v>0.99979492165574069</v>
      </c>
      <c r="U67" s="5">
        <f t="shared" si="65"/>
        <v>0.99970146022902129</v>
      </c>
      <c r="V67" s="5">
        <f t="shared" si="65"/>
        <v>0.99965397882128215</v>
      </c>
      <c r="W67" s="5">
        <f t="shared" si="65"/>
        <v>0.99903098232106291</v>
      </c>
      <c r="X67" s="5">
        <f t="shared" si="65"/>
        <v>0.9983527944034053</v>
      </c>
      <c r="Y67" s="5">
        <f t="shared" si="65"/>
        <v>0.99377571052678393</v>
      </c>
      <c r="Z67" s="5">
        <f t="shared" si="65"/>
        <v>0.98207700128050901</v>
      </c>
      <c r="AA67" s="5">
        <f t="shared" si="65"/>
        <v>0.9523315500151146</v>
      </c>
      <c r="AB67" s="5">
        <f t="shared" si="65"/>
        <v>0.90586484977688353</v>
      </c>
      <c r="AC67" s="5">
        <f t="shared" si="65"/>
        <v>0.85621542287632713</v>
      </c>
      <c r="AD67" s="5">
        <f t="shared" si="65"/>
        <v>0.81115145325125704</v>
      </c>
    </row>
    <row r="68" spans="13:30" x14ac:dyDescent="0.15">
      <c r="M68" s="5">
        <v>1260</v>
      </c>
      <c r="N68" s="5">
        <f t="shared" si="2"/>
        <v>0.99985759973525989</v>
      </c>
      <c r="O68" s="5">
        <f t="shared" si="3"/>
        <v>0.99985759973525989</v>
      </c>
      <c r="P68" s="5">
        <f t="shared" ref="P68:AD68" si="66">IF(O68&lt;0.9,INDEX($I$5:$I$19,MATCH(P$4,$H$5:$H$19,0))*O68/0.9,求节点($C$5:$C$45,$D$5:$D$45,求节点($D$5:$D$45,$C$5:$C$45,INDEX($I$5:$I$19,MATCH(P$4,$H$5:$H$19,0)))+$M68-求节点(O$5:O$105,$M$5:$M$105,0.9)))</f>
        <v>0.99985759973525989</v>
      </c>
      <c r="Q68" s="5">
        <f t="shared" si="66"/>
        <v>0.99985759973525989</v>
      </c>
      <c r="R68" s="5">
        <f t="shared" si="66"/>
        <v>0.99985759973525989</v>
      </c>
      <c r="S68" s="5">
        <f t="shared" si="66"/>
        <v>0.99985759973525989</v>
      </c>
      <c r="T68" s="5">
        <f t="shared" si="66"/>
        <v>0.99979143837924933</v>
      </c>
      <c r="U68" s="5">
        <f t="shared" si="66"/>
        <v>0.99973535827286342</v>
      </c>
      <c r="V68" s="5">
        <f t="shared" si="66"/>
        <v>0.9996993792383958</v>
      </c>
      <c r="W68" s="5">
        <f t="shared" si="66"/>
        <v>0.99941355475823068</v>
      </c>
      <c r="X68" s="5">
        <f t="shared" si="66"/>
        <v>0.99868261003561587</v>
      </c>
      <c r="Y68" s="5">
        <f t="shared" si="66"/>
        <v>0.99626619426675234</v>
      </c>
      <c r="Z68" s="5">
        <f t="shared" si="66"/>
        <v>0.98884893524834216</v>
      </c>
      <c r="AA68" s="5">
        <f t="shared" si="66"/>
        <v>0.96872801755854732</v>
      </c>
      <c r="AB68" s="5">
        <f t="shared" si="66"/>
        <v>0.93153351611262281</v>
      </c>
      <c r="AC68" s="5">
        <f t="shared" si="66"/>
        <v>0.87617243265057076</v>
      </c>
      <c r="AD68" s="5">
        <f t="shared" si="66"/>
        <v>0.83005809409001419</v>
      </c>
    </row>
    <row r="69" spans="13:30" x14ac:dyDescent="0.15">
      <c r="M69" s="5">
        <v>1280</v>
      </c>
      <c r="N69" s="5">
        <f t="shared" si="2"/>
        <v>0.99985759973525989</v>
      </c>
      <c r="O69" s="5">
        <f t="shared" si="3"/>
        <v>0.99985759973525989</v>
      </c>
      <c r="P69" s="5">
        <f t="shared" ref="P69:AD69" si="67">IF(O69&lt;0.9,INDEX($I$5:$I$19,MATCH(P$4,$H$5:$H$19,0))*O69/0.9,求节点($C$5:$C$45,$D$5:$D$45,求节点($D$5:$D$45,$C$5:$C$45,INDEX($I$5:$I$19,MATCH(P$4,$H$5:$H$19,0)))+$M69-求节点(O$5:O$105,$M$5:$M$105,0.9)))</f>
        <v>0.99985759973525989</v>
      </c>
      <c r="Q69" s="5">
        <f t="shared" si="67"/>
        <v>0.99985759973525989</v>
      </c>
      <c r="R69" s="5">
        <f t="shared" si="67"/>
        <v>0.99985759973525989</v>
      </c>
      <c r="S69" s="5">
        <f t="shared" si="67"/>
        <v>0.99985759973525989</v>
      </c>
      <c r="T69" s="5">
        <f t="shared" si="67"/>
        <v>0.99982888124313907</v>
      </c>
      <c r="U69" s="5">
        <f t="shared" si="67"/>
        <v>0.99975760660181601</v>
      </c>
      <c r="V69" s="5">
        <f t="shared" si="67"/>
        <v>0.9996855060530464</v>
      </c>
      <c r="W69" s="5">
        <f t="shared" si="67"/>
        <v>0.99955134160921799</v>
      </c>
      <c r="X69" s="5">
        <f t="shared" si="67"/>
        <v>0.99908060543354182</v>
      </c>
      <c r="Y69" s="5">
        <f t="shared" si="67"/>
        <v>0.99790191631920622</v>
      </c>
      <c r="Z69" s="5">
        <f t="shared" si="67"/>
        <v>0.99098270773443287</v>
      </c>
      <c r="AA69" s="5">
        <f t="shared" si="67"/>
        <v>0.97746750330893517</v>
      </c>
      <c r="AB69" s="5">
        <f t="shared" si="67"/>
        <v>0.9411958034616219</v>
      </c>
      <c r="AC69" s="5">
        <f t="shared" si="67"/>
        <v>0.89461462434762573</v>
      </c>
      <c r="AD69" s="5">
        <f t="shared" si="67"/>
        <v>0.84752964411880316</v>
      </c>
    </row>
    <row r="70" spans="13:30" x14ac:dyDescent="0.15">
      <c r="M70" s="5">
        <v>1300</v>
      </c>
      <c r="N70" s="5">
        <f t="shared" ref="N70:N105" si="68">IF(D70="",N69,D70)</f>
        <v>0.99985759973525989</v>
      </c>
      <c r="O70" s="5">
        <f t="shared" ref="O70:O105" si="69">N70</f>
        <v>0.99985759973525989</v>
      </c>
      <c r="P70" s="5">
        <f t="shared" ref="P70:AD70" si="70">IF(O70&lt;0.9,INDEX($I$5:$I$19,MATCH(P$4,$H$5:$H$19,0))*O70/0.9,求节点($C$5:$C$45,$D$5:$D$45,求节点($D$5:$D$45,$C$5:$C$45,INDEX($I$5:$I$19,MATCH(P$4,$H$5:$H$19,0)))+$M70-求节点(O$5:O$105,$M$5:$M$105,0.9)))</f>
        <v>0.99985759973525989</v>
      </c>
      <c r="Q70" s="5">
        <f t="shared" si="70"/>
        <v>0.99985759973525989</v>
      </c>
      <c r="R70" s="5">
        <f t="shared" si="70"/>
        <v>0.99985759973525989</v>
      </c>
      <c r="S70" s="5">
        <f t="shared" si="70"/>
        <v>0.99985759973525989</v>
      </c>
      <c r="T70" s="5">
        <f t="shared" si="70"/>
        <v>0.99985759973525989</v>
      </c>
      <c r="U70" s="5">
        <f t="shared" si="70"/>
        <v>0.99978420295320891</v>
      </c>
      <c r="V70" s="5">
        <f t="shared" si="70"/>
        <v>0.99968038991677644</v>
      </c>
      <c r="W70" s="5">
        <f t="shared" si="70"/>
        <v>0.99960974275597581</v>
      </c>
      <c r="X70" s="5">
        <f t="shared" si="70"/>
        <v>0.99892207588483306</v>
      </c>
      <c r="Y70" s="5">
        <f t="shared" si="70"/>
        <v>0.99834387655297996</v>
      </c>
      <c r="Z70" s="5">
        <f t="shared" si="70"/>
        <v>0.99406082779817362</v>
      </c>
      <c r="AA70" s="5">
        <f t="shared" si="70"/>
        <v>0.98424768860691392</v>
      </c>
      <c r="AB70" s="5">
        <f t="shared" si="70"/>
        <v>0.95862821738343762</v>
      </c>
      <c r="AC70" s="5">
        <f t="shared" si="70"/>
        <v>0.91686990815925562</v>
      </c>
      <c r="AD70" s="5">
        <f t="shared" si="70"/>
        <v>0.86864262050440155</v>
      </c>
    </row>
    <row r="71" spans="13:30" x14ac:dyDescent="0.15">
      <c r="M71" s="5">
        <v>1320</v>
      </c>
      <c r="N71" s="5">
        <f t="shared" si="68"/>
        <v>0.99985759973525989</v>
      </c>
      <c r="O71" s="5">
        <f t="shared" si="69"/>
        <v>0.99985759973525989</v>
      </c>
      <c r="P71" s="5">
        <f t="shared" ref="P71:AD71" si="71">IF(O71&lt;0.9,INDEX($I$5:$I$19,MATCH(P$4,$H$5:$H$19,0))*O71/0.9,求节点($C$5:$C$45,$D$5:$D$45,求节点($D$5:$D$45,$C$5:$C$45,INDEX($I$5:$I$19,MATCH(P$4,$H$5:$H$19,0)))+$M71-求节点(O$5:O$105,$M$5:$M$105,0.9)))</f>
        <v>0.99985759973525989</v>
      </c>
      <c r="Q71" s="5">
        <f t="shared" si="71"/>
        <v>0.99985759973525989</v>
      </c>
      <c r="R71" s="5">
        <f t="shared" si="71"/>
        <v>0.99985759973525989</v>
      </c>
      <c r="S71" s="5">
        <f t="shared" si="71"/>
        <v>0.99985759973525989</v>
      </c>
      <c r="T71" s="5">
        <f t="shared" si="71"/>
        <v>0.99985759973525989</v>
      </c>
      <c r="U71" s="5">
        <f t="shared" si="71"/>
        <v>0.99979068270437677</v>
      </c>
      <c r="V71" s="5">
        <f t="shared" si="71"/>
        <v>0.99971714486223451</v>
      </c>
      <c r="W71" s="5">
        <f t="shared" si="71"/>
        <v>0.99968338201884632</v>
      </c>
      <c r="X71" s="5">
        <f t="shared" si="71"/>
        <v>0.99936295870240888</v>
      </c>
      <c r="Y71" s="5">
        <f t="shared" si="71"/>
        <v>0.99865840017354834</v>
      </c>
      <c r="Z71" s="5">
        <f t="shared" si="71"/>
        <v>0.99647419572361762</v>
      </c>
      <c r="AA71" s="5">
        <f t="shared" si="71"/>
        <v>0.989238258596147</v>
      </c>
      <c r="AB71" s="5">
        <f t="shared" si="71"/>
        <v>0.9735805111237994</v>
      </c>
      <c r="AC71" s="5">
        <f t="shared" si="71"/>
        <v>0.93705401239056152</v>
      </c>
      <c r="AD71" s="5">
        <f t="shared" si="71"/>
        <v>0.88650661661269325</v>
      </c>
    </row>
    <row r="72" spans="13:30" x14ac:dyDescent="0.15">
      <c r="M72" s="5">
        <v>1340</v>
      </c>
      <c r="N72" s="5">
        <f t="shared" si="68"/>
        <v>0.99985759973525989</v>
      </c>
      <c r="O72" s="5">
        <f t="shared" si="69"/>
        <v>0.99985759973525989</v>
      </c>
      <c r="P72" s="5">
        <f t="shared" ref="P72:AD72" si="72">IF(O72&lt;0.9,INDEX($I$5:$I$19,MATCH(P$4,$H$5:$H$19,0))*O72/0.9,求节点($C$5:$C$45,$D$5:$D$45,求节点($D$5:$D$45,$C$5:$C$45,INDEX($I$5:$I$19,MATCH(P$4,$H$5:$H$19,0)))+$M72-求节点(O$5:O$105,$M$5:$M$105,0.9)))</f>
        <v>0.99985759973525989</v>
      </c>
      <c r="Q72" s="5">
        <f t="shared" si="72"/>
        <v>0.99985759973525989</v>
      </c>
      <c r="R72" s="5">
        <f t="shared" si="72"/>
        <v>0.99985759973525989</v>
      </c>
      <c r="S72" s="5">
        <f t="shared" si="72"/>
        <v>0.99985759973525989</v>
      </c>
      <c r="T72" s="5">
        <f t="shared" si="72"/>
        <v>0.99985759973525989</v>
      </c>
      <c r="U72" s="5">
        <f t="shared" si="72"/>
        <v>0.99979890951701322</v>
      </c>
      <c r="V72" s="5">
        <f t="shared" si="72"/>
        <v>0.99974499270250983</v>
      </c>
      <c r="W72" s="5">
        <f t="shared" si="72"/>
        <v>0.99969441226454514</v>
      </c>
      <c r="X72" s="5">
        <f t="shared" si="72"/>
        <v>0.99954683502642794</v>
      </c>
      <c r="Y72" s="5">
        <f t="shared" si="72"/>
        <v>0.99909451669748695</v>
      </c>
      <c r="Z72" s="5">
        <f t="shared" si="72"/>
        <v>0.99795539094475438</v>
      </c>
      <c r="AA72" s="5">
        <f t="shared" si="72"/>
        <v>0.99176750558741655</v>
      </c>
      <c r="AB72" s="5">
        <f t="shared" si="72"/>
        <v>0.97881720056828325</v>
      </c>
      <c r="AC72" s="5">
        <f t="shared" si="72"/>
        <v>0.94820742747149767</v>
      </c>
      <c r="AD72" s="5">
        <f t="shared" si="72"/>
        <v>0.90652481384374883</v>
      </c>
    </row>
    <row r="73" spans="13:30" x14ac:dyDescent="0.15">
      <c r="M73" s="5">
        <v>1360</v>
      </c>
      <c r="N73" s="5">
        <f t="shared" si="68"/>
        <v>0.99985759973525989</v>
      </c>
      <c r="O73" s="5">
        <f t="shared" si="69"/>
        <v>0.99985759973525989</v>
      </c>
      <c r="P73" s="5">
        <f t="shared" ref="P73:AD73" si="73">IF(O73&lt;0.9,INDEX($I$5:$I$19,MATCH(P$4,$H$5:$H$19,0))*O73/0.9,求节点($C$5:$C$45,$D$5:$D$45,求节点($D$5:$D$45,$C$5:$C$45,INDEX($I$5:$I$19,MATCH(P$4,$H$5:$H$19,0)))+$M73-求节点(O$5:O$105,$M$5:$M$105,0.9)))</f>
        <v>0.99985759973525989</v>
      </c>
      <c r="Q73" s="5">
        <f t="shared" si="73"/>
        <v>0.99985759973525989</v>
      </c>
      <c r="R73" s="5">
        <f t="shared" si="73"/>
        <v>0.99985759973525989</v>
      </c>
      <c r="S73" s="5">
        <f t="shared" si="73"/>
        <v>0.99985759973525989</v>
      </c>
      <c r="T73" s="5">
        <f t="shared" si="73"/>
        <v>0.99985759973525989</v>
      </c>
      <c r="U73" s="5">
        <f t="shared" si="73"/>
        <v>0.99983741943398674</v>
      </c>
      <c r="V73" s="5">
        <f t="shared" si="73"/>
        <v>0.99976456860685481</v>
      </c>
      <c r="W73" s="5">
        <f t="shared" si="73"/>
        <v>0.99968165881879378</v>
      </c>
      <c r="X73" s="5">
        <f t="shared" si="73"/>
        <v>0.99958740335084117</v>
      </c>
      <c r="Y73" s="5">
        <f t="shared" si="73"/>
        <v>0.99890284843091326</v>
      </c>
      <c r="Z73" s="5">
        <f t="shared" si="73"/>
        <v>0.99836925210660121</v>
      </c>
      <c r="AA73" s="5">
        <f t="shared" si="73"/>
        <v>0.99469143671713123</v>
      </c>
      <c r="AB73" s="5">
        <f t="shared" si="73"/>
        <v>0.98729078540226223</v>
      </c>
      <c r="AC73" s="5">
        <f t="shared" si="73"/>
        <v>0.96554978422739035</v>
      </c>
      <c r="AD73" s="5">
        <f t="shared" si="73"/>
        <v>0.93239371703932217</v>
      </c>
    </row>
    <row r="74" spans="13:30" x14ac:dyDescent="0.15">
      <c r="M74" s="5">
        <v>1380</v>
      </c>
      <c r="N74" s="5">
        <f t="shared" si="68"/>
        <v>0.99985759973525989</v>
      </c>
      <c r="O74" s="5">
        <f t="shared" si="69"/>
        <v>0.99985759973525989</v>
      </c>
      <c r="P74" s="5">
        <f t="shared" ref="P74:AD74" si="74">IF(O74&lt;0.9,INDEX($I$5:$I$19,MATCH(P$4,$H$5:$H$19,0))*O74/0.9,求节点($C$5:$C$45,$D$5:$D$45,求节点($D$5:$D$45,$C$5:$C$45,INDEX($I$5:$I$19,MATCH(P$4,$H$5:$H$19,0)))+$M74-求节点(O$5:O$105,$M$5:$M$105,0.9)))</f>
        <v>0.99985759973525989</v>
      </c>
      <c r="Q74" s="5">
        <f t="shared" si="74"/>
        <v>0.99985759973525989</v>
      </c>
      <c r="R74" s="5">
        <f t="shared" si="74"/>
        <v>0.99985759973525989</v>
      </c>
      <c r="S74" s="5">
        <f t="shared" si="74"/>
        <v>0.99985759973525989</v>
      </c>
      <c r="T74" s="5">
        <f t="shared" si="74"/>
        <v>0.99985759973525989</v>
      </c>
      <c r="U74" s="5">
        <f t="shared" si="74"/>
        <v>0.99985759973525989</v>
      </c>
      <c r="V74" s="5">
        <f t="shared" si="74"/>
        <v>0.99979693418725335</v>
      </c>
      <c r="W74" s="5">
        <f t="shared" si="74"/>
        <v>0.9996991460132113</v>
      </c>
      <c r="X74" s="5">
        <f t="shared" si="74"/>
        <v>0.99967530335348431</v>
      </c>
      <c r="Y74" s="5">
        <f t="shared" si="74"/>
        <v>0.9993540259582524</v>
      </c>
      <c r="Z74" s="5">
        <f t="shared" si="74"/>
        <v>0.9987272888208969</v>
      </c>
      <c r="AA74" s="5">
        <f t="shared" si="74"/>
        <v>0.99693424352505766</v>
      </c>
      <c r="AB74" s="5">
        <f t="shared" si="74"/>
        <v>0.98978405283267645</v>
      </c>
      <c r="AC74" s="5">
        <f t="shared" si="74"/>
        <v>0.97658349331305416</v>
      </c>
      <c r="AD74" s="5">
        <f t="shared" si="74"/>
        <v>0.94143877044006619</v>
      </c>
    </row>
    <row r="75" spans="13:30" x14ac:dyDescent="0.15">
      <c r="M75" s="5">
        <v>1400</v>
      </c>
      <c r="N75" s="5">
        <f t="shared" si="68"/>
        <v>0.99985759973525989</v>
      </c>
      <c r="O75" s="5">
        <f t="shared" si="69"/>
        <v>0.99985759973525989</v>
      </c>
      <c r="P75" s="5">
        <f t="shared" ref="P75:AD75" si="75">IF(O75&lt;0.9,INDEX($I$5:$I$19,MATCH(P$4,$H$5:$H$19,0))*O75/0.9,求节点($C$5:$C$45,$D$5:$D$45,求节点($D$5:$D$45,$C$5:$C$45,INDEX($I$5:$I$19,MATCH(P$4,$H$5:$H$19,0)))+$M75-求节点(O$5:O$105,$M$5:$M$105,0.9)))</f>
        <v>0.99985759973525989</v>
      </c>
      <c r="Q75" s="5">
        <f t="shared" si="75"/>
        <v>0.99985759973525989</v>
      </c>
      <c r="R75" s="5">
        <f t="shared" si="75"/>
        <v>0.99985759973525989</v>
      </c>
      <c r="S75" s="5">
        <f t="shared" si="75"/>
        <v>0.99985759973525989</v>
      </c>
      <c r="T75" s="5">
        <f t="shared" si="75"/>
        <v>0.99985759973525989</v>
      </c>
      <c r="U75" s="5">
        <f t="shared" si="75"/>
        <v>0.99985759973525989</v>
      </c>
      <c r="V75" s="5">
        <f t="shared" si="75"/>
        <v>0.99978310467503173</v>
      </c>
      <c r="W75" s="5">
        <f t="shared" si="75"/>
        <v>0.99973393674460043</v>
      </c>
      <c r="X75" s="5">
        <f t="shared" si="75"/>
        <v>0.99969890994003929</v>
      </c>
      <c r="Y75" s="5">
        <f t="shared" si="75"/>
        <v>0.999546039388301</v>
      </c>
      <c r="Z75" s="5">
        <f t="shared" si="75"/>
        <v>0.99905493249195076</v>
      </c>
      <c r="AA75" s="5">
        <f t="shared" si="75"/>
        <v>0.99807366359672067</v>
      </c>
      <c r="AB75" s="5">
        <f t="shared" si="75"/>
        <v>0.99286771739699409</v>
      </c>
      <c r="AC75" s="5">
        <f t="shared" si="75"/>
        <v>0.98225455424519725</v>
      </c>
      <c r="AD75" s="5">
        <f t="shared" si="75"/>
        <v>0.95923952485753916</v>
      </c>
    </row>
    <row r="76" spans="13:30" x14ac:dyDescent="0.15">
      <c r="M76" s="5">
        <v>1420</v>
      </c>
      <c r="N76" s="5">
        <f t="shared" si="68"/>
        <v>0.99985759973525989</v>
      </c>
      <c r="O76" s="5">
        <f t="shared" si="69"/>
        <v>0.99985759973525989</v>
      </c>
      <c r="P76" s="5">
        <f t="shared" ref="P76:AD76" si="76">IF(O76&lt;0.9,INDEX($I$5:$I$19,MATCH(P$4,$H$5:$H$19,0))*O76/0.9,求节点($C$5:$C$45,$D$5:$D$45,求节点($D$5:$D$45,$C$5:$C$45,INDEX($I$5:$I$19,MATCH(P$4,$H$5:$H$19,0)))+$M76-求节点(O$5:O$105,$M$5:$M$105,0.9)))</f>
        <v>0.99985759973525989</v>
      </c>
      <c r="Q76" s="5">
        <f t="shared" si="76"/>
        <v>0.99985759973525989</v>
      </c>
      <c r="R76" s="5">
        <f t="shared" si="76"/>
        <v>0.99985759973525989</v>
      </c>
      <c r="S76" s="5">
        <f t="shared" si="76"/>
        <v>0.99985759973525989</v>
      </c>
      <c r="T76" s="5">
        <f t="shared" si="76"/>
        <v>0.99985759973525989</v>
      </c>
      <c r="U76" s="5">
        <f t="shared" si="76"/>
        <v>0.99985759973525989</v>
      </c>
      <c r="V76" s="5">
        <f t="shared" si="76"/>
        <v>0.99981226576867899</v>
      </c>
      <c r="W76" s="5">
        <f t="shared" si="76"/>
        <v>0.9997565793809744</v>
      </c>
      <c r="X76" s="5">
        <f t="shared" si="76"/>
        <v>0.99968229961982447</v>
      </c>
      <c r="Y76" s="5">
        <f t="shared" si="76"/>
        <v>0.9995834593242281</v>
      </c>
      <c r="Z76" s="5">
        <f t="shared" si="76"/>
        <v>0.9989575597418987</v>
      </c>
      <c r="AA76" s="5">
        <f t="shared" si="76"/>
        <v>0.99842537655798591</v>
      </c>
      <c r="AB76" s="5">
        <f t="shared" si="76"/>
        <v>0.99557549033326209</v>
      </c>
      <c r="AC76" s="5">
        <f t="shared" si="76"/>
        <v>0.9888807802376155</v>
      </c>
      <c r="AD76" s="5">
        <f t="shared" si="76"/>
        <v>0.9740516120111341</v>
      </c>
    </row>
    <row r="77" spans="13:30" x14ac:dyDescent="0.15">
      <c r="M77" s="5">
        <v>1440</v>
      </c>
      <c r="N77" s="5">
        <f t="shared" si="68"/>
        <v>0.99985759973525989</v>
      </c>
      <c r="O77" s="5">
        <f t="shared" si="69"/>
        <v>0.99985759973525989</v>
      </c>
      <c r="P77" s="5">
        <f t="shared" ref="P77:AD77" si="77">IF(O77&lt;0.9,INDEX($I$5:$I$19,MATCH(P$4,$H$5:$H$19,0))*O77/0.9,求节点($C$5:$C$45,$D$5:$D$45,求节点($D$5:$D$45,$C$5:$C$45,INDEX($I$5:$I$19,MATCH(P$4,$H$5:$H$19,0)))+$M77-求节点(O$5:O$105,$M$5:$M$105,0.9)))</f>
        <v>0.99985759973525989</v>
      </c>
      <c r="Q77" s="5">
        <f t="shared" si="77"/>
        <v>0.99985759973525989</v>
      </c>
      <c r="R77" s="5">
        <f t="shared" si="77"/>
        <v>0.99985759973525989</v>
      </c>
      <c r="S77" s="5">
        <f t="shared" si="77"/>
        <v>0.99985759973525989</v>
      </c>
      <c r="T77" s="5">
        <f t="shared" si="77"/>
        <v>0.99985759973525989</v>
      </c>
      <c r="U77" s="5">
        <f t="shared" si="77"/>
        <v>0.99985759973525989</v>
      </c>
      <c r="V77" s="5">
        <f t="shared" si="77"/>
        <v>0.999852683270545</v>
      </c>
      <c r="W77" s="5">
        <f t="shared" si="77"/>
        <v>0.99978232450168858</v>
      </c>
      <c r="X77" s="5">
        <f t="shared" si="77"/>
        <v>0.9996900565162703</v>
      </c>
      <c r="Y77" s="5">
        <f t="shared" si="77"/>
        <v>0.99967387706343791</v>
      </c>
      <c r="Z77" s="5">
        <f t="shared" si="77"/>
        <v>0.99937944389166877</v>
      </c>
      <c r="AA77" s="5">
        <f t="shared" si="77"/>
        <v>0.99887965347850316</v>
      </c>
      <c r="AB77" s="5">
        <f t="shared" si="77"/>
        <v>0.99757918670652812</v>
      </c>
      <c r="AC77" s="5">
        <f t="shared" si="77"/>
        <v>0.99104690085141622</v>
      </c>
      <c r="AD77" s="5">
        <f t="shared" si="77"/>
        <v>0.97894823496698191</v>
      </c>
    </row>
    <row r="78" spans="13:30" x14ac:dyDescent="0.15">
      <c r="M78" s="5">
        <v>1460</v>
      </c>
      <c r="N78" s="5">
        <f t="shared" si="68"/>
        <v>0.99985759973525989</v>
      </c>
      <c r="O78" s="5">
        <f t="shared" si="69"/>
        <v>0.99985759973525989</v>
      </c>
      <c r="P78" s="5">
        <f t="shared" ref="P78:AD78" si="78">IF(O78&lt;0.9,INDEX($I$5:$I$19,MATCH(P$4,$H$5:$H$19,0))*O78/0.9,求节点($C$5:$C$45,$D$5:$D$45,求节点($D$5:$D$45,$C$5:$C$45,INDEX($I$5:$I$19,MATCH(P$4,$H$5:$H$19,0)))+$M78-求节点(O$5:O$105,$M$5:$M$105,0.9)))</f>
        <v>0.99985759973525989</v>
      </c>
      <c r="Q78" s="5">
        <f t="shared" si="78"/>
        <v>0.99985759973525989</v>
      </c>
      <c r="R78" s="5">
        <f t="shared" si="78"/>
        <v>0.99985759973525989</v>
      </c>
      <c r="S78" s="5">
        <f t="shared" si="78"/>
        <v>0.99985759973525989</v>
      </c>
      <c r="T78" s="5">
        <f t="shared" si="78"/>
        <v>0.99985759973525989</v>
      </c>
      <c r="U78" s="5">
        <f t="shared" si="78"/>
        <v>0.99985759973525989</v>
      </c>
      <c r="V78" s="5">
        <f t="shared" si="78"/>
        <v>0.99985759973525989</v>
      </c>
      <c r="W78" s="5">
        <f t="shared" si="78"/>
        <v>0.99979180081756946</v>
      </c>
      <c r="X78" s="5">
        <f t="shared" si="78"/>
        <v>0.99972835343783062</v>
      </c>
      <c r="Y78" s="5">
        <f t="shared" si="78"/>
        <v>0.99969970400558128</v>
      </c>
      <c r="Z78" s="5">
        <f t="shared" si="78"/>
        <v>0.99954830335966072</v>
      </c>
      <c r="AA78" s="5">
        <f t="shared" si="78"/>
        <v>0.99896738201512669</v>
      </c>
      <c r="AB78" s="5">
        <f t="shared" si="78"/>
        <v>0.9982394705850407</v>
      </c>
      <c r="AC78" s="5">
        <f t="shared" si="78"/>
        <v>0.99411240891801422</v>
      </c>
      <c r="AD78" s="5">
        <f t="shared" si="78"/>
        <v>0.98758622229079307</v>
      </c>
    </row>
    <row r="79" spans="13:30" x14ac:dyDescent="0.15">
      <c r="M79" s="5">
        <v>1480</v>
      </c>
      <c r="N79" s="5">
        <f t="shared" si="68"/>
        <v>0.99985759973525989</v>
      </c>
      <c r="O79" s="5">
        <f t="shared" si="69"/>
        <v>0.99985759973525989</v>
      </c>
      <c r="P79" s="5">
        <f t="shared" ref="P79:AD79" si="79">IF(O79&lt;0.9,INDEX($I$5:$I$19,MATCH(P$4,$H$5:$H$19,0))*O79/0.9,求节点($C$5:$C$45,$D$5:$D$45,求节点($D$5:$D$45,$C$5:$C$45,INDEX($I$5:$I$19,MATCH(P$4,$H$5:$H$19,0)))+$M79-求节点(O$5:O$105,$M$5:$M$105,0.9)))</f>
        <v>0.99985759973525989</v>
      </c>
      <c r="Q79" s="5">
        <f t="shared" si="79"/>
        <v>0.99985759973525989</v>
      </c>
      <c r="R79" s="5">
        <f t="shared" si="79"/>
        <v>0.99985759973525989</v>
      </c>
      <c r="S79" s="5">
        <f t="shared" si="79"/>
        <v>0.99985759973525989</v>
      </c>
      <c r="T79" s="5">
        <f t="shared" si="79"/>
        <v>0.99985759973525989</v>
      </c>
      <c r="U79" s="5">
        <f t="shared" si="79"/>
        <v>0.99985759973525989</v>
      </c>
      <c r="V79" s="5">
        <f t="shared" si="79"/>
        <v>0.99985759973525989</v>
      </c>
      <c r="W79" s="5">
        <f t="shared" si="79"/>
        <v>0.99979693884620779</v>
      </c>
      <c r="X79" s="5">
        <f t="shared" si="79"/>
        <v>0.99975254478720077</v>
      </c>
      <c r="Y79" s="5">
        <f t="shared" si="79"/>
        <v>0.99968241275337932</v>
      </c>
      <c r="Z79" s="5">
        <f t="shared" si="79"/>
        <v>0.99959468196803014</v>
      </c>
      <c r="AA79" s="5">
        <f t="shared" si="79"/>
        <v>0.99907856763632452</v>
      </c>
      <c r="AB79" s="5">
        <f t="shared" si="79"/>
        <v>0.99850405769094863</v>
      </c>
      <c r="AC79" s="5">
        <f t="shared" si="79"/>
        <v>0.99651182567153795</v>
      </c>
      <c r="AD79" s="5">
        <f t="shared" si="79"/>
        <v>0.98983704087803359</v>
      </c>
    </row>
    <row r="80" spans="13:30" x14ac:dyDescent="0.15">
      <c r="M80" s="5">
        <v>1500</v>
      </c>
      <c r="N80" s="5">
        <f t="shared" si="68"/>
        <v>0.99985759973525989</v>
      </c>
      <c r="O80" s="5">
        <f t="shared" si="69"/>
        <v>0.99985759973525989</v>
      </c>
      <c r="P80" s="5">
        <f t="shared" ref="P80:AD80" si="80">IF(O80&lt;0.9,INDEX($I$5:$I$19,MATCH(P$4,$H$5:$H$19,0))*O80/0.9,求节点($C$5:$C$45,$D$5:$D$45,求节点($D$5:$D$45,$C$5:$C$45,INDEX($I$5:$I$19,MATCH(P$4,$H$5:$H$19,0)))+$M80-求节点(O$5:O$105,$M$5:$M$105,0.9)))</f>
        <v>0.99985759973525989</v>
      </c>
      <c r="Q80" s="5">
        <f t="shared" si="80"/>
        <v>0.99985759973525989</v>
      </c>
      <c r="R80" s="5">
        <f t="shared" si="80"/>
        <v>0.99985759973525989</v>
      </c>
      <c r="S80" s="5">
        <f t="shared" si="80"/>
        <v>0.99985759973525989</v>
      </c>
      <c r="T80" s="5">
        <f t="shared" si="80"/>
        <v>0.99985759973525989</v>
      </c>
      <c r="U80" s="5">
        <f t="shared" si="80"/>
        <v>0.99985759973525989</v>
      </c>
      <c r="V80" s="5">
        <f t="shared" si="80"/>
        <v>0.99985759973525989</v>
      </c>
      <c r="W80" s="5">
        <f t="shared" si="80"/>
        <v>0.99983516730533295</v>
      </c>
      <c r="X80" s="5">
        <f t="shared" si="80"/>
        <v>0.99977494654701604</v>
      </c>
      <c r="Y80" s="5">
        <f t="shared" si="80"/>
        <v>0.9996884517636988</v>
      </c>
      <c r="Z80" s="5">
        <f t="shared" si="80"/>
        <v>0.99967793554141471</v>
      </c>
      <c r="AA80" s="5">
        <f t="shared" si="80"/>
        <v>0.99943566207668322</v>
      </c>
      <c r="AB80" s="5">
        <f t="shared" si="80"/>
        <v>0.9990932542102372</v>
      </c>
      <c r="AC80" s="5">
        <f t="shared" si="80"/>
        <v>0.99796506514321803</v>
      </c>
      <c r="AD80" s="5">
        <f t="shared" si="80"/>
        <v>0.99297453067820274</v>
      </c>
    </row>
    <row r="81" spans="13:30" x14ac:dyDescent="0.15">
      <c r="M81" s="5">
        <v>1520</v>
      </c>
      <c r="N81" s="5">
        <f t="shared" si="68"/>
        <v>0.99985759973525989</v>
      </c>
      <c r="O81" s="5">
        <f t="shared" si="69"/>
        <v>0.99985759973525989</v>
      </c>
      <c r="P81" s="5">
        <f t="shared" ref="P81:AD81" si="81">IF(O81&lt;0.9,INDEX($I$5:$I$19,MATCH(P$4,$H$5:$H$19,0))*O81/0.9,求节点($C$5:$C$45,$D$5:$D$45,求节点($D$5:$D$45,$C$5:$C$45,INDEX($I$5:$I$19,MATCH(P$4,$H$5:$H$19,0)))+$M81-求节点(O$5:O$105,$M$5:$M$105,0.9)))</f>
        <v>0.99985759973525989</v>
      </c>
      <c r="Q81" s="5">
        <f t="shared" si="81"/>
        <v>0.99985759973525989</v>
      </c>
      <c r="R81" s="5">
        <f t="shared" si="81"/>
        <v>0.99985759973525989</v>
      </c>
      <c r="S81" s="5">
        <f t="shared" si="81"/>
        <v>0.99985759973525989</v>
      </c>
      <c r="T81" s="5">
        <f t="shared" si="81"/>
        <v>0.99985759973525989</v>
      </c>
      <c r="U81" s="5">
        <f t="shared" si="81"/>
        <v>0.99985759973525989</v>
      </c>
      <c r="V81" s="5">
        <f t="shared" si="81"/>
        <v>0.99985759973525989</v>
      </c>
      <c r="W81" s="5">
        <f t="shared" si="81"/>
        <v>0.99985759973525989</v>
      </c>
      <c r="X81" s="5">
        <f t="shared" si="81"/>
        <v>0.99979619240732576</v>
      </c>
      <c r="Y81" s="5">
        <f t="shared" si="81"/>
        <v>0.99972736770386161</v>
      </c>
      <c r="Z81" s="5">
        <f t="shared" si="81"/>
        <v>0.99969744450897857</v>
      </c>
      <c r="AA81" s="5">
        <f t="shared" si="81"/>
        <v>0.99955331070461984</v>
      </c>
      <c r="AB81" s="5">
        <f t="shared" si="81"/>
        <v>0.99884464458896038</v>
      </c>
      <c r="AC81" s="5">
        <f t="shared" si="81"/>
        <v>0.99837384284733732</v>
      </c>
      <c r="AD81" s="5">
        <f t="shared" si="81"/>
        <v>0.99566131804996294</v>
      </c>
    </row>
    <row r="82" spans="13:30" x14ac:dyDescent="0.15">
      <c r="M82" s="5">
        <v>1540</v>
      </c>
      <c r="N82" s="5">
        <f t="shared" si="68"/>
        <v>0.99985759973525989</v>
      </c>
      <c r="O82" s="5">
        <f t="shared" si="69"/>
        <v>0.99985759973525989</v>
      </c>
      <c r="P82" s="5">
        <f t="shared" ref="P82:AD82" si="82">IF(O82&lt;0.9,INDEX($I$5:$I$19,MATCH(P$4,$H$5:$H$19,0))*O82/0.9,求节点($C$5:$C$45,$D$5:$D$45,求节点($D$5:$D$45,$C$5:$C$45,INDEX($I$5:$I$19,MATCH(P$4,$H$5:$H$19,0)))+$M82-求节点(O$5:O$105,$M$5:$M$105,0.9)))</f>
        <v>0.99985759973525989</v>
      </c>
      <c r="Q82" s="5">
        <f t="shared" si="82"/>
        <v>0.99985759973525989</v>
      </c>
      <c r="R82" s="5">
        <f t="shared" si="82"/>
        <v>0.99985759973525989</v>
      </c>
      <c r="S82" s="5">
        <f t="shared" si="82"/>
        <v>0.99985759973525989</v>
      </c>
      <c r="T82" s="5">
        <f t="shared" si="82"/>
        <v>0.99985759973525989</v>
      </c>
      <c r="U82" s="5">
        <f t="shared" si="82"/>
        <v>0.99985759973525989</v>
      </c>
      <c r="V82" s="5">
        <f t="shared" si="82"/>
        <v>0.99985759973525989</v>
      </c>
      <c r="W82" s="5">
        <f t="shared" si="82"/>
        <v>0.99985759973525989</v>
      </c>
      <c r="X82" s="5">
        <f t="shared" si="82"/>
        <v>0.99978919868378202</v>
      </c>
      <c r="Y82" s="5">
        <f t="shared" si="82"/>
        <v>0.9997518324788327</v>
      </c>
      <c r="Z82" s="5">
        <f t="shared" si="82"/>
        <v>0.99968209083425608</v>
      </c>
      <c r="AA82" s="5">
        <f t="shared" si="82"/>
        <v>0.99961950368171071</v>
      </c>
      <c r="AB82" s="5">
        <f t="shared" si="82"/>
        <v>0.99924820917394253</v>
      </c>
      <c r="AC82" s="5">
        <f t="shared" si="82"/>
        <v>0.99873975160000961</v>
      </c>
      <c r="AD82" s="5">
        <f t="shared" si="82"/>
        <v>0.99764180055670337</v>
      </c>
    </row>
    <row r="83" spans="13:30" x14ac:dyDescent="0.15">
      <c r="M83" s="5">
        <v>1560</v>
      </c>
      <c r="N83" s="5">
        <f t="shared" si="68"/>
        <v>0.99985759973525989</v>
      </c>
      <c r="O83" s="5">
        <f t="shared" si="69"/>
        <v>0.99985759973525989</v>
      </c>
      <c r="P83" s="5">
        <f t="shared" ref="P83:AD83" si="83">IF(O83&lt;0.9,INDEX($I$5:$I$19,MATCH(P$4,$H$5:$H$19,0))*O83/0.9,求节点($C$5:$C$45,$D$5:$D$45,求节点($D$5:$D$45,$C$5:$C$45,INDEX($I$5:$I$19,MATCH(P$4,$H$5:$H$19,0)))+$M83-求节点(O$5:O$105,$M$5:$M$105,0.9)))</f>
        <v>0.99985759973525989</v>
      </c>
      <c r="Q83" s="5">
        <f t="shared" si="83"/>
        <v>0.99985759973525989</v>
      </c>
      <c r="R83" s="5">
        <f t="shared" si="83"/>
        <v>0.99985759973525989</v>
      </c>
      <c r="S83" s="5">
        <f t="shared" si="83"/>
        <v>0.99985759973525989</v>
      </c>
      <c r="T83" s="5">
        <f t="shared" si="83"/>
        <v>0.99985759973525989</v>
      </c>
      <c r="U83" s="5">
        <f t="shared" si="83"/>
        <v>0.99985759973525989</v>
      </c>
      <c r="V83" s="5">
        <f t="shared" si="83"/>
        <v>0.99985759973525989</v>
      </c>
      <c r="W83" s="5">
        <f t="shared" si="83"/>
        <v>0.99985759973525989</v>
      </c>
      <c r="X83" s="5">
        <f t="shared" si="83"/>
        <v>0.99982632166681407</v>
      </c>
      <c r="Y83" s="5">
        <f t="shared" si="83"/>
        <v>0.99977364396758728</v>
      </c>
      <c r="Z83" s="5">
        <f t="shared" si="83"/>
        <v>0.99969301805299315</v>
      </c>
      <c r="AA83" s="5">
        <f t="shared" si="83"/>
        <v>0.99968691189138148</v>
      </c>
      <c r="AB83" s="5">
        <f t="shared" si="83"/>
        <v>0.99951447461526355</v>
      </c>
      <c r="AC83" s="5">
        <f t="shared" si="83"/>
        <v>0.99904777123637478</v>
      </c>
      <c r="AD83" s="5">
        <f t="shared" si="83"/>
        <v>0.99825556783860192</v>
      </c>
    </row>
    <row r="84" spans="13:30" x14ac:dyDescent="0.15">
      <c r="M84" s="5">
        <v>1580</v>
      </c>
      <c r="N84" s="5">
        <f t="shared" si="68"/>
        <v>0.99985759973525989</v>
      </c>
      <c r="O84" s="5">
        <f t="shared" si="69"/>
        <v>0.99985759973525989</v>
      </c>
      <c r="P84" s="5">
        <f t="shared" ref="P84:AD84" si="84">IF(O84&lt;0.9,INDEX($I$5:$I$19,MATCH(P$4,$H$5:$H$19,0))*O84/0.9,求节点($C$5:$C$45,$D$5:$D$45,求节点($D$5:$D$45,$C$5:$C$45,INDEX($I$5:$I$19,MATCH(P$4,$H$5:$H$19,0)))+$M84-求节点(O$5:O$105,$M$5:$M$105,0.9)))</f>
        <v>0.99985759973525989</v>
      </c>
      <c r="Q84" s="5">
        <f t="shared" si="84"/>
        <v>0.99985759973525989</v>
      </c>
      <c r="R84" s="5">
        <f t="shared" si="84"/>
        <v>0.99985759973525989</v>
      </c>
      <c r="S84" s="5">
        <f t="shared" si="84"/>
        <v>0.99985759973525989</v>
      </c>
      <c r="T84" s="5">
        <f t="shared" si="84"/>
        <v>0.99985759973525989</v>
      </c>
      <c r="U84" s="5">
        <f t="shared" si="84"/>
        <v>0.99985759973525989</v>
      </c>
      <c r="V84" s="5">
        <f t="shared" si="84"/>
        <v>0.99985759973525989</v>
      </c>
      <c r="W84" s="5">
        <f t="shared" si="84"/>
        <v>0.99985759973525989</v>
      </c>
      <c r="X84" s="5">
        <f t="shared" si="84"/>
        <v>0.99985759973525989</v>
      </c>
      <c r="Y84" s="5">
        <f t="shared" si="84"/>
        <v>0.99979696774340876</v>
      </c>
      <c r="Z84" s="5">
        <f t="shared" si="84"/>
        <v>0.99973017258889496</v>
      </c>
      <c r="AA84" s="5">
        <f t="shared" si="84"/>
        <v>0.99969244706107563</v>
      </c>
      <c r="AB84" s="5">
        <f t="shared" si="84"/>
        <v>0.9995603305251225</v>
      </c>
      <c r="AC84" s="5">
        <f t="shared" si="84"/>
        <v>0.99896745767152895</v>
      </c>
      <c r="AD84" s="5">
        <f t="shared" si="84"/>
        <v>0.99851169639279469</v>
      </c>
    </row>
    <row r="85" spans="13:30" x14ac:dyDescent="0.15">
      <c r="M85" s="5">
        <v>1600</v>
      </c>
      <c r="N85" s="5">
        <f t="shared" si="68"/>
        <v>0.99985759973525989</v>
      </c>
      <c r="O85" s="5">
        <f t="shared" si="69"/>
        <v>0.99985759973525989</v>
      </c>
      <c r="P85" s="5">
        <f t="shared" ref="P85:AD85" si="85">IF(O85&lt;0.9,INDEX($I$5:$I$19,MATCH(P$4,$H$5:$H$19,0))*O85/0.9,求节点($C$5:$C$45,$D$5:$D$45,求节点($D$5:$D$45,$C$5:$C$45,INDEX($I$5:$I$19,MATCH(P$4,$H$5:$H$19,0)))+$M85-求节点(O$5:O$105,$M$5:$M$105,0.9)))</f>
        <v>0.99985759973525989</v>
      </c>
      <c r="Q85" s="5">
        <f t="shared" si="85"/>
        <v>0.99985759973525989</v>
      </c>
      <c r="R85" s="5">
        <f t="shared" si="85"/>
        <v>0.99985759973525989</v>
      </c>
      <c r="S85" s="5">
        <f t="shared" si="85"/>
        <v>0.99985759973525989</v>
      </c>
      <c r="T85" s="5">
        <f t="shared" si="85"/>
        <v>0.99985759973525989</v>
      </c>
      <c r="U85" s="5">
        <f t="shared" si="85"/>
        <v>0.99985759973525989</v>
      </c>
      <c r="V85" s="5">
        <f t="shared" si="85"/>
        <v>0.99985759973525989</v>
      </c>
      <c r="W85" s="5">
        <f t="shared" si="85"/>
        <v>0.99985759973525989</v>
      </c>
      <c r="X85" s="5">
        <f t="shared" si="85"/>
        <v>0.99985759973525989</v>
      </c>
      <c r="Y85" s="5">
        <f t="shared" si="85"/>
        <v>0.99978783215649925</v>
      </c>
      <c r="Z85" s="5">
        <f t="shared" si="85"/>
        <v>0.99975385933713679</v>
      </c>
      <c r="AA85" s="5">
        <f t="shared" si="85"/>
        <v>0.99968137882873886</v>
      </c>
      <c r="AB85" s="5">
        <f t="shared" si="85"/>
        <v>0.99965430135912736</v>
      </c>
      <c r="AC85" s="5">
        <f t="shared" si="85"/>
        <v>0.99938404229941602</v>
      </c>
      <c r="AD85" s="5">
        <f t="shared" si="85"/>
        <v>0.99911399148539315</v>
      </c>
    </row>
    <row r="86" spans="13:30" x14ac:dyDescent="0.15">
      <c r="M86" s="5">
        <v>1620</v>
      </c>
      <c r="N86" s="5">
        <f t="shared" si="68"/>
        <v>0.99985759973525989</v>
      </c>
      <c r="O86" s="5">
        <f t="shared" si="69"/>
        <v>0.99985759973525989</v>
      </c>
      <c r="P86" s="5">
        <f t="shared" ref="P86:AD86" si="86">IF(O86&lt;0.9,INDEX($I$5:$I$19,MATCH(P$4,$H$5:$H$19,0))*O86/0.9,求节点($C$5:$C$45,$D$5:$D$45,求节点($D$5:$D$45,$C$5:$C$45,INDEX($I$5:$I$19,MATCH(P$4,$H$5:$H$19,0)))+$M86-求节点(O$5:O$105,$M$5:$M$105,0.9)))</f>
        <v>0.99985759973525989</v>
      </c>
      <c r="Q86" s="5">
        <f t="shared" si="86"/>
        <v>0.99985759973525989</v>
      </c>
      <c r="R86" s="5">
        <f t="shared" si="86"/>
        <v>0.99985759973525989</v>
      </c>
      <c r="S86" s="5">
        <f t="shared" si="86"/>
        <v>0.99985759973525989</v>
      </c>
      <c r="T86" s="5">
        <f t="shared" si="86"/>
        <v>0.99985759973525989</v>
      </c>
      <c r="U86" s="5">
        <f t="shared" si="86"/>
        <v>0.99985759973525989</v>
      </c>
      <c r="V86" s="5">
        <f t="shared" si="86"/>
        <v>0.99985759973525989</v>
      </c>
      <c r="W86" s="5">
        <f t="shared" si="86"/>
        <v>0.99985759973525989</v>
      </c>
      <c r="X86" s="5">
        <f t="shared" si="86"/>
        <v>0.99985759973525989</v>
      </c>
      <c r="Y86" s="5">
        <f t="shared" si="86"/>
        <v>0.99982475996749764</v>
      </c>
      <c r="Z86" s="5">
        <f t="shared" si="86"/>
        <v>0.999777350429634</v>
      </c>
      <c r="AA86" s="5">
        <f t="shared" si="86"/>
        <v>0.99970311755605568</v>
      </c>
      <c r="AB86" s="5">
        <f t="shared" si="86"/>
        <v>0.99969949587871376</v>
      </c>
      <c r="AC86" s="5">
        <f t="shared" si="86"/>
        <v>0.99954871293912051</v>
      </c>
      <c r="AD86" s="5">
        <f t="shared" si="86"/>
        <v>0.99883272871321549</v>
      </c>
    </row>
    <row r="87" spans="13:30" x14ac:dyDescent="0.15">
      <c r="M87" s="5">
        <v>1640</v>
      </c>
      <c r="N87" s="5">
        <f t="shared" si="68"/>
        <v>0.99985759973525989</v>
      </c>
      <c r="O87" s="5">
        <f t="shared" si="69"/>
        <v>0.99985759973525989</v>
      </c>
      <c r="P87" s="5">
        <f t="shared" ref="P87:AD87" si="87">IF(O87&lt;0.9,INDEX($I$5:$I$19,MATCH(P$4,$H$5:$H$19,0))*O87/0.9,求节点($C$5:$C$45,$D$5:$D$45,求节点($D$5:$D$45,$C$5:$C$45,INDEX($I$5:$I$19,MATCH(P$4,$H$5:$H$19,0)))+$M87-求节点(O$5:O$105,$M$5:$M$105,0.9)))</f>
        <v>0.99985759973525989</v>
      </c>
      <c r="Q87" s="5">
        <f t="shared" si="87"/>
        <v>0.99985759973525989</v>
      </c>
      <c r="R87" s="5">
        <f t="shared" si="87"/>
        <v>0.99985759973525989</v>
      </c>
      <c r="S87" s="5">
        <f t="shared" si="87"/>
        <v>0.99985759973525989</v>
      </c>
      <c r="T87" s="5">
        <f t="shared" si="87"/>
        <v>0.99985759973525989</v>
      </c>
      <c r="U87" s="5">
        <f t="shared" si="87"/>
        <v>0.99985759973525989</v>
      </c>
      <c r="V87" s="5">
        <f t="shared" si="87"/>
        <v>0.99985759973525989</v>
      </c>
      <c r="W87" s="5">
        <f t="shared" si="87"/>
        <v>0.99985759973525989</v>
      </c>
      <c r="X87" s="5">
        <f t="shared" si="87"/>
        <v>0.99985759973525989</v>
      </c>
      <c r="Y87" s="5">
        <f t="shared" si="87"/>
        <v>0.99985759973525989</v>
      </c>
      <c r="Z87" s="5">
        <f t="shared" si="87"/>
        <v>0.99979476154108315</v>
      </c>
      <c r="AA87" s="5">
        <f t="shared" si="87"/>
        <v>0.99973637630117795</v>
      </c>
      <c r="AB87" s="5">
        <f t="shared" si="87"/>
        <v>0.99968544111530278</v>
      </c>
      <c r="AC87" s="5">
        <f t="shared" si="87"/>
        <v>0.99959671227833735</v>
      </c>
      <c r="AD87" s="5">
        <f t="shared" si="87"/>
        <v>0.99926467870199576</v>
      </c>
    </row>
    <row r="88" spans="13:30" x14ac:dyDescent="0.15">
      <c r="M88" s="5">
        <v>1660</v>
      </c>
      <c r="N88" s="5">
        <f t="shared" si="68"/>
        <v>0.99985759973525989</v>
      </c>
      <c r="O88" s="5">
        <f t="shared" si="69"/>
        <v>0.99985759973525989</v>
      </c>
      <c r="P88" s="5">
        <f t="shared" ref="P88:AD88" si="88">IF(O88&lt;0.9,INDEX($I$5:$I$19,MATCH(P$4,$H$5:$H$19,0))*O88/0.9,求节点($C$5:$C$45,$D$5:$D$45,求节点($D$5:$D$45,$C$5:$C$45,INDEX($I$5:$I$19,MATCH(P$4,$H$5:$H$19,0)))+$M88-求节点(O$5:O$105,$M$5:$M$105,0.9)))</f>
        <v>0.99985759973525989</v>
      </c>
      <c r="Q88" s="5">
        <f t="shared" si="88"/>
        <v>0.99985759973525989</v>
      </c>
      <c r="R88" s="5">
        <f t="shared" si="88"/>
        <v>0.99985759973525989</v>
      </c>
      <c r="S88" s="5">
        <f t="shared" si="88"/>
        <v>0.99985759973525989</v>
      </c>
      <c r="T88" s="5">
        <f t="shared" si="88"/>
        <v>0.99985759973525989</v>
      </c>
      <c r="U88" s="5">
        <f t="shared" si="88"/>
        <v>0.99985759973525989</v>
      </c>
      <c r="V88" s="5">
        <f t="shared" si="88"/>
        <v>0.99985759973525989</v>
      </c>
      <c r="W88" s="5">
        <f t="shared" si="88"/>
        <v>0.99985759973525989</v>
      </c>
      <c r="X88" s="5">
        <f t="shared" si="88"/>
        <v>0.99985759973525989</v>
      </c>
      <c r="Y88" s="5">
        <f t="shared" si="88"/>
        <v>0.99985759973525989</v>
      </c>
      <c r="Z88" s="5">
        <f t="shared" si="88"/>
        <v>0.99979172058080379</v>
      </c>
      <c r="AA88" s="5">
        <f t="shared" si="88"/>
        <v>0.99975834224663518</v>
      </c>
      <c r="AB88" s="5">
        <f t="shared" si="88"/>
        <v>0.99968038066484777</v>
      </c>
      <c r="AC88" s="5">
        <f t="shared" si="88"/>
        <v>0.99967866976855524</v>
      </c>
      <c r="AD88" s="5">
        <f t="shared" si="88"/>
        <v>0.99952212607453061</v>
      </c>
    </row>
    <row r="89" spans="13:30" x14ac:dyDescent="0.15">
      <c r="M89" s="5">
        <v>1680</v>
      </c>
      <c r="N89" s="5">
        <f t="shared" si="68"/>
        <v>0.99985759973525989</v>
      </c>
      <c r="O89" s="5">
        <f t="shared" si="69"/>
        <v>0.99985759973525989</v>
      </c>
      <c r="P89" s="5">
        <f t="shared" ref="P89:AD89" si="89">IF(O89&lt;0.9,INDEX($I$5:$I$19,MATCH(P$4,$H$5:$H$19,0))*O89/0.9,求节点($C$5:$C$45,$D$5:$D$45,求节点($D$5:$D$45,$C$5:$C$45,INDEX($I$5:$I$19,MATCH(P$4,$H$5:$H$19,0)))+$M89-求节点(O$5:O$105,$M$5:$M$105,0.9)))</f>
        <v>0.99985759973525989</v>
      </c>
      <c r="Q89" s="5">
        <f t="shared" si="89"/>
        <v>0.99985759973525989</v>
      </c>
      <c r="R89" s="5">
        <f t="shared" si="89"/>
        <v>0.99985759973525989</v>
      </c>
      <c r="S89" s="5">
        <f t="shared" si="89"/>
        <v>0.99985759973525989</v>
      </c>
      <c r="T89" s="5">
        <f t="shared" si="89"/>
        <v>0.99985759973525989</v>
      </c>
      <c r="U89" s="5">
        <f t="shared" si="89"/>
        <v>0.99985759973525989</v>
      </c>
      <c r="V89" s="5">
        <f t="shared" si="89"/>
        <v>0.99985759973525989</v>
      </c>
      <c r="W89" s="5">
        <f t="shared" si="89"/>
        <v>0.99985759973525989</v>
      </c>
      <c r="X89" s="5">
        <f t="shared" si="89"/>
        <v>0.99985759973525989</v>
      </c>
      <c r="Y89" s="5">
        <f t="shared" si="89"/>
        <v>0.99985759973525989</v>
      </c>
      <c r="Z89" s="5">
        <f t="shared" si="89"/>
        <v>0.99982920374967088</v>
      </c>
      <c r="AA89" s="5">
        <f t="shared" si="89"/>
        <v>0.99978554820738708</v>
      </c>
      <c r="AB89" s="5">
        <f t="shared" si="89"/>
        <v>0.99971727609700722</v>
      </c>
      <c r="AC89" s="5">
        <f t="shared" si="89"/>
        <v>0.99969703573905566</v>
      </c>
      <c r="AD89" s="5">
        <f t="shared" si="89"/>
        <v>0.9995610120394044</v>
      </c>
    </row>
    <row r="90" spans="13:30" x14ac:dyDescent="0.15">
      <c r="M90" s="5">
        <v>1700</v>
      </c>
      <c r="N90" s="5">
        <f t="shared" si="68"/>
        <v>0.99985759973525989</v>
      </c>
      <c r="O90" s="5">
        <f t="shared" si="69"/>
        <v>0.99985759973525989</v>
      </c>
      <c r="P90" s="5">
        <f t="shared" ref="P90:AD90" si="90">IF(O90&lt;0.9,INDEX($I$5:$I$19,MATCH(P$4,$H$5:$H$19,0))*O90/0.9,求节点($C$5:$C$45,$D$5:$D$45,求节点($D$5:$D$45,$C$5:$C$45,INDEX($I$5:$I$19,MATCH(P$4,$H$5:$H$19,0)))+$M90-求节点(O$5:O$105,$M$5:$M$105,0.9)))</f>
        <v>0.99985759973525989</v>
      </c>
      <c r="Q90" s="5">
        <f t="shared" si="90"/>
        <v>0.99985759973525989</v>
      </c>
      <c r="R90" s="5">
        <f t="shared" si="90"/>
        <v>0.99985759973525989</v>
      </c>
      <c r="S90" s="5">
        <f t="shared" si="90"/>
        <v>0.99985759973525989</v>
      </c>
      <c r="T90" s="5">
        <f t="shared" si="90"/>
        <v>0.99985759973525989</v>
      </c>
      <c r="U90" s="5">
        <f t="shared" si="90"/>
        <v>0.99985759973525989</v>
      </c>
      <c r="V90" s="5">
        <f t="shared" si="90"/>
        <v>0.99985759973525989</v>
      </c>
      <c r="W90" s="5">
        <f t="shared" si="90"/>
        <v>0.99985759973525989</v>
      </c>
      <c r="X90" s="5">
        <f t="shared" si="90"/>
        <v>0.99985759973525989</v>
      </c>
      <c r="Y90" s="5">
        <f t="shared" si="90"/>
        <v>0.99985759973525989</v>
      </c>
      <c r="Z90" s="5">
        <f t="shared" si="90"/>
        <v>0.99985759973525989</v>
      </c>
      <c r="AA90" s="5">
        <f t="shared" si="90"/>
        <v>0.99978988196694607</v>
      </c>
      <c r="AB90" s="5">
        <f t="shared" si="90"/>
        <v>0.99974507331467133</v>
      </c>
      <c r="AC90" s="5">
        <f t="shared" si="90"/>
        <v>0.99968203259524169</v>
      </c>
      <c r="AD90" s="5">
        <f t="shared" si="90"/>
        <v>0.99965767966689578</v>
      </c>
    </row>
    <row r="91" spans="13:30" x14ac:dyDescent="0.15">
      <c r="M91" s="5">
        <v>1720</v>
      </c>
      <c r="N91" s="5">
        <f t="shared" si="68"/>
        <v>0.99985759973525989</v>
      </c>
      <c r="O91" s="5">
        <f t="shared" si="69"/>
        <v>0.99985759973525989</v>
      </c>
      <c r="P91" s="5">
        <f t="shared" ref="P91:AD91" si="91">IF(O91&lt;0.9,INDEX($I$5:$I$19,MATCH(P$4,$H$5:$H$19,0))*O91/0.9,求节点($C$5:$C$45,$D$5:$D$45,求节点($D$5:$D$45,$C$5:$C$45,INDEX($I$5:$I$19,MATCH(P$4,$H$5:$H$19,0)))+$M91-求节点(O$5:O$105,$M$5:$M$105,0.9)))</f>
        <v>0.99985759973525989</v>
      </c>
      <c r="Q91" s="5">
        <f t="shared" si="91"/>
        <v>0.99985759973525989</v>
      </c>
      <c r="R91" s="5">
        <f t="shared" si="91"/>
        <v>0.99985759973525989</v>
      </c>
      <c r="S91" s="5">
        <f t="shared" si="91"/>
        <v>0.99985759973525989</v>
      </c>
      <c r="T91" s="5">
        <f t="shared" si="91"/>
        <v>0.99985759973525989</v>
      </c>
      <c r="U91" s="5">
        <f t="shared" si="91"/>
        <v>0.99985759973525989</v>
      </c>
      <c r="V91" s="5">
        <f t="shared" si="91"/>
        <v>0.99985759973525989</v>
      </c>
      <c r="W91" s="5">
        <f t="shared" si="91"/>
        <v>0.99985759973525989</v>
      </c>
      <c r="X91" s="5">
        <f t="shared" si="91"/>
        <v>0.99985759973525989</v>
      </c>
      <c r="Y91" s="5">
        <f t="shared" si="91"/>
        <v>0.99985759973525989</v>
      </c>
      <c r="Z91" s="5">
        <f t="shared" si="91"/>
        <v>0.99985759973525989</v>
      </c>
      <c r="AA91" s="5">
        <f t="shared" si="91"/>
        <v>0.99980032081408743</v>
      </c>
      <c r="AB91" s="5">
        <f t="shared" si="91"/>
        <v>0.99976462685859302</v>
      </c>
      <c r="AC91" s="5">
        <f t="shared" si="91"/>
        <v>0.99969384414926643</v>
      </c>
      <c r="AD91" s="5">
        <f t="shared" si="91"/>
        <v>0.99970071758617585</v>
      </c>
    </row>
    <row r="92" spans="13:30" x14ac:dyDescent="0.15">
      <c r="M92" s="5">
        <v>1740</v>
      </c>
      <c r="N92" s="5">
        <f t="shared" si="68"/>
        <v>0.99985759973525989</v>
      </c>
      <c r="O92" s="5">
        <f t="shared" si="69"/>
        <v>0.99985759973525989</v>
      </c>
      <c r="P92" s="5">
        <f t="shared" ref="P92:AD92" si="92">IF(O92&lt;0.9,INDEX($I$5:$I$19,MATCH(P$4,$H$5:$H$19,0))*O92/0.9,求节点($C$5:$C$45,$D$5:$D$45,求节点($D$5:$D$45,$C$5:$C$45,INDEX($I$5:$I$19,MATCH(P$4,$H$5:$H$19,0)))+$M92-求节点(O$5:O$105,$M$5:$M$105,0.9)))</f>
        <v>0.99985759973525989</v>
      </c>
      <c r="Q92" s="5">
        <f t="shared" si="92"/>
        <v>0.99985759973525989</v>
      </c>
      <c r="R92" s="5">
        <f t="shared" si="92"/>
        <v>0.99985759973525989</v>
      </c>
      <c r="S92" s="5">
        <f t="shared" si="92"/>
        <v>0.99985759973525989</v>
      </c>
      <c r="T92" s="5">
        <f t="shared" si="92"/>
        <v>0.99985759973525989</v>
      </c>
      <c r="U92" s="5">
        <f t="shared" si="92"/>
        <v>0.99985759973525989</v>
      </c>
      <c r="V92" s="5">
        <f t="shared" si="92"/>
        <v>0.99985759973525989</v>
      </c>
      <c r="W92" s="5">
        <f t="shared" si="92"/>
        <v>0.99985759973525989</v>
      </c>
      <c r="X92" s="5">
        <f t="shared" si="92"/>
        <v>0.99985759973525989</v>
      </c>
      <c r="Y92" s="5">
        <f t="shared" si="92"/>
        <v>0.99985759973525989</v>
      </c>
      <c r="Z92" s="5">
        <f t="shared" si="92"/>
        <v>0.99985759973525989</v>
      </c>
      <c r="AA92" s="5">
        <f t="shared" si="92"/>
        <v>0.99983903229726712</v>
      </c>
      <c r="AB92" s="5">
        <f t="shared" si="92"/>
        <v>0.99979704071066289</v>
      </c>
      <c r="AC92" s="5">
        <f t="shared" si="92"/>
        <v>0.99973068002609899</v>
      </c>
      <c r="AD92" s="5">
        <f t="shared" si="92"/>
        <v>0.99968476094803915</v>
      </c>
    </row>
    <row r="93" spans="13:30" x14ac:dyDescent="0.15">
      <c r="M93" s="5">
        <v>1760</v>
      </c>
      <c r="N93" s="5">
        <f t="shared" si="68"/>
        <v>0.99985759973525989</v>
      </c>
      <c r="O93" s="5">
        <f t="shared" si="69"/>
        <v>0.99985759973525989</v>
      </c>
      <c r="P93" s="5">
        <f t="shared" ref="P93:AD93" si="93">IF(O93&lt;0.9,INDEX($I$5:$I$19,MATCH(P$4,$H$5:$H$19,0))*O93/0.9,求节点($C$5:$C$45,$D$5:$D$45,求节点($D$5:$D$45,$C$5:$C$45,INDEX($I$5:$I$19,MATCH(P$4,$H$5:$H$19,0)))+$M93-求节点(O$5:O$105,$M$5:$M$105,0.9)))</f>
        <v>0.99985759973525989</v>
      </c>
      <c r="Q93" s="5">
        <f t="shared" si="93"/>
        <v>0.99985759973525989</v>
      </c>
      <c r="R93" s="5">
        <f t="shared" si="93"/>
        <v>0.99985759973525989</v>
      </c>
      <c r="S93" s="5">
        <f t="shared" si="93"/>
        <v>0.99985759973525989</v>
      </c>
      <c r="T93" s="5">
        <f t="shared" si="93"/>
        <v>0.99985759973525989</v>
      </c>
      <c r="U93" s="5">
        <f t="shared" si="93"/>
        <v>0.99985759973525989</v>
      </c>
      <c r="V93" s="5">
        <f t="shared" si="93"/>
        <v>0.99985759973525989</v>
      </c>
      <c r="W93" s="5">
        <f t="shared" si="93"/>
        <v>0.99985759973525989</v>
      </c>
      <c r="X93" s="5">
        <f t="shared" si="93"/>
        <v>0.99985759973525989</v>
      </c>
      <c r="Y93" s="5">
        <f t="shared" si="93"/>
        <v>0.99985759973525989</v>
      </c>
      <c r="Z93" s="5">
        <f t="shared" si="93"/>
        <v>0.99985759973525989</v>
      </c>
      <c r="AA93" s="5">
        <f t="shared" si="93"/>
        <v>0.99985759973525989</v>
      </c>
      <c r="AB93" s="5">
        <f t="shared" si="93"/>
        <v>0.99978304126896123</v>
      </c>
      <c r="AC93" s="5">
        <f t="shared" si="93"/>
        <v>0.99975422602001285</v>
      </c>
      <c r="AD93" s="5">
        <f t="shared" si="93"/>
        <v>0.99968028375881612</v>
      </c>
    </row>
    <row r="94" spans="13:30" x14ac:dyDescent="0.15">
      <c r="M94" s="5">
        <v>1780</v>
      </c>
      <c r="N94" s="5">
        <f t="shared" si="68"/>
        <v>0.99985759973525989</v>
      </c>
      <c r="O94" s="5">
        <f t="shared" si="69"/>
        <v>0.99985759973525989</v>
      </c>
      <c r="P94" s="5">
        <f t="shared" ref="P94:AD94" si="94">IF(O94&lt;0.9,INDEX($I$5:$I$19,MATCH(P$4,$H$5:$H$19,0))*O94/0.9,求节点($C$5:$C$45,$D$5:$D$45,求节点($D$5:$D$45,$C$5:$C$45,INDEX($I$5:$I$19,MATCH(P$4,$H$5:$H$19,0)))+$M94-求节点(O$5:O$105,$M$5:$M$105,0.9)))</f>
        <v>0.99985759973525989</v>
      </c>
      <c r="Q94" s="5">
        <f t="shared" si="94"/>
        <v>0.99985759973525989</v>
      </c>
      <c r="R94" s="5">
        <f t="shared" si="94"/>
        <v>0.99985759973525989</v>
      </c>
      <c r="S94" s="5">
        <f t="shared" si="94"/>
        <v>0.99985759973525989</v>
      </c>
      <c r="T94" s="5">
        <f t="shared" si="94"/>
        <v>0.99985759973525989</v>
      </c>
      <c r="U94" s="5">
        <f t="shared" si="94"/>
        <v>0.99985759973525989</v>
      </c>
      <c r="V94" s="5">
        <f t="shared" si="94"/>
        <v>0.99985759973525989</v>
      </c>
      <c r="W94" s="5">
        <f t="shared" si="94"/>
        <v>0.99985759973525989</v>
      </c>
      <c r="X94" s="5">
        <f t="shared" si="94"/>
        <v>0.99985759973525989</v>
      </c>
      <c r="Y94" s="5">
        <f t="shared" si="94"/>
        <v>0.99985759973525989</v>
      </c>
      <c r="Z94" s="5">
        <f t="shared" si="94"/>
        <v>0.99985759973525989</v>
      </c>
      <c r="AA94" s="5">
        <f t="shared" si="94"/>
        <v>0.99985759973525989</v>
      </c>
      <c r="AB94" s="5">
        <f t="shared" si="94"/>
        <v>0.99981237752166863</v>
      </c>
      <c r="AC94" s="5">
        <f t="shared" si="94"/>
        <v>0.99977802097288826</v>
      </c>
      <c r="AD94" s="5">
        <f t="shared" si="94"/>
        <v>0.99971865066888788</v>
      </c>
    </row>
    <row r="95" spans="13:30" x14ac:dyDescent="0.15">
      <c r="M95" s="5">
        <v>1800</v>
      </c>
      <c r="N95" s="5">
        <f t="shared" si="68"/>
        <v>0.99985759973525989</v>
      </c>
      <c r="O95" s="5">
        <f t="shared" si="69"/>
        <v>0.99985759973525989</v>
      </c>
      <c r="P95" s="5">
        <f t="shared" ref="P95:AD95" si="95">IF(O95&lt;0.9,INDEX($I$5:$I$19,MATCH(P$4,$H$5:$H$19,0))*O95/0.9,求节点($C$5:$C$45,$D$5:$D$45,求节点($D$5:$D$45,$C$5:$C$45,INDEX($I$5:$I$19,MATCH(P$4,$H$5:$H$19,0)))+$M95-求节点(O$5:O$105,$M$5:$M$105,0.9)))</f>
        <v>0.99985759973525989</v>
      </c>
      <c r="Q95" s="5">
        <f t="shared" si="95"/>
        <v>0.99985759973525989</v>
      </c>
      <c r="R95" s="5">
        <f t="shared" si="95"/>
        <v>0.99985759973525989</v>
      </c>
      <c r="S95" s="5">
        <f t="shared" si="95"/>
        <v>0.99985759973525989</v>
      </c>
      <c r="T95" s="5">
        <f t="shared" si="95"/>
        <v>0.99985759973525989</v>
      </c>
      <c r="U95" s="5">
        <f t="shared" si="95"/>
        <v>0.99985759973525989</v>
      </c>
      <c r="V95" s="5">
        <f t="shared" si="95"/>
        <v>0.99985759973525989</v>
      </c>
      <c r="W95" s="5">
        <f t="shared" si="95"/>
        <v>0.99985759973525989</v>
      </c>
      <c r="X95" s="5">
        <f t="shared" si="95"/>
        <v>0.99985759973525989</v>
      </c>
      <c r="Y95" s="5">
        <f t="shared" si="95"/>
        <v>0.99985759973525989</v>
      </c>
      <c r="Z95" s="5">
        <f t="shared" si="95"/>
        <v>0.99985759973525989</v>
      </c>
      <c r="AA95" s="5">
        <f t="shared" si="95"/>
        <v>0.99985759973525989</v>
      </c>
      <c r="AB95" s="5">
        <f t="shared" si="95"/>
        <v>0.99985281098447343</v>
      </c>
      <c r="AC95" s="5">
        <f t="shared" si="95"/>
        <v>0.99979436241273156</v>
      </c>
      <c r="AD95" s="5">
        <f t="shared" si="95"/>
        <v>0.99974591765804222</v>
      </c>
    </row>
    <row r="96" spans="13:30" x14ac:dyDescent="0.15">
      <c r="M96" s="5">
        <v>1820</v>
      </c>
      <c r="N96" s="5">
        <f t="shared" si="68"/>
        <v>0.99985759973525989</v>
      </c>
      <c r="O96" s="5">
        <f t="shared" si="69"/>
        <v>0.99985759973525989</v>
      </c>
      <c r="P96" s="5">
        <f t="shared" ref="P96:AD96" si="96">IF(O96&lt;0.9,INDEX($I$5:$I$19,MATCH(P$4,$H$5:$H$19,0))*O96/0.9,求节点($C$5:$C$45,$D$5:$D$45,求节点($D$5:$D$45,$C$5:$C$45,INDEX($I$5:$I$19,MATCH(P$4,$H$5:$H$19,0)))+$M96-求节点(O$5:O$105,$M$5:$M$105,0.9)))</f>
        <v>0.99985759973525989</v>
      </c>
      <c r="Q96" s="5">
        <f t="shared" si="96"/>
        <v>0.99985759973525989</v>
      </c>
      <c r="R96" s="5">
        <f t="shared" si="96"/>
        <v>0.99985759973525989</v>
      </c>
      <c r="S96" s="5">
        <f t="shared" si="96"/>
        <v>0.99985759973525989</v>
      </c>
      <c r="T96" s="5">
        <f t="shared" si="96"/>
        <v>0.99985759973525989</v>
      </c>
      <c r="U96" s="5">
        <f t="shared" si="96"/>
        <v>0.99985759973525989</v>
      </c>
      <c r="V96" s="5">
        <f t="shared" si="96"/>
        <v>0.99985759973525989</v>
      </c>
      <c r="W96" s="5">
        <f t="shared" si="96"/>
        <v>0.99985759973525989</v>
      </c>
      <c r="X96" s="5">
        <f t="shared" si="96"/>
        <v>0.99985759973525989</v>
      </c>
      <c r="Y96" s="5">
        <f t="shared" si="96"/>
        <v>0.99985759973525989</v>
      </c>
      <c r="Z96" s="5">
        <f t="shared" si="96"/>
        <v>0.99985759973525989</v>
      </c>
      <c r="AA96" s="5">
        <f t="shared" si="96"/>
        <v>0.99985759973525989</v>
      </c>
      <c r="AB96" s="5">
        <f t="shared" si="96"/>
        <v>0.99985759973525989</v>
      </c>
      <c r="AC96" s="5">
        <f t="shared" si="96"/>
        <v>0.9997924240432039</v>
      </c>
      <c r="AD96" s="5">
        <f t="shared" si="96"/>
        <v>0.99976523699567621</v>
      </c>
    </row>
    <row r="97" spans="13:30" x14ac:dyDescent="0.15">
      <c r="M97" s="5">
        <v>1840</v>
      </c>
      <c r="N97" s="5">
        <f t="shared" si="68"/>
        <v>0.99985759973525989</v>
      </c>
      <c r="O97" s="5">
        <f t="shared" si="69"/>
        <v>0.99985759973525989</v>
      </c>
      <c r="P97" s="5">
        <f t="shared" ref="P97:AD97" si="97">IF(O97&lt;0.9,INDEX($I$5:$I$19,MATCH(P$4,$H$5:$H$19,0))*O97/0.9,求节点($C$5:$C$45,$D$5:$D$45,求节点($D$5:$D$45,$C$5:$C$45,INDEX($I$5:$I$19,MATCH(P$4,$H$5:$H$19,0)))+$M97-求节点(O$5:O$105,$M$5:$M$105,0.9)))</f>
        <v>0.99985759973525989</v>
      </c>
      <c r="Q97" s="5">
        <f t="shared" si="97"/>
        <v>0.99985759973525989</v>
      </c>
      <c r="R97" s="5">
        <f t="shared" si="97"/>
        <v>0.99985759973525989</v>
      </c>
      <c r="S97" s="5">
        <f t="shared" si="97"/>
        <v>0.99985759973525989</v>
      </c>
      <c r="T97" s="5">
        <f t="shared" si="97"/>
        <v>0.99985759973525989</v>
      </c>
      <c r="U97" s="5">
        <f t="shared" si="97"/>
        <v>0.99985759973525989</v>
      </c>
      <c r="V97" s="5">
        <f t="shared" si="97"/>
        <v>0.99985759973525989</v>
      </c>
      <c r="W97" s="5">
        <f t="shared" si="97"/>
        <v>0.99985759973525989</v>
      </c>
      <c r="X97" s="5">
        <f t="shared" si="97"/>
        <v>0.99985759973525989</v>
      </c>
      <c r="Y97" s="5">
        <f t="shared" si="97"/>
        <v>0.99985759973525989</v>
      </c>
      <c r="Z97" s="5">
        <f t="shared" si="97"/>
        <v>0.99985759973525989</v>
      </c>
      <c r="AA97" s="5">
        <f t="shared" si="97"/>
        <v>0.99985759973525989</v>
      </c>
      <c r="AB97" s="5">
        <f t="shared" si="97"/>
        <v>0.99985759973525989</v>
      </c>
      <c r="AC97" s="5">
        <f t="shared" si="97"/>
        <v>0.99983000768294272</v>
      </c>
      <c r="AD97" s="5">
        <f t="shared" si="97"/>
        <v>0.99979815645217152</v>
      </c>
    </row>
    <row r="98" spans="13:30" x14ac:dyDescent="0.15">
      <c r="M98" s="5">
        <v>1860</v>
      </c>
      <c r="N98" s="5">
        <f t="shared" si="68"/>
        <v>0.99985759973525989</v>
      </c>
      <c r="O98" s="5">
        <f t="shared" si="69"/>
        <v>0.99985759973525989</v>
      </c>
      <c r="P98" s="5">
        <f t="shared" ref="P98:AD98" si="98">IF(O98&lt;0.9,INDEX($I$5:$I$19,MATCH(P$4,$H$5:$H$19,0))*O98/0.9,求节点($C$5:$C$45,$D$5:$D$45,求节点($D$5:$D$45,$C$5:$C$45,INDEX($I$5:$I$19,MATCH(P$4,$H$5:$H$19,0)))+$M98-求节点(O$5:O$105,$M$5:$M$105,0.9)))</f>
        <v>0.99985759973525989</v>
      </c>
      <c r="Q98" s="5">
        <f t="shared" si="98"/>
        <v>0.99985759973525989</v>
      </c>
      <c r="R98" s="5">
        <f t="shared" si="98"/>
        <v>0.99985759973525989</v>
      </c>
      <c r="S98" s="5">
        <f t="shared" si="98"/>
        <v>0.99985759973525989</v>
      </c>
      <c r="T98" s="5">
        <f t="shared" si="98"/>
        <v>0.99985759973525989</v>
      </c>
      <c r="U98" s="5">
        <f t="shared" si="98"/>
        <v>0.99985759973525989</v>
      </c>
      <c r="V98" s="5">
        <f t="shared" si="98"/>
        <v>0.99985759973525989</v>
      </c>
      <c r="W98" s="5">
        <f t="shared" si="98"/>
        <v>0.99985759973525989</v>
      </c>
      <c r="X98" s="5">
        <f t="shared" si="98"/>
        <v>0.99985759973525989</v>
      </c>
      <c r="Y98" s="5">
        <f t="shared" si="98"/>
        <v>0.99985759973525989</v>
      </c>
      <c r="Z98" s="5">
        <f t="shared" si="98"/>
        <v>0.99985759973525989</v>
      </c>
      <c r="AA98" s="5">
        <f t="shared" si="98"/>
        <v>0.99985759973525989</v>
      </c>
      <c r="AB98" s="5">
        <f t="shared" si="98"/>
        <v>0.99985759973525989</v>
      </c>
      <c r="AC98" s="5">
        <f t="shared" si="98"/>
        <v>0.99985759973525989</v>
      </c>
      <c r="AD98" s="5">
        <f t="shared" si="98"/>
        <v>0.99978237714466156</v>
      </c>
    </row>
    <row r="99" spans="13:30" x14ac:dyDescent="0.15">
      <c r="M99" s="5">
        <v>1880</v>
      </c>
      <c r="N99" s="5">
        <f t="shared" si="68"/>
        <v>0.99985759973525989</v>
      </c>
      <c r="O99" s="5">
        <f t="shared" si="69"/>
        <v>0.99985759973525989</v>
      </c>
      <c r="P99" s="5">
        <f t="shared" ref="P99:AD99" si="99">IF(O99&lt;0.9,INDEX($I$5:$I$19,MATCH(P$4,$H$5:$H$19,0))*O99/0.9,求节点($C$5:$C$45,$D$5:$D$45,求节点($D$5:$D$45,$C$5:$C$45,INDEX($I$5:$I$19,MATCH(P$4,$H$5:$H$19,0)))+$M99-求节点(O$5:O$105,$M$5:$M$105,0.9)))</f>
        <v>0.99985759973525989</v>
      </c>
      <c r="Q99" s="5">
        <f t="shared" si="99"/>
        <v>0.99985759973525989</v>
      </c>
      <c r="R99" s="5">
        <f t="shared" si="99"/>
        <v>0.99985759973525989</v>
      </c>
      <c r="S99" s="5">
        <f t="shared" si="99"/>
        <v>0.99985759973525989</v>
      </c>
      <c r="T99" s="5">
        <f t="shared" si="99"/>
        <v>0.99985759973525989</v>
      </c>
      <c r="U99" s="5">
        <f t="shared" si="99"/>
        <v>0.99985759973525989</v>
      </c>
      <c r="V99" s="5">
        <f t="shared" si="99"/>
        <v>0.99985759973525989</v>
      </c>
      <c r="W99" s="5">
        <f t="shared" si="99"/>
        <v>0.99985759973525989</v>
      </c>
      <c r="X99" s="5">
        <f t="shared" si="99"/>
        <v>0.99985759973525989</v>
      </c>
      <c r="Y99" s="5">
        <f t="shared" si="99"/>
        <v>0.99985759973525989</v>
      </c>
      <c r="Z99" s="5">
        <f t="shared" si="99"/>
        <v>0.99985759973525989</v>
      </c>
      <c r="AA99" s="5">
        <f t="shared" si="99"/>
        <v>0.99985759973525989</v>
      </c>
      <c r="AB99" s="5">
        <f t="shared" si="99"/>
        <v>0.99985759973525989</v>
      </c>
      <c r="AC99" s="5">
        <f t="shared" si="99"/>
        <v>0.99985759973525989</v>
      </c>
      <c r="AD99" s="5">
        <f t="shared" si="99"/>
        <v>0.99981354803855105</v>
      </c>
    </row>
    <row r="100" spans="13:30" x14ac:dyDescent="0.15">
      <c r="M100" s="5">
        <v>1900</v>
      </c>
      <c r="N100" s="5">
        <f t="shared" si="68"/>
        <v>0.99985759973525989</v>
      </c>
      <c r="O100" s="5">
        <f t="shared" si="69"/>
        <v>0.99985759973525989</v>
      </c>
      <c r="P100" s="5">
        <f t="shared" ref="P100:AD100" si="100">IF(O100&lt;0.9,INDEX($I$5:$I$19,MATCH(P$4,$H$5:$H$19,0))*O100/0.9,求节点($C$5:$C$45,$D$5:$D$45,求节点($D$5:$D$45,$C$5:$C$45,INDEX($I$5:$I$19,MATCH(P$4,$H$5:$H$19,0)))+$M100-求节点(O$5:O$105,$M$5:$M$105,0.9)))</f>
        <v>0.99985759973525989</v>
      </c>
      <c r="Q100" s="5">
        <f t="shared" si="100"/>
        <v>0.99985759973525989</v>
      </c>
      <c r="R100" s="5">
        <f t="shared" si="100"/>
        <v>0.99985759973525989</v>
      </c>
      <c r="S100" s="5">
        <f t="shared" si="100"/>
        <v>0.99985759973525989</v>
      </c>
      <c r="T100" s="5">
        <f t="shared" si="100"/>
        <v>0.99985759973525989</v>
      </c>
      <c r="U100" s="5">
        <f t="shared" si="100"/>
        <v>0.99985759973525989</v>
      </c>
      <c r="V100" s="5">
        <f t="shared" si="100"/>
        <v>0.99985759973525989</v>
      </c>
      <c r="W100" s="5">
        <f t="shared" si="100"/>
        <v>0.99985759973525989</v>
      </c>
      <c r="X100" s="5">
        <f t="shared" si="100"/>
        <v>0.99985759973525989</v>
      </c>
      <c r="Y100" s="5">
        <f t="shared" si="100"/>
        <v>0.99985759973525989</v>
      </c>
      <c r="Z100" s="5">
        <f t="shared" si="100"/>
        <v>0.99985759973525989</v>
      </c>
      <c r="AA100" s="5">
        <f t="shared" si="100"/>
        <v>0.99985759973525989</v>
      </c>
      <c r="AB100" s="5">
        <f t="shared" si="100"/>
        <v>0.99985759973525989</v>
      </c>
      <c r="AC100" s="5">
        <f t="shared" si="100"/>
        <v>0.99985759973525989</v>
      </c>
      <c r="AD100" s="5">
        <f t="shared" si="100"/>
        <v>0.99985414867852318</v>
      </c>
    </row>
    <row r="101" spans="13:30" x14ac:dyDescent="0.15">
      <c r="M101" s="5">
        <v>1920</v>
      </c>
      <c r="N101" s="5">
        <f t="shared" si="68"/>
        <v>0.99985759973525989</v>
      </c>
      <c r="O101" s="5">
        <f t="shared" si="69"/>
        <v>0.99985759973525989</v>
      </c>
      <c r="P101" s="5">
        <f t="shared" ref="P101:AD101" si="101">IF(O101&lt;0.9,INDEX($I$5:$I$19,MATCH(P$4,$H$5:$H$19,0))*O101/0.9,求节点($C$5:$C$45,$D$5:$D$45,求节点($D$5:$D$45,$C$5:$C$45,INDEX($I$5:$I$19,MATCH(P$4,$H$5:$H$19,0)))+$M101-求节点(O$5:O$105,$M$5:$M$105,0.9)))</f>
        <v>0.99985759973525989</v>
      </c>
      <c r="Q101" s="5">
        <f t="shared" si="101"/>
        <v>0.99985759973525989</v>
      </c>
      <c r="R101" s="5">
        <f t="shared" si="101"/>
        <v>0.99985759973525989</v>
      </c>
      <c r="S101" s="5">
        <f t="shared" si="101"/>
        <v>0.99985759973525989</v>
      </c>
      <c r="T101" s="5">
        <f t="shared" si="101"/>
        <v>0.99985759973525989</v>
      </c>
      <c r="U101" s="5">
        <f t="shared" si="101"/>
        <v>0.99985759973525989</v>
      </c>
      <c r="V101" s="5">
        <f t="shared" si="101"/>
        <v>0.99985759973525989</v>
      </c>
      <c r="W101" s="5">
        <f t="shared" si="101"/>
        <v>0.99985759973525989</v>
      </c>
      <c r="X101" s="5">
        <f t="shared" si="101"/>
        <v>0.99985759973525989</v>
      </c>
      <c r="Y101" s="5">
        <f t="shared" si="101"/>
        <v>0.99985759973525989</v>
      </c>
      <c r="Z101" s="5">
        <f t="shared" si="101"/>
        <v>0.99985759973525989</v>
      </c>
      <c r="AA101" s="5">
        <f t="shared" si="101"/>
        <v>0.99985759973525989</v>
      </c>
      <c r="AB101" s="5">
        <f t="shared" si="101"/>
        <v>0.99985759973525989</v>
      </c>
      <c r="AC101" s="5">
        <f t="shared" si="101"/>
        <v>0.99985759973525989</v>
      </c>
      <c r="AD101" s="5">
        <f t="shared" si="101"/>
        <v>0.99985759973525989</v>
      </c>
    </row>
    <row r="102" spans="13:30" x14ac:dyDescent="0.15">
      <c r="M102" s="5">
        <v>1940</v>
      </c>
      <c r="N102" s="5">
        <f t="shared" si="68"/>
        <v>0.99985759973525989</v>
      </c>
      <c r="O102" s="5">
        <f t="shared" si="69"/>
        <v>0.99985759973525989</v>
      </c>
      <c r="P102" s="5">
        <f t="shared" ref="P102:AD102" si="102">IF(O102&lt;0.9,INDEX($I$5:$I$19,MATCH(P$4,$H$5:$H$19,0))*O102/0.9,求节点($C$5:$C$45,$D$5:$D$45,求节点($D$5:$D$45,$C$5:$C$45,INDEX($I$5:$I$19,MATCH(P$4,$H$5:$H$19,0)))+$M102-求节点(O$5:O$105,$M$5:$M$105,0.9)))</f>
        <v>0.99985759973525989</v>
      </c>
      <c r="Q102" s="5">
        <f t="shared" si="102"/>
        <v>0.99985759973525989</v>
      </c>
      <c r="R102" s="5">
        <f t="shared" si="102"/>
        <v>0.99985759973525989</v>
      </c>
      <c r="S102" s="5">
        <f t="shared" si="102"/>
        <v>0.99985759973525989</v>
      </c>
      <c r="T102" s="5">
        <f t="shared" si="102"/>
        <v>0.99985759973525989</v>
      </c>
      <c r="U102" s="5">
        <f t="shared" si="102"/>
        <v>0.99985759973525989</v>
      </c>
      <c r="V102" s="5">
        <f t="shared" si="102"/>
        <v>0.99985759973525989</v>
      </c>
      <c r="W102" s="5">
        <f t="shared" si="102"/>
        <v>0.99985759973525989</v>
      </c>
      <c r="X102" s="5">
        <f t="shared" si="102"/>
        <v>0.99985759973525989</v>
      </c>
      <c r="Y102" s="5">
        <f t="shared" si="102"/>
        <v>0.99985759973525989</v>
      </c>
      <c r="Z102" s="5">
        <f t="shared" si="102"/>
        <v>0.99985759973525989</v>
      </c>
      <c r="AA102" s="5">
        <f t="shared" si="102"/>
        <v>0.99985759973525989</v>
      </c>
      <c r="AB102" s="5">
        <f t="shared" si="102"/>
        <v>0.99985759973525989</v>
      </c>
      <c r="AC102" s="5">
        <f t="shared" si="102"/>
        <v>0.99985759973525989</v>
      </c>
      <c r="AD102" s="5">
        <f t="shared" si="102"/>
        <v>0.99985759973525989</v>
      </c>
    </row>
    <row r="103" spans="13:30" x14ac:dyDescent="0.15">
      <c r="M103" s="5">
        <v>1960</v>
      </c>
      <c r="N103" s="5">
        <f t="shared" si="68"/>
        <v>0.99985759973525989</v>
      </c>
      <c r="O103" s="5">
        <f t="shared" si="69"/>
        <v>0.99985759973525989</v>
      </c>
      <c r="P103" s="5">
        <f t="shared" ref="P103:AD103" si="103">IF(O103&lt;0.9,INDEX($I$5:$I$19,MATCH(P$4,$H$5:$H$19,0))*O103/0.9,求节点($C$5:$C$45,$D$5:$D$45,求节点($D$5:$D$45,$C$5:$C$45,INDEX($I$5:$I$19,MATCH(P$4,$H$5:$H$19,0)))+$M103-求节点(O$5:O$105,$M$5:$M$105,0.9)))</f>
        <v>0.99985759973525989</v>
      </c>
      <c r="Q103" s="5">
        <f t="shared" si="103"/>
        <v>0.99985759973525989</v>
      </c>
      <c r="R103" s="5">
        <f t="shared" si="103"/>
        <v>0.99985759973525989</v>
      </c>
      <c r="S103" s="5">
        <f t="shared" si="103"/>
        <v>0.99985759973525989</v>
      </c>
      <c r="T103" s="5">
        <f t="shared" si="103"/>
        <v>0.99985759973525989</v>
      </c>
      <c r="U103" s="5">
        <f t="shared" si="103"/>
        <v>0.99985759973525989</v>
      </c>
      <c r="V103" s="5">
        <f t="shared" si="103"/>
        <v>0.99985759973525989</v>
      </c>
      <c r="W103" s="5">
        <f t="shared" si="103"/>
        <v>0.99985759973525989</v>
      </c>
      <c r="X103" s="5">
        <f t="shared" si="103"/>
        <v>0.99985759973525989</v>
      </c>
      <c r="Y103" s="5">
        <f t="shared" si="103"/>
        <v>0.99985759973525989</v>
      </c>
      <c r="Z103" s="5">
        <f t="shared" si="103"/>
        <v>0.99985759973525989</v>
      </c>
      <c r="AA103" s="5">
        <f t="shared" si="103"/>
        <v>0.99985759973525989</v>
      </c>
      <c r="AB103" s="5">
        <f t="shared" si="103"/>
        <v>0.99985759973525989</v>
      </c>
      <c r="AC103" s="5">
        <f t="shared" si="103"/>
        <v>0.99985759973525989</v>
      </c>
      <c r="AD103" s="5">
        <f t="shared" si="103"/>
        <v>0.99985759973525989</v>
      </c>
    </row>
    <row r="104" spans="13:30" x14ac:dyDescent="0.15">
      <c r="M104" s="5">
        <v>1980</v>
      </c>
      <c r="N104" s="5">
        <f t="shared" si="68"/>
        <v>0.99985759973525989</v>
      </c>
      <c r="O104" s="5">
        <f t="shared" si="69"/>
        <v>0.99985759973525989</v>
      </c>
      <c r="P104" s="5">
        <f t="shared" ref="P104:AD104" si="104">IF(O104&lt;0.9,INDEX($I$5:$I$19,MATCH(P$4,$H$5:$H$19,0))*O104/0.9,求节点($C$5:$C$45,$D$5:$D$45,求节点($D$5:$D$45,$C$5:$C$45,INDEX($I$5:$I$19,MATCH(P$4,$H$5:$H$19,0)))+$M104-求节点(O$5:O$105,$M$5:$M$105,0.9)))</f>
        <v>0.99985759973525989</v>
      </c>
      <c r="Q104" s="5">
        <f t="shared" si="104"/>
        <v>0.99985759973525989</v>
      </c>
      <c r="R104" s="5">
        <f t="shared" si="104"/>
        <v>0.99985759973525989</v>
      </c>
      <c r="S104" s="5">
        <f t="shared" si="104"/>
        <v>0.99985759973525989</v>
      </c>
      <c r="T104" s="5">
        <f t="shared" si="104"/>
        <v>0.99985759973525989</v>
      </c>
      <c r="U104" s="5">
        <f t="shared" si="104"/>
        <v>0.99985759973525989</v>
      </c>
      <c r="V104" s="5">
        <f t="shared" si="104"/>
        <v>0.99985759973525989</v>
      </c>
      <c r="W104" s="5">
        <f t="shared" si="104"/>
        <v>0.99985759973525989</v>
      </c>
      <c r="X104" s="5">
        <f t="shared" si="104"/>
        <v>0.99985759973525989</v>
      </c>
      <c r="Y104" s="5">
        <f t="shared" si="104"/>
        <v>0.99985759973525989</v>
      </c>
      <c r="Z104" s="5">
        <f t="shared" si="104"/>
        <v>0.99985759973525989</v>
      </c>
      <c r="AA104" s="5">
        <f t="shared" si="104"/>
        <v>0.99985759973525989</v>
      </c>
      <c r="AB104" s="5">
        <f t="shared" si="104"/>
        <v>0.99985759973525989</v>
      </c>
      <c r="AC104" s="5">
        <f t="shared" si="104"/>
        <v>0.99985759973525989</v>
      </c>
      <c r="AD104" s="5">
        <f t="shared" si="104"/>
        <v>0.99985759973525989</v>
      </c>
    </row>
    <row r="105" spans="13:30" x14ac:dyDescent="0.15">
      <c r="M105" s="5">
        <v>2000</v>
      </c>
      <c r="N105" s="5">
        <f t="shared" si="68"/>
        <v>0.99985759973525989</v>
      </c>
      <c r="O105" s="5">
        <f t="shared" si="69"/>
        <v>0.99985759973525989</v>
      </c>
      <c r="P105" s="5">
        <f t="shared" ref="P105:AD105" si="105">IF(O105&lt;0.9,INDEX($I$5:$I$19,MATCH(P$4,$H$5:$H$19,0))*O105/0.9,求节点($C$5:$C$45,$D$5:$D$45,求节点($D$5:$D$45,$C$5:$C$45,INDEX($I$5:$I$19,MATCH(P$4,$H$5:$H$19,0)))+$M105-求节点(O$5:O$105,$M$5:$M$105,0.9)))</f>
        <v>0.99985759973525989</v>
      </c>
      <c r="Q105" s="5">
        <f t="shared" si="105"/>
        <v>0.99985759973525989</v>
      </c>
      <c r="R105" s="5">
        <f t="shared" si="105"/>
        <v>0.99985759973525989</v>
      </c>
      <c r="S105" s="5">
        <f t="shared" si="105"/>
        <v>0.99985759973525989</v>
      </c>
      <c r="T105" s="5">
        <f t="shared" si="105"/>
        <v>0.99985759973525989</v>
      </c>
      <c r="U105" s="5">
        <f t="shared" si="105"/>
        <v>0.99985759973525989</v>
      </c>
      <c r="V105" s="5">
        <f t="shared" si="105"/>
        <v>0.99985759973525989</v>
      </c>
      <c r="W105" s="5">
        <f t="shared" si="105"/>
        <v>0.99985759973525989</v>
      </c>
      <c r="X105" s="5">
        <f t="shared" si="105"/>
        <v>0.99985759973525989</v>
      </c>
      <c r="Y105" s="5">
        <f t="shared" si="105"/>
        <v>0.99985759973525989</v>
      </c>
      <c r="Z105" s="5">
        <f t="shared" si="105"/>
        <v>0.99985759973525989</v>
      </c>
      <c r="AA105" s="5">
        <f t="shared" si="105"/>
        <v>0.99985759973525989</v>
      </c>
      <c r="AB105" s="5">
        <f t="shared" si="105"/>
        <v>0.99985759973525989</v>
      </c>
      <c r="AC105" s="5">
        <f t="shared" si="105"/>
        <v>0.99985759973525989</v>
      </c>
      <c r="AD105" s="5">
        <f t="shared" si="105"/>
        <v>0.99985759973525989</v>
      </c>
    </row>
  </sheetData>
  <mergeCells count="4">
    <mergeCell ref="C3:D3"/>
    <mergeCell ref="F5:F19"/>
    <mergeCell ref="M3:N3"/>
    <mergeCell ref="O3:AD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A6A7-90D3-4F4A-A83E-F13A6DB5F1B2}">
  <sheetPr codeName="Sheet2"/>
  <dimension ref="A1:P111"/>
  <sheetViews>
    <sheetView workbookViewId="0">
      <selection activeCell="K11" sqref="K11"/>
    </sheetView>
  </sheetViews>
  <sheetFormatPr defaultRowHeight="11.25" x14ac:dyDescent="0.15"/>
  <cols>
    <col min="1" max="1" width="10.5" style="5" bestFit="1" customWidth="1"/>
    <col min="2" max="2" width="9" style="5"/>
    <col min="3" max="3" width="10.625" style="5" customWidth="1"/>
    <col min="4" max="12" width="9" style="5"/>
    <col min="13" max="13" width="10.5" style="5" bestFit="1" customWidth="1"/>
    <col min="14" max="14" width="10.75" style="5" customWidth="1"/>
    <col min="15" max="15" width="10.5" style="5" bestFit="1" customWidth="1"/>
    <col min="16" max="16" width="9" style="5" customWidth="1"/>
    <col min="17" max="16384" width="9" style="5"/>
  </cols>
  <sheetData>
    <row r="1" spans="1:8" x14ac:dyDescent="0.15">
      <c r="A1" s="5" t="s">
        <v>149</v>
      </c>
      <c r="B1" s="5">
        <v>60</v>
      </c>
    </row>
    <row r="8" spans="1:8" x14ac:dyDescent="0.15">
      <c r="D8" s="8" t="s">
        <v>147</v>
      </c>
      <c r="E8" s="8" t="s">
        <v>0</v>
      </c>
      <c r="F8" s="8" t="s">
        <v>1</v>
      </c>
      <c r="G8" s="8" t="s">
        <v>2</v>
      </c>
      <c r="H8" s="8" t="s">
        <v>3</v>
      </c>
    </row>
    <row r="9" spans="1:8" x14ac:dyDescent="0.15">
      <c r="D9" s="8" t="s">
        <v>142</v>
      </c>
      <c r="E9" s="8">
        <v>2</v>
      </c>
      <c r="F9" s="8">
        <v>6</v>
      </c>
      <c r="G9" s="8">
        <v>10</v>
      </c>
      <c r="H9" s="8">
        <v>1</v>
      </c>
    </row>
    <row r="10" spans="1:8" ht="11.25" customHeight="1" x14ac:dyDescent="0.15">
      <c r="C10" s="22"/>
    </row>
    <row r="11" spans="1:8" x14ac:dyDescent="0.15">
      <c r="C11" s="22"/>
    </row>
    <row r="12" spans="1:8" x14ac:dyDescent="0.15">
      <c r="C12" s="22"/>
    </row>
    <row r="13" spans="1:8" x14ac:dyDescent="0.15">
      <c r="C13" s="22"/>
    </row>
    <row r="14" spans="1:8" x14ac:dyDescent="0.15">
      <c r="C14" s="22"/>
    </row>
    <row r="18" spans="2:16" x14ac:dyDescent="0.15">
      <c r="C18" s="8"/>
      <c r="D18" s="8"/>
      <c r="E18" s="53" t="s">
        <v>148</v>
      </c>
      <c r="F18" s="53"/>
      <c r="G18" s="53"/>
      <c r="H18" s="53"/>
      <c r="I18" s="53" t="s">
        <v>145</v>
      </c>
      <c r="J18" s="53"/>
      <c r="K18" s="53"/>
      <c r="L18" s="53"/>
      <c r="M18" s="53" t="s">
        <v>146</v>
      </c>
      <c r="N18" s="53"/>
      <c r="O18" s="53" t="s">
        <v>178</v>
      </c>
      <c r="P18" s="53"/>
    </row>
    <row r="19" spans="2:16" x14ac:dyDescent="0.15">
      <c r="B19" s="5" t="s">
        <v>127</v>
      </c>
      <c r="C19" s="8" t="s">
        <v>141</v>
      </c>
      <c r="D19" s="8" t="s">
        <v>132</v>
      </c>
      <c r="E19" s="8" t="s">
        <v>0</v>
      </c>
      <c r="F19" s="8" t="s">
        <v>1</v>
      </c>
      <c r="G19" s="8" t="s">
        <v>2</v>
      </c>
      <c r="H19" s="8" t="s">
        <v>3</v>
      </c>
      <c r="I19" s="8" t="s">
        <v>0</v>
      </c>
      <c r="J19" s="8" t="s">
        <v>1</v>
      </c>
      <c r="K19" s="8" t="s">
        <v>2</v>
      </c>
      <c r="L19" s="8" t="s">
        <v>3</v>
      </c>
      <c r="M19" s="8" t="s">
        <v>169</v>
      </c>
      <c r="N19" s="8" t="s">
        <v>171</v>
      </c>
      <c r="O19" s="8" t="s">
        <v>179</v>
      </c>
      <c r="P19" s="8" t="s">
        <v>180</v>
      </c>
    </row>
    <row r="20" spans="2:16" x14ac:dyDescent="0.15">
      <c r="C20" s="8">
        <v>10</v>
      </c>
      <c r="D20" s="8">
        <f>求节点(节奏总纲!$O$4:$O$163,节奏总纲!$P$4:$P$163,$C20)</f>
        <v>1</v>
      </c>
      <c r="E20" s="8">
        <f>MIN(IF($C20&lt;=$B$1,0,投放验证!AD7),E$9)</f>
        <v>0</v>
      </c>
      <c r="F20" s="8">
        <f>MIN(IF($C20&lt;=$B$1,0,投放验证!AE7),F$9)</f>
        <v>0</v>
      </c>
      <c r="G20" s="8">
        <f>MIN(IF($C20&lt;=$B$1,0,投放验证!AF7),G$9)</f>
        <v>0</v>
      </c>
      <c r="H20" s="8">
        <f>MIN(IF($C20&lt;=$B$1,0,投放验证!AG7),H$9)</f>
        <v>0</v>
      </c>
      <c r="I20" s="8">
        <f>MIN(IF($C20&lt;=$B$1,0,MAX(投放验证!AD7/E20-1,0)),阵法升星!D$13)</f>
        <v>0</v>
      </c>
      <c r="J20" s="8">
        <f>MIN(IF($C20&lt;=$B$1,0,MAX(投放验证!AE7/F20-1,0)),阵法升星!E$13)</f>
        <v>0</v>
      </c>
      <c r="K20" s="8">
        <f>MIN(IF($C20&lt;=$B$1,0,MAX(投放验证!AF7/G20-1,0)),阵法升星!F$13)</f>
        <v>0</v>
      </c>
      <c r="L20" s="8">
        <f>MIN(IF($C20&lt;=$B$1,0,MAX(IFERROR(投放验证!AG7/H20,0)-1,0)),阵法升星!G$13)</f>
        <v>0</v>
      </c>
      <c r="M20" s="8">
        <f>IF(H20&gt;=1,阵法升星!$G$65,IF(G20&gt;1,阵法升星!$F$65,IF(F20&gt;1,阵法升星!$E$65,IF(E20&gt;0,MAX(阵法升星!$D$65,1),0))))</f>
        <v>0</v>
      </c>
      <c r="N20" s="8">
        <f>IF($C20&lt;=$B$1,0,求节点(阵旗升级!$E$5:$E$24,阵旗升级!$C$5:$C$24,投放验证!AM7/M20))</f>
        <v>0</v>
      </c>
      <c r="O20" s="8">
        <f>IF(C20&lt;=$B$1,0,投放验证!AS7)</f>
        <v>0</v>
      </c>
      <c r="P20" s="8">
        <f>阵旗升级!Q5</f>
        <v>0</v>
      </c>
    </row>
    <row r="21" spans="2:16" x14ac:dyDescent="0.15">
      <c r="C21" s="8">
        <v>20</v>
      </c>
      <c r="D21" s="8">
        <f>求节点(节奏总纲!$O$4:$O$163,节奏总纲!$P$4:$P$163,$C21)</f>
        <v>3</v>
      </c>
      <c r="E21" s="8">
        <f>MIN(IF($C21&lt;=$B$1,0,投放验证!AD8),E$9)</f>
        <v>0</v>
      </c>
      <c r="F21" s="8">
        <f>MIN(IF($C21&lt;=$B$1,0,投放验证!AE8),F$9)</f>
        <v>0</v>
      </c>
      <c r="G21" s="8">
        <f>MIN(IF($C21&lt;=$B$1,0,投放验证!AF8),G$9)</f>
        <v>0</v>
      </c>
      <c r="H21" s="8">
        <f>MIN(IF($C21&lt;=$B$1,0,投放验证!AG8),H$9)</f>
        <v>0</v>
      </c>
      <c r="I21" s="8">
        <f>MIN(IF($C21&lt;=$B$1,0,MAX(投放验证!AD8/E21-1,0)),阵法升星!D$13)</f>
        <v>0</v>
      </c>
      <c r="J21" s="8">
        <f>MIN(IF($C21&lt;=$B$1,0,MAX(投放验证!AE8/F21-1,0)),阵法升星!E$13)</f>
        <v>0</v>
      </c>
      <c r="K21" s="8">
        <f>MIN(IF($C21&lt;=$B$1,0,MAX(投放验证!AF8/G21-1,0)),阵法升星!F$13)</f>
        <v>0</v>
      </c>
      <c r="L21" s="8">
        <f>MIN(IF($C21&lt;=$B$1,0,MAX(IFERROR(投放验证!AG8/H21,0)-1,0)),阵法升星!G$13)</f>
        <v>0</v>
      </c>
      <c r="M21" s="8">
        <f>IF(H21&gt;=1,阵法升星!$G$65,IF(G21&gt;1,阵法升星!$F$65,IF(F21&gt;1,阵法升星!$E$65,IF(E21&gt;0,MAX(阵法升星!$D$65,1),0))))</f>
        <v>0</v>
      </c>
      <c r="N21" s="8">
        <f>IF($C21&lt;=$B$1,0,求节点(阵旗升级!$E$5:$E$24,阵旗升级!$C$5:$C$24,投放验证!AM8/M21))</f>
        <v>0</v>
      </c>
      <c r="O21" s="8">
        <f>IF(C21&lt;=$B$1,0,投放验证!AS8)</f>
        <v>0</v>
      </c>
      <c r="P21" s="8">
        <f>阵旗升级!Q6</f>
        <v>0</v>
      </c>
    </row>
    <row r="22" spans="2:16" x14ac:dyDescent="0.15">
      <c r="C22" s="8">
        <v>30</v>
      </c>
      <c r="D22" s="8">
        <f>求节点(节奏总纲!$O$4:$O$163,节奏总纲!$P$4:$P$163,$C22)</f>
        <v>7</v>
      </c>
      <c r="E22" s="8">
        <f>MIN(IF($C22&lt;=$B$1,0,投放验证!AD9),E$9)</f>
        <v>0</v>
      </c>
      <c r="F22" s="8">
        <f>MIN(IF($C22&lt;=$B$1,0,投放验证!AE9),F$9)</f>
        <v>0</v>
      </c>
      <c r="G22" s="8">
        <f>MIN(IF($C22&lt;=$B$1,0,投放验证!AF9),G$9)</f>
        <v>0</v>
      </c>
      <c r="H22" s="8">
        <f>MIN(IF($C22&lt;=$B$1,0,投放验证!AG9),H$9)</f>
        <v>0</v>
      </c>
      <c r="I22" s="8">
        <f>MIN(IF($C22&lt;=$B$1,0,MAX(投放验证!AD9/E22-1,0)),阵法升星!D$13)</f>
        <v>0</v>
      </c>
      <c r="J22" s="8">
        <f>MIN(IF($C22&lt;=$B$1,0,MAX(投放验证!AE9/F22-1,0)),阵法升星!E$13)</f>
        <v>0</v>
      </c>
      <c r="K22" s="8">
        <f>MIN(IF($C22&lt;=$B$1,0,MAX(投放验证!AF9/G22-1,0)),阵法升星!F$13)</f>
        <v>0</v>
      </c>
      <c r="L22" s="8">
        <f>MIN(IF($C22&lt;=$B$1,0,MAX(IFERROR(投放验证!AG9/H22,0)-1,0)),阵法升星!G$13)</f>
        <v>0</v>
      </c>
      <c r="M22" s="8">
        <f>IF(H22&gt;=1,阵法升星!$G$65,IF(G22&gt;1,阵法升星!$F$65,IF(F22&gt;1,阵法升星!$E$65,IF(E22&gt;0,MAX(阵法升星!$D$65,1),0))))</f>
        <v>0</v>
      </c>
      <c r="N22" s="8">
        <f>IF($C22&lt;=$B$1,0,求节点(阵旗升级!$E$5:$E$24,阵旗升级!$C$5:$C$24,投放验证!AM9/M22))</f>
        <v>0</v>
      </c>
      <c r="O22" s="8">
        <f>IF(C22&lt;=$B$1,0,投放验证!AS9)</f>
        <v>0</v>
      </c>
      <c r="P22" s="8">
        <f>阵旗升级!Q7</f>
        <v>0</v>
      </c>
    </row>
    <row r="23" spans="2:16" x14ac:dyDescent="0.15">
      <c r="C23" s="8">
        <v>40</v>
      </c>
      <c r="D23" s="8">
        <f>求节点(节奏总纲!$O$4:$O$163,节奏总纲!$P$4:$P$163,$C23)</f>
        <v>15</v>
      </c>
      <c r="E23" s="8">
        <f>MIN(IF($C23&lt;=$B$1,0,投放验证!AD10),E$9)</f>
        <v>0</v>
      </c>
      <c r="F23" s="8">
        <f>MIN(IF($C23&lt;=$B$1,0,投放验证!AE10),F$9)</f>
        <v>0</v>
      </c>
      <c r="G23" s="8">
        <f>MIN(IF($C23&lt;=$B$1,0,投放验证!AF10),G$9)</f>
        <v>0</v>
      </c>
      <c r="H23" s="8">
        <f>MIN(IF($C23&lt;=$B$1,0,投放验证!AG10),H$9)</f>
        <v>0</v>
      </c>
      <c r="I23" s="8">
        <f>MIN(IF($C23&lt;=$B$1,0,MAX(投放验证!AD10/E23-1,0)),阵法升星!D$13)</f>
        <v>0</v>
      </c>
      <c r="J23" s="8">
        <f>MIN(IF($C23&lt;=$B$1,0,MAX(投放验证!AE10/F23-1,0)),阵法升星!E$13)</f>
        <v>0</v>
      </c>
      <c r="K23" s="8">
        <f>MIN(IF($C23&lt;=$B$1,0,MAX(投放验证!AF10/G23-1,0)),阵法升星!F$13)</f>
        <v>0</v>
      </c>
      <c r="L23" s="8">
        <f>MIN(IF($C23&lt;=$B$1,0,MAX(IFERROR(投放验证!AG10/H23,0)-1,0)),阵法升星!G$13)</f>
        <v>0</v>
      </c>
      <c r="M23" s="8">
        <f>IF(H23&gt;=1,阵法升星!$G$65,IF(G23&gt;1,阵法升星!$F$65,IF(F23&gt;1,阵法升星!$E$65,IF(E23&gt;0,MAX(阵法升星!$D$65,1),0))))</f>
        <v>0</v>
      </c>
      <c r="N23" s="8">
        <f>IF($C23&lt;=$B$1,0,求节点(阵旗升级!$E$5:$E$24,阵旗升级!$C$5:$C$24,投放验证!AM10/M23))</f>
        <v>0</v>
      </c>
      <c r="O23" s="8">
        <f>IF(C23&lt;=$B$1,0,投放验证!AS10)</f>
        <v>0</v>
      </c>
      <c r="P23" s="8">
        <f>阵旗升级!Q8</f>
        <v>0</v>
      </c>
    </row>
    <row r="24" spans="2:16" x14ac:dyDescent="0.15">
      <c r="C24" s="8">
        <v>50</v>
      </c>
      <c r="D24" s="8">
        <f>求节点(节奏总纲!$O$4:$O$163,节奏总纲!$P$4:$P$163,$C24)</f>
        <v>31</v>
      </c>
      <c r="E24" s="8">
        <f>MIN(IF($C24&lt;=$B$1,0,投放验证!AD11),E$9)</f>
        <v>0</v>
      </c>
      <c r="F24" s="8">
        <f>MIN(IF($C24&lt;=$B$1,0,投放验证!AE11),F$9)</f>
        <v>0</v>
      </c>
      <c r="G24" s="8">
        <f>MIN(IF($C24&lt;=$B$1,0,投放验证!AF11),G$9)</f>
        <v>0</v>
      </c>
      <c r="H24" s="8">
        <f>MIN(IF($C24&lt;=$B$1,0,投放验证!AG11),H$9)</f>
        <v>0</v>
      </c>
      <c r="I24" s="8">
        <f>MIN(IF($C24&lt;=$B$1,0,MAX(投放验证!AD11/E24-1,0)),阵法升星!D$13)</f>
        <v>0</v>
      </c>
      <c r="J24" s="8">
        <f>MIN(IF($C24&lt;=$B$1,0,MAX(投放验证!AE11/F24-1,0)),阵法升星!E$13)</f>
        <v>0</v>
      </c>
      <c r="K24" s="8">
        <f>MIN(IF($C24&lt;=$B$1,0,MAX(投放验证!AF11/G24-1,0)),阵法升星!F$13)</f>
        <v>0</v>
      </c>
      <c r="L24" s="8">
        <f>MIN(IF($C24&lt;=$B$1,0,MAX(IFERROR(投放验证!AG11/H24,0)-1,0)),阵法升星!G$13)</f>
        <v>0</v>
      </c>
      <c r="M24" s="8">
        <f>IF(H24&gt;=1,阵法升星!$G$65,IF(G24&gt;1,阵法升星!$F$65,IF(F24&gt;1,阵法升星!$E$65,IF(E24&gt;0,MAX(阵法升星!$D$65,1),0))))</f>
        <v>0</v>
      </c>
      <c r="N24" s="8">
        <f>IF($C24&lt;=$B$1,0,求节点(阵旗升级!$E$5:$E$24,阵旗升级!$C$5:$C$24,投放验证!AM11/M24))</f>
        <v>0</v>
      </c>
      <c r="O24" s="8">
        <f>IF(C24&lt;=$B$1,0,投放验证!AS11)</f>
        <v>0</v>
      </c>
      <c r="P24" s="8">
        <f>阵旗升级!Q9</f>
        <v>0</v>
      </c>
    </row>
    <row r="25" spans="2:16" x14ac:dyDescent="0.15">
      <c r="C25" s="8">
        <v>60</v>
      </c>
      <c r="D25" s="8">
        <f>求节点(节奏总纲!$O$4:$O$163,节奏总纲!$P$4:$P$163,$C25)</f>
        <v>63</v>
      </c>
      <c r="E25" s="8">
        <f>MIN(IF($C25&lt;=$B$1,0,投放验证!AD12),E$9)</f>
        <v>0</v>
      </c>
      <c r="F25" s="8">
        <f>MIN(IF($C25&lt;=$B$1,0,投放验证!AE12),F$9)</f>
        <v>0</v>
      </c>
      <c r="G25" s="8">
        <f>MIN(IF($C25&lt;=$B$1,0,投放验证!AF12),G$9)</f>
        <v>0</v>
      </c>
      <c r="H25" s="8">
        <f>MIN(IF($C25&lt;=$B$1,0,投放验证!AG12),H$9)</f>
        <v>0</v>
      </c>
      <c r="I25" s="8">
        <f>MIN(IF($C25&lt;=$B$1,0,MAX(投放验证!AD12/E25-1,0)),阵法升星!D$13)</f>
        <v>0</v>
      </c>
      <c r="J25" s="8">
        <f>MIN(IF($C25&lt;=$B$1,0,MAX(投放验证!AE12/F25-1,0)),阵法升星!E$13)</f>
        <v>0</v>
      </c>
      <c r="K25" s="8">
        <f>MIN(IF($C25&lt;=$B$1,0,MAX(投放验证!AF12/G25-1,0)),阵法升星!F$13)</f>
        <v>0</v>
      </c>
      <c r="L25" s="8">
        <f>MIN(IF($C25&lt;=$B$1,0,MAX(IFERROR(投放验证!AG12/H25,0)-1,0)),阵法升星!G$13)</f>
        <v>0</v>
      </c>
      <c r="M25" s="8">
        <f>IF(H25&gt;=1,阵法升星!$G$65,IF(G25&gt;1,阵法升星!$F$65,IF(F25&gt;1,阵法升星!$E$65,IF(E25&gt;0,MAX(阵法升星!$D$65,1),0))))</f>
        <v>0</v>
      </c>
      <c r="N25" s="8">
        <f>IF($C25&lt;=$B$1,0,求节点(阵旗升级!$E$5:$E$24,阵旗升级!$C$5:$C$24,投放验证!AM12/M25))</f>
        <v>0</v>
      </c>
      <c r="O25" s="8">
        <f>IF(C25&lt;=$B$1,0,投放验证!AS12)</f>
        <v>0</v>
      </c>
      <c r="P25" s="8">
        <f>阵旗升级!Q10</f>
        <v>0</v>
      </c>
    </row>
    <row r="26" spans="2:16" x14ac:dyDescent="0.15">
      <c r="C26" s="8">
        <v>70</v>
      </c>
      <c r="D26" s="8">
        <f>求节点(节奏总纲!$O$4:$O$163,节奏总纲!$P$4:$P$163,$C26)</f>
        <v>127</v>
      </c>
      <c r="E26" s="8">
        <f>MIN(IF($C26&lt;=$B$1,0,投放验证!AD13),E$9)</f>
        <v>2</v>
      </c>
      <c r="F26" s="8">
        <f>MIN(IF($C26&lt;=$B$1,0,投放验证!AE13),F$9)</f>
        <v>6</v>
      </c>
      <c r="G26" s="8">
        <f>MIN(IF($C26&lt;=$B$1,0,投放验证!AF13),G$9)</f>
        <v>5.5556346781433907</v>
      </c>
      <c r="H26" s="8">
        <f>MIN(IF($C26&lt;=$B$1,0,投放验证!AG13),H$9)</f>
        <v>0</v>
      </c>
      <c r="I26" s="8">
        <f>MIN(IF($C26&lt;=$B$1,0,MAX(投放验证!AD13/E26-1,0)),阵法升星!D$13)</f>
        <v>3</v>
      </c>
      <c r="J26" s="8">
        <f>MIN(IF($C26&lt;=$B$1,0,MAX(投放验证!AE13/F26-1,0)),阵法升星!E$13)</f>
        <v>2.0734096505092334</v>
      </c>
      <c r="K26" s="8">
        <f>MIN(IF($C26&lt;=$B$1,0,MAX(投放验证!AF13/G26-1,0)),阵法升星!F$13)</f>
        <v>0</v>
      </c>
      <c r="L26" s="8">
        <f>MIN(IF($C26&lt;=$B$1,0,MAX(IFERROR(投放验证!AG13/H26,0)-1,0)),阵法升星!G$13)</f>
        <v>0</v>
      </c>
      <c r="M26" s="8">
        <f>IF(H26&gt;=1,阵法升星!$G$65,IF(G26&gt;1,阵法升星!$F$65,IF(F26&gt;1,阵法升星!$E$65,IF(E26&gt;0,MAX(阵法升星!$D$65,1),0))))</f>
        <v>7</v>
      </c>
      <c r="N26" s="8">
        <f>IF($C26&lt;=$B$1,0,求节点(阵旗升级!$E$5:$E$24,阵旗升级!$C$5:$C$24,投放验证!AM13/M26))</f>
        <v>4.2472363048392925</v>
      </c>
      <c r="O26" s="8">
        <f>IF(C26&lt;=$B$1,0,投放验证!AS13)</f>
        <v>325.89515754790676</v>
      </c>
      <c r="P26" s="8">
        <f>阵旗升级!Q11</f>
        <v>0.58480623569413459</v>
      </c>
    </row>
    <row r="27" spans="2:16" x14ac:dyDescent="0.15">
      <c r="C27" s="8">
        <v>80</v>
      </c>
      <c r="D27" s="8">
        <f>求节点(节奏总纲!$O$4:$O$163,节奏总纲!$P$4:$P$163,$C27)</f>
        <v>255</v>
      </c>
      <c r="E27" s="8">
        <f>MIN(IF($C27&lt;=$B$1,0,投放验证!AD14),E$9)</f>
        <v>2</v>
      </c>
      <c r="F27" s="8">
        <f>MIN(IF($C27&lt;=$B$1,0,投放验证!AE14),F$9)</f>
        <v>6</v>
      </c>
      <c r="G27" s="8">
        <f>MIN(IF($C27&lt;=$B$1,0,投放验证!AF14),G$9)</f>
        <v>10</v>
      </c>
      <c r="H27" s="8">
        <f>MIN(IF($C27&lt;=$B$1,0,投放验证!AG14),H$9)</f>
        <v>0.1563784700885377</v>
      </c>
      <c r="I27" s="8">
        <f>MIN(IF($C27&lt;=$B$1,0,MAX(投放验证!AD14/E27-1,0)),阵法升星!D$13)</f>
        <v>3</v>
      </c>
      <c r="J27" s="8">
        <f>MIN(IF($C27&lt;=$B$1,0,MAX(投放验证!AE14/F27-1,0)),阵法升星!E$13)</f>
        <v>5</v>
      </c>
      <c r="K27" s="8">
        <f>MIN(IF($C27&lt;=$B$1,0,MAX(投放验证!AF14/G27-1,0)),阵法升星!F$13)</f>
        <v>0.42121923768788228</v>
      </c>
      <c r="L27" s="8">
        <f>MIN(IF($C27&lt;=$B$1,0,MAX(IFERROR(投放验证!AG14/H27,0)-1,0)),阵法升星!G$13)</f>
        <v>0</v>
      </c>
      <c r="M27" s="8">
        <f>IF(H27&gt;=1,阵法升星!$G$65,IF(G27&gt;1,阵法升星!$F$65,IF(F27&gt;1,阵法升星!$E$65,IF(E27&gt;0,MAX(阵法升星!$D$65,1),0))))</f>
        <v>7</v>
      </c>
      <c r="N27" s="8">
        <f>IF($C27&lt;=$B$1,0,求节点(阵旗升级!$E$5:$E$24,阵旗升级!$C$5:$C$24,投放验证!AM14/M27))</f>
        <v>5.3034940304662133</v>
      </c>
      <c r="O27" s="8">
        <f>IF(C27&lt;=$B$1,0,投放验证!AS14)</f>
        <v>929.5887245096992</v>
      </c>
      <c r="P27" s="8">
        <f>阵旗升级!Q12</f>
        <v>0.76591071203145789</v>
      </c>
    </row>
    <row r="28" spans="2:16" x14ac:dyDescent="0.15">
      <c r="C28" s="8">
        <v>90</v>
      </c>
      <c r="D28" s="8">
        <f>求节点(节奏总纲!$O$4:$O$163,节奏总纲!$P$4:$P$163,$C28)</f>
        <v>511</v>
      </c>
      <c r="E28" s="8">
        <f>MIN(IF($C28&lt;=$B$1,0,投放验证!AD15),E$9)</f>
        <v>2</v>
      </c>
      <c r="F28" s="8">
        <f>MIN(IF($C28&lt;=$B$1,0,投放验证!AE15),F$9)</f>
        <v>6</v>
      </c>
      <c r="G28" s="8">
        <f>MIN(IF($C28&lt;=$B$1,0,投放验证!AF15),G$9)</f>
        <v>10</v>
      </c>
      <c r="H28" s="8">
        <f>MIN(IF($C28&lt;=$B$1,0,投放验证!AG15),H$9)</f>
        <v>0.72158939500336117</v>
      </c>
      <c r="I28" s="8">
        <f>MIN(IF($C28&lt;=$B$1,0,MAX(投放验证!AD15/E28-1,0)),阵法升星!D$13)</f>
        <v>3</v>
      </c>
      <c r="J28" s="8">
        <f>MIN(IF($C28&lt;=$B$1,0,MAX(投放验证!AE15/F28-1,0)),阵法升星!E$13)</f>
        <v>5</v>
      </c>
      <c r="K28" s="8">
        <f>MIN(IF($C28&lt;=$B$1,0,MAX(投放验证!AF15/G28-1,0)),阵法升星!F$13)</f>
        <v>1.916468948493379</v>
      </c>
      <c r="L28" s="8">
        <f>MIN(IF($C28&lt;=$B$1,0,MAX(IFERROR(投放验证!AG15/H28,0)-1,0)),阵法升星!G$13)</f>
        <v>0</v>
      </c>
      <c r="M28" s="8">
        <f>IF(H28&gt;=1,阵法升星!$G$65,IF(G28&gt;1,阵法升星!$F$65,IF(F28&gt;1,阵法升星!$E$65,IF(E28&gt;0,MAX(阵法升星!$D$65,1),0))))</f>
        <v>7</v>
      </c>
      <c r="N28" s="8">
        <f>IF($C28&lt;=$B$1,0,求节点(阵旗升级!$E$5:$E$24,阵旗升级!$C$5:$C$24,投放验证!AM15/M28))</f>
        <v>6.5894692330362048</v>
      </c>
      <c r="O28" s="8">
        <f>IF(C28&lt;=$B$1,0,投放验证!AS15)</f>
        <v>2036.4709327010721</v>
      </c>
      <c r="P28" s="8">
        <f>阵旗升级!Q13</f>
        <v>0.83276528502273495</v>
      </c>
    </row>
    <row r="29" spans="2:16" x14ac:dyDescent="0.15">
      <c r="C29" s="8">
        <v>100</v>
      </c>
      <c r="D29" s="8">
        <f>求节点(节奏总纲!$O$4:$O$163,节奏总纲!$P$4:$P$163,$C29)</f>
        <v>1023</v>
      </c>
      <c r="E29" s="8">
        <f>MIN(IF($C29&lt;=$B$1,0,投放验证!AD16),E$9)</f>
        <v>2</v>
      </c>
      <c r="F29" s="8">
        <f>MIN(IF($C29&lt;=$B$1,0,投放验证!AE16),F$9)</f>
        <v>6</v>
      </c>
      <c r="G29" s="8">
        <f>MIN(IF($C29&lt;=$B$1,0,投放验证!AF16),G$9)</f>
        <v>10</v>
      </c>
      <c r="H29" s="8">
        <f>MIN(IF($C29&lt;=$B$1,0,投放验证!AG16),H$9)</f>
        <v>1</v>
      </c>
      <c r="I29" s="8">
        <f>MIN(IF($C29&lt;=$B$1,0,MAX(投放验证!AD16/E29-1,0)),阵法升星!D$13)</f>
        <v>3</v>
      </c>
      <c r="J29" s="8">
        <f>MIN(IF($C29&lt;=$B$1,0,MAX(投放验证!AE16/F29-1,0)),阵法升星!E$13)</f>
        <v>5</v>
      </c>
      <c r="K29" s="8">
        <f>MIN(IF($C29&lt;=$B$1,0,MAX(投放验证!AF16/G29-1,0)),阵法升星!F$13)</f>
        <v>4.5325480415184609</v>
      </c>
      <c r="L29" s="8">
        <f>MIN(IF($C29&lt;=$B$1,0,MAX(IFERROR(投放验证!AG16/H29,0)-1,0)),阵法升星!G$13)</f>
        <v>1.276852910788032</v>
      </c>
      <c r="M29" s="8">
        <f>IF(H29&gt;=1,阵法升星!$G$65,IF(G29&gt;1,阵法升星!$F$65,IF(F29&gt;1,阵法升星!$E$65,IF(E29&gt;0,MAX(阵法升星!$D$65,1),0))))</f>
        <v>10</v>
      </c>
      <c r="N29" s="8">
        <f>IF($C29&lt;=$B$1,0,求节点(阵旗升级!$E$5:$E$24,阵旗升级!$C$5:$C$24,投放验证!AM16/M29))</f>
        <v>7.5055664994210733</v>
      </c>
      <c r="O29" s="8">
        <f>IF(C29&lt;=$B$1,0,投放验证!AS16)</f>
        <v>4094.2695057951505</v>
      </c>
      <c r="P29" s="8">
        <f>阵旗升级!Q14</f>
        <v>0.84146249701496956</v>
      </c>
    </row>
    <row r="30" spans="2:16" x14ac:dyDescent="0.15">
      <c r="C30" s="8">
        <v>110</v>
      </c>
      <c r="D30" s="8">
        <f>求节点(节奏总纲!$O$4:$O$163,节奏总纲!$P$4:$P$163,$C30)</f>
        <v>2047</v>
      </c>
      <c r="E30" s="8">
        <f>MIN(IF($C30&lt;=$B$1,0,投放验证!AD17),E$9)</f>
        <v>2</v>
      </c>
      <c r="F30" s="8">
        <f>MIN(IF($C30&lt;=$B$1,0,投放验证!AE17),F$9)</f>
        <v>6</v>
      </c>
      <c r="G30" s="8">
        <f>MIN(IF($C30&lt;=$B$1,0,投放验证!AF17),G$9)</f>
        <v>10</v>
      </c>
      <c r="H30" s="8">
        <f>MIN(IF($C30&lt;=$B$1,0,投放验证!AG17),H$9)</f>
        <v>1</v>
      </c>
      <c r="I30" s="8">
        <f>MIN(IF($C30&lt;=$B$1,0,MAX(投放验证!AD17/E30-1,0)),阵法升星!D$13)</f>
        <v>3</v>
      </c>
      <c r="J30" s="8">
        <f>MIN(IF($C30&lt;=$B$1,0,MAX(投放验证!AE17/F30-1,0)),阵法升星!E$13)</f>
        <v>5</v>
      </c>
      <c r="K30" s="8">
        <f>MIN(IF($C30&lt;=$B$1,0,MAX(投放验证!AF17/G30-1,0)),阵法升星!F$13)</f>
        <v>7</v>
      </c>
      <c r="L30" s="8">
        <f>MIN(IF($C30&lt;=$B$1,0,MAX(IFERROR(投放验证!AG17/H30,0)-1,0)),阵法升星!G$13)</f>
        <v>5.1505704665259433</v>
      </c>
      <c r="M30" s="8">
        <f>IF(H30&gt;=1,阵法升星!$G$65,IF(G30&gt;1,阵法升星!$F$65,IF(F30&gt;1,阵法升星!$E$65,IF(E30&gt;0,MAX(阵法升星!$D$65,1),0))))</f>
        <v>10</v>
      </c>
      <c r="N30" s="8">
        <f>IF($C30&lt;=$B$1,0,求节点(阵旗升级!$E$5:$E$24,阵旗升级!$C$5:$C$24,投放验证!AM17/M30))</f>
        <v>9.2996187372541375</v>
      </c>
      <c r="O30" s="8">
        <f>IF(C30&lt;=$B$1,0,投放验证!AS17)</f>
        <v>7981.8234689100764</v>
      </c>
      <c r="P30" s="8">
        <f>阵旗升级!Q15</f>
        <v>0.9907902654512456</v>
      </c>
    </row>
    <row r="31" spans="2:16" x14ac:dyDescent="0.15">
      <c r="C31" s="8">
        <v>120</v>
      </c>
      <c r="D31" s="8">
        <f>求节点(节奏总纲!$O$4:$O$163,节奏总纲!$P$4:$P$163,$C31)</f>
        <v>4095</v>
      </c>
      <c r="E31" s="8">
        <f>MIN(IF($C31&lt;=$B$1,0,投放验证!AD18),E$9)</f>
        <v>2</v>
      </c>
      <c r="F31" s="8">
        <f>MIN(IF($C31&lt;=$B$1,0,投放验证!AE18),F$9)</f>
        <v>6</v>
      </c>
      <c r="G31" s="8">
        <f>MIN(IF($C31&lt;=$B$1,0,投放验证!AF18),G$9)</f>
        <v>10</v>
      </c>
      <c r="H31" s="8">
        <f>MIN(IF($C31&lt;=$B$1,0,投放验证!AG18),H$9)</f>
        <v>1</v>
      </c>
      <c r="I31" s="8">
        <f>MIN(IF($C31&lt;=$B$1,0,MAX(投放验证!AD18/E31-1,0)),阵法升星!D$13)</f>
        <v>3</v>
      </c>
      <c r="J31" s="8">
        <f>MIN(IF($C31&lt;=$B$1,0,MAX(投放验证!AE18/F31-1,0)),阵法升星!E$13)</f>
        <v>5</v>
      </c>
      <c r="K31" s="8">
        <f>MIN(IF($C31&lt;=$B$1,0,MAX(投放验证!AF18/G31-1,0)),阵法升星!F$13)</f>
        <v>7</v>
      </c>
      <c r="L31" s="8">
        <f>MIN(IF($C31&lt;=$B$1,0,MAX(IFERROR(投放验证!AG18/H31,0)-1,0)),阵法升星!G$13)</f>
        <v>7</v>
      </c>
      <c r="M31" s="8">
        <f>IF(H31&gt;=1,阵法升星!$G$65,IF(G31&gt;1,阵法升星!$F$65,IF(F31&gt;1,阵法升星!$E$65,IF(E31&gt;0,MAX(阵法升星!$D$65,1),0))))</f>
        <v>10</v>
      </c>
      <c r="N31" s="8">
        <f>IF($C31&lt;=$B$1,0,求节点(阵旗升级!$E$5:$E$24,阵旗升级!$C$5:$C$24,投放验证!AM18/M31))</f>
        <v>11.028806253872473</v>
      </c>
      <c r="O31" s="8">
        <f>IF(C31&lt;=$B$1,0,投放验证!AS18)</f>
        <v>15427.798075587187</v>
      </c>
      <c r="P31" s="8">
        <f>阵旗升级!Q16</f>
        <v>0.99985759973525989</v>
      </c>
    </row>
    <row r="32" spans="2:16" x14ac:dyDescent="0.15">
      <c r="C32" s="8">
        <v>130</v>
      </c>
      <c r="D32" s="8">
        <f>求节点(节奏总纲!$O$4:$O$163,节奏总纲!$P$4:$P$163,$C32)</f>
        <v>8191</v>
      </c>
      <c r="E32" s="8">
        <f>MIN(IF($C32&lt;=$B$1,0,投放验证!AD19),E$9)</f>
        <v>2</v>
      </c>
      <c r="F32" s="8">
        <f>MIN(IF($C32&lt;=$B$1,0,投放验证!AE19),F$9)</f>
        <v>6</v>
      </c>
      <c r="G32" s="8">
        <f>MIN(IF($C32&lt;=$B$1,0,投放验证!AF19),G$9)</f>
        <v>10</v>
      </c>
      <c r="H32" s="8">
        <f>MIN(IF($C32&lt;=$B$1,0,投放验证!AG19),H$9)</f>
        <v>1</v>
      </c>
      <c r="I32" s="8">
        <f>MIN(IF($C32&lt;=$B$1,0,MAX(投放验证!AD19/E32-1,0)),阵法升星!D$13)</f>
        <v>3</v>
      </c>
      <c r="J32" s="8">
        <f>MIN(IF($C32&lt;=$B$1,0,MAX(投放验证!AE19/F32-1,0)),阵法升星!E$13)</f>
        <v>5</v>
      </c>
      <c r="K32" s="8">
        <f>MIN(IF($C32&lt;=$B$1,0,MAX(投放验证!AF19/G32-1,0)),阵法升星!F$13)</f>
        <v>7</v>
      </c>
      <c r="L32" s="8">
        <f>MIN(IF($C32&lt;=$B$1,0,MAX(IFERROR(投放验证!AG19/H32,0)-1,0)),阵法升星!G$13)</f>
        <v>7</v>
      </c>
      <c r="M32" s="8">
        <f>IF(H32&gt;=1,阵法升星!$G$65,IF(G32&gt;1,阵法升星!$F$65,IF(F32&gt;1,阵法升星!$E$65,IF(E32&gt;0,MAX(阵法升星!$D$65,1),0))))</f>
        <v>10</v>
      </c>
      <c r="N32" s="8">
        <f>IF($C32&lt;=$B$1,0,求节点(阵旗升级!$E$5:$E$24,阵旗升级!$C$5:$C$24,投放验证!AM19/M32))</f>
        <v>12.021103803835857</v>
      </c>
      <c r="O32" s="8">
        <f>IF(C32&lt;=$B$1,0,投放验证!AS19)</f>
        <v>29828.127523304815</v>
      </c>
      <c r="P32" s="8">
        <f>阵旗升级!Q17</f>
        <v>0.99985759973525989</v>
      </c>
    </row>
    <row r="33" spans="2:16" x14ac:dyDescent="0.15">
      <c r="C33" s="8">
        <v>140</v>
      </c>
      <c r="D33" s="8">
        <f>求节点(节奏总纲!$O$4:$O$163,节奏总纲!$P$4:$P$163,$C33)</f>
        <v>16383</v>
      </c>
      <c r="E33" s="8">
        <f>MIN(IF($C33&lt;=$B$1,0,投放验证!AD20),E$9)</f>
        <v>2</v>
      </c>
      <c r="F33" s="8">
        <f>MIN(IF($C33&lt;=$B$1,0,投放验证!AE20),F$9)</f>
        <v>6</v>
      </c>
      <c r="G33" s="8">
        <f>MIN(IF($C33&lt;=$B$1,0,投放验证!AF20),G$9)</f>
        <v>10</v>
      </c>
      <c r="H33" s="8">
        <f>MIN(IF($C33&lt;=$B$1,0,投放验证!AG20),H$9)</f>
        <v>1</v>
      </c>
      <c r="I33" s="8">
        <f>MIN(IF($C33&lt;=$B$1,0,MAX(投放验证!AD20/E33-1,0)),阵法升星!D$13)</f>
        <v>3</v>
      </c>
      <c r="J33" s="8">
        <f>MIN(IF($C33&lt;=$B$1,0,MAX(投放验证!AE20/F33-1,0)),阵法升星!E$13)</f>
        <v>5</v>
      </c>
      <c r="K33" s="8">
        <f>MIN(IF($C33&lt;=$B$1,0,MAX(投放验证!AF20/G33-1,0)),阵法升星!F$13)</f>
        <v>7</v>
      </c>
      <c r="L33" s="8">
        <f>MIN(IF($C33&lt;=$B$1,0,MAX(IFERROR(投放验证!AG20/H33,0)-1,0)),阵法升星!G$13)</f>
        <v>7</v>
      </c>
      <c r="M33" s="8">
        <f>IF(H33&gt;=1,阵法升星!$G$65,IF(G33&gt;1,阵法升星!$F$65,IF(F33&gt;1,阵法升星!$E$65,IF(E33&gt;0,MAX(阵法升星!$D$65,1),0))))</f>
        <v>10</v>
      </c>
      <c r="N33" s="8">
        <f>IF($C33&lt;=$B$1,0,求节点(阵旗升级!$E$5:$E$24,阵旗升级!$C$5:$C$24,投放验证!AM20/M33))</f>
        <v>12.53671313971358</v>
      </c>
      <c r="O33" s="8">
        <f>IF(C33&lt;=$B$1,0,投放验证!AS20)</f>
        <v>57890.637329252073</v>
      </c>
      <c r="P33" s="8">
        <f>阵旗升级!Q18</f>
        <v>0.99985759973525989</v>
      </c>
    </row>
    <row r="34" spans="2:16" x14ac:dyDescent="0.15">
      <c r="C34" s="8">
        <v>150</v>
      </c>
      <c r="D34" s="8">
        <f>求节点(节奏总纲!$O$4:$O$163,节奏总纲!$P$4:$P$163,$C34)</f>
        <v>32767</v>
      </c>
      <c r="E34" s="8">
        <f>MIN(IF($C34&lt;=$B$1,0,投放验证!AD21),E$9)</f>
        <v>2</v>
      </c>
      <c r="F34" s="8">
        <f>MIN(IF($C34&lt;=$B$1,0,投放验证!AE21),F$9)</f>
        <v>6</v>
      </c>
      <c r="G34" s="8">
        <f>MIN(IF($C34&lt;=$B$1,0,投放验证!AF21),G$9)</f>
        <v>10</v>
      </c>
      <c r="H34" s="8">
        <f>MIN(IF($C34&lt;=$B$1,0,投放验证!AG21),H$9)</f>
        <v>1</v>
      </c>
      <c r="I34" s="8">
        <f>MIN(IF($C34&lt;=$B$1,0,MAX(投放验证!AD21/E34-1,0)),阵法升星!D$13)</f>
        <v>3</v>
      </c>
      <c r="J34" s="8">
        <f>MIN(IF($C34&lt;=$B$1,0,MAX(投放验证!AE21/F34-1,0)),阵法升星!E$13)</f>
        <v>5</v>
      </c>
      <c r="K34" s="8">
        <f>MIN(IF($C34&lt;=$B$1,0,MAX(投放验证!AF21/G34-1,0)),阵法升星!F$13)</f>
        <v>7</v>
      </c>
      <c r="L34" s="8">
        <f>MIN(IF($C34&lt;=$B$1,0,MAX(IFERROR(投放验证!AG21/H34,0)-1,0)),阵法升星!G$13)</f>
        <v>7</v>
      </c>
      <c r="M34" s="8">
        <f>IF(H34&gt;=1,阵法升星!$G$65,IF(G34&gt;1,阵法升星!$F$65,IF(F34&gt;1,阵法升星!$E$65,IF(E34&gt;0,MAX(阵法升星!$D$65,1),0))))</f>
        <v>10</v>
      </c>
      <c r="N34" s="8">
        <f>IF($C34&lt;=$B$1,0,求节点(阵旗升级!$E$5:$E$24,阵旗升级!$C$5:$C$24,投放验证!AM21/M34))</f>
        <v>13.109113358827585</v>
      </c>
      <c r="O34" s="8">
        <f>IF(C34&lt;=$B$1,0,投放验证!AS21)</f>
        <v>112908.58858325737</v>
      </c>
      <c r="P34" s="8">
        <f>阵旗升级!Q19</f>
        <v>0.99985759973525989</v>
      </c>
    </row>
    <row r="35" spans="2:16" x14ac:dyDescent="0.15">
      <c r="C35" s="8">
        <v>160</v>
      </c>
      <c r="D35" s="8">
        <f>求节点(节奏总纲!$O$4:$O$163,节奏总纲!$P$4:$P$163,$C35)</f>
        <v>65535</v>
      </c>
      <c r="E35" s="8">
        <f>MIN(IF($C35&lt;=$B$1,0,投放验证!AD22),E$9)</f>
        <v>2</v>
      </c>
      <c r="F35" s="8">
        <f>MIN(IF($C35&lt;=$B$1,0,投放验证!AE22),F$9)</f>
        <v>6</v>
      </c>
      <c r="G35" s="8">
        <f>MIN(IF($C35&lt;=$B$1,0,投放验证!AF22),G$9)</f>
        <v>10</v>
      </c>
      <c r="H35" s="8">
        <f>MIN(IF($C35&lt;=$B$1,0,投放验证!AG22),H$9)</f>
        <v>1</v>
      </c>
      <c r="I35" s="8">
        <f>MIN(IF($C35&lt;=$B$1,0,MAX(投放验证!AD22/E35-1,0)),阵法升星!D$13)</f>
        <v>3</v>
      </c>
      <c r="J35" s="8">
        <f>MIN(IF($C35&lt;=$B$1,0,MAX(投放验证!AE22/F35-1,0)),阵法升星!E$13)</f>
        <v>5</v>
      </c>
      <c r="K35" s="8">
        <f>MIN(IF($C35&lt;=$B$1,0,MAX(投放验证!AF22/G35-1,0)),阵法升星!F$13)</f>
        <v>7</v>
      </c>
      <c r="L35" s="8">
        <f>MIN(IF($C35&lt;=$B$1,0,MAX(IFERROR(投放验证!AG22/H35,0)-1,0)),阵法升星!G$13)</f>
        <v>7</v>
      </c>
      <c r="M35" s="8">
        <f>IF(H35&gt;=1,阵法升星!$G$65,IF(G35&gt;1,阵法升星!$F$65,IF(F35&gt;1,阵法升星!$E$65,IF(E35&gt;0,MAX(阵法升星!$D$65,1),0))))</f>
        <v>10</v>
      </c>
      <c r="N35" s="8">
        <f>IF($C35&lt;=$B$1,0,求节点(阵旗升级!$E$5:$E$24,阵旗升级!$C$5:$C$24,投放验证!AM22/M35))</f>
        <v>13.505414102393983</v>
      </c>
      <c r="O35" s="8">
        <f>IF(C35&lt;=$B$1,0,投放验证!AS22)</f>
        <v>221152.41333594048</v>
      </c>
      <c r="P35" s="8">
        <f>阵旗升级!Q20</f>
        <v>0.99985759973525989</v>
      </c>
    </row>
    <row r="37" spans="2:16" x14ac:dyDescent="0.15">
      <c r="C37" s="8"/>
      <c r="D37" s="8"/>
      <c r="E37" s="53" t="s">
        <v>148</v>
      </c>
      <c r="F37" s="53"/>
      <c r="G37" s="53"/>
      <c r="H37" s="53"/>
      <c r="I37" s="53" t="s">
        <v>145</v>
      </c>
      <c r="J37" s="53"/>
      <c r="K37" s="53"/>
      <c r="L37" s="53"/>
      <c r="M37" s="53" t="s">
        <v>146</v>
      </c>
      <c r="N37" s="53"/>
      <c r="O37" s="53" t="s">
        <v>178</v>
      </c>
      <c r="P37" s="53"/>
    </row>
    <row r="38" spans="2:16" x14ac:dyDescent="0.15">
      <c r="B38" s="5" t="s">
        <v>128</v>
      </c>
      <c r="C38" s="8" t="s">
        <v>141</v>
      </c>
      <c r="D38" s="8" t="s">
        <v>132</v>
      </c>
      <c r="E38" s="8" t="s">
        <v>0</v>
      </c>
      <c r="F38" s="8" t="s">
        <v>1</v>
      </c>
      <c r="G38" s="8" t="s">
        <v>2</v>
      </c>
      <c r="H38" s="8" t="s">
        <v>3</v>
      </c>
      <c r="I38" s="8" t="s">
        <v>0</v>
      </c>
      <c r="J38" s="8" t="s">
        <v>1</v>
      </c>
      <c r="K38" s="8" t="s">
        <v>2</v>
      </c>
      <c r="L38" s="8" t="s">
        <v>3</v>
      </c>
      <c r="M38" s="8" t="s">
        <v>169</v>
      </c>
      <c r="N38" s="8" t="s">
        <v>171</v>
      </c>
      <c r="O38" s="8" t="s">
        <v>179</v>
      </c>
      <c r="P38" s="8" t="s">
        <v>180</v>
      </c>
    </row>
    <row r="39" spans="2:16" x14ac:dyDescent="0.15">
      <c r="C39" s="8">
        <v>10</v>
      </c>
      <c r="D39" s="8">
        <f>求节点(节奏总纲!$O$4:$O$163,节奏总纲!$Q$4:$Q$163,$C39)</f>
        <v>0.8548</v>
      </c>
      <c r="E39" s="8">
        <f>MIN(IF($C39&lt;=$B$1,0,投放验证!AD26),E$9)</f>
        <v>0</v>
      </c>
      <c r="F39" s="8">
        <f>MIN(IF($C39&lt;=$B$1,0,投放验证!AE26),F$9)</f>
        <v>0</v>
      </c>
      <c r="G39" s="8">
        <f>MIN(IF($C39&lt;=$B$1,0,投放验证!AF26),G$9)</f>
        <v>0</v>
      </c>
      <c r="H39" s="8">
        <f>MIN(IF($C39&lt;=$B$1,0,投放验证!AG26),H$9)</f>
        <v>0</v>
      </c>
      <c r="I39" s="8">
        <f>MIN(IF($C39&lt;=$B$1,0,MAX(投放验证!AD26/E39-1,0)),阵法升星!D$13)</f>
        <v>0</v>
      </c>
      <c r="J39" s="8">
        <f>MIN(IF($C39&lt;=$B$1,0,MAX(投放验证!AE26/F39-1,0)),阵法升星!E$13)</f>
        <v>0</v>
      </c>
      <c r="K39" s="8">
        <f>MIN(IF($C39&lt;=$B$1,0,MAX(投放验证!AF26/G39-1,0)),阵法升星!F$13)</f>
        <v>0</v>
      </c>
      <c r="L39" s="8">
        <f>MIN(IF($C39&lt;=$B$1,0,MAX(IFERROR(投放验证!AG26/H39,0)-1,0)),阵法升星!G$13)</f>
        <v>0</v>
      </c>
      <c r="M39" s="8">
        <f>IF(H39&gt;=1,阵法升星!$G$65,IF(G39&gt;1,阵法升星!$F$65,IF(F39&gt;1,阵法升星!$E$65,IF(E39&gt;0,MAX(阵法升星!$D$65,1),0))))</f>
        <v>0</v>
      </c>
      <c r="N39" s="8">
        <f>IF($C39&lt;=$B$1,0,求节点(阵旗升级!$E$5:$E$24,阵旗升级!$C$5:$C$24,投放验证!AM26/M39))</f>
        <v>0</v>
      </c>
      <c r="O39" s="8">
        <f>IF(C39&lt;=$B$1,0,投放验证!AS26)</f>
        <v>0</v>
      </c>
      <c r="P39" s="8">
        <f>阵旗升级!Q24</f>
        <v>0</v>
      </c>
    </row>
    <row r="40" spans="2:16" x14ac:dyDescent="0.15">
      <c r="C40" s="8">
        <v>20</v>
      </c>
      <c r="D40" s="8">
        <f>求节点(节奏总纲!$O$4:$O$163,节奏总纲!$Q$4:$Q$163,$C40)</f>
        <v>2.6036999999999999</v>
      </c>
      <c r="E40" s="8">
        <f>MIN(IF($C40&lt;=$B$1,0,投放验证!AD27),E$9)</f>
        <v>0</v>
      </c>
      <c r="F40" s="8">
        <f>MIN(IF($C40&lt;=$B$1,0,投放验证!AE27),F$9)</f>
        <v>0</v>
      </c>
      <c r="G40" s="8">
        <f>MIN(IF($C40&lt;=$B$1,0,投放验证!AF27),G$9)</f>
        <v>0</v>
      </c>
      <c r="H40" s="8">
        <f>MIN(IF($C40&lt;=$B$1,0,投放验证!AG27),H$9)</f>
        <v>0</v>
      </c>
      <c r="I40" s="8">
        <f>MIN(IF($C40&lt;=$B$1,0,MAX(投放验证!AD27/E40-1,0)),阵法升星!D$13)</f>
        <v>0</v>
      </c>
      <c r="J40" s="8">
        <f>MIN(IF($C40&lt;=$B$1,0,MAX(投放验证!AE27/F40-1,0)),阵法升星!E$13)</f>
        <v>0</v>
      </c>
      <c r="K40" s="8">
        <f>MIN(IF($C40&lt;=$B$1,0,MAX(投放验证!AF27/G40-1,0)),阵法升星!F$13)</f>
        <v>0</v>
      </c>
      <c r="L40" s="8">
        <f>MIN(IF($C40&lt;=$B$1,0,MAX(IFERROR(投放验证!AG27/H40,0)-1,0)),阵法升星!G$13)</f>
        <v>0</v>
      </c>
      <c r="M40" s="8">
        <f>IF(H40&gt;=1,阵法升星!$G$65,IF(G40&gt;1,阵法升星!$F$65,IF(F40&gt;1,阵法升星!$E$65,IF(E40&gt;0,MAX(阵法升星!$D$65,1),0))))</f>
        <v>0</v>
      </c>
      <c r="N40" s="8">
        <f>IF($C40&lt;=$B$1,0,求节点(阵旗升级!$E$5:$E$24,阵旗升级!$C$5:$C$24,投放验证!AM27/M40))</f>
        <v>0</v>
      </c>
      <c r="O40" s="8">
        <f>IF(C40&lt;=$B$1,0,投放验证!AS27)</f>
        <v>0</v>
      </c>
      <c r="P40" s="8">
        <f>阵旗升级!Q25</f>
        <v>0</v>
      </c>
    </row>
    <row r="41" spans="2:16" x14ac:dyDescent="0.15">
      <c r="C41" s="8">
        <v>30</v>
      </c>
      <c r="D41" s="8">
        <f>求节点(节奏总纲!$O$4:$O$163,节奏总纲!$Q$4:$Q$163,$C41)</f>
        <v>6.1025999999999998</v>
      </c>
      <c r="E41" s="8">
        <f>MIN(IF($C41&lt;=$B$1,0,投放验证!AD28),E$9)</f>
        <v>0</v>
      </c>
      <c r="F41" s="8">
        <f>MIN(IF($C41&lt;=$B$1,0,投放验证!AE28),F$9)</f>
        <v>0</v>
      </c>
      <c r="G41" s="8">
        <f>MIN(IF($C41&lt;=$B$1,0,投放验证!AF28),G$9)</f>
        <v>0</v>
      </c>
      <c r="H41" s="8">
        <f>MIN(IF($C41&lt;=$B$1,0,投放验证!AG28),H$9)</f>
        <v>0</v>
      </c>
      <c r="I41" s="8">
        <f>MIN(IF($C41&lt;=$B$1,0,MAX(投放验证!AD28/E41-1,0)),阵法升星!D$13)</f>
        <v>0</v>
      </c>
      <c r="J41" s="8">
        <f>MIN(IF($C41&lt;=$B$1,0,MAX(投放验证!AE28/F41-1,0)),阵法升星!E$13)</f>
        <v>0</v>
      </c>
      <c r="K41" s="8">
        <f>MIN(IF($C41&lt;=$B$1,0,MAX(投放验证!AF28/G41-1,0)),阵法升星!F$13)</f>
        <v>0</v>
      </c>
      <c r="L41" s="8">
        <f>MIN(IF($C41&lt;=$B$1,0,MAX(IFERROR(投放验证!AG28/H41,0)-1,0)),阵法升星!G$13)</f>
        <v>0</v>
      </c>
      <c r="M41" s="8">
        <f>IF(H41&gt;=1,阵法升星!$G$65,IF(G41&gt;1,阵法升星!$F$65,IF(F41&gt;1,阵法升星!$E$65,IF(E41&gt;0,MAX(阵法升星!$D$65,1),0))))</f>
        <v>0</v>
      </c>
      <c r="N41" s="8">
        <f>IF($C41&lt;=$B$1,0,求节点(阵旗升级!$E$5:$E$24,阵旗升级!$C$5:$C$24,投放验证!AM28/M41))</f>
        <v>0</v>
      </c>
      <c r="O41" s="8">
        <f>IF(C41&lt;=$B$1,0,投放验证!AS28)</f>
        <v>0</v>
      </c>
      <c r="P41" s="8">
        <f>阵旗升级!Q26</f>
        <v>0</v>
      </c>
    </row>
    <row r="42" spans="2:16" x14ac:dyDescent="0.15">
      <c r="C42" s="8">
        <v>40</v>
      </c>
      <c r="D42" s="8">
        <f>求节点(节奏总纲!$O$4:$O$163,节奏总纲!$Q$4:$Q$163,$C42)</f>
        <v>13.059000000000001</v>
      </c>
      <c r="E42" s="8">
        <f>MIN(IF($C42&lt;=$B$1,0,投放验证!AD29),E$9)</f>
        <v>0</v>
      </c>
      <c r="F42" s="8">
        <f>MIN(IF($C42&lt;=$B$1,0,投放验证!AE29),F$9)</f>
        <v>0</v>
      </c>
      <c r="G42" s="8">
        <f>MIN(IF($C42&lt;=$B$1,0,投放验证!AF29),G$9)</f>
        <v>0</v>
      </c>
      <c r="H42" s="8">
        <f>MIN(IF($C42&lt;=$B$1,0,投放验证!AG29),H$9)</f>
        <v>0</v>
      </c>
      <c r="I42" s="8">
        <f>MIN(IF($C42&lt;=$B$1,0,MAX(投放验证!AD29/E42-1,0)),阵法升星!D$13)</f>
        <v>0</v>
      </c>
      <c r="J42" s="8">
        <f>MIN(IF($C42&lt;=$B$1,0,MAX(投放验证!AE29/F42-1,0)),阵法升星!E$13)</f>
        <v>0</v>
      </c>
      <c r="K42" s="8">
        <f>MIN(IF($C42&lt;=$B$1,0,MAX(投放验证!AF29/G42-1,0)),阵法升星!F$13)</f>
        <v>0</v>
      </c>
      <c r="L42" s="8">
        <f>MIN(IF($C42&lt;=$B$1,0,MAX(IFERROR(投放验证!AG29/H42,0)-1,0)),阵法升星!G$13)</f>
        <v>0</v>
      </c>
      <c r="M42" s="8">
        <f>IF(H42&gt;=1,阵法升星!$G$65,IF(G42&gt;1,阵法升星!$F$65,IF(F42&gt;1,阵法升星!$E$65,IF(E42&gt;0,MAX(阵法升星!$D$65,1),0))))</f>
        <v>0</v>
      </c>
      <c r="N42" s="8">
        <f>IF($C42&lt;=$B$1,0,求节点(阵旗升级!$E$5:$E$24,阵旗升级!$C$5:$C$24,投放验证!AM29/M42))</f>
        <v>0</v>
      </c>
      <c r="O42" s="8">
        <f>IF(C42&lt;=$B$1,0,投放验证!AS29)</f>
        <v>0</v>
      </c>
      <c r="P42" s="8">
        <f>阵旗升级!Q27</f>
        <v>0</v>
      </c>
    </row>
    <row r="43" spans="2:16" x14ac:dyDescent="0.15">
      <c r="C43" s="8">
        <v>50</v>
      </c>
      <c r="D43" s="8">
        <f>求节点(节奏总纲!$O$4:$O$163,节奏总纲!$Q$4:$Q$163,$C43)</f>
        <v>27.0351</v>
      </c>
      <c r="E43" s="8">
        <f>MIN(IF($C43&lt;=$B$1,0,投放验证!AD30),E$9)</f>
        <v>0</v>
      </c>
      <c r="F43" s="8">
        <f>MIN(IF($C43&lt;=$B$1,0,投放验证!AE30),F$9)</f>
        <v>0</v>
      </c>
      <c r="G43" s="8">
        <f>MIN(IF($C43&lt;=$B$1,0,投放验证!AF30),G$9)</f>
        <v>0</v>
      </c>
      <c r="H43" s="8">
        <f>MIN(IF($C43&lt;=$B$1,0,投放验证!AG30),H$9)</f>
        <v>0</v>
      </c>
      <c r="I43" s="8">
        <f>MIN(IF($C43&lt;=$B$1,0,MAX(投放验证!AD30/E43-1,0)),阵法升星!D$13)</f>
        <v>0</v>
      </c>
      <c r="J43" s="8">
        <f>MIN(IF($C43&lt;=$B$1,0,MAX(投放验证!AE30/F43-1,0)),阵法升星!E$13)</f>
        <v>0</v>
      </c>
      <c r="K43" s="8">
        <f>MIN(IF($C43&lt;=$B$1,0,MAX(投放验证!AF30/G43-1,0)),阵法升星!F$13)</f>
        <v>0</v>
      </c>
      <c r="L43" s="8">
        <f>MIN(IF($C43&lt;=$B$1,0,MAX(IFERROR(投放验证!AG30/H43,0)-1,0)),阵法升星!G$13)</f>
        <v>0</v>
      </c>
      <c r="M43" s="8">
        <f>IF(H43&gt;=1,阵法升星!$G$65,IF(G43&gt;1,阵法升星!$F$65,IF(F43&gt;1,阵法升星!$E$65,IF(E43&gt;0,MAX(阵法升星!$D$65,1),0))))</f>
        <v>0</v>
      </c>
      <c r="N43" s="8">
        <f>IF($C43&lt;=$B$1,0,求节点(阵旗升级!$E$5:$E$24,阵旗升级!$C$5:$C$24,投放验证!AM30/M43))</f>
        <v>0</v>
      </c>
      <c r="O43" s="8">
        <f>IF(C43&lt;=$B$1,0,投放验证!AS30)</f>
        <v>0</v>
      </c>
      <c r="P43" s="8">
        <f>阵旗升级!Q28</f>
        <v>0</v>
      </c>
    </row>
    <row r="44" spans="2:16" x14ac:dyDescent="0.15">
      <c r="C44" s="8">
        <v>60</v>
      </c>
      <c r="D44" s="8">
        <f>求节点(节奏总纲!$O$4:$O$163,节奏总纲!$Q$4:$Q$163,$C44)</f>
        <v>54.589500000000001</v>
      </c>
      <c r="E44" s="8">
        <f>MIN(IF($C44&lt;=$B$1,0,投放验证!AD31),E$9)</f>
        <v>0</v>
      </c>
      <c r="F44" s="8">
        <f>MIN(IF($C44&lt;=$B$1,0,投放验证!AE31),F$9)</f>
        <v>0</v>
      </c>
      <c r="G44" s="8">
        <f>MIN(IF($C44&lt;=$B$1,0,投放验证!AF31),G$9)</f>
        <v>0</v>
      </c>
      <c r="H44" s="8">
        <f>MIN(IF($C44&lt;=$B$1,0,投放验证!AG31),H$9)</f>
        <v>0</v>
      </c>
      <c r="I44" s="8">
        <f>MIN(IF($C44&lt;=$B$1,0,MAX(投放验证!AD31/E44-1,0)),阵法升星!D$13)</f>
        <v>0</v>
      </c>
      <c r="J44" s="8">
        <f>MIN(IF($C44&lt;=$B$1,0,MAX(投放验证!AE31/F44-1,0)),阵法升星!E$13)</f>
        <v>0</v>
      </c>
      <c r="K44" s="8">
        <f>MIN(IF($C44&lt;=$B$1,0,MAX(投放验证!AF31/G44-1,0)),阵法升星!F$13)</f>
        <v>0</v>
      </c>
      <c r="L44" s="8">
        <f>MIN(IF($C44&lt;=$B$1,0,MAX(IFERROR(投放验证!AG31/H44,0)-1,0)),阵法升星!G$13)</f>
        <v>0</v>
      </c>
      <c r="M44" s="8">
        <f>IF(H44&gt;=1,阵法升星!$G$65,IF(G44&gt;1,阵法升星!$F$65,IF(F44&gt;1,阵法升星!$E$65,IF(E44&gt;0,MAX(阵法升星!$D$65,1),0))))</f>
        <v>0</v>
      </c>
      <c r="N44" s="8">
        <f>IF($C44&lt;=$B$1,0,求节点(阵旗升级!$E$5:$E$24,阵旗升级!$C$5:$C$24,投放验证!AM31/M44))</f>
        <v>0</v>
      </c>
      <c r="O44" s="8">
        <f>IF(C44&lt;=$B$1,0,投放验证!AS31)</f>
        <v>0</v>
      </c>
      <c r="P44" s="8">
        <f>阵旗升级!Q29</f>
        <v>0</v>
      </c>
    </row>
    <row r="45" spans="2:16" x14ac:dyDescent="0.15">
      <c r="C45" s="8">
        <v>70</v>
      </c>
      <c r="D45" s="8">
        <f>求节点(节奏总纲!$O$4:$O$163,节奏总纲!$Q$4:$Q$163,$C45)</f>
        <v>109.9693</v>
      </c>
      <c r="E45" s="8">
        <f>MIN(IF($C45&lt;=$B$1,0,投放验证!AD32),E$9)</f>
        <v>2</v>
      </c>
      <c r="F45" s="8">
        <f>MIN(IF($C45&lt;=$B$1,0,投放验证!AE32),F$9)</f>
        <v>6</v>
      </c>
      <c r="G45" s="8">
        <f>MIN(IF($C45&lt;=$B$1,0,投放验证!AF32),G$9)</f>
        <v>7.2677741019546662</v>
      </c>
      <c r="H45" s="8">
        <f>MIN(IF($C45&lt;=$B$1,0,投放验证!AG32),H$9)</f>
        <v>0</v>
      </c>
      <c r="I45" s="8">
        <f>MIN(IF($C45&lt;=$B$1,0,MAX(投放验证!AD32/E45-1,0)),阵法升星!D$13)</f>
        <v>3</v>
      </c>
      <c r="J45" s="8">
        <f>MIN(IF($C45&lt;=$B$1,0,MAX(投放验证!AE32/F45-1,0)),阵法升星!E$13)</f>
        <v>3.2607287818265087</v>
      </c>
      <c r="K45" s="8">
        <f>MIN(IF($C45&lt;=$B$1,0,MAX(投放验证!AF32/G45-1,0)),阵法升星!F$13)</f>
        <v>0</v>
      </c>
      <c r="L45" s="8">
        <f>MIN(IF($C45&lt;=$B$1,0,MAX(IFERROR(投放验证!AG32/H45,0)-1,0)),阵法升星!G$13)</f>
        <v>0</v>
      </c>
      <c r="M45" s="8">
        <f>IF(H45&gt;=1,阵法升星!$G$65,IF(G45&gt;1,阵法升星!$F$65,IF(F45&gt;1,阵法升星!$E$65,IF(E45&gt;0,MAX(阵法升星!$D$65,1),0))))</f>
        <v>7</v>
      </c>
      <c r="N45" s="8">
        <f>IF($C45&lt;=$B$1,0,求节点(阵旗升级!$E$5:$E$24,阵旗升级!$C$5:$C$24,投放验证!AM32/M45))</f>
        <v>9.1631354986202602</v>
      </c>
      <c r="O45" s="8">
        <f>IF(C45&lt;=$B$1,0,投放验证!AS32)</f>
        <v>419.1083065460524</v>
      </c>
      <c r="P45" s="8">
        <f>阵旗升级!Q30</f>
        <v>0.30995104912537236</v>
      </c>
    </row>
    <row r="46" spans="2:16" x14ac:dyDescent="0.15">
      <c r="C46" s="8">
        <v>80</v>
      </c>
      <c r="D46" s="8">
        <f>求节点(节奏总纲!$O$4:$O$163,节奏总纲!$Q$4:$Q$163,$C46)</f>
        <v>221.08500000000001</v>
      </c>
      <c r="E46" s="8">
        <f>MIN(IF($C46&lt;=$B$1,0,投放验证!AD33),E$9)</f>
        <v>2</v>
      </c>
      <c r="F46" s="8">
        <f>MIN(IF($C46&lt;=$B$1,0,投放验证!AE33),F$9)</f>
        <v>6</v>
      </c>
      <c r="G46" s="8">
        <f>MIN(IF($C46&lt;=$B$1,0,投放验证!AF33),G$9)</f>
        <v>10</v>
      </c>
      <c r="H46" s="8">
        <f>MIN(IF($C46&lt;=$B$1,0,投放验证!AG33),H$9)</f>
        <v>0.31328898164807034</v>
      </c>
      <c r="I46" s="8">
        <f>MIN(IF($C46&lt;=$B$1,0,MAX(投放验证!AD33/E46-1,0)),阵法升星!D$13)</f>
        <v>3</v>
      </c>
      <c r="J46" s="8">
        <f>MIN(IF($C46&lt;=$B$1,0,MAX(投放验证!AE33/F46-1,0)),阵法升星!E$13)</f>
        <v>5</v>
      </c>
      <c r="K46" s="8">
        <f>MIN(IF($C46&lt;=$B$1,0,MAX(投放验证!AF33/G46-1,0)),阵法升星!F$13)</f>
        <v>0.85739448654775119</v>
      </c>
      <c r="L46" s="8">
        <f>MIN(IF($C46&lt;=$B$1,0,MAX(IFERROR(投放验证!AG33/H46,0)-1,0)),阵法升星!G$13)</f>
        <v>0</v>
      </c>
      <c r="M46" s="8">
        <f>IF(H46&gt;=1,阵法升星!$G$65,IF(G46&gt;1,阵法升星!$F$65,IF(F46&gt;1,阵法升星!$E$65,IF(E46&gt;0,MAX(阵法升星!$D$65,1),0))))</f>
        <v>7</v>
      </c>
      <c r="N46" s="8">
        <f>IF($C46&lt;=$B$1,0,求节点(阵旗升级!$E$5:$E$24,阵旗升级!$C$5:$C$24,投放验证!AM33/M46))</f>
        <v>11.154348646818326</v>
      </c>
      <c r="O46" s="8">
        <f>IF(C46&lt;=$B$1,0,投放验证!AS33)</f>
        <v>1115.306043541764</v>
      </c>
      <c r="P46" s="8">
        <f>阵旗升级!Q31</f>
        <v>0.32750023010163282</v>
      </c>
    </row>
    <row r="47" spans="2:16" x14ac:dyDescent="0.15">
      <c r="C47" s="8">
        <v>90</v>
      </c>
      <c r="D47" s="8">
        <f>求节点(节奏总纲!$O$4:$O$163,节奏总纲!$Q$4:$Q$163,$C47)</f>
        <v>438.13140000000004</v>
      </c>
      <c r="E47" s="8">
        <f>MIN(IF($C47&lt;=$B$1,0,投放验证!AD34),E$9)</f>
        <v>2</v>
      </c>
      <c r="F47" s="8">
        <f>MIN(IF($C47&lt;=$B$1,0,投放验证!AE34),F$9)</f>
        <v>6</v>
      </c>
      <c r="G47" s="8">
        <f>MIN(IF($C47&lt;=$B$1,0,投放验证!AF34),G$9)</f>
        <v>10</v>
      </c>
      <c r="H47" s="8">
        <f>MIN(IF($C47&lt;=$B$1,0,投放验证!AG34),H$9)</f>
        <v>1</v>
      </c>
      <c r="I47" s="8">
        <f>MIN(IF($C47&lt;=$B$1,0,MAX(投放验证!AD34/E47-1,0)),阵法升星!D$13)</f>
        <v>3</v>
      </c>
      <c r="J47" s="8">
        <f>MIN(IF($C47&lt;=$B$1,0,MAX(投放验证!AE34/F47-1,0)),阵法升星!E$13)</f>
        <v>5</v>
      </c>
      <c r="K47" s="8">
        <f>MIN(IF($C47&lt;=$B$1,0,MAX(投放验证!AF34/G47-1,0)),阵法升星!F$13)</f>
        <v>2.7687373150996279</v>
      </c>
      <c r="L47" s="8">
        <f>MIN(IF($C47&lt;=$B$1,0,MAX(IFERROR(投放验证!AG34/H47,0)-1,0)),阵法升星!G$13)</f>
        <v>0.44958557731636861</v>
      </c>
      <c r="M47" s="8">
        <f>IF(H47&gt;=1,阵法升星!$G$65,IF(G47&gt;1,阵法升星!$F$65,IF(F47&gt;1,阵法升星!$E$65,IF(E47&gt;0,MAX(阵法升星!$D$65,1),0))))</f>
        <v>10</v>
      </c>
      <c r="N47" s="8">
        <f>IF($C47&lt;=$B$1,0,求节点(阵旗升级!$E$5:$E$24,阵旗升级!$C$5:$C$24,投放验证!AM34/M47))</f>
        <v>11.706106845808883</v>
      </c>
      <c r="O47" s="8">
        <f>IF(C47&lt;=$B$1,0,投放验证!AS34)</f>
        <v>2377.8578165065396</v>
      </c>
      <c r="P47" s="8">
        <f>阵旗升级!Q32</f>
        <v>0.37086173761192309</v>
      </c>
    </row>
    <row r="48" spans="2:16" x14ac:dyDescent="0.15">
      <c r="C48" s="8">
        <v>100</v>
      </c>
      <c r="D48" s="8">
        <f>求节点(节奏总纲!$O$4:$O$163,节奏总纲!$Q$4:$Q$163,$C48)</f>
        <v>875.38110000000006</v>
      </c>
      <c r="E48" s="8">
        <f>MIN(IF($C48&lt;=$B$1,0,投放验证!AD35),E$9)</f>
        <v>2</v>
      </c>
      <c r="F48" s="8">
        <f>MIN(IF($C48&lt;=$B$1,0,投放验证!AE35),F$9)</f>
        <v>6</v>
      </c>
      <c r="G48" s="8">
        <f>MIN(IF($C48&lt;=$B$1,0,投放验证!AF35),G$9)</f>
        <v>10</v>
      </c>
      <c r="H48" s="8">
        <f>MIN(IF($C48&lt;=$B$1,0,投放验证!AG35),H$9)</f>
        <v>1</v>
      </c>
      <c r="I48" s="8">
        <f>MIN(IF($C48&lt;=$B$1,0,MAX(投放验证!AD35/E48-1,0)),阵法升星!D$13)</f>
        <v>3</v>
      </c>
      <c r="J48" s="8">
        <f>MIN(IF($C48&lt;=$B$1,0,MAX(投放验证!AE35/F48-1,0)),阵法升星!E$13)</f>
        <v>5</v>
      </c>
      <c r="K48" s="8">
        <f>MIN(IF($C48&lt;=$B$1,0,MAX(投放验证!AF35/G48-1,0)),阵法升星!F$13)</f>
        <v>6.1218322292574756</v>
      </c>
      <c r="L48" s="8">
        <f>MIN(IF($C48&lt;=$B$1,0,MAX(IFERROR(投放验证!AG35/H48,0)-1,0)),阵法升星!G$13)</f>
        <v>3.6742729036559405</v>
      </c>
      <c r="M48" s="8">
        <f>IF(H48&gt;=1,阵法升星!$G$65,IF(G48&gt;1,阵法升星!$F$65,IF(F48&gt;1,阵法升星!$E$65,IF(E48&gt;0,MAX(阵法升星!$D$65,1),0))))</f>
        <v>10</v>
      </c>
      <c r="N48" s="8">
        <f>IF($C48&lt;=$B$1,0,求节点(阵旗升级!$E$5:$E$24,阵旗升级!$C$5:$C$24,投放验证!AM35/M48))</f>
        <v>12.348646765220623</v>
      </c>
      <c r="O48" s="8">
        <f>IF(C48&lt;=$B$1,0,投放验证!AS35)</f>
        <v>4766.5150952765935</v>
      </c>
      <c r="P48" s="8">
        <f>阵旗升级!Q33</f>
        <v>0.50671719309661556</v>
      </c>
    </row>
    <row r="49" spans="2:16" x14ac:dyDescent="0.15">
      <c r="C49" s="8">
        <v>110</v>
      </c>
      <c r="D49" s="8">
        <f>求节点(节奏总纲!$O$4:$O$163,节奏总纲!$Q$4:$Q$163,$C49)</f>
        <v>1741.3829000000001</v>
      </c>
      <c r="E49" s="8">
        <f>MIN(IF($C49&lt;=$B$1,0,投放验证!AD36),E$9)</f>
        <v>2</v>
      </c>
      <c r="F49" s="8">
        <f>MIN(IF($C49&lt;=$B$1,0,投放验证!AE36),F$9)</f>
        <v>6</v>
      </c>
      <c r="G49" s="8">
        <f>MIN(IF($C49&lt;=$B$1,0,投放验证!AF36),G$9)</f>
        <v>10</v>
      </c>
      <c r="H49" s="8">
        <f>MIN(IF($C49&lt;=$B$1,0,投放验证!AG36),H$9)</f>
        <v>1</v>
      </c>
      <c r="I49" s="8">
        <f>MIN(IF($C49&lt;=$B$1,0,MAX(投放验证!AD36/E49-1,0)),阵法升星!D$13)</f>
        <v>3</v>
      </c>
      <c r="J49" s="8">
        <f>MIN(IF($C49&lt;=$B$1,0,MAX(投放验证!AE36/F49-1,0)),阵法升星!E$13)</f>
        <v>5</v>
      </c>
      <c r="K49" s="8">
        <f>MIN(IF($C49&lt;=$B$1,0,MAX(投放验证!AF36/G49-1,0)),阵法升星!F$13)</f>
        <v>7</v>
      </c>
      <c r="L49" s="8">
        <f>MIN(IF($C49&lt;=$B$1,0,MAX(IFERROR(投放验证!AG36/H49,0)-1,0)),阵法升星!G$13)</f>
        <v>7</v>
      </c>
      <c r="M49" s="8">
        <f>IF(H49&gt;=1,阵法升星!$G$65,IF(G49&gt;1,阵法升星!$F$65,IF(F49&gt;1,阵法升星!$E$65,IF(E49&gt;0,MAX(阵法升星!$D$65,1),0))))</f>
        <v>10</v>
      </c>
      <c r="N49" s="8">
        <f>IF($C49&lt;=$B$1,0,求节点(阵旗升级!$E$5:$E$24,阵旗升级!$C$5:$C$24,投放验证!AM36/M49))</f>
        <v>13.036831415251692</v>
      </c>
      <c r="O49" s="8">
        <f>IF(C49&lt;=$B$1,0,投放验证!AS36)</f>
        <v>9268.6366114029061</v>
      </c>
      <c r="P49" s="8">
        <f>阵旗升级!Q34</f>
        <v>0.88482578849515914</v>
      </c>
    </row>
    <row r="50" spans="2:16" x14ac:dyDescent="0.15">
      <c r="C50" s="8">
        <v>120</v>
      </c>
      <c r="D50" s="8">
        <f>求节点(节奏总纲!$O$4:$O$163,节奏总纲!$Q$4:$Q$163,$C50)</f>
        <v>3486.0735</v>
      </c>
      <c r="E50" s="8">
        <f>MIN(IF($C50&lt;=$B$1,0,投放验证!AD37),E$9)</f>
        <v>2</v>
      </c>
      <c r="F50" s="8">
        <f>MIN(IF($C50&lt;=$B$1,0,投放验证!AE37),F$9)</f>
        <v>6</v>
      </c>
      <c r="G50" s="8">
        <f>MIN(IF($C50&lt;=$B$1,0,投放验证!AF37),G$9)</f>
        <v>10</v>
      </c>
      <c r="H50" s="8">
        <f>MIN(IF($C50&lt;=$B$1,0,投放验证!AG37),H$9)</f>
        <v>1</v>
      </c>
      <c r="I50" s="8">
        <f>MIN(IF($C50&lt;=$B$1,0,MAX(投放验证!AD37/E50-1,0)),阵法升星!D$13)</f>
        <v>3</v>
      </c>
      <c r="J50" s="8">
        <f>MIN(IF($C50&lt;=$B$1,0,MAX(投放验证!AE37/F50-1,0)),阵法升星!E$13)</f>
        <v>5</v>
      </c>
      <c r="K50" s="8">
        <f>MIN(IF($C50&lt;=$B$1,0,MAX(投放验证!AF37/G50-1,0)),阵法升星!F$13)</f>
        <v>7</v>
      </c>
      <c r="L50" s="8">
        <f>MIN(IF($C50&lt;=$B$1,0,MAX(IFERROR(投放验证!AG37/H50,0)-1,0)),阵法升星!G$13)</f>
        <v>7</v>
      </c>
      <c r="M50" s="8">
        <f>IF(H50&gt;=1,阵法升星!$G$65,IF(G50&gt;1,阵法升星!$F$65,IF(F50&gt;1,阵法升星!$E$65,IF(E50&gt;0,MAX(阵法升星!$D$65,1),0))))</f>
        <v>10</v>
      </c>
      <c r="N50" s="8">
        <f>IF($C50&lt;=$B$1,0,求节点(阵旗升级!$E$5:$E$24,阵旗升级!$C$5:$C$24,投放验证!AM37/M50))</f>
        <v>13.376030699739134</v>
      </c>
      <c r="O50" s="8">
        <f>IF(C50&lt;=$B$1,0,投放验证!AS37)</f>
        <v>18007.723010593221</v>
      </c>
      <c r="P50" s="8">
        <f>阵旗升级!Q35</f>
        <v>0.99985759973525989</v>
      </c>
    </row>
    <row r="51" spans="2:16" x14ac:dyDescent="0.15">
      <c r="C51" s="8">
        <v>130</v>
      </c>
      <c r="D51" s="8">
        <f>求节点(节奏总纲!$O$4:$O$163,节奏总纲!$Q$4:$Q$163,$C51)</f>
        <v>6941.8725000000004</v>
      </c>
      <c r="E51" s="8">
        <f>MIN(IF($C51&lt;=$B$1,0,投放验证!AD38),E$9)</f>
        <v>2</v>
      </c>
      <c r="F51" s="8">
        <f>MIN(IF($C51&lt;=$B$1,0,投放验证!AE38),F$9)</f>
        <v>6</v>
      </c>
      <c r="G51" s="8">
        <f>MIN(IF($C51&lt;=$B$1,0,投放验证!AF38),G$9)</f>
        <v>10</v>
      </c>
      <c r="H51" s="8">
        <f>MIN(IF($C51&lt;=$B$1,0,投放验证!AG38),H$9)</f>
        <v>1</v>
      </c>
      <c r="I51" s="8">
        <f>MIN(IF($C51&lt;=$B$1,0,MAX(投放验证!AD38/E51-1,0)),阵法升星!D$13)</f>
        <v>3</v>
      </c>
      <c r="J51" s="8">
        <f>MIN(IF($C51&lt;=$B$1,0,MAX(投放验证!AE38/F51-1,0)),阵法升星!E$13)</f>
        <v>5</v>
      </c>
      <c r="K51" s="8">
        <f>MIN(IF($C51&lt;=$B$1,0,MAX(投放验证!AF38/G51-1,0)),阵法升星!F$13)</f>
        <v>7</v>
      </c>
      <c r="L51" s="8">
        <f>MIN(IF($C51&lt;=$B$1,0,MAX(IFERROR(投放验证!AG38/H51,0)-1,0)),阵法升星!G$13)</f>
        <v>7</v>
      </c>
      <c r="M51" s="8">
        <f>IF(H51&gt;=1,阵法升星!$G$65,IF(G51&gt;1,阵法升星!$F$65,IF(F51&gt;1,阵法升星!$E$65,IF(E51&gt;0,MAX(阵法升星!$D$65,1),0))))</f>
        <v>10</v>
      </c>
      <c r="N51" s="8">
        <f>IF($C51&lt;=$B$1,0,求节点(阵旗升级!$E$5:$E$24,阵旗升级!$C$5:$C$24,投放验证!AM38/M51))</f>
        <v>14.009238915960148</v>
      </c>
      <c r="O51" s="8">
        <f>IF(C51&lt;=$B$1,0,投放验证!AS38)</f>
        <v>34831.057437090225</v>
      </c>
      <c r="P51" s="8">
        <f>阵旗升级!Q36</f>
        <v>0.99985759973525989</v>
      </c>
    </row>
    <row r="52" spans="2:16" x14ac:dyDescent="0.15">
      <c r="C52" s="8">
        <v>140</v>
      </c>
      <c r="D52" s="8">
        <f>求节点(节奏总纲!$O$4:$O$163,节奏总纲!$Q$4:$Q$163,$C52)</f>
        <v>13881.315900000001</v>
      </c>
      <c r="E52" s="8">
        <f>MIN(IF($C52&lt;=$B$1,0,投放验证!AD39),E$9)</f>
        <v>2</v>
      </c>
      <c r="F52" s="8">
        <f>MIN(IF($C52&lt;=$B$1,0,投放验证!AE39),F$9)</f>
        <v>6</v>
      </c>
      <c r="G52" s="8">
        <f>MIN(IF($C52&lt;=$B$1,0,投放验证!AF39),G$9)</f>
        <v>10</v>
      </c>
      <c r="H52" s="8">
        <f>MIN(IF($C52&lt;=$B$1,0,投放验证!AG39),H$9)</f>
        <v>1</v>
      </c>
      <c r="I52" s="8">
        <f>MIN(IF($C52&lt;=$B$1,0,MAX(投放验证!AD39/E52-1,0)),阵法升星!D$13)</f>
        <v>3</v>
      </c>
      <c r="J52" s="8">
        <f>MIN(IF($C52&lt;=$B$1,0,MAX(投放验证!AE39/F52-1,0)),阵法升星!E$13)</f>
        <v>5</v>
      </c>
      <c r="K52" s="8">
        <f>MIN(IF($C52&lt;=$B$1,0,MAX(投放验证!AF39/G52-1,0)),阵法升星!F$13)</f>
        <v>7</v>
      </c>
      <c r="L52" s="8">
        <f>MIN(IF($C52&lt;=$B$1,0,MAX(IFERROR(投放验证!AG39/H52,0)-1,0)),阵法升星!G$13)</f>
        <v>7</v>
      </c>
      <c r="M52" s="8">
        <f>IF(H52&gt;=1,阵法升星!$G$65,IF(G52&gt;1,阵法升星!$F$65,IF(F52&gt;1,阵法升星!$E$65,IF(E52&gt;0,MAX(阵法升星!$D$65,1),0))))</f>
        <v>10</v>
      </c>
      <c r="N52" s="8">
        <f>IF($C52&lt;=$B$1,0,求节点(阵旗升级!$E$5:$E$24,阵旗升级!$C$5:$C$24,投放验证!AM39/M52))</f>
        <v>14.236274414165461</v>
      </c>
      <c r="O52" s="8">
        <f>IF(C52&lt;=$B$1,0,投放验证!AS39)</f>
        <v>67875.792024864364</v>
      </c>
      <c r="P52" s="8">
        <f>阵旗升级!Q37</f>
        <v>0.99985759973525989</v>
      </c>
    </row>
    <row r="53" spans="2:16" x14ac:dyDescent="0.15">
      <c r="C53" s="8">
        <v>150</v>
      </c>
      <c r="D53" s="8">
        <f>求节点(节奏总纲!$O$4:$O$163,节奏总纲!$Q$4:$Q$163,$C53)</f>
        <v>27671.731500000002</v>
      </c>
      <c r="E53" s="8">
        <f>MIN(IF($C53&lt;=$B$1,0,投放验证!AD40),E$9)</f>
        <v>2</v>
      </c>
      <c r="F53" s="8">
        <f>MIN(IF($C53&lt;=$B$1,0,投放验证!AE40),F$9)</f>
        <v>6</v>
      </c>
      <c r="G53" s="8">
        <f>MIN(IF($C53&lt;=$B$1,0,投放验证!AF40),G$9)</f>
        <v>10</v>
      </c>
      <c r="H53" s="8">
        <f>MIN(IF($C53&lt;=$B$1,0,投放验证!AG40),H$9)</f>
        <v>1</v>
      </c>
      <c r="I53" s="8">
        <f>MIN(IF($C53&lt;=$B$1,0,MAX(投放验证!AD40/E53-1,0)),阵法升星!D$13)</f>
        <v>3</v>
      </c>
      <c r="J53" s="8">
        <f>MIN(IF($C53&lt;=$B$1,0,MAX(投放验证!AE40/F53-1,0)),阵法升星!E$13)</f>
        <v>5</v>
      </c>
      <c r="K53" s="8">
        <f>MIN(IF($C53&lt;=$B$1,0,MAX(投放验证!AF40/G53-1,0)),阵法升星!F$13)</f>
        <v>7</v>
      </c>
      <c r="L53" s="8">
        <f>MIN(IF($C53&lt;=$B$1,0,MAX(IFERROR(投放验证!AG40/H53,0)-1,0)),阵法升星!G$13)</f>
        <v>7</v>
      </c>
      <c r="M53" s="8">
        <f>IF(H53&gt;=1,阵法升星!$G$65,IF(G53&gt;1,阵法升星!$F$65,IF(F53&gt;1,阵法升星!$E$65,IF(E53&gt;0,MAX(阵法升星!$D$65,1),0))))</f>
        <v>10</v>
      </c>
      <c r="N53" s="8">
        <f>IF($C53&lt;=$B$1,0,求节点(阵旗升级!$E$5:$E$24,阵旗升级!$C$5:$C$24,投放验证!AM40/M53))</f>
        <v>14.695404529571039</v>
      </c>
      <c r="O53" s="8">
        <f>IF(C53&lt;=$B$1,0,投放验证!AS40)</f>
        <v>132446.76804174588</v>
      </c>
      <c r="P53" s="8">
        <f>阵旗升级!Q38</f>
        <v>0.99985759973525989</v>
      </c>
    </row>
    <row r="54" spans="2:16" x14ac:dyDescent="0.15">
      <c r="C54" s="8">
        <v>160</v>
      </c>
      <c r="D54" s="8">
        <f>求节点(节奏总纲!$O$4:$O$163,节奏总纲!$Q$4:$Q$163,$C54)</f>
        <v>65535</v>
      </c>
      <c r="E54" s="8">
        <f>MIN(IF($C54&lt;=$B$1,0,投放验证!AD41),E$9)</f>
        <v>2</v>
      </c>
      <c r="F54" s="8">
        <f>MIN(IF($C54&lt;=$B$1,0,投放验证!AE41),F$9)</f>
        <v>6</v>
      </c>
      <c r="G54" s="8">
        <f>MIN(IF($C54&lt;=$B$1,0,投放验证!AF41),G$9)</f>
        <v>10</v>
      </c>
      <c r="H54" s="8">
        <f>MIN(IF($C54&lt;=$B$1,0,投放验证!AG41),H$9)</f>
        <v>1</v>
      </c>
      <c r="I54" s="8">
        <f>MIN(IF($C54&lt;=$B$1,0,MAX(投放验证!AD41/E54-1,0)),阵法升星!D$13)</f>
        <v>3</v>
      </c>
      <c r="J54" s="8">
        <f>MIN(IF($C54&lt;=$B$1,0,MAX(投放验证!AE41/F54-1,0)),阵法升星!E$13)</f>
        <v>5</v>
      </c>
      <c r="K54" s="8">
        <f>MIN(IF($C54&lt;=$B$1,0,MAX(投放验证!AF41/G54-1,0)),阵法升星!F$13)</f>
        <v>7</v>
      </c>
      <c r="L54" s="8">
        <f>MIN(IF($C54&lt;=$B$1,0,MAX(IFERROR(投放验证!AG41/H54,0)-1,0)),阵法升星!G$13)</f>
        <v>7</v>
      </c>
      <c r="M54" s="8">
        <f>IF(H54&gt;=1,阵法升星!$G$65,IF(G54&gt;1,阵法升星!$F$65,IF(F54&gt;1,阵法升星!$E$65,IF(E54&gt;0,MAX(阵法升星!$D$65,1),0))))</f>
        <v>10</v>
      </c>
      <c r="N54" s="8">
        <f>IF($C54&lt;=$B$1,0,求节点(阵旗升级!$E$5:$E$24,阵旗升级!$C$5:$C$24,投放验证!AM41/M54))</f>
        <v>15.162829274320204</v>
      </c>
      <c r="O54" s="8">
        <f>IF(C54&lt;=$B$1,0,投放验证!AS41)</f>
        <v>306988.48280682694</v>
      </c>
      <c r="P54" s="8">
        <f>阵旗升级!Q39</f>
        <v>0.99985759973525989</v>
      </c>
    </row>
    <row r="56" spans="2:16" x14ac:dyDescent="0.15">
      <c r="C56" s="8"/>
      <c r="D56" s="8"/>
      <c r="E56" s="53" t="s">
        <v>148</v>
      </c>
      <c r="F56" s="53"/>
      <c r="G56" s="53"/>
      <c r="H56" s="53"/>
      <c r="I56" s="53" t="s">
        <v>145</v>
      </c>
      <c r="J56" s="53"/>
      <c r="K56" s="53"/>
      <c r="L56" s="53"/>
      <c r="M56" s="53" t="s">
        <v>146</v>
      </c>
      <c r="N56" s="53"/>
      <c r="O56" s="53" t="s">
        <v>178</v>
      </c>
      <c r="P56" s="53"/>
    </row>
    <row r="57" spans="2:16" x14ac:dyDescent="0.15">
      <c r="B57" s="5" t="s">
        <v>129</v>
      </c>
      <c r="C57" s="8" t="s">
        <v>141</v>
      </c>
      <c r="D57" s="8" t="s">
        <v>132</v>
      </c>
      <c r="E57" s="8" t="s">
        <v>0</v>
      </c>
      <c r="F57" s="8" t="s">
        <v>1</v>
      </c>
      <c r="G57" s="8" t="s">
        <v>2</v>
      </c>
      <c r="H57" s="8" t="s">
        <v>3</v>
      </c>
      <c r="I57" s="8" t="s">
        <v>0</v>
      </c>
      <c r="J57" s="8" t="s">
        <v>1</v>
      </c>
      <c r="K57" s="8" t="s">
        <v>2</v>
      </c>
      <c r="L57" s="8" t="s">
        <v>3</v>
      </c>
      <c r="M57" s="8" t="s">
        <v>169</v>
      </c>
      <c r="N57" s="8" t="s">
        <v>171</v>
      </c>
      <c r="O57" s="8" t="s">
        <v>179</v>
      </c>
      <c r="P57" s="8" t="s">
        <v>180</v>
      </c>
    </row>
    <row r="58" spans="2:16" x14ac:dyDescent="0.15">
      <c r="C58" s="8">
        <v>10</v>
      </c>
      <c r="D58" s="8">
        <f>求节点(节奏总纲!$O$4:$O$163,节奏总纲!$R$4:$R$163,$C58)</f>
        <v>0.6895</v>
      </c>
      <c r="E58" s="8">
        <f>MIN(IF($C58&lt;=$B$1,0,投放验证!AD45),E$9)</f>
        <v>0</v>
      </c>
      <c r="F58" s="8">
        <f>MIN(IF($C58&lt;=$B$1,0,投放验证!AE45),F$9)</f>
        <v>0</v>
      </c>
      <c r="G58" s="8">
        <f>MIN(IF($C58&lt;=$B$1,0,投放验证!AF45),G$9)</f>
        <v>0</v>
      </c>
      <c r="H58" s="8">
        <f>MIN(IF($C58&lt;=$B$1,0,投放验证!AG45),H$9)</f>
        <v>0</v>
      </c>
      <c r="I58" s="8">
        <f>MIN(IF($C58&lt;=$B$1,0,MAX(投放验证!AD45/E58-1,0)),阵法升星!D$13)</f>
        <v>0</v>
      </c>
      <c r="J58" s="8">
        <f>MIN(IF($C58&lt;=$B$1,0,MAX(投放验证!AE45/F58-1,0)),阵法升星!E$13)</f>
        <v>0</v>
      </c>
      <c r="K58" s="8">
        <f>MIN(IF($C58&lt;=$B$1,0,MAX(投放验证!AF45/G58-1,0)),阵法升星!F$13)</f>
        <v>0</v>
      </c>
      <c r="L58" s="8">
        <f>MIN(IF($C58&lt;=$B$1,0,MAX(IFERROR(投放验证!AG45/H58,0)-1,0)),阵法升星!G$13)</f>
        <v>0</v>
      </c>
      <c r="M58" s="8">
        <f>IF(H58&gt;=1,阵法升星!$G$65,IF(G58&gt;1,阵法升星!$F$65,IF(F58&gt;1,阵法升星!$E$65,IF(E58&gt;0,MAX(阵法升星!$D$65,1),0))))</f>
        <v>0</v>
      </c>
      <c r="N58" s="8">
        <f>IF($C58&lt;=$B$1,0,求节点(阵旗升级!$E$5:$E$24,阵旗升级!$C$5:$C$24,投放验证!AM45/M58))</f>
        <v>0</v>
      </c>
      <c r="O58" s="8">
        <f>IF(C58&lt;=$B$1,0,投放验证!AS45)</f>
        <v>0</v>
      </c>
      <c r="P58" s="8">
        <f>阵旗升级!Q43</f>
        <v>0</v>
      </c>
    </row>
    <row r="59" spans="2:16" x14ac:dyDescent="0.15">
      <c r="C59" s="8">
        <v>20</v>
      </c>
      <c r="D59" s="8">
        <f>求节点(节奏总纲!$O$4:$O$163,节奏总纲!$R$4:$R$163,$C59)</f>
        <v>2.1372</v>
      </c>
      <c r="E59" s="8">
        <f>MIN(IF($C59&lt;=$B$1,0,投放验证!AD46),E$9)</f>
        <v>0</v>
      </c>
      <c r="F59" s="8">
        <f>MIN(IF($C59&lt;=$B$1,0,投放验证!AE46),F$9)</f>
        <v>0</v>
      </c>
      <c r="G59" s="8">
        <f>MIN(IF($C59&lt;=$B$1,0,投放验证!AF46),G$9)</f>
        <v>0</v>
      </c>
      <c r="H59" s="8">
        <f>MIN(IF($C59&lt;=$B$1,0,投放验证!AG46),H$9)</f>
        <v>0</v>
      </c>
      <c r="I59" s="8">
        <f>MIN(IF($C59&lt;=$B$1,0,MAX(投放验证!AD46/E59-1,0)),阵法升星!D$13)</f>
        <v>0</v>
      </c>
      <c r="J59" s="8">
        <f>MIN(IF($C59&lt;=$B$1,0,MAX(投放验证!AE46/F59-1,0)),阵法升星!E$13)</f>
        <v>0</v>
      </c>
      <c r="K59" s="8">
        <f>MIN(IF($C59&lt;=$B$1,0,MAX(投放验证!AF46/G59-1,0)),阵法升星!F$13)</f>
        <v>0</v>
      </c>
      <c r="L59" s="8">
        <f>MIN(IF($C59&lt;=$B$1,0,MAX(IFERROR(投放验证!AG46/H59,0)-1,0)),阵法升星!G$13)</f>
        <v>0</v>
      </c>
      <c r="M59" s="8">
        <f>IF(H59&gt;=1,阵法升星!$G$65,IF(G59&gt;1,阵法升星!$F$65,IF(F59&gt;1,阵法升星!$E$65,IF(E59&gt;0,MAX(阵法升星!$D$65,1),0))))</f>
        <v>0</v>
      </c>
      <c r="N59" s="8">
        <f>IF($C59&lt;=$B$1,0,求节点(阵旗升级!$E$5:$E$24,阵旗升级!$C$5:$C$24,投放验证!AM46/M59))</f>
        <v>0</v>
      </c>
      <c r="O59" s="8">
        <f>IF(C59&lt;=$B$1,0,投放验证!AS46)</f>
        <v>0</v>
      </c>
      <c r="P59" s="8">
        <f>阵旗升级!Q44</f>
        <v>0</v>
      </c>
    </row>
    <row r="60" spans="2:16" x14ac:dyDescent="0.15">
      <c r="C60" s="8">
        <v>30</v>
      </c>
      <c r="D60" s="8">
        <f>求节点(节奏总纲!$O$4:$O$163,节奏总纲!$R$4:$R$163,$C60)</f>
        <v>5.0421000000000005</v>
      </c>
      <c r="E60" s="8">
        <f>MIN(IF($C60&lt;=$B$1,0,投放验证!AD47),E$9)</f>
        <v>0</v>
      </c>
      <c r="F60" s="8">
        <f>MIN(IF($C60&lt;=$B$1,0,投放验证!AE47),F$9)</f>
        <v>0</v>
      </c>
      <c r="G60" s="8">
        <f>MIN(IF($C60&lt;=$B$1,0,投放验证!AF47),G$9)</f>
        <v>0</v>
      </c>
      <c r="H60" s="8">
        <f>MIN(IF($C60&lt;=$B$1,0,投放验证!AG47),H$9)</f>
        <v>0</v>
      </c>
      <c r="I60" s="8">
        <f>MIN(IF($C60&lt;=$B$1,0,MAX(投放验证!AD47/E60-1,0)),阵法升星!D$13)</f>
        <v>0</v>
      </c>
      <c r="J60" s="8">
        <f>MIN(IF($C60&lt;=$B$1,0,MAX(投放验证!AE47/F60-1,0)),阵法升星!E$13)</f>
        <v>0</v>
      </c>
      <c r="K60" s="8">
        <f>MIN(IF($C60&lt;=$B$1,0,MAX(投放验证!AF47/G60-1,0)),阵法升星!F$13)</f>
        <v>0</v>
      </c>
      <c r="L60" s="8">
        <f>MIN(IF($C60&lt;=$B$1,0,MAX(IFERROR(投放验证!AG47/H60,0)-1,0)),阵法升星!G$13)</f>
        <v>0</v>
      </c>
      <c r="M60" s="8">
        <f>IF(H60&gt;=1,阵法升星!$G$65,IF(G60&gt;1,阵法升星!$F$65,IF(F60&gt;1,阵法升星!$E$65,IF(E60&gt;0,MAX(阵法升星!$D$65,1),0))))</f>
        <v>0</v>
      </c>
      <c r="N60" s="8">
        <f>IF($C60&lt;=$B$1,0,求节点(阵旗升级!$E$5:$E$24,阵旗升级!$C$5:$C$24,投放验证!AM47/M60))</f>
        <v>0</v>
      </c>
      <c r="O60" s="8">
        <f>IF(C60&lt;=$B$1,0,投放验证!AS47)</f>
        <v>0</v>
      </c>
      <c r="P60" s="8">
        <f>阵旗升级!Q45</f>
        <v>0</v>
      </c>
    </row>
    <row r="61" spans="2:16" x14ac:dyDescent="0.15">
      <c r="C61" s="8">
        <v>40</v>
      </c>
      <c r="D61" s="8">
        <f>求节点(节奏总纲!$O$4:$O$163,节奏总纲!$R$4:$R$163,$C61)</f>
        <v>10.782</v>
      </c>
      <c r="E61" s="8">
        <f>MIN(IF($C61&lt;=$B$1,0,投放验证!AD48),E$9)</f>
        <v>0</v>
      </c>
      <c r="F61" s="8">
        <f>MIN(IF($C61&lt;=$B$1,0,投放验证!AE48),F$9)</f>
        <v>0</v>
      </c>
      <c r="G61" s="8">
        <f>MIN(IF($C61&lt;=$B$1,0,投放验证!AF48),G$9)</f>
        <v>0</v>
      </c>
      <c r="H61" s="8">
        <f>MIN(IF($C61&lt;=$B$1,0,投放验证!AG48),H$9)</f>
        <v>0</v>
      </c>
      <c r="I61" s="8">
        <f>MIN(IF($C61&lt;=$B$1,0,MAX(投放验证!AD48/E61-1,0)),阵法升星!D$13)</f>
        <v>0</v>
      </c>
      <c r="J61" s="8">
        <f>MIN(IF($C61&lt;=$B$1,0,MAX(投放验证!AE48/F61-1,0)),阵法升星!E$13)</f>
        <v>0</v>
      </c>
      <c r="K61" s="8">
        <f>MIN(IF($C61&lt;=$B$1,0,MAX(投放验证!AF48/G61-1,0)),阵法升星!F$13)</f>
        <v>0</v>
      </c>
      <c r="L61" s="8">
        <f>MIN(IF($C61&lt;=$B$1,0,MAX(IFERROR(投放验证!AG48/H61,0)-1,0)),阵法升星!G$13)</f>
        <v>0</v>
      </c>
      <c r="M61" s="8">
        <f>IF(H61&gt;=1,阵法升星!$G$65,IF(G61&gt;1,阵法升星!$F$65,IF(F61&gt;1,阵法升星!$E$65,IF(E61&gt;0,MAX(阵法升星!$D$65,1),0))))</f>
        <v>0</v>
      </c>
      <c r="N61" s="8">
        <f>IF($C61&lt;=$B$1,0,求节点(阵旗升级!$E$5:$E$24,阵旗升级!$C$5:$C$24,投放验证!AM48/M61))</f>
        <v>0</v>
      </c>
      <c r="O61" s="8">
        <f>IF(C61&lt;=$B$1,0,投放验证!AS48)</f>
        <v>0</v>
      </c>
      <c r="P61" s="8">
        <f>阵旗升级!Q46</f>
        <v>0</v>
      </c>
    </row>
    <row r="62" spans="2:16" x14ac:dyDescent="0.15">
      <c r="C62" s="8">
        <v>50</v>
      </c>
      <c r="D62" s="8">
        <f>求节点(节奏总纲!$O$4:$O$163,节奏总纲!$R$4:$R$163,$C62)</f>
        <v>22.205300000000001</v>
      </c>
      <c r="E62" s="8">
        <f>MIN(IF($C62&lt;=$B$1,0,投放验证!AD49),E$9)</f>
        <v>0</v>
      </c>
      <c r="F62" s="8">
        <f>MIN(IF($C62&lt;=$B$1,0,投放验证!AE49),F$9)</f>
        <v>0</v>
      </c>
      <c r="G62" s="8">
        <f>MIN(IF($C62&lt;=$B$1,0,投放验证!AF49),G$9)</f>
        <v>0</v>
      </c>
      <c r="H62" s="8">
        <f>MIN(IF($C62&lt;=$B$1,0,投放验证!AG49),H$9)</f>
        <v>0</v>
      </c>
      <c r="I62" s="8">
        <f>MIN(IF($C62&lt;=$B$1,0,MAX(投放验证!AD49/E62-1,0)),阵法升星!D$13)</f>
        <v>0</v>
      </c>
      <c r="J62" s="8">
        <f>MIN(IF($C62&lt;=$B$1,0,MAX(投放验证!AE49/F62-1,0)),阵法升星!E$13)</f>
        <v>0</v>
      </c>
      <c r="K62" s="8">
        <f>MIN(IF($C62&lt;=$B$1,0,MAX(投放验证!AF49/G62-1,0)),阵法升星!F$13)</f>
        <v>0</v>
      </c>
      <c r="L62" s="8">
        <f>MIN(IF($C62&lt;=$B$1,0,MAX(IFERROR(投放验证!AG49/H62,0)-1,0)),阵法升星!G$13)</f>
        <v>0</v>
      </c>
      <c r="M62" s="8">
        <f>IF(H62&gt;=1,阵法升星!$G$65,IF(G62&gt;1,阵法升星!$F$65,IF(F62&gt;1,阵法升星!$E$65,IF(E62&gt;0,MAX(阵法升星!$D$65,1),0))))</f>
        <v>0</v>
      </c>
      <c r="N62" s="8">
        <f>IF($C62&lt;=$B$1,0,求节点(阵旗升级!$E$5:$E$24,阵旗升级!$C$5:$C$24,投放验证!AM49/M62))</f>
        <v>0</v>
      </c>
      <c r="O62" s="8">
        <f>IF(C62&lt;=$B$1,0,投放验证!AS49)</f>
        <v>0</v>
      </c>
      <c r="P62" s="8">
        <f>阵旗升级!Q47</f>
        <v>0</v>
      </c>
    </row>
    <row r="63" spans="2:16" x14ac:dyDescent="0.15">
      <c r="C63" s="8">
        <v>60</v>
      </c>
      <c r="D63" s="8">
        <f>求节点(节奏总纲!$O$4:$O$163,节奏总纲!$R$4:$R$163,$C63)</f>
        <v>44.717399999999998</v>
      </c>
      <c r="E63" s="8">
        <f>MIN(IF($C63&lt;=$B$1,0,投放验证!AD50),E$9)</f>
        <v>0</v>
      </c>
      <c r="F63" s="8">
        <f>MIN(IF($C63&lt;=$B$1,0,投放验证!AE50),F$9)</f>
        <v>0</v>
      </c>
      <c r="G63" s="8">
        <f>MIN(IF($C63&lt;=$B$1,0,投放验证!AF50),G$9)</f>
        <v>0</v>
      </c>
      <c r="H63" s="8">
        <f>MIN(IF($C63&lt;=$B$1,0,投放验证!AG50),H$9)</f>
        <v>0</v>
      </c>
      <c r="I63" s="8">
        <f>MIN(IF($C63&lt;=$B$1,0,MAX(投放验证!AD50/E63-1,0)),阵法升星!D$13)</f>
        <v>0</v>
      </c>
      <c r="J63" s="8">
        <f>MIN(IF($C63&lt;=$B$1,0,MAX(投放验证!AE50/F63-1,0)),阵法升星!E$13)</f>
        <v>0</v>
      </c>
      <c r="K63" s="8">
        <f>MIN(IF($C63&lt;=$B$1,0,MAX(投放验证!AF50/G63-1,0)),阵法升星!F$13)</f>
        <v>0</v>
      </c>
      <c r="L63" s="8">
        <f>MIN(IF($C63&lt;=$B$1,0,MAX(IFERROR(投放验证!AG50/H63,0)-1,0)),阵法升星!G$13)</f>
        <v>0</v>
      </c>
      <c r="M63" s="8">
        <f>IF(H63&gt;=1,阵法升星!$G$65,IF(G63&gt;1,阵法升星!$F$65,IF(F63&gt;1,阵法升星!$E$65,IF(E63&gt;0,MAX(阵法升星!$D$65,1),0))))</f>
        <v>0</v>
      </c>
      <c r="N63" s="8">
        <f>IF($C63&lt;=$B$1,0,求节点(阵旗升级!$E$5:$E$24,阵旗升级!$C$5:$C$24,投放验证!AM50/M63))</f>
        <v>0</v>
      </c>
      <c r="O63" s="8">
        <f>IF(C63&lt;=$B$1,0,投放验证!AS50)</f>
        <v>0</v>
      </c>
      <c r="P63" s="8">
        <f>阵旗升级!Q48</f>
        <v>0</v>
      </c>
    </row>
    <row r="64" spans="2:16" x14ac:dyDescent="0.15">
      <c r="C64" s="8">
        <v>70</v>
      </c>
      <c r="D64" s="8">
        <f>求节点(节奏总纲!$O$4:$O$163,节奏总纲!$R$4:$R$163,$C64)</f>
        <v>90.106499999999997</v>
      </c>
      <c r="E64" s="8">
        <f>MIN(IF($C64&lt;=$B$1,0,投放验证!AD51),E$9)</f>
        <v>2</v>
      </c>
      <c r="F64" s="8">
        <f>MIN(IF($C64&lt;=$B$1,0,投放验证!AE51),F$9)</f>
        <v>6</v>
      </c>
      <c r="G64" s="8">
        <f>MIN(IF($C64&lt;=$B$1,0,投放验证!AF51),G$9)</f>
        <v>10</v>
      </c>
      <c r="H64" s="8">
        <f>MIN(IF($C64&lt;=$B$1,0,投放验证!AG51),H$9)</f>
        <v>0</v>
      </c>
      <c r="I64" s="8">
        <f>MIN(IF($C64&lt;=$B$1,0,MAX(投放验证!AD51/E64-1,0)),阵法升星!D$13)</f>
        <v>3</v>
      </c>
      <c r="J64" s="8">
        <f>MIN(IF($C64&lt;=$B$1,0,MAX(投放验证!AE51/F64-1,0)),阵法升星!E$13)</f>
        <v>5</v>
      </c>
      <c r="K64" s="8">
        <f>MIN(IF($C64&lt;=$B$1,0,MAX(投放验证!AF51/G64-1,0)),阵法升星!F$13)</f>
        <v>6.0032390760690779E-2</v>
      </c>
      <c r="L64" s="8">
        <f>MIN(IF($C64&lt;=$B$1,0,MAX(IFERROR(投放验证!AG51/H64,0)-1,0)),阵法升星!G$13)</f>
        <v>0</v>
      </c>
      <c r="M64" s="8">
        <f>IF(H64&gt;=1,阵法升星!$G$65,IF(G64&gt;1,阵法升星!$F$65,IF(F64&gt;1,阵法升星!$E$65,IF(E64&gt;0,MAX(阵法升星!$D$65,1),0))))</f>
        <v>7</v>
      </c>
      <c r="N64" s="8">
        <f>IF($C64&lt;=$B$1,0,求节点(阵旗升级!$E$5:$E$24,阵旗升级!$C$5:$C$24,投放验证!AM51/M64))</f>
        <v>10.065849612756482</v>
      </c>
      <c r="O64" s="8">
        <f>IF(C64&lt;=$B$1,0,投放验证!AS51)</f>
        <v>611.28534533866502</v>
      </c>
      <c r="P64" s="8">
        <f>阵旗升级!Q49</f>
        <v>0.30082459165405084</v>
      </c>
    </row>
    <row r="65" spans="2:16" x14ac:dyDescent="0.15">
      <c r="C65" s="8">
        <v>80</v>
      </c>
      <c r="D65" s="8">
        <f>求节点(节奏总纲!$O$4:$O$163,节奏总纲!$R$4:$R$163,$C65)</f>
        <v>180.33600000000001</v>
      </c>
      <c r="E65" s="8">
        <f>MIN(IF($C65&lt;=$B$1,0,投放验证!AD52),E$9)</f>
        <v>2</v>
      </c>
      <c r="F65" s="8">
        <f>MIN(IF($C65&lt;=$B$1,0,投放验证!AE52),F$9)</f>
        <v>6</v>
      </c>
      <c r="G65" s="8">
        <f>MIN(IF($C65&lt;=$B$1,0,投放验证!AF52),G$9)</f>
        <v>10</v>
      </c>
      <c r="H65" s="8">
        <f>MIN(IF($C65&lt;=$B$1,0,投放验证!AG52),H$9)</f>
        <v>0.62482245906823086</v>
      </c>
      <c r="I65" s="8">
        <f>MIN(IF($C65&lt;=$B$1,0,MAX(投放验证!AD52/E65-1,0)),阵法升星!D$13)</f>
        <v>3</v>
      </c>
      <c r="J65" s="8">
        <f>MIN(IF($C65&lt;=$B$1,0,MAX(投放验证!AE52/F65-1,0)),阵法升星!E$13)</f>
        <v>5</v>
      </c>
      <c r="K65" s="8">
        <f>MIN(IF($C65&lt;=$B$1,0,MAX(投放验证!AF52/G65-1,0)),阵法升星!F$13)</f>
        <v>1.7129827497215406</v>
      </c>
      <c r="L65" s="8">
        <f>MIN(IF($C65&lt;=$B$1,0,MAX(IFERROR(投放验证!AG52/H65,0)-1,0)),阵法升星!G$13)</f>
        <v>0</v>
      </c>
      <c r="M65" s="8">
        <f>IF(H65&gt;=1,阵法升星!$G$65,IF(G65&gt;1,阵法升星!$F$65,IF(F65&gt;1,阵法升星!$E$65,IF(E65&gt;0,MAX(阵法升星!$D$65,1),0))))</f>
        <v>7</v>
      </c>
      <c r="N65" s="8">
        <f>IF($C65&lt;=$B$1,0,求节点(阵旗升级!$E$5:$E$24,阵旗升级!$C$5:$C$24,投放验证!AM52/M65))</f>
        <v>11.625919759333025</v>
      </c>
      <c r="O65" s="8">
        <f>IF(C65&lt;=$B$1,0,投放验证!AS52)</f>
        <v>1652.6561104523832</v>
      </c>
      <c r="P65" s="8">
        <f>阵旗升级!Q50</f>
        <v>0.3693711456382458</v>
      </c>
    </row>
    <row r="66" spans="2:16" x14ac:dyDescent="0.15">
      <c r="C66" s="8">
        <v>90</v>
      </c>
      <c r="D66" s="8">
        <f>求节点(节奏总纲!$O$4:$O$163,节奏总纲!$R$4:$R$163,$C66)</f>
        <v>354.12299999999999</v>
      </c>
      <c r="E66" s="8">
        <f>MIN(IF($C66&lt;=$B$1,0,投放验证!AD53),E$9)</f>
        <v>2</v>
      </c>
      <c r="F66" s="8">
        <f>MIN(IF($C66&lt;=$B$1,0,投放验证!AE53),F$9)</f>
        <v>6</v>
      </c>
      <c r="G66" s="8">
        <f>MIN(IF($C66&lt;=$B$1,0,投放验证!AF53),G$9)</f>
        <v>10</v>
      </c>
      <c r="H66" s="8">
        <f>MIN(IF($C66&lt;=$B$1,0,投放验证!AG53),H$9)</f>
        <v>1</v>
      </c>
      <c r="I66" s="8">
        <f>MIN(IF($C66&lt;=$B$1,0,MAX(投放验证!AD53/E66-1,0)),阵法升星!D$13)</f>
        <v>3</v>
      </c>
      <c r="J66" s="8">
        <f>MIN(IF($C66&lt;=$B$1,0,MAX(投放验证!AE53/F66-1,0)),阵法升星!E$13)</f>
        <v>5</v>
      </c>
      <c r="K66" s="8">
        <f>MIN(IF($C66&lt;=$B$1,0,MAX(投放验证!AF53/G66-1,0)),阵法升星!F$13)</f>
        <v>4.4677484977570847</v>
      </c>
      <c r="L66" s="8">
        <f>MIN(IF($C66&lt;=$B$1,0,MAX(IFERROR(投放验证!AG53/H66,0)-1,0)),阵法升星!G$13)</f>
        <v>1.9197236199517747</v>
      </c>
      <c r="M66" s="8">
        <f>IF(H66&gt;=1,阵法升星!$G$65,IF(G66&gt;1,阵法升星!$F$65,IF(F66&gt;1,阵法升星!$E$65,IF(E66&gt;0,MAX(阵法升星!$D$65,1),0))))</f>
        <v>10</v>
      </c>
      <c r="N66" s="8">
        <f>IF($C66&lt;=$B$1,0,求节点(阵旗升级!$E$5:$E$24,阵旗升级!$C$5:$C$24,投放验证!AM53/M66))</f>
        <v>12.11744536629946</v>
      </c>
      <c r="O66" s="8">
        <f>IF(C66&lt;=$B$1,0,投放验证!AS53)</f>
        <v>3565.0737445220029</v>
      </c>
      <c r="P66" s="8">
        <f>阵旗升级!Q51</f>
        <v>0.41166610945354304</v>
      </c>
    </row>
    <row r="67" spans="2:16" x14ac:dyDescent="0.15">
      <c r="C67" s="8">
        <v>100</v>
      </c>
      <c r="D67" s="8">
        <f>求节点(节奏总纲!$O$4:$O$163,节奏总纲!$R$4:$R$163,$C67)</f>
        <v>706.6884</v>
      </c>
      <c r="E67" s="8">
        <f>MIN(IF($C67&lt;=$B$1,0,投放验证!AD54),E$9)</f>
        <v>2</v>
      </c>
      <c r="F67" s="8">
        <f>MIN(IF($C67&lt;=$B$1,0,投放验证!AE54),F$9)</f>
        <v>6</v>
      </c>
      <c r="G67" s="8">
        <f>MIN(IF($C67&lt;=$B$1,0,投放验证!AF54),G$9)</f>
        <v>10</v>
      </c>
      <c r="H67" s="8">
        <f>MIN(IF($C67&lt;=$B$1,0,投放验证!AG54),H$9)</f>
        <v>1</v>
      </c>
      <c r="I67" s="8">
        <f>MIN(IF($C67&lt;=$B$1,0,MAX(投放验证!AD54/E67-1,0)),阵法升星!D$13)</f>
        <v>3</v>
      </c>
      <c r="J67" s="8">
        <f>MIN(IF($C67&lt;=$B$1,0,MAX(投放验证!AE54/F67-1,0)),阵法升星!E$13)</f>
        <v>5</v>
      </c>
      <c r="K67" s="8">
        <f>MIN(IF($C67&lt;=$B$1,0,MAX(投放验证!AF54/G67-1,0)),阵法升星!F$13)</f>
        <v>7</v>
      </c>
      <c r="L67" s="8">
        <f>MIN(IF($C67&lt;=$B$1,0,MAX(IFERROR(投放验证!AG54/H67,0)-1,0)),阵法升星!G$13)</f>
        <v>7</v>
      </c>
      <c r="M67" s="8">
        <f>IF(H67&gt;=1,阵法升星!$G$65,IF(G67&gt;1,阵法升星!$F$65,IF(F67&gt;1,阵法升星!$E$65,IF(E67&gt;0,MAX(阵法升星!$D$65,1),0))))</f>
        <v>10</v>
      </c>
      <c r="N67" s="8">
        <f>IF($C67&lt;=$B$1,0,求节点(阵旗升级!$E$5:$E$24,阵旗升级!$C$5:$C$24,投放验证!AM54/M67))</f>
        <v>12.775756231563891</v>
      </c>
      <c r="O67" s="8">
        <f>IF(C67&lt;=$B$1,0,投放验证!AS54)</f>
        <v>7296.7970210754229</v>
      </c>
      <c r="P67" s="8">
        <f>阵旗升级!Q52</f>
        <v>0.74487078237178606</v>
      </c>
    </row>
    <row r="68" spans="2:16" x14ac:dyDescent="0.15">
      <c r="C68" s="8">
        <v>110</v>
      </c>
      <c r="D68" s="8">
        <f>求节点(节奏总纲!$O$4:$O$163,节奏总纲!$R$4:$R$163,$C68)</f>
        <v>1397.2821999999999</v>
      </c>
      <c r="E68" s="8">
        <f>MIN(IF($C68&lt;=$B$1,0,投放验证!AD55),E$9)</f>
        <v>2</v>
      </c>
      <c r="F68" s="8">
        <f>MIN(IF($C68&lt;=$B$1,0,投放验证!AE55),F$9)</f>
        <v>6</v>
      </c>
      <c r="G68" s="8">
        <f>MIN(IF($C68&lt;=$B$1,0,投放验证!AF55),G$9)</f>
        <v>10</v>
      </c>
      <c r="H68" s="8">
        <f>MIN(IF($C68&lt;=$B$1,0,投放验证!AG55),H$9)</f>
        <v>1</v>
      </c>
      <c r="I68" s="8">
        <f>MIN(IF($C68&lt;=$B$1,0,MAX(投放验证!AD55/E68-1,0)),阵法升星!D$13)</f>
        <v>3</v>
      </c>
      <c r="J68" s="8">
        <f>MIN(IF($C68&lt;=$B$1,0,MAX(投放验证!AE55/F68-1,0)),阵法升星!E$13)</f>
        <v>5</v>
      </c>
      <c r="K68" s="8">
        <f>MIN(IF($C68&lt;=$B$1,0,MAX(投放验证!AF55/G68-1,0)),阵法升星!F$13)</f>
        <v>7</v>
      </c>
      <c r="L68" s="8">
        <f>MIN(IF($C68&lt;=$B$1,0,MAX(IFERROR(投放验证!AG55/H68,0)-1,0)),阵法升星!G$13)</f>
        <v>7</v>
      </c>
      <c r="M68" s="8">
        <f>IF(H68&gt;=1,阵法升星!$G$65,IF(G68&gt;1,阵法升星!$F$65,IF(F68&gt;1,阵法升星!$E$65,IF(E68&gt;0,MAX(阵法升星!$D$65,1),0))))</f>
        <v>10</v>
      </c>
      <c r="N68" s="8">
        <f>IF($C68&lt;=$B$1,0,求节点(阵旗升级!$E$5:$E$24,阵旗升级!$C$5:$C$24,投放验证!AM55/M68))</f>
        <v>13.217471757519299</v>
      </c>
      <c r="O68" s="8">
        <f>IF(C68&lt;=$B$1,0,投放验证!AS55)</f>
        <v>14380.066757551347</v>
      </c>
      <c r="P68" s="8">
        <f>阵旗升级!Q53</f>
        <v>0.99977975858302326</v>
      </c>
    </row>
    <row r="69" spans="2:16" x14ac:dyDescent="0.15">
      <c r="C69" s="8">
        <v>120</v>
      </c>
      <c r="D69" s="8">
        <f>求节点(节奏总纲!$O$4:$O$163,节奏总纲!$R$4:$R$163,$C69)</f>
        <v>2791.971</v>
      </c>
      <c r="E69" s="8">
        <f>MIN(IF($C69&lt;=$B$1,0,投放验证!AD56),E$9)</f>
        <v>2</v>
      </c>
      <c r="F69" s="8">
        <f>MIN(IF($C69&lt;=$B$1,0,投放验证!AE56),F$9)</f>
        <v>6</v>
      </c>
      <c r="G69" s="8">
        <f>MIN(IF($C69&lt;=$B$1,0,投放验证!AF56),G$9)</f>
        <v>10</v>
      </c>
      <c r="H69" s="8">
        <f>MIN(IF($C69&lt;=$B$1,0,投放验证!AG56),H$9)</f>
        <v>1</v>
      </c>
      <c r="I69" s="8">
        <f>MIN(IF($C69&lt;=$B$1,0,MAX(投放验证!AD56/E69-1,0)),阵法升星!D$13)</f>
        <v>3</v>
      </c>
      <c r="J69" s="8">
        <f>MIN(IF($C69&lt;=$B$1,0,MAX(投放验证!AE56/F69-1,0)),阵法升星!E$13)</f>
        <v>5</v>
      </c>
      <c r="K69" s="8">
        <f>MIN(IF($C69&lt;=$B$1,0,MAX(投放验证!AF56/G69-1,0)),阵法升星!F$13)</f>
        <v>7</v>
      </c>
      <c r="L69" s="8">
        <f>MIN(IF($C69&lt;=$B$1,0,MAX(IFERROR(投放验证!AG56/H69,0)-1,0)),阵法升星!G$13)</f>
        <v>7</v>
      </c>
      <c r="M69" s="8">
        <f>IF(H69&gt;=1,阵法升星!$G$65,IF(G69&gt;1,阵法升星!$F$65,IF(F69&gt;1,阵法升星!$E$65,IF(E69&gt;0,MAX(阵法升星!$D$65,1),0))))</f>
        <v>10</v>
      </c>
      <c r="N69" s="8">
        <f>IF($C69&lt;=$B$1,0,求节点(阵旗升级!$E$5:$E$24,阵旗升级!$C$5:$C$24,投放验证!AM56/M69))</f>
        <v>13.758867138604417</v>
      </c>
      <c r="O69" s="8">
        <f>IF(C69&lt;=$B$1,0,投放验证!AS56)</f>
        <v>28366.048632496855</v>
      </c>
      <c r="P69" s="8">
        <f>阵旗升级!Q54</f>
        <v>0.99985759973525989</v>
      </c>
    </row>
    <row r="70" spans="2:16" x14ac:dyDescent="0.15">
      <c r="C70" s="8">
        <v>130</v>
      </c>
      <c r="D70" s="8">
        <f>求节点(节奏总纲!$O$4:$O$163,节奏总纲!$R$4:$R$163,$C70)</f>
        <v>5542.0306</v>
      </c>
      <c r="E70" s="8">
        <f>MIN(IF($C70&lt;=$B$1,0,投放验证!AD57),E$9)</f>
        <v>2</v>
      </c>
      <c r="F70" s="8">
        <f>MIN(IF($C70&lt;=$B$1,0,投放验证!AE57),F$9)</f>
        <v>6</v>
      </c>
      <c r="G70" s="8">
        <f>MIN(IF($C70&lt;=$B$1,0,投放验证!AF57),G$9)</f>
        <v>10</v>
      </c>
      <c r="H70" s="8">
        <f>MIN(IF($C70&lt;=$B$1,0,投放验证!AG57),H$9)</f>
        <v>1</v>
      </c>
      <c r="I70" s="8">
        <f>MIN(IF($C70&lt;=$B$1,0,MAX(投放验证!AD57/E70-1,0)),阵法升星!D$13)</f>
        <v>3</v>
      </c>
      <c r="J70" s="8">
        <f>MIN(IF($C70&lt;=$B$1,0,MAX(投放验证!AE57/F70-1,0)),阵法升星!E$13)</f>
        <v>5</v>
      </c>
      <c r="K70" s="8">
        <f>MIN(IF($C70&lt;=$B$1,0,MAX(投放验证!AF57/G70-1,0)),阵法升星!F$13)</f>
        <v>7</v>
      </c>
      <c r="L70" s="8">
        <f>MIN(IF($C70&lt;=$B$1,0,MAX(IFERROR(投放验证!AG57/H70,0)-1,0)),阵法升星!G$13)</f>
        <v>7</v>
      </c>
      <c r="M70" s="8">
        <f>IF(H70&gt;=1,阵法升星!$G$65,IF(G70&gt;1,阵法升星!$F$65,IF(F70&gt;1,阵法升星!$E$65,IF(E70&gt;0,MAX(阵法升星!$D$65,1),0))))</f>
        <v>10</v>
      </c>
      <c r="N70" s="8">
        <f>IF($C70&lt;=$B$1,0,求节点(阵旗升级!$E$5:$E$24,阵旗升级!$C$5:$C$24,投放验证!AM57/M70))</f>
        <v>14.139373213459555</v>
      </c>
      <c r="O70" s="8">
        <f>IF(C70&lt;=$B$1,0,投放验证!AS57)</f>
        <v>55471.163343353466</v>
      </c>
      <c r="P70" s="8">
        <f>阵旗升级!Q55</f>
        <v>0.99985759973525989</v>
      </c>
    </row>
    <row r="71" spans="2:16" x14ac:dyDescent="0.15">
      <c r="C71" s="8">
        <v>140</v>
      </c>
      <c r="D71" s="8">
        <f>求节点(节奏总纲!$O$4:$O$163,节奏总纲!$R$4:$R$163,$C71)</f>
        <v>11037.2271</v>
      </c>
      <c r="E71" s="8">
        <f>MIN(IF($C71&lt;=$B$1,0,投放验证!AD58),E$9)</f>
        <v>2</v>
      </c>
      <c r="F71" s="8">
        <f>MIN(IF($C71&lt;=$B$1,0,投放验证!AE58),F$9)</f>
        <v>6</v>
      </c>
      <c r="G71" s="8">
        <f>MIN(IF($C71&lt;=$B$1,0,投放验证!AF58),G$9)</f>
        <v>10</v>
      </c>
      <c r="H71" s="8">
        <f>MIN(IF($C71&lt;=$B$1,0,投放验证!AG58),H$9)</f>
        <v>1</v>
      </c>
      <c r="I71" s="8">
        <f>MIN(IF($C71&lt;=$B$1,0,MAX(投放验证!AD58/E71-1,0)),阵法升星!D$13)</f>
        <v>3</v>
      </c>
      <c r="J71" s="8">
        <f>MIN(IF($C71&lt;=$B$1,0,MAX(投放验证!AE58/F71-1,0)),阵法升星!E$13)</f>
        <v>5</v>
      </c>
      <c r="K71" s="8">
        <f>MIN(IF($C71&lt;=$B$1,0,MAX(投放验证!AF58/G71-1,0)),阵法升星!F$13)</f>
        <v>7</v>
      </c>
      <c r="L71" s="8">
        <f>MIN(IF($C71&lt;=$B$1,0,MAX(IFERROR(投放验证!AG58/H71,0)-1,0)),阵法升星!G$13)</f>
        <v>7</v>
      </c>
      <c r="M71" s="8">
        <f>IF(H71&gt;=1,阵法升星!$G$65,IF(G71&gt;1,阵法升星!$F$65,IF(F71&gt;1,阵法升星!$E$65,IF(E71&gt;0,MAX(阵法升星!$D$65,1),0))))</f>
        <v>10</v>
      </c>
      <c r="N71" s="8">
        <f>IF($C71&lt;=$B$1,0,求节点(阵旗升级!$E$5:$E$24,阵旗升级!$C$5:$C$24,投放验证!AM58/M71))</f>
        <v>14.505436712383808</v>
      </c>
      <c r="O71" s="8">
        <f>IF(C71&lt;=$B$1,0,投放验证!AS58)</f>
        <v>108927.35607446618</v>
      </c>
      <c r="P71" s="8">
        <f>阵旗升级!Q56</f>
        <v>0.99985759973525989</v>
      </c>
    </row>
    <row r="72" spans="2:16" x14ac:dyDescent="0.15">
      <c r="C72" s="8">
        <v>150</v>
      </c>
      <c r="D72" s="8">
        <f>求节点(节奏总纲!$O$4:$O$163,节奏总纲!$R$4:$R$163,$C72)</f>
        <v>21996.487099999998</v>
      </c>
      <c r="E72" s="8">
        <f>MIN(IF($C72&lt;=$B$1,0,投放验证!AD59),E$9)</f>
        <v>2</v>
      </c>
      <c r="F72" s="8">
        <f>MIN(IF($C72&lt;=$B$1,0,投放验证!AE59),F$9)</f>
        <v>6</v>
      </c>
      <c r="G72" s="8">
        <f>MIN(IF($C72&lt;=$B$1,0,投放验证!AF59),G$9)</f>
        <v>10</v>
      </c>
      <c r="H72" s="8">
        <f>MIN(IF($C72&lt;=$B$1,0,投放验证!AG59),H$9)</f>
        <v>1</v>
      </c>
      <c r="I72" s="8">
        <f>MIN(IF($C72&lt;=$B$1,0,MAX(投放验证!AD59/E72-1,0)),阵法升星!D$13)</f>
        <v>3</v>
      </c>
      <c r="J72" s="8">
        <f>MIN(IF($C72&lt;=$B$1,0,MAX(投放验证!AE59/F72-1,0)),阵法升星!E$13)</f>
        <v>5</v>
      </c>
      <c r="K72" s="8">
        <f>MIN(IF($C72&lt;=$B$1,0,MAX(投放验证!AF59/G72-1,0)),阵法升星!F$13)</f>
        <v>7</v>
      </c>
      <c r="L72" s="8">
        <f>MIN(IF($C72&lt;=$B$1,0,MAX(IFERROR(投放验证!AG59/H72,0)-1,0)),阵法升星!G$13)</f>
        <v>7</v>
      </c>
      <c r="M72" s="8">
        <f>IF(H72&gt;=1,阵法升星!$G$65,IF(G72&gt;1,阵法升星!$F$65,IF(F72&gt;1,阵法升星!$E$65,IF(E72&gt;0,MAX(阵法升星!$D$65,1),0))))</f>
        <v>10</v>
      </c>
      <c r="N72" s="8">
        <f>IF($C72&lt;=$B$1,0,求节点(阵旗升级!$E$5:$E$24,阵旗升级!$C$5:$C$24,投放验证!AM59/M72))</f>
        <v>15.042245170249512</v>
      </c>
      <c r="O72" s="8">
        <f>IF(C72&lt;=$B$1,0,投放验证!AS59)</f>
        <v>214475.45190870122</v>
      </c>
      <c r="P72" s="8">
        <f>阵旗升级!Q57</f>
        <v>0.99985759973525989</v>
      </c>
    </row>
    <row r="73" spans="2:16" x14ac:dyDescent="0.15">
      <c r="C73" s="8">
        <v>160</v>
      </c>
      <c r="D73" s="8">
        <f>求节点(节奏总纲!$O$4:$O$163,节奏总纲!$R$4:$R$163,$C73)</f>
        <v>66190.350000000006</v>
      </c>
      <c r="E73" s="8">
        <f>MIN(IF($C73&lt;=$B$1,0,投放验证!AD60),E$9)</f>
        <v>2</v>
      </c>
      <c r="F73" s="8">
        <f>MIN(IF($C73&lt;=$B$1,0,投放验证!AE60),F$9)</f>
        <v>6</v>
      </c>
      <c r="G73" s="8">
        <f>MIN(IF($C73&lt;=$B$1,0,投放验证!AF60),G$9)</f>
        <v>10</v>
      </c>
      <c r="H73" s="8">
        <f>MIN(IF($C73&lt;=$B$1,0,投放验证!AG60),H$9)</f>
        <v>1</v>
      </c>
      <c r="I73" s="8">
        <f>MIN(IF($C73&lt;=$B$1,0,MAX(投放验证!AD60/E73-1,0)),阵法升星!D$13)</f>
        <v>3</v>
      </c>
      <c r="J73" s="8">
        <f>MIN(IF($C73&lt;=$B$1,0,MAX(投放验证!AE60/F73-1,0)),阵法升星!E$13)</f>
        <v>5</v>
      </c>
      <c r="K73" s="8">
        <f>MIN(IF($C73&lt;=$B$1,0,MAX(投放验证!AF60/G73-1,0)),阵法升星!F$13)</f>
        <v>7</v>
      </c>
      <c r="L73" s="8">
        <f>MIN(IF($C73&lt;=$B$1,0,MAX(IFERROR(投放验证!AG60/H73,0)-1,0)),阵法升星!G$13)</f>
        <v>7</v>
      </c>
      <c r="M73" s="8">
        <f>IF(H73&gt;=1,阵法升星!$G$65,IF(G73&gt;1,阵法升星!$F$65,IF(F73&gt;1,阵法升星!$E$65,IF(E73&gt;0,MAX(阵法升星!$D$65,1),0))))</f>
        <v>10</v>
      </c>
      <c r="N73" s="8">
        <f>IF($C73&lt;=$B$1,0,求节点(阵旗升级!$E$5:$E$24,阵旗升级!$C$5:$C$24,投放验证!AM60/M73))</f>
        <v>15.555868058504434</v>
      </c>
      <c r="O73" s="8">
        <f>IF(C73&lt;=$B$1,0,投放验证!AS60)</f>
        <v>635560.05131323671</v>
      </c>
      <c r="P73" s="8">
        <f>阵旗升级!Q58</f>
        <v>0.99985759973525989</v>
      </c>
    </row>
    <row r="75" spans="2:16" x14ac:dyDescent="0.15">
      <c r="C75" s="8"/>
      <c r="D75" s="8"/>
      <c r="E75" s="53" t="s">
        <v>148</v>
      </c>
      <c r="F75" s="53"/>
      <c r="G75" s="53"/>
      <c r="H75" s="53"/>
      <c r="I75" s="53" t="s">
        <v>145</v>
      </c>
      <c r="J75" s="53"/>
      <c r="K75" s="53"/>
      <c r="L75" s="53"/>
      <c r="M75" s="53" t="s">
        <v>146</v>
      </c>
      <c r="N75" s="53"/>
      <c r="O75" s="53" t="s">
        <v>178</v>
      </c>
      <c r="P75" s="53"/>
    </row>
    <row r="76" spans="2:16" x14ac:dyDescent="0.15">
      <c r="B76" s="5" t="s">
        <v>130</v>
      </c>
      <c r="C76" s="8" t="s">
        <v>141</v>
      </c>
      <c r="D76" s="8" t="s">
        <v>132</v>
      </c>
      <c r="E76" s="8" t="s">
        <v>0</v>
      </c>
      <c r="F76" s="8" t="s">
        <v>1</v>
      </c>
      <c r="G76" s="8" t="s">
        <v>2</v>
      </c>
      <c r="H76" s="8" t="s">
        <v>3</v>
      </c>
      <c r="I76" s="8" t="s">
        <v>0</v>
      </c>
      <c r="J76" s="8" t="s">
        <v>1</v>
      </c>
      <c r="K76" s="8" t="s">
        <v>2</v>
      </c>
      <c r="L76" s="8" t="s">
        <v>3</v>
      </c>
      <c r="M76" s="8" t="s">
        <v>169</v>
      </c>
      <c r="N76" s="8" t="s">
        <v>171</v>
      </c>
      <c r="O76" s="8" t="s">
        <v>179</v>
      </c>
      <c r="P76" s="8" t="s">
        <v>180</v>
      </c>
    </row>
    <row r="77" spans="2:16" x14ac:dyDescent="0.15">
      <c r="C77" s="8">
        <v>10</v>
      </c>
      <c r="D77" s="8">
        <f>求节点(节奏总纲!$O$4:$O$163,节奏总纲!$S$4:$S$163,$C77)</f>
        <v>0.49980000000000002</v>
      </c>
      <c r="E77" s="8">
        <f>MIN(IF($C77&lt;=$B$1,0,投放验证!AD64),E$9)</f>
        <v>0</v>
      </c>
      <c r="F77" s="8">
        <f>MIN(IF($C77&lt;=$B$1,0,投放验证!AE64),F$9)</f>
        <v>0</v>
      </c>
      <c r="G77" s="8">
        <f>MIN(IF($C77&lt;=$B$1,0,投放验证!AF64),G$9)</f>
        <v>0</v>
      </c>
      <c r="H77" s="8">
        <f>MIN(IF($C77&lt;=$B$1,0,投放验证!AG64),H$9)</f>
        <v>0</v>
      </c>
      <c r="I77" s="8">
        <f>MIN(IF($C77&lt;=$B$1,0,MAX(投放验证!AD64/E77-1,0)),阵法升星!D$13)</f>
        <v>0</v>
      </c>
      <c r="J77" s="8">
        <f>MIN(IF($C77&lt;=$B$1,0,MAX(投放验证!AE64/F77-1,0)),阵法升星!E$13)</f>
        <v>0</v>
      </c>
      <c r="K77" s="8">
        <f>MIN(IF($C77&lt;=$B$1,0,MAX(投放验证!AF64/G77-1,0)),阵法升星!F$13)</f>
        <v>0</v>
      </c>
      <c r="L77" s="8">
        <f>MIN(IF($C77&lt;=$B$1,0,MAX(IFERROR(投放验证!AG64/H77,0)-1,0)),阵法升星!G$13)</f>
        <v>0</v>
      </c>
      <c r="M77" s="8">
        <f>IF(H77&gt;=1,阵法升星!$G$65,IF(G77&gt;1,阵法升星!$F$65,IF(F77&gt;1,阵法升星!$E$65,IF(E77&gt;0,MAX(阵法升星!$D$65,1),0))))</f>
        <v>0</v>
      </c>
      <c r="N77" s="8">
        <f>IF($C77&lt;=$B$1,0,求节点(阵旗升级!$E$5:$E$24,阵旗升级!$C$5:$C$24,投放验证!AM64/M77))</f>
        <v>0</v>
      </c>
      <c r="O77" s="8">
        <f>IF(C77&lt;=$B$1,0,投放验证!AS64)</f>
        <v>0</v>
      </c>
      <c r="P77" s="8">
        <f>阵旗升级!Q62</f>
        <v>0</v>
      </c>
    </row>
    <row r="78" spans="2:16" x14ac:dyDescent="0.15">
      <c r="C78" s="8">
        <v>20</v>
      </c>
      <c r="D78" s="8">
        <f>求节点(节奏总纲!$O$4:$O$163,节奏总纲!$S$4:$S$163,$C78)</f>
        <v>1.5800999999999998</v>
      </c>
      <c r="E78" s="8">
        <f>MIN(IF($C78&lt;=$B$1,0,投放验证!AD65),E$9)</f>
        <v>0</v>
      </c>
      <c r="F78" s="8">
        <f>MIN(IF($C78&lt;=$B$1,0,投放验证!AE65),F$9)</f>
        <v>0</v>
      </c>
      <c r="G78" s="8">
        <f>MIN(IF($C78&lt;=$B$1,0,投放验证!AF65),G$9)</f>
        <v>0</v>
      </c>
      <c r="H78" s="8">
        <f>MIN(IF($C78&lt;=$B$1,0,投放验证!AG65),H$9)</f>
        <v>0</v>
      </c>
      <c r="I78" s="8">
        <f>MIN(IF($C78&lt;=$B$1,0,MAX(投放验证!AD65/E78-1,0)),阵法升星!D$13)</f>
        <v>0</v>
      </c>
      <c r="J78" s="8">
        <f>MIN(IF($C78&lt;=$B$1,0,MAX(投放验证!AE65/F78-1,0)),阵法升星!E$13)</f>
        <v>0</v>
      </c>
      <c r="K78" s="8">
        <f>MIN(IF($C78&lt;=$B$1,0,MAX(投放验证!AF65/G78-1,0)),阵法升星!F$13)</f>
        <v>0</v>
      </c>
      <c r="L78" s="8">
        <f>MIN(IF($C78&lt;=$B$1,0,MAX(IFERROR(投放验证!AG65/H78,0)-1,0)),阵法升星!G$13)</f>
        <v>0</v>
      </c>
      <c r="M78" s="8">
        <f>IF(H78&gt;=1,阵法升星!$G$65,IF(G78&gt;1,阵法升星!$F$65,IF(F78&gt;1,阵法升星!$E$65,IF(E78&gt;0,MAX(阵法升星!$D$65,1),0))))</f>
        <v>0</v>
      </c>
      <c r="N78" s="8">
        <f>IF($C78&lt;=$B$1,0,求节点(阵旗升级!$E$5:$E$24,阵旗升级!$C$5:$C$24,投放验证!AM65/M78))</f>
        <v>0</v>
      </c>
      <c r="O78" s="8">
        <f>IF(C78&lt;=$B$1,0,投放验证!AS65)</f>
        <v>0</v>
      </c>
      <c r="P78" s="8">
        <f>阵旗升级!Q63</f>
        <v>0</v>
      </c>
    </row>
    <row r="79" spans="2:16" x14ac:dyDescent="0.15">
      <c r="C79" s="8">
        <v>30</v>
      </c>
      <c r="D79" s="8">
        <f>求节点(节奏总纲!$O$4:$O$163,节奏总纲!$S$4:$S$163,$C79)</f>
        <v>3.7428999999999997</v>
      </c>
      <c r="E79" s="8">
        <f>MIN(IF($C79&lt;=$B$1,0,投放验证!AD66),E$9)</f>
        <v>0</v>
      </c>
      <c r="F79" s="8">
        <f>MIN(IF($C79&lt;=$B$1,0,投放验证!AE66),F$9)</f>
        <v>0</v>
      </c>
      <c r="G79" s="8">
        <f>MIN(IF($C79&lt;=$B$1,0,投放验证!AF66),G$9)</f>
        <v>0</v>
      </c>
      <c r="H79" s="8">
        <f>MIN(IF($C79&lt;=$B$1,0,投放验证!AG66),H$9)</f>
        <v>0</v>
      </c>
      <c r="I79" s="8">
        <f>MIN(IF($C79&lt;=$B$1,0,MAX(投放验证!AD66/E79-1,0)),阵法升星!D$13)</f>
        <v>0</v>
      </c>
      <c r="J79" s="8">
        <f>MIN(IF($C79&lt;=$B$1,0,MAX(投放验证!AE66/F79-1,0)),阵法升星!E$13)</f>
        <v>0</v>
      </c>
      <c r="K79" s="8">
        <f>MIN(IF($C79&lt;=$B$1,0,MAX(投放验证!AF66/G79-1,0)),阵法升星!F$13)</f>
        <v>0</v>
      </c>
      <c r="L79" s="8">
        <f>MIN(IF($C79&lt;=$B$1,0,MAX(IFERROR(投放验证!AG66/H79,0)-1,0)),阵法升星!G$13)</f>
        <v>0</v>
      </c>
      <c r="M79" s="8">
        <f>IF(H79&gt;=1,阵法升星!$G$65,IF(G79&gt;1,阵法升星!$F$65,IF(F79&gt;1,阵法升星!$E$65,IF(E79&gt;0,MAX(阵法升星!$D$65,1),0))))</f>
        <v>0</v>
      </c>
      <c r="N79" s="8">
        <f>IF($C79&lt;=$B$1,0,求节点(阵旗升级!$E$5:$E$24,阵旗升级!$C$5:$C$24,投放验证!AM66/M79))</f>
        <v>0</v>
      </c>
      <c r="O79" s="8">
        <f>IF(C79&lt;=$B$1,0,投放验证!AS66)</f>
        <v>0</v>
      </c>
      <c r="P79" s="8">
        <f>阵旗升级!Q64</f>
        <v>0</v>
      </c>
    </row>
    <row r="80" spans="2:16" x14ac:dyDescent="0.15">
      <c r="C80" s="8">
        <v>40</v>
      </c>
      <c r="D80" s="8">
        <f>求节点(节奏总纲!$O$4:$O$163,节奏总纲!$S$4:$S$163,$C80)</f>
        <v>8.0009999999999994</v>
      </c>
      <c r="E80" s="8">
        <f>MIN(IF($C80&lt;=$B$1,0,投放验证!AD67),E$9)</f>
        <v>0</v>
      </c>
      <c r="F80" s="8">
        <f>MIN(IF($C80&lt;=$B$1,0,投放验证!AE67),F$9)</f>
        <v>0</v>
      </c>
      <c r="G80" s="8">
        <f>MIN(IF($C80&lt;=$B$1,0,投放验证!AF67),G$9)</f>
        <v>0</v>
      </c>
      <c r="H80" s="8">
        <f>MIN(IF($C80&lt;=$B$1,0,投放验证!AG67),H$9)</f>
        <v>0</v>
      </c>
      <c r="I80" s="8">
        <f>MIN(IF($C80&lt;=$B$1,0,MAX(投放验证!AD67/E80-1,0)),阵法升星!D$13)</f>
        <v>0</v>
      </c>
      <c r="J80" s="8">
        <f>MIN(IF($C80&lt;=$B$1,0,MAX(投放验证!AE67/F80-1,0)),阵法升星!E$13)</f>
        <v>0</v>
      </c>
      <c r="K80" s="8">
        <f>MIN(IF($C80&lt;=$B$1,0,MAX(投放验证!AF67/G80-1,0)),阵法升星!F$13)</f>
        <v>0</v>
      </c>
      <c r="L80" s="8">
        <f>MIN(IF($C80&lt;=$B$1,0,MAX(IFERROR(投放验证!AG67/H80,0)-1,0)),阵法升星!G$13)</f>
        <v>0</v>
      </c>
      <c r="M80" s="8">
        <f>IF(H80&gt;=1,阵法升星!$G$65,IF(G80&gt;1,阵法升星!$F$65,IF(F80&gt;1,阵法升星!$E$65,IF(E80&gt;0,MAX(阵法升星!$D$65,1),0))))</f>
        <v>0</v>
      </c>
      <c r="N80" s="8">
        <f>IF($C80&lt;=$B$1,0,求节点(阵旗升级!$E$5:$E$24,阵旗升级!$C$5:$C$24,投放验证!AM67/M80))</f>
        <v>0</v>
      </c>
      <c r="O80" s="8">
        <f>IF(C80&lt;=$B$1,0,投放验证!AS67)</f>
        <v>0</v>
      </c>
      <c r="P80" s="8">
        <f>阵旗升级!Q65</f>
        <v>0</v>
      </c>
    </row>
    <row r="81" spans="2:16" x14ac:dyDescent="0.15">
      <c r="C81" s="8">
        <v>50</v>
      </c>
      <c r="D81" s="8">
        <f>求节点(节奏总纲!$O$4:$O$163,节奏总纲!$S$4:$S$163,$C81)</f>
        <v>16.386599999999998</v>
      </c>
      <c r="E81" s="8">
        <f>MIN(IF($C81&lt;=$B$1,0,投放验证!AD68),E$9)</f>
        <v>0</v>
      </c>
      <c r="F81" s="8">
        <f>MIN(IF($C81&lt;=$B$1,0,投放验证!AE68),F$9)</f>
        <v>0</v>
      </c>
      <c r="G81" s="8">
        <f>MIN(IF($C81&lt;=$B$1,0,投放验证!AF68),G$9)</f>
        <v>0</v>
      </c>
      <c r="H81" s="8">
        <f>MIN(IF($C81&lt;=$B$1,0,投放验证!AG68),H$9)</f>
        <v>0</v>
      </c>
      <c r="I81" s="8">
        <f>MIN(IF($C81&lt;=$B$1,0,MAX(投放验证!AD68/E81-1,0)),阵法升星!D$13)</f>
        <v>0</v>
      </c>
      <c r="J81" s="8">
        <f>MIN(IF($C81&lt;=$B$1,0,MAX(投放验证!AE68/F81-1,0)),阵法升星!E$13)</f>
        <v>0</v>
      </c>
      <c r="K81" s="8">
        <f>MIN(IF($C81&lt;=$B$1,0,MAX(投放验证!AF68/G81-1,0)),阵法升星!F$13)</f>
        <v>0</v>
      </c>
      <c r="L81" s="8">
        <f>MIN(IF($C81&lt;=$B$1,0,MAX(IFERROR(投放验证!AG68/H81,0)-1,0)),阵法升星!G$13)</f>
        <v>0</v>
      </c>
      <c r="M81" s="8">
        <f>IF(H81&gt;=1,阵法升星!$G$65,IF(G81&gt;1,阵法升星!$F$65,IF(F81&gt;1,阵法升星!$E$65,IF(E81&gt;0,MAX(阵法升星!$D$65,1),0))))</f>
        <v>0</v>
      </c>
      <c r="N81" s="8">
        <f>IF($C81&lt;=$B$1,0,求节点(阵旗升级!$E$5:$E$24,阵旗升级!$C$5:$C$24,投放验证!AM68/M81))</f>
        <v>0</v>
      </c>
      <c r="O81" s="8">
        <f>IF(C81&lt;=$B$1,0,投放验证!AS68)</f>
        <v>0</v>
      </c>
      <c r="P81" s="8">
        <f>阵旗升级!Q66</f>
        <v>0</v>
      </c>
    </row>
    <row r="82" spans="2:16" x14ac:dyDescent="0.15">
      <c r="C82" s="8">
        <v>60</v>
      </c>
      <c r="D82" s="8">
        <f>求节点(节奏总纲!$O$4:$O$163,节奏总纲!$S$4:$S$163,$C82)</f>
        <v>32.810400000000001</v>
      </c>
      <c r="E82" s="8">
        <f>MIN(IF($C82&lt;=$B$1,0,投放验证!AD69),E$9)</f>
        <v>0</v>
      </c>
      <c r="F82" s="8">
        <f>MIN(IF($C82&lt;=$B$1,0,投放验证!AE69),F$9)</f>
        <v>0</v>
      </c>
      <c r="G82" s="8">
        <f>MIN(IF($C82&lt;=$B$1,0,投放验证!AF69),G$9)</f>
        <v>0</v>
      </c>
      <c r="H82" s="8">
        <f>MIN(IF($C82&lt;=$B$1,0,投放验证!AG69),H$9)</f>
        <v>0</v>
      </c>
      <c r="I82" s="8">
        <f>MIN(IF($C82&lt;=$B$1,0,MAX(投放验证!AD69/E82-1,0)),阵法升星!D$13)</f>
        <v>0</v>
      </c>
      <c r="J82" s="8">
        <f>MIN(IF($C82&lt;=$B$1,0,MAX(投放验证!AE69/F82-1,0)),阵法升星!E$13)</f>
        <v>0</v>
      </c>
      <c r="K82" s="8">
        <f>MIN(IF($C82&lt;=$B$1,0,MAX(投放验证!AF69/G82-1,0)),阵法升星!F$13)</f>
        <v>0</v>
      </c>
      <c r="L82" s="8">
        <f>MIN(IF($C82&lt;=$B$1,0,MAX(IFERROR(投放验证!AG69/H82,0)-1,0)),阵法升星!G$13)</f>
        <v>0</v>
      </c>
      <c r="M82" s="8">
        <f>IF(H82&gt;=1,阵法升星!$G$65,IF(G82&gt;1,阵法升星!$F$65,IF(F82&gt;1,阵法升星!$E$65,IF(E82&gt;0,MAX(阵法升星!$D$65,1),0))))</f>
        <v>0</v>
      </c>
      <c r="N82" s="8">
        <f>IF($C82&lt;=$B$1,0,求节点(阵旗升级!$E$5:$E$24,阵旗升级!$C$5:$C$24,投放验证!AM69/M82))</f>
        <v>0</v>
      </c>
      <c r="O82" s="8">
        <f>IF(C82&lt;=$B$1,0,投放验证!AS69)</f>
        <v>0</v>
      </c>
      <c r="P82" s="8">
        <f>阵旗升级!Q67</f>
        <v>0</v>
      </c>
    </row>
    <row r="83" spans="2:16" x14ac:dyDescent="0.15">
      <c r="C83" s="8">
        <v>70</v>
      </c>
      <c r="D83" s="8">
        <f>求节点(节奏总纲!$O$4:$O$163,节奏总纲!$S$4:$S$163,$C83)</f>
        <v>65.925700000000006</v>
      </c>
      <c r="E83" s="8">
        <f>MIN(IF($C83&lt;=$B$1,0,投放验证!AD70),E$9)</f>
        <v>2</v>
      </c>
      <c r="F83" s="8">
        <f>MIN(IF($C83&lt;=$B$1,0,投放验证!AE70),F$9)</f>
        <v>6</v>
      </c>
      <c r="G83" s="8">
        <f>MIN(IF($C83&lt;=$B$1,0,投放验证!AF70),G$9)</f>
        <v>10</v>
      </c>
      <c r="H83" s="8">
        <f>MIN(IF($C83&lt;=$B$1,0,投放验证!AG70),H$9)</f>
        <v>0</v>
      </c>
      <c r="I83" s="8">
        <f>MIN(IF($C83&lt;=$B$1,0,MAX(投放验证!AD70/E83-1,0)),阵法升星!D$13)</f>
        <v>3</v>
      </c>
      <c r="J83" s="8">
        <f>MIN(IF($C83&lt;=$B$1,0,MAX(投放验证!AE70/F83-1,0)),阵法升星!E$13)</f>
        <v>5</v>
      </c>
      <c r="K83" s="8">
        <f>MIN(IF($C83&lt;=$B$1,0,MAX(投放验证!AF70/G83-1,0)),阵法升星!F$13)</f>
        <v>1.0006664116508857</v>
      </c>
      <c r="L83" s="8">
        <f>MIN(IF($C83&lt;=$B$1,0,MAX(IFERROR(投放验证!AG70/H83,0)-1,0)),阵法升星!G$13)</f>
        <v>0</v>
      </c>
      <c r="M83" s="8">
        <f>IF(H83&gt;=1,阵法升星!$G$65,IF(G83&gt;1,阵法升星!$F$65,IF(F83&gt;1,阵法升星!$E$65,IF(E83&gt;0,MAX(阵法升星!$D$65,1),0))))</f>
        <v>7</v>
      </c>
      <c r="N83" s="8">
        <f>IF($C83&lt;=$B$1,0,求节点(阵旗升级!$E$5:$E$24,阵旗升级!$C$5:$C$24,投放验证!AM70/M83))</f>
        <v>11.144193140682443</v>
      </c>
      <c r="O83" s="8">
        <f>IF(C83&lt;=$B$1,0,投放验证!AS70)</f>
        <v>1153.7176307186774</v>
      </c>
      <c r="P83" s="8">
        <f>阵旗升级!Q68</f>
        <v>0.33091358454511599</v>
      </c>
    </row>
    <row r="84" spans="2:16" x14ac:dyDescent="0.15">
      <c r="C84" s="8">
        <v>80</v>
      </c>
      <c r="D84" s="8">
        <f>求节点(节奏总纲!$O$4:$O$163,节奏总纲!$S$4:$S$163,$C84)</f>
        <v>131.58000000000001</v>
      </c>
      <c r="E84" s="8">
        <f>MIN(IF($C84&lt;=$B$1,0,投放验证!AD71),E$9)</f>
        <v>2</v>
      </c>
      <c r="F84" s="8">
        <f>MIN(IF($C84&lt;=$B$1,0,投放验证!AE71),F$9)</f>
        <v>6</v>
      </c>
      <c r="G84" s="8">
        <f>MIN(IF($C84&lt;=$B$1,0,投放验证!AF71),G$9)</f>
        <v>10</v>
      </c>
      <c r="H84" s="8">
        <f>MIN(IF($C84&lt;=$B$1,0,投放验证!AG71),H$9)</f>
        <v>1</v>
      </c>
      <c r="I84" s="8">
        <f>MIN(IF($C84&lt;=$B$1,0,MAX(投放验证!AD71/E84-1,0)),阵法升星!D$13)</f>
        <v>3</v>
      </c>
      <c r="J84" s="8">
        <f>MIN(IF($C84&lt;=$B$1,0,MAX(投放验证!AE71/F84-1,0)),阵法升星!E$13)</f>
        <v>5</v>
      </c>
      <c r="K84" s="8">
        <f>MIN(IF($C84&lt;=$B$1,0,MAX(投放验证!AF71/G84-1,0)),阵法升星!F$13)</f>
        <v>4.3298793019439277</v>
      </c>
      <c r="L84" s="8">
        <f>MIN(IF($C84&lt;=$B$1,0,MAX(IFERROR(投放验证!AG71/H84,0)-1,0)),阵法升星!G$13)</f>
        <v>0.97922278357627657</v>
      </c>
      <c r="M84" s="8">
        <f>IF(H84&gt;=1,阵法升星!$G$65,IF(G84&gt;1,阵法升星!$F$65,IF(F84&gt;1,阵法升星!$E$65,IF(E84&gt;0,MAX(阵法升星!$D$65,1),0))))</f>
        <v>10</v>
      </c>
      <c r="N84" s="8">
        <f>IF($C84&lt;=$B$1,0,求节点(阵旗升级!$E$5:$E$24,阵旗升级!$C$5:$C$24,投放验证!AM71/M84))</f>
        <v>12.0592476518975</v>
      </c>
      <c r="O84" s="8">
        <f>IF(C84&lt;=$B$1,0,投放验证!AS71)</f>
        <v>3352.8540569145403</v>
      </c>
      <c r="P84" s="8">
        <f>阵旗升级!Q69</f>
        <v>0.40098042763608877</v>
      </c>
    </row>
    <row r="85" spans="2:16" x14ac:dyDescent="0.15">
      <c r="C85" s="8">
        <v>90</v>
      </c>
      <c r="D85" s="8">
        <f>求节点(节奏总纲!$O$4:$O$163,节奏总纲!$S$4:$S$163,$C85)</f>
        <v>254.88680000000002</v>
      </c>
      <c r="E85" s="8">
        <f>MIN(IF($C85&lt;=$B$1,0,投放验证!AD72),E$9)</f>
        <v>2</v>
      </c>
      <c r="F85" s="8">
        <f>MIN(IF($C85&lt;=$B$1,0,投放验证!AE72),F$9)</f>
        <v>6</v>
      </c>
      <c r="G85" s="8">
        <f>MIN(IF($C85&lt;=$B$1,0,投放验证!AF72),G$9)</f>
        <v>10</v>
      </c>
      <c r="H85" s="8">
        <f>MIN(IF($C85&lt;=$B$1,0,投放验证!AG72),H$9)</f>
        <v>1</v>
      </c>
      <c r="I85" s="8">
        <f>MIN(IF($C85&lt;=$B$1,0,MAX(投放验证!AD72/E85-1,0)),阵法升星!D$13)</f>
        <v>3</v>
      </c>
      <c r="J85" s="8">
        <f>MIN(IF($C85&lt;=$B$1,0,MAX(投放验证!AE72/F85-1,0)),阵法升星!E$13)</f>
        <v>5</v>
      </c>
      <c r="K85" s="8">
        <f>MIN(IF($C85&lt;=$B$1,0,MAX(投放验证!AF72/G85-1,0)),阵法升星!F$13)</f>
        <v>7</v>
      </c>
      <c r="L85" s="8">
        <f>MIN(IF($C85&lt;=$B$1,0,MAX(IFERROR(投放验证!AG72/H85,0)-1,0)),阵法升星!G$13)</f>
        <v>7</v>
      </c>
      <c r="M85" s="8">
        <f>IF(H85&gt;=1,阵法升星!$G$65,IF(G85&gt;1,阵法升星!$F$65,IF(F85&gt;1,阵法升星!$E$65,IF(E85&gt;0,MAX(阵法升星!$D$65,1),0))))</f>
        <v>10</v>
      </c>
      <c r="N85" s="8">
        <f>IF($C85&lt;=$B$1,0,求节点(阵旗升级!$E$5:$E$24,阵旗升级!$C$5:$C$24,投放验证!AM72/M85))</f>
        <v>12.725069447403143</v>
      </c>
      <c r="O85" s="8">
        <f>IF(C85&lt;=$B$1,0,投放验证!AS72)</f>
        <v>7342.769611156541</v>
      </c>
      <c r="P85" s="8">
        <f>阵旗升级!Q70</f>
        <v>0.75121978229839281</v>
      </c>
    </row>
    <row r="86" spans="2:16" x14ac:dyDescent="0.15">
      <c r="C86" s="8">
        <v>100</v>
      </c>
      <c r="D86" s="8">
        <f>求节点(节奏总纲!$O$4:$O$163,节奏总纲!$S$4:$S$163,$C86)</f>
        <v>508.22640000000001</v>
      </c>
      <c r="E86" s="8">
        <f>MIN(IF($C86&lt;=$B$1,0,投放验证!AD73),E$9)</f>
        <v>2</v>
      </c>
      <c r="F86" s="8">
        <f>MIN(IF($C86&lt;=$B$1,0,投放验证!AE73),F$9)</f>
        <v>6</v>
      </c>
      <c r="G86" s="8">
        <f>MIN(IF($C86&lt;=$B$1,0,投放验证!AF73),G$9)</f>
        <v>10</v>
      </c>
      <c r="H86" s="8">
        <f>MIN(IF($C86&lt;=$B$1,0,投放验证!AG73),H$9)</f>
        <v>1</v>
      </c>
      <c r="I86" s="8">
        <f>MIN(IF($C86&lt;=$B$1,0,MAX(投放验证!AD73/E86-1,0)),阵法升星!D$13)</f>
        <v>3</v>
      </c>
      <c r="J86" s="8">
        <f>MIN(IF($C86&lt;=$B$1,0,MAX(投放验证!AE73/F86-1,0)),阵法升星!E$13)</f>
        <v>5</v>
      </c>
      <c r="K86" s="8">
        <f>MIN(IF($C86&lt;=$B$1,0,MAX(投放验证!AF73/G86-1,0)),阵法升星!F$13)</f>
        <v>7</v>
      </c>
      <c r="L86" s="8">
        <f>MIN(IF($C86&lt;=$B$1,0,MAX(IFERROR(投放验证!AG73/H86,0)-1,0)),阵法升星!G$13)</f>
        <v>7</v>
      </c>
      <c r="M86" s="8">
        <f>IF(H86&gt;=1,阵法升星!$G$65,IF(G86&gt;1,阵法升星!$F$65,IF(F86&gt;1,阵法升星!$E$65,IF(E86&gt;0,MAX(阵法升星!$D$65,1),0))))</f>
        <v>10</v>
      </c>
      <c r="N86" s="8">
        <f>IF($C86&lt;=$B$1,0,求节点(阵旗升级!$E$5:$E$24,阵旗升级!$C$5:$C$24,投放验证!AM73/M86))</f>
        <v>13.228966343678646</v>
      </c>
      <c r="O86" s="8">
        <f>IF(C86&lt;=$B$1,0,投放验证!AS73)</f>
        <v>15411.633778647829</v>
      </c>
      <c r="P86" s="8">
        <f>阵旗升级!Q71</f>
        <v>0.99985759973525989</v>
      </c>
    </row>
    <row r="87" spans="2:16" x14ac:dyDescent="0.15">
      <c r="C87" s="8">
        <v>110</v>
      </c>
      <c r="D87" s="8">
        <f>求节点(节奏总纲!$O$4:$O$163,节奏总纲!$S$4:$S$163,$C87)</f>
        <v>1001.3924000000001</v>
      </c>
      <c r="E87" s="8">
        <f>MIN(IF($C87&lt;=$B$1,0,投放验证!AD74),E$9)</f>
        <v>2</v>
      </c>
      <c r="F87" s="8">
        <f>MIN(IF($C87&lt;=$B$1,0,投放验证!AE74),F$9)</f>
        <v>6</v>
      </c>
      <c r="G87" s="8">
        <f>MIN(IF($C87&lt;=$B$1,0,投放验证!AF74),G$9)</f>
        <v>10</v>
      </c>
      <c r="H87" s="8">
        <f>MIN(IF($C87&lt;=$B$1,0,投放验证!AG74),H$9)</f>
        <v>1</v>
      </c>
      <c r="I87" s="8">
        <f>MIN(IF($C87&lt;=$B$1,0,MAX(投放验证!AD74/E87-1,0)),阵法升星!D$13)</f>
        <v>3</v>
      </c>
      <c r="J87" s="8">
        <f>MIN(IF($C87&lt;=$B$1,0,MAX(投放验证!AE74/F87-1,0)),阵法升星!E$13)</f>
        <v>5</v>
      </c>
      <c r="K87" s="8">
        <f>MIN(IF($C87&lt;=$B$1,0,MAX(投放验证!AF74/G87-1,0)),阵法升星!F$13)</f>
        <v>7</v>
      </c>
      <c r="L87" s="8">
        <f>MIN(IF($C87&lt;=$B$1,0,MAX(IFERROR(投放验证!AG74/H87,0)-1,0)),阵法升星!G$13)</f>
        <v>7</v>
      </c>
      <c r="M87" s="8">
        <f>IF(H87&gt;=1,阵法升星!$G$65,IF(G87&gt;1,阵法升星!$F$65,IF(F87&gt;1,阵法升星!$E$65,IF(E87&gt;0,MAX(阵法升星!$D$65,1),0))))</f>
        <v>10</v>
      </c>
      <c r="N87" s="8">
        <f>IF($C87&lt;=$B$1,0,求节点(阵旗升级!$E$5:$E$24,阵旗升级!$C$5:$C$24,投放验证!AM74/M87))</f>
        <v>13.801577508614166</v>
      </c>
      <c r="O87" s="8">
        <f>IF(C87&lt;=$B$1,0,投放验证!AS74)</f>
        <v>30921.673042912862</v>
      </c>
      <c r="P87" s="8">
        <f>阵旗升级!Q72</f>
        <v>0.99985759973525989</v>
      </c>
    </row>
    <row r="88" spans="2:16" x14ac:dyDescent="0.15">
      <c r="C88" s="8">
        <v>120</v>
      </c>
      <c r="D88" s="8">
        <f>求节点(节奏总纲!$O$4:$O$163,节奏总纲!$S$4:$S$163,$C88)</f>
        <v>1988.5319999999999</v>
      </c>
      <c r="E88" s="8">
        <f>MIN(IF($C88&lt;=$B$1,0,投放验证!AD75),E$9)</f>
        <v>2</v>
      </c>
      <c r="F88" s="8">
        <f>MIN(IF($C88&lt;=$B$1,0,投放验证!AE75),F$9)</f>
        <v>6</v>
      </c>
      <c r="G88" s="8">
        <f>MIN(IF($C88&lt;=$B$1,0,投放验证!AF75),G$9)</f>
        <v>10</v>
      </c>
      <c r="H88" s="8">
        <f>MIN(IF($C88&lt;=$B$1,0,投放验证!AG75),H$9)</f>
        <v>1</v>
      </c>
      <c r="I88" s="8">
        <f>MIN(IF($C88&lt;=$B$1,0,MAX(投放验证!AD75/E88-1,0)),阵法升星!D$13)</f>
        <v>3</v>
      </c>
      <c r="J88" s="8">
        <f>MIN(IF($C88&lt;=$B$1,0,MAX(投放验证!AE75/F88-1,0)),阵法升星!E$13)</f>
        <v>5</v>
      </c>
      <c r="K88" s="8">
        <f>MIN(IF($C88&lt;=$B$1,0,MAX(投放验证!AF75/G88-1,0)),阵法升星!F$13)</f>
        <v>7</v>
      </c>
      <c r="L88" s="8">
        <f>MIN(IF($C88&lt;=$B$1,0,MAX(IFERROR(投放验证!AG75/H88,0)-1,0)),阵法升星!G$13)</f>
        <v>7</v>
      </c>
      <c r="M88" s="8">
        <f>IF(H88&gt;=1,阵法升星!$G$65,IF(G88&gt;1,阵法升星!$F$65,IF(F88&gt;1,阵法升星!$E$65,IF(E88&gt;0,MAX(阵法升星!$D$65,1),0))))</f>
        <v>10</v>
      </c>
      <c r="N88" s="8">
        <f>IF($C88&lt;=$B$1,0,求节点(阵旗升级!$E$5:$E$24,阵旗升级!$C$5:$C$24,投放验证!AM75/M88))</f>
        <v>14.161637431939695</v>
      </c>
      <c r="O88" s="8">
        <f>IF(C88&lt;=$B$1,0,投放验证!AS75)</f>
        <v>61676.264607052908</v>
      </c>
      <c r="P88" s="8">
        <f>阵旗升级!Q73</f>
        <v>0.99985759973525989</v>
      </c>
    </row>
    <row r="89" spans="2:16" x14ac:dyDescent="0.15">
      <c r="C89" s="8">
        <v>130</v>
      </c>
      <c r="D89" s="8">
        <f>求节点(节奏总纲!$O$4:$O$163,节奏总纲!$S$4:$S$163,$C89)</f>
        <v>3951.3384000000001</v>
      </c>
      <c r="E89" s="8">
        <f>MIN(IF($C89&lt;=$B$1,0,投放验证!AD76),E$9)</f>
        <v>2</v>
      </c>
      <c r="F89" s="8">
        <f>MIN(IF($C89&lt;=$B$1,0,投放验证!AE76),F$9)</f>
        <v>6</v>
      </c>
      <c r="G89" s="8">
        <f>MIN(IF($C89&lt;=$B$1,0,投放验证!AF76),G$9)</f>
        <v>10</v>
      </c>
      <c r="H89" s="8">
        <f>MIN(IF($C89&lt;=$B$1,0,投放验证!AG76),H$9)</f>
        <v>1</v>
      </c>
      <c r="I89" s="8">
        <f>MIN(IF($C89&lt;=$B$1,0,MAX(投放验证!AD76/E89-1,0)),阵法升星!D$13)</f>
        <v>3</v>
      </c>
      <c r="J89" s="8">
        <f>MIN(IF($C89&lt;=$B$1,0,MAX(投放验证!AE76/F89-1,0)),阵法升星!E$13)</f>
        <v>5</v>
      </c>
      <c r="K89" s="8">
        <f>MIN(IF($C89&lt;=$B$1,0,MAX(投放验证!AF76/G89-1,0)),阵法升星!F$13)</f>
        <v>7</v>
      </c>
      <c r="L89" s="8">
        <f>MIN(IF($C89&lt;=$B$1,0,MAX(IFERROR(投放验证!AG76/H89,0)-1,0)),阵法升星!G$13)</f>
        <v>7</v>
      </c>
      <c r="M89" s="8">
        <f>IF(H89&gt;=1,阵法升星!$G$65,IF(G89&gt;1,阵法升星!$F$65,IF(F89&gt;1,阵法升星!$E$65,IF(E89&gt;0,MAX(阵法升星!$D$65,1),0))))</f>
        <v>10</v>
      </c>
      <c r="N89" s="8">
        <f>IF($C89&lt;=$B$1,0,求节点(阵旗升级!$E$5:$E$24,阵旗升级!$C$5:$C$24,投放验证!AM76/M89))</f>
        <v>14.560685006061497</v>
      </c>
      <c r="O89" s="8">
        <f>IF(C89&lt;=$B$1,0,投放验证!AS76)</f>
        <v>122407.21714327199</v>
      </c>
      <c r="P89" s="8">
        <f>阵旗升级!Q74</f>
        <v>0.99985759973525989</v>
      </c>
    </row>
    <row r="90" spans="2:16" x14ac:dyDescent="0.15">
      <c r="C90" s="8">
        <v>140</v>
      </c>
      <c r="D90" s="8">
        <f>求节点(节奏总纲!$O$4:$O$163,节奏总纲!$S$4:$S$163,$C90)</f>
        <v>7827.7974000000004</v>
      </c>
      <c r="E90" s="8">
        <f>MIN(IF($C90&lt;=$B$1,0,投放验证!AD77),E$9)</f>
        <v>2</v>
      </c>
      <c r="F90" s="8">
        <f>MIN(IF($C90&lt;=$B$1,0,投放验证!AE77),F$9)</f>
        <v>6</v>
      </c>
      <c r="G90" s="8">
        <f>MIN(IF($C90&lt;=$B$1,0,投放验证!AF77),G$9)</f>
        <v>10</v>
      </c>
      <c r="H90" s="8">
        <f>MIN(IF($C90&lt;=$B$1,0,投放验证!AG77),H$9)</f>
        <v>1</v>
      </c>
      <c r="I90" s="8">
        <f>MIN(IF($C90&lt;=$B$1,0,MAX(投放验证!AD77/E90-1,0)),阵法升星!D$13)</f>
        <v>3</v>
      </c>
      <c r="J90" s="8">
        <f>MIN(IF($C90&lt;=$B$1,0,MAX(投放验证!AE77/F90-1,0)),阵法升星!E$13)</f>
        <v>5</v>
      </c>
      <c r="K90" s="8">
        <f>MIN(IF($C90&lt;=$B$1,0,MAX(投放验证!AF77/G90-1,0)),阵法升星!F$13)</f>
        <v>7</v>
      </c>
      <c r="L90" s="8">
        <f>MIN(IF($C90&lt;=$B$1,0,MAX(IFERROR(投放验证!AG77/H90,0)-1,0)),阵法升星!G$13)</f>
        <v>7</v>
      </c>
      <c r="M90" s="8">
        <f>IF(H90&gt;=1,阵法升星!$G$65,IF(G90&gt;1,阵法升星!$F$65,IF(F90&gt;1,阵法升星!$E$65,IF(E90&gt;0,MAX(阵法升星!$D$65,1),0))))</f>
        <v>10</v>
      </c>
      <c r="N90" s="8">
        <f>IF($C90&lt;=$B$1,0,求节点(阵旗升级!$E$5:$E$24,阵旗升级!$C$5:$C$24,投放验证!AM77/M90))</f>
        <v>15.062389654826998</v>
      </c>
      <c r="O90" s="8">
        <f>IF(C90&lt;=$B$1,0,投放验证!AS77)</f>
        <v>241727.34047741882</v>
      </c>
      <c r="P90" s="8">
        <f>阵旗升级!Q75</f>
        <v>0.99985759973525989</v>
      </c>
    </row>
    <row r="91" spans="2:16" x14ac:dyDescent="0.15">
      <c r="C91" s="8">
        <v>150</v>
      </c>
      <c r="D91" s="8">
        <f>求节点(节奏总纲!$O$4:$O$163,节奏总纲!$S$4:$S$163,$C91)</f>
        <v>15603.645400000001</v>
      </c>
      <c r="E91" s="8">
        <f>MIN(IF($C91&lt;=$B$1,0,投放验证!AD78),E$9)</f>
        <v>2</v>
      </c>
      <c r="F91" s="8">
        <f>MIN(IF($C91&lt;=$B$1,0,投放验证!AE78),F$9)</f>
        <v>6</v>
      </c>
      <c r="G91" s="8">
        <f>MIN(IF($C91&lt;=$B$1,0,投放验证!AF78),G$9)</f>
        <v>10</v>
      </c>
      <c r="H91" s="8">
        <f>MIN(IF($C91&lt;=$B$1,0,投放验证!AG78),H$9)</f>
        <v>1</v>
      </c>
      <c r="I91" s="8">
        <f>MIN(IF($C91&lt;=$B$1,0,MAX(投放验证!AD78/E91-1,0)),阵法升星!D$13)</f>
        <v>3</v>
      </c>
      <c r="J91" s="8">
        <f>MIN(IF($C91&lt;=$B$1,0,MAX(投放验证!AE78/F91-1,0)),阵法升星!E$13)</f>
        <v>5</v>
      </c>
      <c r="K91" s="8">
        <f>MIN(IF($C91&lt;=$B$1,0,MAX(投放验证!AF78/G91-1,0)),阵法升星!F$13)</f>
        <v>7</v>
      </c>
      <c r="L91" s="8">
        <f>MIN(IF($C91&lt;=$B$1,0,MAX(IFERROR(投放验证!AG78/H91,0)-1,0)),阵法升星!G$13)</f>
        <v>7</v>
      </c>
      <c r="M91" s="8">
        <f>IF(H91&gt;=1,阵法升星!$G$65,IF(G91&gt;1,阵法升星!$F$65,IF(F91&gt;1,阵法升星!$E$65,IF(E91&gt;0,MAX(阵法升星!$D$65,1),0))))</f>
        <v>10</v>
      </c>
      <c r="N91" s="8">
        <f>IF($C91&lt;=$B$1,0,求节点(阵旗升级!$E$5:$E$24,阵旗升级!$C$5:$C$24,投放验证!AM78/M91))</f>
        <v>15.342828677609445</v>
      </c>
      <c r="O91" s="8">
        <f>IF(C91&lt;=$B$1,0,投放验证!AS78)</f>
        <v>480131.24879736622</v>
      </c>
      <c r="P91" s="8">
        <f>阵旗升级!Q76</f>
        <v>0.99985759973525989</v>
      </c>
    </row>
    <row r="92" spans="2:16" x14ac:dyDescent="0.15">
      <c r="C92" s="8">
        <v>160</v>
      </c>
      <c r="D92" s="8">
        <f>求节点(节奏总纲!$O$4:$O$163,节奏总纲!$S$4:$S$163,$C92)</f>
        <v>66190.350000000006</v>
      </c>
      <c r="E92" s="8">
        <f>MIN(IF($C92&lt;=$B$1,0,投放验证!AD79),E$9)</f>
        <v>2</v>
      </c>
      <c r="F92" s="8">
        <f>MIN(IF($C92&lt;=$B$1,0,投放验证!AE79),F$9)</f>
        <v>6</v>
      </c>
      <c r="G92" s="8">
        <f>MIN(IF($C92&lt;=$B$1,0,投放验证!AF79),G$9)</f>
        <v>10</v>
      </c>
      <c r="H92" s="8">
        <f>MIN(IF($C92&lt;=$B$1,0,投放验证!AG79),H$9)</f>
        <v>1</v>
      </c>
      <c r="I92" s="8">
        <f>MIN(IF($C92&lt;=$B$1,0,MAX(投放验证!AD79/E92-1,0)),阵法升星!D$13)</f>
        <v>3</v>
      </c>
      <c r="J92" s="8">
        <f>MIN(IF($C92&lt;=$B$1,0,MAX(投放验证!AE79/F92-1,0)),阵法升星!E$13)</f>
        <v>5</v>
      </c>
      <c r="K92" s="8">
        <f>MIN(IF($C92&lt;=$B$1,0,MAX(投放验证!AF79/G92-1,0)),阵法升星!F$13)</f>
        <v>7</v>
      </c>
      <c r="L92" s="8">
        <f>MIN(IF($C92&lt;=$B$1,0,MAX(IFERROR(投放验证!AG79/H92,0)-1,0)),阵法升星!G$13)</f>
        <v>7</v>
      </c>
      <c r="M92" s="8">
        <f>IF(H92&gt;=1,阵法升星!$G$65,IF(G92&gt;1,阵法升星!$F$65,IF(F92&gt;1,阵法升星!$E$65,IF(E92&gt;0,MAX(阵法升星!$D$65,1),0))))</f>
        <v>10</v>
      </c>
      <c r="N92" s="8">
        <f>IF($C92&lt;=$B$1,0,求节点(阵旗升级!$E$5:$E$24,阵旗升级!$C$5:$C$24,投放验证!AM79/M92))</f>
        <v>16.20098154968051</v>
      </c>
      <c r="O92" s="8">
        <f>IF(C92&lt;=$B$1,0,投放验证!AS79)</f>
        <v>2023766.4539934078</v>
      </c>
      <c r="P92" s="8">
        <f>阵旗升级!Q77</f>
        <v>0.99985759973525989</v>
      </c>
    </row>
    <row r="94" spans="2:16" x14ac:dyDescent="0.15">
      <c r="C94" s="8"/>
      <c r="D94" s="8"/>
      <c r="E94" s="53" t="s">
        <v>148</v>
      </c>
      <c r="F94" s="53"/>
      <c r="G94" s="53"/>
      <c r="H94" s="53"/>
      <c r="I94" s="53" t="s">
        <v>145</v>
      </c>
      <c r="J94" s="53"/>
      <c r="K94" s="53"/>
      <c r="L94" s="53"/>
      <c r="M94" s="53" t="s">
        <v>146</v>
      </c>
      <c r="N94" s="53"/>
      <c r="O94" s="53" t="s">
        <v>178</v>
      </c>
      <c r="P94" s="53"/>
    </row>
    <row r="95" spans="2:16" x14ac:dyDescent="0.15">
      <c r="B95" s="5" t="s">
        <v>131</v>
      </c>
      <c r="C95" s="8" t="s">
        <v>141</v>
      </c>
      <c r="D95" s="8" t="s">
        <v>132</v>
      </c>
      <c r="E95" s="8" t="s">
        <v>0</v>
      </c>
      <c r="F95" s="8" t="s">
        <v>1</v>
      </c>
      <c r="G95" s="8" t="s">
        <v>2</v>
      </c>
      <c r="H95" s="8" t="s">
        <v>3</v>
      </c>
      <c r="I95" s="8" t="s">
        <v>0</v>
      </c>
      <c r="J95" s="8" t="s">
        <v>1</v>
      </c>
      <c r="K95" s="8" t="s">
        <v>2</v>
      </c>
      <c r="L95" s="8" t="s">
        <v>3</v>
      </c>
      <c r="M95" s="8" t="s">
        <v>169</v>
      </c>
      <c r="N95" s="8" t="s">
        <v>171</v>
      </c>
      <c r="O95" s="8" t="s">
        <v>179</v>
      </c>
      <c r="P95" s="8" t="s">
        <v>180</v>
      </c>
    </row>
    <row r="96" spans="2:16" x14ac:dyDescent="0.15">
      <c r="C96" s="8">
        <v>10</v>
      </c>
      <c r="D96" s="8">
        <f>求节点(节奏总纲!$O$4:$O$163,节奏总纲!$T$4:$T$163,$C96)</f>
        <v>0.2732</v>
      </c>
      <c r="E96" s="8">
        <f>MIN(IF($C96&lt;=$B$1,0,投放验证!AD83),E$9)</f>
        <v>0</v>
      </c>
      <c r="F96" s="8">
        <f>MIN(IF($C96&lt;=$B$1,0,投放验证!AE83),F$9)</f>
        <v>0</v>
      </c>
      <c r="G96" s="8">
        <f>MIN(IF($C96&lt;=$B$1,0,投放验证!AF83),G$9)</f>
        <v>0</v>
      </c>
      <c r="H96" s="8">
        <f>MIN(IF($C96&lt;=$B$1,0,投放验证!AG83),H$9)</f>
        <v>0</v>
      </c>
      <c r="I96" s="8">
        <f>MIN(IF($C96&lt;=$B$1,0,MAX(投放验证!AD83/E96-1,0)),阵法升星!D$13)</f>
        <v>0</v>
      </c>
      <c r="J96" s="8">
        <f>MIN(IF($C96&lt;=$B$1,0,MAX(投放验证!AE83/F96-1,0)),阵法升星!E$13)</f>
        <v>0</v>
      </c>
      <c r="K96" s="8">
        <f>MIN(IF($C96&lt;=$B$1,0,MAX(投放验证!AF83/G96-1,0)),阵法升星!F$13)</f>
        <v>0</v>
      </c>
      <c r="L96" s="8">
        <f>MIN(IF($C96&lt;=$B$1,0,MAX(IFERROR(投放验证!AG83/H96,0)-1,0)),阵法升星!G$13)</f>
        <v>0</v>
      </c>
      <c r="M96" s="8">
        <f>IF(H96&gt;=1,阵法升星!$G$65,IF(G96&gt;1,阵法升星!$F$65,IF(F96&gt;1,阵法升星!$E$65,IF(E96&gt;0,MAX(阵法升星!$D$65,1),0))))</f>
        <v>0</v>
      </c>
      <c r="N96" s="8">
        <f>IF($C96&lt;=$B$1,0,求节点(阵旗升级!$E$5:$E$24,阵旗升级!$C$5:$C$24,投放验证!AM83/M96))</f>
        <v>0</v>
      </c>
      <c r="O96" s="8">
        <f>IF(C96&lt;=$B$1,0,投放验证!AS83)</f>
        <v>0</v>
      </c>
      <c r="P96" s="8">
        <f>阵旗升级!Q81</f>
        <v>0</v>
      </c>
    </row>
    <row r="97" spans="3:16" x14ac:dyDescent="0.15">
      <c r="C97" s="8">
        <v>20</v>
      </c>
      <c r="D97" s="8">
        <f>求节点(节奏总纲!$O$4:$O$163,节奏总纲!$T$4:$T$163,$C97)</f>
        <v>0.87990000000000002</v>
      </c>
      <c r="E97" s="8">
        <f>MIN(IF($C97&lt;=$B$1,0,投放验证!AD84),E$9)</f>
        <v>0</v>
      </c>
      <c r="F97" s="8">
        <f>MIN(IF($C97&lt;=$B$1,0,投放验证!AE84),F$9)</f>
        <v>0</v>
      </c>
      <c r="G97" s="8">
        <f>MIN(IF($C97&lt;=$B$1,0,投放验证!AF84),G$9)</f>
        <v>0</v>
      </c>
      <c r="H97" s="8">
        <f>MIN(IF($C97&lt;=$B$1,0,投放验证!AG84),H$9)</f>
        <v>0</v>
      </c>
      <c r="I97" s="8">
        <f>MIN(IF($C97&lt;=$B$1,0,MAX(投放验证!AD84/E97-1,0)),阵法升星!D$13)</f>
        <v>0</v>
      </c>
      <c r="J97" s="8">
        <f>MIN(IF($C97&lt;=$B$1,0,MAX(投放验证!AE84/F97-1,0)),阵法升星!E$13)</f>
        <v>0</v>
      </c>
      <c r="K97" s="8">
        <f>MIN(IF($C97&lt;=$B$1,0,MAX(投放验证!AF84/G97-1,0)),阵法升星!F$13)</f>
        <v>0</v>
      </c>
      <c r="L97" s="8">
        <f>MIN(IF($C97&lt;=$B$1,0,MAX(IFERROR(投放验证!AG84/H97,0)-1,0)),阵法升星!G$13)</f>
        <v>0</v>
      </c>
      <c r="M97" s="8">
        <f>IF(H97&gt;=1,阵法升星!$G$65,IF(G97&gt;1,阵法升星!$F$65,IF(F97&gt;1,阵法升星!$E$65,IF(E97&gt;0,MAX(阵法升星!$D$65,1),0))))</f>
        <v>0</v>
      </c>
      <c r="N97" s="8">
        <f>IF($C97&lt;=$B$1,0,求节点(阵旗升级!$E$5:$E$24,阵旗升级!$C$5:$C$24,投放验证!AM84/M97))</f>
        <v>0</v>
      </c>
      <c r="O97" s="8">
        <f>IF(C97&lt;=$B$1,0,投放验证!AS84)</f>
        <v>0</v>
      </c>
      <c r="P97" s="8">
        <f>阵旗升级!Q82</f>
        <v>0</v>
      </c>
    </row>
    <row r="98" spans="3:16" x14ac:dyDescent="0.15">
      <c r="C98" s="8">
        <v>30</v>
      </c>
      <c r="D98" s="8">
        <f>求节点(节奏总纲!$O$4:$O$163,节奏总纲!$T$4:$T$163,$C98)</f>
        <v>2.1006999999999998</v>
      </c>
      <c r="E98" s="8">
        <f>MIN(IF($C98&lt;=$B$1,0,投放验证!AD85),E$9)</f>
        <v>0</v>
      </c>
      <c r="F98" s="8">
        <f>MIN(IF($C98&lt;=$B$1,0,投放验证!AE85),F$9)</f>
        <v>0</v>
      </c>
      <c r="G98" s="8">
        <f>MIN(IF($C98&lt;=$B$1,0,投放验证!AF85),G$9)</f>
        <v>0</v>
      </c>
      <c r="H98" s="8">
        <f>MIN(IF($C98&lt;=$B$1,0,投放验证!AG85),H$9)</f>
        <v>0</v>
      </c>
      <c r="I98" s="8">
        <f>MIN(IF($C98&lt;=$B$1,0,MAX(投放验证!AD85/E98-1,0)),阵法升星!D$13)</f>
        <v>0</v>
      </c>
      <c r="J98" s="8">
        <f>MIN(IF($C98&lt;=$B$1,0,MAX(投放验证!AE85/F98-1,0)),阵法升星!E$13)</f>
        <v>0</v>
      </c>
      <c r="K98" s="8">
        <f>MIN(IF($C98&lt;=$B$1,0,MAX(投放验证!AF85/G98-1,0)),阵法升星!F$13)</f>
        <v>0</v>
      </c>
      <c r="L98" s="8">
        <f>MIN(IF($C98&lt;=$B$1,0,MAX(IFERROR(投放验证!AG85/H98,0)-1,0)),阵法升星!G$13)</f>
        <v>0</v>
      </c>
      <c r="M98" s="8">
        <f>IF(H98&gt;=1,阵法升星!$G$65,IF(G98&gt;1,阵法升星!$F$65,IF(F98&gt;1,阵法升星!$E$65,IF(E98&gt;0,MAX(阵法升星!$D$65,1),0))))</f>
        <v>0</v>
      </c>
      <c r="N98" s="8">
        <f>IF($C98&lt;=$B$1,0,求节点(阵旗升级!$E$5:$E$24,阵旗升级!$C$5:$C$24,投放验证!AM85/M98))</f>
        <v>0</v>
      </c>
      <c r="O98" s="8">
        <f>IF(C98&lt;=$B$1,0,投放验证!AS85)</f>
        <v>0</v>
      </c>
      <c r="P98" s="8">
        <f>阵旗升级!Q83</f>
        <v>0</v>
      </c>
    </row>
    <row r="99" spans="3:16" x14ac:dyDescent="0.15">
      <c r="C99" s="8">
        <v>40</v>
      </c>
      <c r="D99" s="8">
        <f>求节点(节奏总纲!$O$4:$O$163,节奏总纲!$T$4:$T$163,$C99)</f>
        <v>4.5</v>
      </c>
      <c r="E99" s="8">
        <f>MIN(IF($C99&lt;=$B$1,0,投放验证!AD86),E$9)</f>
        <v>0</v>
      </c>
      <c r="F99" s="8">
        <f>MIN(IF($C99&lt;=$B$1,0,投放验证!AE86),F$9)</f>
        <v>0</v>
      </c>
      <c r="G99" s="8">
        <f>MIN(IF($C99&lt;=$B$1,0,投放验证!AF86),G$9)</f>
        <v>0</v>
      </c>
      <c r="H99" s="8">
        <f>MIN(IF($C99&lt;=$B$1,0,投放验证!AG86),H$9)</f>
        <v>0</v>
      </c>
      <c r="I99" s="8">
        <f>MIN(IF($C99&lt;=$B$1,0,MAX(投放验证!AD86/E99-1,0)),阵法升星!D$13)</f>
        <v>0</v>
      </c>
      <c r="J99" s="8">
        <f>MIN(IF($C99&lt;=$B$1,0,MAX(投放验证!AE86/F99-1,0)),阵法升星!E$13)</f>
        <v>0</v>
      </c>
      <c r="K99" s="8">
        <f>MIN(IF($C99&lt;=$B$1,0,MAX(投放验证!AF86/G99-1,0)),阵法升星!F$13)</f>
        <v>0</v>
      </c>
      <c r="L99" s="8">
        <f>MIN(IF($C99&lt;=$B$1,0,MAX(IFERROR(投放验证!AG86/H99,0)-1,0)),阵法升星!G$13)</f>
        <v>0</v>
      </c>
      <c r="M99" s="8">
        <f>IF(H99&gt;=1,阵法升星!$G$65,IF(G99&gt;1,阵法升星!$F$65,IF(F99&gt;1,阵法升星!$E$65,IF(E99&gt;0,MAX(阵法升星!$D$65,1),0))))</f>
        <v>0</v>
      </c>
      <c r="N99" s="8">
        <f>IF($C99&lt;=$B$1,0,求节点(阵旗升级!$E$5:$E$24,阵旗升级!$C$5:$C$24,投放验证!AM86/M99))</f>
        <v>0</v>
      </c>
      <c r="O99" s="8">
        <f>IF(C99&lt;=$B$1,0,投放验证!AS86)</f>
        <v>0</v>
      </c>
      <c r="P99" s="8">
        <f>阵旗升级!Q84</f>
        <v>0</v>
      </c>
    </row>
    <row r="100" spans="3:16" x14ac:dyDescent="0.15">
      <c r="C100" s="8">
        <v>50</v>
      </c>
      <c r="D100" s="8">
        <f>求节点(节奏总纲!$O$4:$O$163,节奏总纲!$T$4:$T$163,$C100)</f>
        <v>9.1883999999999997</v>
      </c>
      <c r="E100" s="8">
        <f>MIN(IF($C100&lt;=$B$1,0,投放验证!AD87),E$9)</f>
        <v>0</v>
      </c>
      <c r="F100" s="8">
        <f>MIN(IF($C100&lt;=$B$1,0,投放验证!AE87),F$9)</f>
        <v>0</v>
      </c>
      <c r="G100" s="8">
        <f>MIN(IF($C100&lt;=$B$1,0,投放验证!AF87),G$9)</f>
        <v>0</v>
      </c>
      <c r="H100" s="8">
        <f>MIN(IF($C100&lt;=$B$1,0,投放验证!AG87),H$9)</f>
        <v>0</v>
      </c>
      <c r="I100" s="8">
        <f>MIN(IF($C100&lt;=$B$1,0,MAX(投放验证!AD87/E100-1,0)),阵法升星!D$13)</f>
        <v>0</v>
      </c>
      <c r="J100" s="8">
        <f>MIN(IF($C100&lt;=$B$1,0,MAX(投放验证!AE87/F100-1,0)),阵法升星!E$13)</f>
        <v>0</v>
      </c>
      <c r="K100" s="8">
        <f>MIN(IF($C100&lt;=$B$1,0,MAX(投放验证!AF87/G100-1,0)),阵法升星!F$13)</f>
        <v>0</v>
      </c>
      <c r="L100" s="8">
        <f>MIN(IF($C100&lt;=$B$1,0,MAX(IFERROR(投放验证!AG87/H100,0)-1,0)),阵法升星!G$13)</f>
        <v>0</v>
      </c>
      <c r="M100" s="8">
        <f>IF(H100&gt;=1,阵法升星!$G$65,IF(G100&gt;1,阵法升星!$F$65,IF(F100&gt;1,阵法升星!$E$65,IF(E100&gt;0,MAX(阵法升星!$D$65,1),0))))</f>
        <v>0</v>
      </c>
      <c r="N100" s="8">
        <f>IF($C100&lt;=$B$1,0,求节点(阵旗升级!$E$5:$E$24,阵旗升级!$C$5:$C$24,投放验证!AM87/M100))</f>
        <v>0</v>
      </c>
      <c r="O100" s="8">
        <f>IF(C100&lt;=$B$1,0,投放验证!AS87)</f>
        <v>0</v>
      </c>
      <c r="P100" s="8">
        <f>阵旗升级!Q85</f>
        <v>0</v>
      </c>
    </row>
    <row r="101" spans="3:16" x14ac:dyDescent="0.15">
      <c r="C101" s="8">
        <v>60</v>
      </c>
      <c r="D101" s="8">
        <f>求节点(节奏总纲!$O$4:$O$163,节奏总纲!$T$4:$T$163,$C101)</f>
        <v>18.276300000000003</v>
      </c>
      <c r="E101" s="8">
        <f>MIN(IF($C101&lt;=$B$1,0,投放验证!AD88),E$9)</f>
        <v>0</v>
      </c>
      <c r="F101" s="8">
        <f>MIN(IF($C101&lt;=$B$1,0,投放验证!AE88),F$9)</f>
        <v>0</v>
      </c>
      <c r="G101" s="8">
        <f>MIN(IF($C101&lt;=$B$1,0,投放验证!AF88),G$9)</f>
        <v>0</v>
      </c>
      <c r="H101" s="8">
        <f>MIN(IF($C101&lt;=$B$1,0,投放验证!AG88),H$9)</f>
        <v>0</v>
      </c>
      <c r="I101" s="8">
        <f>MIN(IF($C101&lt;=$B$1,0,MAX(投放验证!AD88/E101-1,0)),阵法升星!D$13)</f>
        <v>0</v>
      </c>
      <c r="J101" s="8">
        <f>MIN(IF($C101&lt;=$B$1,0,MAX(投放验证!AE88/F101-1,0)),阵法升星!E$13)</f>
        <v>0</v>
      </c>
      <c r="K101" s="8">
        <f>MIN(IF($C101&lt;=$B$1,0,MAX(投放验证!AF88/G101-1,0)),阵法升星!F$13)</f>
        <v>0</v>
      </c>
      <c r="L101" s="8">
        <f>MIN(IF($C101&lt;=$B$1,0,MAX(IFERROR(投放验证!AG88/H101,0)-1,0)),阵法升星!G$13)</f>
        <v>0</v>
      </c>
      <c r="M101" s="8">
        <f>IF(H101&gt;=1,阵法升星!$G$65,IF(G101&gt;1,阵法升星!$F$65,IF(F101&gt;1,阵法升星!$E$65,IF(E101&gt;0,MAX(阵法升星!$D$65,1),0))))</f>
        <v>0</v>
      </c>
      <c r="N101" s="8">
        <f>IF($C101&lt;=$B$1,0,求节点(阵旗升级!$E$5:$E$24,阵旗升级!$C$5:$C$24,投放验证!AM88/M101))</f>
        <v>0</v>
      </c>
      <c r="O101" s="8">
        <f>IF(C101&lt;=$B$1,0,投放验证!AS88)</f>
        <v>0</v>
      </c>
      <c r="P101" s="8">
        <f>阵旗升级!Q86</f>
        <v>0</v>
      </c>
    </row>
    <row r="102" spans="3:16" x14ac:dyDescent="0.15">
      <c r="C102" s="8">
        <v>70</v>
      </c>
      <c r="D102" s="8">
        <f>求节点(节奏总纲!$O$4:$O$163,节奏总纲!$T$4:$T$163,$C102)</f>
        <v>36.4998</v>
      </c>
      <c r="E102" s="8">
        <f>MIN(IF($C102&lt;=$B$1,0,投放验证!AD89),E$9)</f>
        <v>2</v>
      </c>
      <c r="F102" s="8">
        <f>MIN(IF($C102&lt;=$B$1,0,投放验证!AE89),F$9)</f>
        <v>6</v>
      </c>
      <c r="G102" s="8">
        <f>MIN(IF($C102&lt;=$B$1,0,投放验证!AF89),G$9)</f>
        <v>10</v>
      </c>
      <c r="H102" s="8">
        <f>MIN(IF($C102&lt;=$B$1,0,投放验证!AG89),H$9)</f>
        <v>0</v>
      </c>
      <c r="I102" s="8">
        <f>MIN(IF($C102&lt;=$B$1,0,MAX(投放验证!AD89/E102-1,0)),阵法升星!D$13)</f>
        <v>3</v>
      </c>
      <c r="J102" s="8">
        <f>MIN(IF($C102&lt;=$B$1,0,MAX(投放验证!AE89/F102-1,0)),阵法升星!E$13)</f>
        <v>5</v>
      </c>
      <c r="K102" s="8">
        <f>MIN(IF($C102&lt;=$B$1,0,MAX(投放验证!AF89/G102-1,0)),阵法升星!F$13)</f>
        <v>1.4964778107547936</v>
      </c>
      <c r="L102" s="8">
        <f>MIN(IF($C102&lt;=$B$1,0,MAX(IFERROR(投放验证!AG89/H102,0)-1,0)),阵法升星!G$13)</f>
        <v>0</v>
      </c>
      <c r="M102" s="8">
        <f>IF(H102&gt;=1,阵法升星!$G$65,IF(G102&gt;1,阵法升星!$F$65,IF(F102&gt;1,阵法升星!$E$65,IF(E102&gt;0,MAX(阵法升星!$D$65,1),0))))</f>
        <v>7</v>
      </c>
      <c r="N102" s="8">
        <f>IF($C102&lt;=$B$1,0,求节点(阵旗升级!$E$5:$E$24,阵旗升级!$C$5:$C$24,投放验证!AM89/M102))</f>
        <v>11.38429951473724</v>
      </c>
      <c r="O102" s="8">
        <f>IF(C102&lt;=$B$1,0,投放验证!AS89)</f>
        <v>1439.6355375352643</v>
      </c>
      <c r="P102" s="8">
        <f>阵旗升级!Q87</f>
        <v>0.35015677034079645</v>
      </c>
    </row>
    <row r="103" spans="3:16" x14ac:dyDescent="0.15">
      <c r="C103" s="8">
        <v>80</v>
      </c>
      <c r="D103" s="8">
        <f>求节点(节奏总纲!$O$4:$O$163,节奏总纲!$T$4:$T$163,$C103)</f>
        <v>72.777000000000001</v>
      </c>
      <c r="E103" s="8">
        <f>MIN(IF($C103&lt;=$B$1,0,投放验证!AD90),E$9)</f>
        <v>2</v>
      </c>
      <c r="F103" s="8">
        <f>MIN(IF($C103&lt;=$B$1,0,投放验证!AE90),F$9)</f>
        <v>6</v>
      </c>
      <c r="G103" s="8">
        <f>MIN(IF($C103&lt;=$B$1,0,投放验证!AF90),G$9)</f>
        <v>10</v>
      </c>
      <c r="H103" s="8">
        <f>MIN(IF($C103&lt;=$B$1,0,投放验证!AG90),H$9)</f>
        <v>1</v>
      </c>
      <c r="I103" s="8">
        <f>MIN(IF($C103&lt;=$B$1,0,MAX(投放验证!AD90/E103-1,0)),阵法升星!D$13)</f>
        <v>3</v>
      </c>
      <c r="J103" s="8">
        <f>MIN(IF($C103&lt;=$B$1,0,MAX(投放验证!AE90/F103-1,0)),阵法升星!E$13)</f>
        <v>5</v>
      </c>
      <c r="K103" s="8">
        <f>MIN(IF($C103&lt;=$B$1,0,MAX(投放验证!AF90/G103-1,0)),阵法升星!F$13)</f>
        <v>5.5719341436130732</v>
      </c>
      <c r="L103" s="8">
        <f>MIN(IF($C103&lt;=$B$1,0,MAX(IFERROR(投放验证!AG90/H103,0)-1,0)),阵法升星!G$13)</f>
        <v>3.4718009233688116</v>
      </c>
      <c r="M103" s="8">
        <f>IF(H103&gt;=1,阵法升星!$G$65,IF(G103&gt;1,阵法升星!$F$65,IF(F103&gt;1,阵法升星!$E$65,IF(E103&gt;0,MAX(阵法升星!$D$65,1),0))))</f>
        <v>10</v>
      </c>
      <c r="N103" s="8">
        <f>IF($C103&lt;=$B$1,0,求节点(阵旗升级!$E$5:$E$24,阵旗升级!$C$5:$C$24,投放验证!AM90/M103))</f>
        <v>12.224011158829486</v>
      </c>
      <c r="O103" s="8">
        <f>IF(C103&lt;=$B$1,0,投放验证!AS90)</f>
        <v>4420.8361531144719</v>
      </c>
      <c r="P103" s="8">
        <f>阵旗升级!Q88</f>
        <v>0.47865714607532533</v>
      </c>
    </row>
    <row r="104" spans="3:16" x14ac:dyDescent="0.15">
      <c r="C104" s="8">
        <v>90</v>
      </c>
      <c r="D104" s="8">
        <f>求节点(节奏总纲!$O$4:$O$163,节奏总纲!$T$4:$T$163,$C104)</f>
        <v>138.48100000000002</v>
      </c>
      <c r="E104" s="8">
        <f>MIN(IF($C104&lt;=$B$1,0,投放验证!AD91),E$9)</f>
        <v>2</v>
      </c>
      <c r="F104" s="8">
        <f>MIN(IF($C104&lt;=$B$1,0,投放验证!AE91),F$9)</f>
        <v>6</v>
      </c>
      <c r="G104" s="8">
        <f>MIN(IF($C104&lt;=$B$1,0,投放验证!AF91),G$9)</f>
        <v>10</v>
      </c>
      <c r="H104" s="8">
        <f>MIN(IF($C104&lt;=$B$1,0,投放验证!AG91),H$9)</f>
        <v>1</v>
      </c>
      <c r="I104" s="8">
        <f>MIN(IF($C104&lt;=$B$1,0,MAX(投放验证!AD91/E104-1,0)),阵法升星!D$13)</f>
        <v>3</v>
      </c>
      <c r="J104" s="8">
        <f>MIN(IF($C104&lt;=$B$1,0,MAX(投放验证!AE91/F104-1,0)),阵法升星!E$13)</f>
        <v>5</v>
      </c>
      <c r="K104" s="8">
        <f>MIN(IF($C104&lt;=$B$1,0,MAX(投放验证!AF91/G104-1,0)),阵法升星!F$13)</f>
        <v>7</v>
      </c>
      <c r="L104" s="8">
        <f>MIN(IF($C104&lt;=$B$1,0,MAX(IFERROR(投放验证!AG91/H104,0)-1,0)),阵法升星!G$13)</f>
        <v>7</v>
      </c>
      <c r="M104" s="8">
        <f>IF(H104&gt;=1,阵法升星!$G$65,IF(G104&gt;1,阵法升星!$F$65,IF(F104&gt;1,阵法升星!$E$65,IF(E104&gt;0,MAX(阵法升星!$D$65,1),0))))</f>
        <v>10</v>
      </c>
      <c r="N104" s="8">
        <f>IF($C104&lt;=$B$1,0,求节点(阵旗升级!$E$5:$E$24,阵旗升级!$C$5:$C$24,投放验证!AM91/M104))</f>
        <v>13.021101134073957</v>
      </c>
      <c r="O104" s="8">
        <f>IF(C104&lt;=$B$1,0,投放验证!AS91)</f>
        <v>9707.133667129101</v>
      </c>
      <c r="P104" s="8">
        <f>阵旗升级!Q89</f>
        <v>0.92972449241411104</v>
      </c>
    </row>
    <row r="105" spans="3:16" x14ac:dyDescent="0.15">
      <c r="C105" s="8">
        <v>100</v>
      </c>
      <c r="D105" s="8">
        <f>求节点(节奏总纲!$O$4:$O$163,节奏总纲!$T$4:$T$163,$C105)</f>
        <v>274.77780000000001</v>
      </c>
      <c r="E105" s="8">
        <f>MIN(IF($C105&lt;=$B$1,0,投放验证!AD92),E$9)</f>
        <v>2</v>
      </c>
      <c r="F105" s="8">
        <f>MIN(IF($C105&lt;=$B$1,0,投放验证!AE92),F$9)</f>
        <v>6</v>
      </c>
      <c r="G105" s="8">
        <f>MIN(IF($C105&lt;=$B$1,0,投放验证!AF92),G$9)</f>
        <v>10</v>
      </c>
      <c r="H105" s="8">
        <f>MIN(IF($C105&lt;=$B$1,0,投放验证!AG92),H$9)</f>
        <v>1</v>
      </c>
      <c r="I105" s="8">
        <f>MIN(IF($C105&lt;=$B$1,0,MAX(投放验证!AD92/E105-1,0)),阵法升星!D$13)</f>
        <v>3</v>
      </c>
      <c r="J105" s="8">
        <f>MIN(IF($C105&lt;=$B$1,0,MAX(投放验证!AE92/F105-1,0)),阵法升星!E$13)</f>
        <v>5</v>
      </c>
      <c r="K105" s="8">
        <f>MIN(IF($C105&lt;=$B$1,0,MAX(投放验证!AF92/G105-1,0)),阵法升星!F$13)</f>
        <v>7</v>
      </c>
      <c r="L105" s="8">
        <f>MIN(IF($C105&lt;=$B$1,0,MAX(IFERROR(投放验证!AG92/H105,0)-1,0)),阵法升星!G$13)</f>
        <v>7</v>
      </c>
      <c r="M105" s="8">
        <f>IF(H105&gt;=1,阵法升星!$G$65,IF(G105&gt;1,阵法升星!$F$65,IF(F105&gt;1,阵法升星!$E$65,IF(E105&gt;0,MAX(阵法升星!$D$65,1),0))))</f>
        <v>10</v>
      </c>
      <c r="N105" s="8">
        <f>IF($C105&lt;=$B$1,0,求节点(阵旗升级!$E$5:$E$24,阵旗升级!$C$5:$C$24,投放验证!AM92/M105))</f>
        <v>13.401540386197489</v>
      </c>
      <c r="O105" s="8">
        <f>IF(C105&lt;=$B$1,0,投放验证!AS92)</f>
        <v>20527.867768057717</v>
      </c>
      <c r="P105" s="8">
        <f>阵旗升级!Q90</f>
        <v>0.99985759973525989</v>
      </c>
    </row>
    <row r="106" spans="3:16" x14ac:dyDescent="0.15">
      <c r="C106" s="8">
        <v>110</v>
      </c>
      <c r="D106" s="8">
        <f>求节点(节奏总纲!$O$4:$O$163,节奏总纲!$T$4:$T$163,$C106)</f>
        <v>542.04559999999992</v>
      </c>
      <c r="E106" s="8">
        <f>MIN(IF($C106&lt;=$B$1,0,投放验证!AD93),E$9)</f>
        <v>2</v>
      </c>
      <c r="F106" s="8">
        <f>MIN(IF($C106&lt;=$B$1,0,投放验证!AE93),F$9)</f>
        <v>6</v>
      </c>
      <c r="G106" s="8">
        <f>MIN(IF($C106&lt;=$B$1,0,投放验证!AF93),G$9)</f>
        <v>10</v>
      </c>
      <c r="H106" s="8">
        <f>MIN(IF($C106&lt;=$B$1,0,投放验证!AG93),H$9)</f>
        <v>1</v>
      </c>
      <c r="I106" s="8">
        <f>MIN(IF($C106&lt;=$B$1,0,MAX(投放验证!AD93/E106-1,0)),阵法升星!D$13)</f>
        <v>3</v>
      </c>
      <c r="J106" s="8">
        <f>MIN(IF($C106&lt;=$B$1,0,MAX(投放验证!AE93/F106-1,0)),阵法升星!E$13)</f>
        <v>5</v>
      </c>
      <c r="K106" s="8">
        <f>MIN(IF($C106&lt;=$B$1,0,MAX(投放验证!AF93/G106-1,0)),阵法升星!F$13)</f>
        <v>7</v>
      </c>
      <c r="L106" s="8">
        <f>MIN(IF($C106&lt;=$B$1,0,MAX(IFERROR(投放验证!AG93/H106,0)-1,0)),阵法升星!G$13)</f>
        <v>7</v>
      </c>
      <c r="M106" s="8">
        <f>IF(H106&gt;=1,阵法升星!$G$65,IF(G106&gt;1,阵法升星!$F$65,IF(F106&gt;1,阵法升星!$E$65,IF(E106&gt;0,MAX(阵法升星!$D$65,1),0))))</f>
        <v>10</v>
      </c>
      <c r="N106" s="8">
        <f>IF($C106&lt;=$B$1,0,求节点(阵旗升级!$E$5:$E$24,阵旗升级!$C$5:$C$24,投放验证!AM93/M106))</f>
        <v>14.029228760768641</v>
      </c>
      <c r="O106" s="8">
        <f>IF(C106&lt;=$B$1,0,投放验证!AS93)</f>
        <v>41599.358892202166</v>
      </c>
      <c r="P106" s="8">
        <f>阵旗升级!Q91</f>
        <v>0.99985759973525989</v>
      </c>
    </row>
    <row r="107" spans="3:16" x14ac:dyDescent="0.15">
      <c r="C107" s="8">
        <v>120</v>
      </c>
      <c r="D107" s="8">
        <f>求节点(节奏总纲!$O$4:$O$163,节奏总纲!$T$4:$T$163,$C107)</f>
        <v>1067.9759999999999</v>
      </c>
      <c r="E107" s="8">
        <f>MIN(IF($C107&lt;=$B$1,0,投放验证!AD94),E$9)</f>
        <v>2</v>
      </c>
      <c r="F107" s="8">
        <f>MIN(IF($C107&lt;=$B$1,0,投放验证!AE94),F$9)</f>
        <v>6</v>
      </c>
      <c r="G107" s="8">
        <f>MIN(IF($C107&lt;=$B$1,0,投放验证!AF94),G$9)</f>
        <v>10</v>
      </c>
      <c r="H107" s="8">
        <f>MIN(IF($C107&lt;=$B$1,0,投放验证!AG94),H$9)</f>
        <v>1</v>
      </c>
      <c r="I107" s="8">
        <f>MIN(IF($C107&lt;=$B$1,0,MAX(投放验证!AD94/E107-1,0)),阵法升星!D$13)</f>
        <v>3</v>
      </c>
      <c r="J107" s="8">
        <f>MIN(IF($C107&lt;=$B$1,0,MAX(投放验证!AE94/F107-1,0)),阵法升星!E$13)</f>
        <v>5</v>
      </c>
      <c r="K107" s="8">
        <f>MIN(IF($C107&lt;=$B$1,0,MAX(投放验证!AF94/G107-1,0)),阵法升星!F$13)</f>
        <v>7</v>
      </c>
      <c r="L107" s="8">
        <f>MIN(IF($C107&lt;=$B$1,0,MAX(IFERROR(投放验证!AG94/H107,0)-1,0)),阵法升星!G$13)</f>
        <v>7</v>
      </c>
      <c r="M107" s="8">
        <f>IF(H107&gt;=1,阵法升星!$G$65,IF(G107&gt;1,阵法升星!$F$65,IF(F107&gt;1,阵法升星!$E$65,IF(E107&gt;0,MAX(阵法升星!$D$65,1),0))))</f>
        <v>10</v>
      </c>
      <c r="N107" s="8">
        <f>IF($C107&lt;=$B$1,0,求节点(阵旗升级!$E$5:$E$24,阵旗升级!$C$5:$C$24,投放验证!AM94/M107))</f>
        <v>14.289189669598045</v>
      </c>
      <c r="O107" s="8">
        <f>IF(C107&lt;=$B$1,0,投放验证!AS94)</f>
        <v>82839.620308757934</v>
      </c>
      <c r="P107" s="8">
        <f>阵旗升级!Q92</f>
        <v>0.99985759973525989</v>
      </c>
    </row>
    <row r="108" spans="3:16" x14ac:dyDescent="0.15">
      <c r="C108" s="8">
        <v>130</v>
      </c>
      <c r="D108" s="8">
        <f>求节点(节奏总纲!$O$4:$O$163,节奏总纲!$T$4:$T$163,$C108)</f>
        <v>2124.7454000000002</v>
      </c>
      <c r="E108" s="8">
        <f>MIN(IF($C108&lt;=$B$1,0,投放验证!AD95),E$9)</f>
        <v>2</v>
      </c>
      <c r="F108" s="8">
        <f>MIN(IF($C108&lt;=$B$1,0,投放验证!AE95),F$9)</f>
        <v>6</v>
      </c>
      <c r="G108" s="8">
        <f>MIN(IF($C108&lt;=$B$1,0,投放验证!AF95),G$9)</f>
        <v>10</v>
      </c>
      <c r="H108" s="8">
        <f>MIN(IF($C108&lt;=$B$1,0,投放验证!AG95),H$9)</f>
        <v>1</v>
      </c>
      <c r="I108" s="8">
        <f>MIN(IF($C108&lt;=$B$1,0,MAX(投放验证!AD95/E108-1,0)),阵法升星!D$13)</f>
        <v>3</v>
      </c>
      <c r="J108" s="8">
        <f>MIN(IF($C108&lt;=$B$1,0,MAX(投放验证!AE95/F108-1,0)),阵法升星!E$13)</f>
        <v>5</v>
      </c>
      <c r="K108" s="8">
        <f>MIN(IF($C108&lt;=$B$1,0,MAX(投放验证!AF95/G108-1,0)),阵法升星!F$13)</f>
        <v>7</v>
      </c>
      <c r="L108" s="8">
        <f>MIN(IF($C108&lt;=$B$1,0,MAX(IFERROR(投放验证!AG95/H108,0)-1,0)),阵法升星!G$13)</f>
        <v>7</v>
      </c>
      <c r="M108" s="8">
        <f>IF(H108&gt;=1,阵法升星!$G$65,IF(G108&gt;1,阵法升星!$F$65,IF(F108&gt;1,阵法升星!$E$65,IF(E108&gt;0,MAX(阵法升星!$D$65,1),0))))</f>
        <v>10</v>
      </c>
      <c r="N108" s="8">
        <f>IF($C108&lt;=$B$1,0,求节点(阵旗升级!$E$5:$E$24,阵旗升级!$C$5:$C$24,投放验证!AM95/M108))</f>
        <v>14.830741213549432</v>
      </c>
      <c r="O108" s="8">
        <f>IF(C108&lt;=$B$1,0,投放验证!AS95)</f>
        <v>165373.48233032069</v>
      </c>
      <c r="P108" s="8">
        <f>阵旗升级!Q93</f>
        <v>0.99985759973525989</v>
      </c>
    </row>
    <row r="109" spans="3:16" x14ac:dyDescent="0.15">
      <c r="C109" s="8">
        <v>140</v>
      </c>
      <c r="D109" s="8">
        <f>求节点(节奏总纲!$O$4:$O$163,节奏总纲!$T$4:$T$163,$C109)</f>
        <v>4192.4097000000002</v>
      </c>
      <c r="E109" s="8">
        <f>MIN(IF($C109&lt;=$B$1,0,投放验证!AD96),E$9)</f>
        <v>2</v>
      </c>
      <c r="F109" s="8">
        <f>MIN(IF($C109&lt;=$B$1,0,投放验证!AE96),F$9)</f>
        <v>6</v>
      </c>
      <c r="G109" s="8">
        <f>MIN(IF($C109&lt;=$B$1,0,投放验证!AF96),G$9)</f>
        <v>10</v>
      </c>
      <c r="H109" s="8">
        <f>MIN(IF($C109&lt;=$B$1,0,投放验证!AG96),H$9)</f>
        <v>1</v>
      </c>
      <c r="I109" s="8">
        <f>MIN(IF($C109&lt;=$B$1,0,MAX(投放验证!AD96/E109-1,0)),阵法升星!D$13)</f>
        <v>3</v>
      </c>
      <c r="J109" s="8">
        <f>MIN(IF($C109&lt;=$B$1,0,MAX(投放验证!AE96/F109-1,0)),阵法升星!E$13)</f>
        <v>5</v>
      </c>
      <c r="K109" s="8">
        <f>MIN(IF($C109&lt;=$B$1,0,MAX(投放验证!AF96/G109-1,0)),阵法升星!F$13)</f>
        <v>7</v>
      </c>
      <c r="L109" s="8">
        <f>MIN(IF($C109&lt;=$B$1,0,MAX(IFERROR(投放验证!AG96/H109,0)-1,0)),阵法升星!G$13)</f>
        <v>7</v>
      </c>
      <c r="M109" s="8">
        <f>IF(H109&gt;=1,阵法升星!$G$65,IF(G109&gt;1,阵法升星!$F$65,IF(F109&gt;1,阵法升星!$E$65,IF(E109&gt;0,MAX(阵法升星!$D$65,1),0))))</f>
        <v>10</v>
      </c>
      <c r="N109" s="8">
        <f>IF($C109&lt;=$B$1,0,求节点(阵旗升级!$E$5:$E$24,阵旗升级!$C$5:$C$24,投放验证!AM96/M109))</f>
        <v>15.154522195435217</v>
      </c>
      <c r="O109" s="8">
        <f>IF(C109&lt;=$B$1,0,投放验证!AS96)</f>
        <v>326385.90969396243</v>
      </c>
      <c r="P109" s="8">
        <f>阵旗升级!Q94</f>
        <v>0.99985759973525989</v>
      </c>
    </row>
    <row r="110" spans="3:16" x14ac:dyDescent="0.15">
      <c r="C110" s="8">
        <v>150</v>
      </c>
      <c r="D110" s="8">
        <f>求节点(节奏总纲!$O$4:$O$163,节奏总纲!$T$4:$T$163,$C110)</f>
        <v>8355.5850000000009</v>
      </c>
      <c r="E110" s="8">
        <f>MIN(IF($C110&lt;=$B$1,0,投放验证!AD97),E$9)</f>
        <v>2</v>
      </c>
      <c r="F110" s="8">
        <f>MIN(IF($C110&lt;=$B$1,0,投放验证!AE97),F$9)</f>
        <v>6</v>
      </c>
      <c r="G110" s="8">
        <f>MIN(IF($C110&lt;=$B$1,0,投放验证!AF97),G$9)</f>
        <v>10</v>
      </c>
      <c r="H110" s="8">
        <f>MIN(IF($C110&lt;=$B$1,0,投放验证!AG97),H$9)</f>
        <v>1</v>
      </c>
      <c r="I110" s="8">
        <f>MIN(IF($C110&lt;=$B$1,0,MAX(投放验证!AD97/E110-1,0)),阵法升星!D$13)</f>
        <v>3</v>
      </c>
      <c r="J110" s="8">
        <f>MIN(IF($C110&lt;=$B$1,0,MAX(投放验证!AE97/F110-1,0)),阵法升星!E$13)</f>
        <v>5</v>
      </c>
      <c r="K110" s="8">
        <f>MIN(IF($C110&lt;=$B$1,0,MAX(投放验证!AF97/G110-1,0)),阵法升星!F$13)</f>
        <v>7</v>
      </c>
      <c r="L110" s="8">
        <f>MIN(IF($C110&lt;=$B$1,0,MAX(IFERROR(投放验证!AG97/H110,0)-1,0)),阵法升星!G$13)</f>
        <v>7</v>
      </c>
      <c r="M110" s="8">
        <f>IF(H110&gt;=1,阵法升星!$G$65,IF(G110&gt;1,阵法升星!$F$65,IF(F110&gt;1,阵法升星!$E$65,IF(E110&gt;0,MAX(阵法升星!$D$65,1),0))))</f>
        <v>10</v>
      </c>
      <c r="N110" s="8">
        <f>IF($C110&lt;=$B$1,0,求节点(阵旗升级!$E$5:$E$24,阵旗升级!$C$5:$C$24,投放验证!AM97/M110))</f>
        <v>15.534509136387021</v>
      </c>
      <c r="O110" s="8">
        <f>IF(C110&lt;=$B$1,0,投放验证!AS97)</f>
        <v>649863.89617696451</v>
      </c>
      <c r="P110" s="8">
        <f>阵旗升级!Q95</f>
        <v>0.99985759973525989</v>
      </c>
    </row>
    <row r="111" spans="3:16" x14ac:dyDescent="0.15">
      <c r="C111" s="8">
        <v>160</v>
      </c>
      <c r="D111" s="8">
        <f>求节点(节奏总纲!$O$4:$O$163,节奏总纲!$T$4:$T$163,$C111)</f>
        <v>66190.350000000006</v>
      </c>
      <c r="E111" s="8">
        <f>MIN(IF($C111&lt;=$B$1,0,投放验证!AD98),E$9)</f>
        <v>2</v>
      </c>
      <c r="F111" s="8">
        <f>MIN(IF($C111&lt;=$B$1,0,投放验证!AE98),F$9)</f>
        <v>6</v>
      </c>
      <c r="G111" s="8">
        <f>MIN(IF($C111&lt;=$B$1,0,投放验证!AF98),G$9)</f>
        <v>10</v>
      </c>
      <c r="H111" s="8">
        <f>MIN(IF($C111&lt;=$B$1,0,投放验证!AG98),H$9)</f>
        <v>1</v>
      </c>
      <c r="I111" s="8">
        <f>MIN(IF($C111&lt;=$B$1,0,MAX(投放验证!AD98/E111-1,0)),阵法升星!D$13)</f>
        <v>3</v>
      </c>
      <c r="J111" s="8">
        <f>MIN(IF($C111&lt;=$B$1,0,MAX(投放验证!AE98/F111-1,0)),阵法升星!E$13)</f>
        <v>5</v>
      </c>
      <c r="K111" s="8">
        <f>MIN(IF($C111&lt;=$B$1,0,MAX(投放验证!AF98/G111-1,0)),阵法升星!F$13)</f>
        <v>7</v>
      </c>
      <c r="L111" s="8">
        <f>MIN(IF($C111&lt;=$B$1,0,MAX(IFERROR(投放验证!AG98/H111,0)-1,0)),阵法升星!G$13)</f>
        <v>7</v>
      </c>
      <c r="M111" s="8">
        <f>IF(H111&gt;=1,阵法升星!$G$65,IF(G111&gt;1,阵法升星!$F$65,IF(F111&gt;1,阵法升星!$E$65,IF(E111&gt;0,MAX(阵法升星!$D$65,1),0))))</f>
        <v>10</v>
      </c>
      <c r="N111" s="8">
        <f>IF($C111&lt;=$B$1,0,求节点(阵旗升级!$E$5:$E$24,阵旗升级!$C$5:$C$24,投放验证!AM98/M111))</f>
        <v>16.819731238786563</v>
      </c>
      <c r="O111" s="8">
        <f>IF(C111&lt;=$B$1,0,投放验证!AS98)</f>
        <v>5128618.445265796</v>
      </c>
      <c r="P111" s="8">
        <f>阵旗升级!Q96</f>
        <v>0.99985759973525989</v>
      </c>
    </row>
  </sheetData>
  <mergeCells count="20">
    <mergeCell ref="E18:H18"/>
    <mergeCell ref="I18:L18"/>
    <mergeCell ref="E37:H37"/>
    <mergeCell ref="I37:L37"/>
    <mergeCell ref="E94:H94"/>
    <mergeCell ref="I94:L94"/>
    <mergeCell ref="E56:H56"/>
    <mergeCell ref="I56:L56"/>
    <mergeCell ref="E75:H75"/>
    <mergeCell ref="I75:L75"/>
    <mergeCell ref="M56:N56"/>
    <mergeCell ref="M75:N75"/>
    <mergeCell ref="M94:N94"/>
    <mergeCell ref="O18:P18"/>
    <mergeCell ref="O37:P37"/>
    <mergeCell ref="O56:P56"/>
    <mergeCell ref="O75:P75"/>
    <mergeCell ref="O94:P94"/>
    <mergeCell ref="M18:N18"/>
    <mergeCell ref="M37:N37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AEC3B-E6D5-49C4-BEC5-660ABDD2B157}">
  <sheetPr codeName="Sheet3"/>
  <dimension ref="B3:AW164"/>
  <sheetViews>
    <sheetView topLeftCell="A7" workbookViewId="0">
      <selection activeCell="AJ20" sqref="A16:AJ24"/>
    </sheetView>
  </sheetViews>
  <sheetFormatPr defaultRowHeight="11.25" x14ac:dyDescent="0.15"/>
  <cols>
    <col min="1" max="1" width="9" style="5"/>
    <col min="2" max="2" width="9.125" style="5" customWidth="1"/>
    <col min="3" max="7" width="5.875" style="5" customWidth="1"/>
    <col min="8" max="9" width="9" style="5"/>
    <col min="10" max="10" width="4.75" style="11" hidden="1" customWidth="1"/>
    <col min="11" max="18" width="9" style="5" hidden="1" customWidth="1"/>
    <col min="19" max="19" width="10.5" style="5" hidden="1" customWidth="1"/>
    <col min="20" max="22" width="9" style="5" hidden="1" customWidth="1"/>
    <col min="23" max="23" width="4.75" style="11" hidden="1" customWidth="1"/>
    <col min="24" max="33" width="9" style="5" hidden="1" customWidth="1"/>
    <col min="34" max="34" width="4.75" style="11" hidden="1" customWidth="1"/>
    <col min="35" max="35" width="9" style="5" hidden="1" customWidth="1"/>
    <col min="36" max="38" width="9" style="5"/>
    <col min="39" max="40" width="10.5" style="5" bestFit="1" customWidth="1"/>
    <col min="41" max="16384" width="9" style="5"/>
  </cols>
  <sheetData>
    <row r="3" spans="2:49" x14ac:dyDescent="0.15">
      <c r="O3" s="53" t="s">
        <v>158</v>
      </c>
      <c r="P3" s="53"/>
      <c r="Q3" s="53"/>
      <c r="R3" s="53"/>
      <c r="AA3" s="52" t="s">
        <v>166</v>
      </c>
      <c r="AB3" s="52"/>
      <c r="AC3" s="52"/>
      <c r="AD3" s="52"/>
      <c r="AE3" s="52"/>
      <c r="AS3" s="52" t="s">
        <v>191</v>
      </c>
      <c r="AT3" s="52"/>
      <c r="AU3" s="52"/>
      <c r="AV3" s="52"/>
      <c r="AW3" s="52"/>
    </row>
    <row r="4" spans="2:49" ht="11.25" customHeight="1" x14ac:dyDescent="0.15">
      <c r="B4" s="54" t="s">
        <v>155</v>
      </c>
      <c r="C4" s="8" t="s">
        <v>150</v>
      </c>
      <c r="D4" s="8" t="s">
        <v>0</v>
      </c>
      <c r="E4" s="8" t="s">
        <v>1</v>
      </c>
      <c r="F4" s="8" t="s">
        <v>2</v>
      </c>
      <c r="G4" s="8" t="s">
        <v>3</v>
      </c>
      <c r="M4" s="5" t="s">
        <v>127</v>
      </c>
      <c r="N4" s="8" t="s">
        <v>141</v>
      </c>
      <c r="O4" s="8" t="s">
        <v>0</v>
      </c>
      <c r="P4" s="8" t="s">
        <v>1</v>
      </c>
      <c r="Q4" s="8" t="s">
        <v>2</v>
      </c>
      <c r="R4" s="8" t="s">
        <v>3</v>
      </c>
      <c r="S4" s="8" t="s">
        <v>159</v>
      </c>
      <c r="T4" s="8"/>
      <c r="Z4" s="5" t="s">
        <v>160</v>
      </c>
      <c r="AA4" s="5" t="s">
        <v>161</v>
      </c>
      <c r="AB4" s="5" t="s">
        <v>162</v>
      </c>
      <c r="AC4" s="5" t="s">
        <v>163</v>
      </c>
      <c r="AD4" s="5" t="s">
        <v>164</v>
      </c>
      <c r="AE4" s="5" t="s">
        <v>165</v>
      </c>
      <c r="AK4" s="5" t="s">
        <v>127</v>
      </c>
      <c r="AL4" s="8" t="s">
        <v>141</v>
      </c>
      <c r="AM4" s="8" t="s">
        <v>189</v>
      </c>
      <c r="AN4" s="8" t="s">
        <v>190</v>
      </c>
      <c r="AO4" s="8" t="s">
        <v>192</v>
      </c>
      <c r="AR4" s="5" t="s">
        <v>141</v>
      </c>
      <c r="AS4" s="5" t="s">
        <v>127</v>
      </c>
      <c r="AT4" s="5" t="s">
        <v>128</v>
      </c>
      <c r="AU4" s="5" t="s">
        <v>129</v>
      </c>
      <c r="AV4" s="5" t="s">
        <v>130</v>
      </c>
      <c r="AW4" s="5" t="s">
        <v>131</v>
      </c>
    </row>
    <row r="5" spans="2:49" x14ac:dyDescent="0.15">
      <c r="B5" s="54"/>
      <c r="C5" s="8">
        <v>0</v>
      </c>
      <c r="D5" s="8">
        <v>1</v>
      </c>
      <c r="E5" s="8">
        <v>1</v>
      </c>
      <c r="F5" s="8">
        <v>1</v>
      </c>
      <c r="G5" s="8">
        <v>1</v>
      </c>
      <c r="N5" s="8">
        <v>10</v>
      </c>
      <c r="O5" s="8">
        <f>IF(节奏预期!E20=0,0,求节点($C$54:$C$61,D$54:D$61,节奏预期!I20))</f>
        <v>0</v>
      </c>
      <c r="P5" s="8">
        <f>IF(节奏预期!F20=0,0,求节点($C$54:$C$61,E$54:E$61,节奏预期!J20))</f>
        <v>0</v>
      </c>
      <c r="Q5" s="8">
        <f>IF(节奏预期!G20=0,0,求节点($C$54:$C$61,F$54:F$61,节奏预期!K20))</f>
        <v>0</v>
      </c>
      <c r="R5" s="8">
        <f>IF(节奏预期!H20=0,0,求节点($C$54:$C$61,G$54:G$61,节奏预期!L20))</f>
        <v>0</v>
      </c>
      <c r="S5" s="8">
        <f>MAX(O5:R5)</f>
        <v>0</v>
      </c>
      <c r="T5" s="8"/>
      <c r="Z5" s="5">
        <v>1</v>
      </c>
      <c r="AA5" s="5">
        <f>求节点($N$5:$N$20,$S$5:$S$20,$Z5)</f>
        <v>0</v>
      </c>
      <c r="AB5" s="5">
        <f>求节点($N$24:$N$39,$S$24:$S$39,$Z5)</f>
        <v>0</v>
      </c>
      <c r="AC5" s="5">
        <f>求节点($N$43:$N$58,$S$43:$S$58,$Z5)</f>
        <v>0</v>
      </c>
      <c r="AD5" s="5">
        <f>求节点($N$62:$N$77,$S$62:$S$77,$Z5)</f>
        <v>0</v>
      </c>
      <c r="AE5" s="5">
        <f>求节点($N$81:$N$96,$S$81:$S$96,$Z5)</f>
        <v>0</v>
      </c>
      <c r="AL5" s="8">
        <v>10</v>
      </c>
      <c r="AM5" s="8">
        <f>MAX(AM4,IF(AL5&lt;=节奏预期!$B$1,0,节奏预期!H20*求节点($C$39:$C$46,$G$39:$G$46,节奏预期!L20)+节奏预期!G20*求节点($C$39:$C$46,$F$39:$F$46,节奏预期!K20)+节奏预期!F20*求节点($C$39:$C$46,$E$39:$E$46,节奏预期!J20)+节奏预期!E20*求节点($C$39:$C$46,$D$39:$D$46,节奏预期!I20)))</f>
        <v>0</v>
      </c>
      <c r="AN5" s="8">
        <f>IF(AL5&lt;=节奏预期!$B$1,0,SUMPRODUCT(投放验证!AD7:AG7,$D$50:$G$50)-SUMPRODUCT(节奏预期!E20:H20,节奏预期!I20:L20+1,$D$50:$G$50))</f>
        <v>0</v>
      </c>
      <c r="AO5" s="8">
        <f>IFERROR(AN5/AM5,0)</f>
        <v>0</v>
      </c>
      <c r="AR5" s="5">
        <v>1</v>
      </c>
      <c r="AS5" s="5">
        <f>求节点($AL$5:$AL$20,$AO$5:$AO$20,$AR5)</f>
        <v>0</v>
      </c>
      <c r="AT5" s="5">
        <f>求节点($AL$24:$AL$39,$AO$24:$AO$39,$AR5)</f>
        <v>0</v>
      </c>
      <c r="AU5" s="5">
        <f>求节点($AL$62:$AL$77,$AO$62:$AO$77,$AR5)</f>
        <v>0</v>
      </c>
      <c r="AV5" s="5">
        <f>求节点($AL$62:$AL$77,$AO$62:$AO$77,$AR5)</f>
        <v>0</v>
      </c>
      <c r="AW5" s="5">
        <f>求节点($AL$81:$AL$96,$AO$81:$AO$96,$AR5)</f>
        <v>0</v>
      </c>
    </row>
    <row r="6" spans="2:49" x14ac:dyDescent="0.15">
      <c r="B6" s="54"/>
      <c r="C6" s="8">
        <v>1</v>
      </c>
      <c r="D6" s="8">
        <v>1</v>
      </c>
      <c r="E6" s="8">
        <v>1</v>
      </c>
      <c r="F6" s="8">
        <v>1</v>
      </c>
      <c r="G6" s="8">
        <v>1</v>
      </c>
      <c r="N6" s="8">
        <v>20</v>
      </c>
      <c r="O6" s="8">
        <f>IF(节奏预期!E21=0,0,求节点($C$54:$C$61,D$54:D$61,节奏预期!I21))</f>
        <v>0</v>
      </c>
      <c r="P6" s="8">
        <f>IF(节奏预期!F21=0,0,求节点($C$54:$C$61,E$54:E$61,节奏预期!J21))</f>
        <v>0</v>
      </c>
      <c r="Q6" s="8">
        <f>IF(节奏预期!G21=0,0,求节点($C$54:$C$61,F$54:F$61,节奏预期!K21))</f>
        <v>0</v>
      </c>
      <c r="R6" s="8">
        <f>IF(节奏预期!H21=0,0,求节点($C$54:$C$61,G$54:G$61,节奏预期!L21))</f>
        <v>0</v>
      </c>
      <c r="S6" s="8">
        <f t="shared" ref="S6:S20" si="0">MAX(O6:R6)</f>
        <v>0</v>
      </c>
      <c r="T6" s="8"/>
      <c r="Z6" s="5">
        <v>2</v>
      </c>
      <c r="AA6" s="5">
        <f t="shared" ref="AA6:AA69" si="1">求节点($N$5:$N$20,$S$5:$S$20,$Z6)</f>
        <v>0</v>
      </c>
      <c r="AB6" s="5">
        <f t="shared" ref="AB6:AB69" si="2">求节点($N$24:$N$39,$S$24:$S$39,$Z6)</f>
        <v>0</v>
      </c>
      <c r="AC6" s="5">
        <f t="shared" ref="AC6:AC69" si="3">求节点($N$43:$N$58,$S$43:$S$58,$Z6)</f>
        <v>0</v>
      </c>
      <c r="AD6" s="5">
        <f t="shared" ref="AD6:AD69" si="4">求节点($N$62:$N$77,$S$62:$S$77,$Z6)</f>
        <v>0</v>
      </c>
      <c r="AE6" s="5">
        <f t="shared" ref="AE6:AE69" si="5">求节点($N$81:$N$96,$S$81:$S$96,$Z6)</f>
        <v>0</v>
      </c>
      <c r="AL6" s="8">
        <v>20</v>
      </c>
      <c r="AM6" s="8">
        <f>MAX(AM5,IF(AL6&lt;=节奏预期!$B$1,0,节奏预期!H21*求节点($C$39:$C$46,$G$39:$G$46,节奏预期!L21)+节奏预期!G21*求节点($C$39:$C$46,$F$39:$F$46,节奏预期!K21)+节奏预期!F21*求节点($C$39:$C$46,$E$39:$E$46,节奏预期!J21)+节奏预期!E21*求节点($C$39:$C$46,$D$39:$D$46,节奏预期!I21)))</f>
        <v>0</v>
      </c>
      <c r="AN6" s="8">
        <f>IF(AL6&lt;=节奏预期!$B$1,0,SUMPRODUCT(投放验证!AD8:AG8,$D$50:$G$50)-SUMPRODUCT(节奏预期!E21:H21,节奏预期!I21:L21+1,$D$50:$G$50))</f>
        <v>0</v>
      </c>
      <c r="AO6" s="8">
        <f t="shared" ref="AO6:AO20" si="6">IFERROR(AN6/AM6,0)</f>
        <v>0</v>
      </c>
      <c r="AR6" s="5">
        <v>2</v>
      </c>
      <c r="AS6" s="5">
        <f t="shared" ref="AS6:AS69" si="7">求节点($AL$5:$AL$20,$AO$5:$AO$20,$AR6)</f>
        <v>0</v>
      </c>
      <c r="AT6" s="5">
        <f t="shared" ref="AT6:AT69" si="8">求节点($AL$24:$AL$39,$AO$24:$AO$39,$AR6)</f>
        <v>0</v>
      </c>
      <c r="AU6" s="5">
        <f t="shared" ref="AU6:AV37" si="9">求节点($AL$62:$AL$77,$AO$62:$AO$77,$AR6)</f>
        <v>0</v>
      </c>
      <c r="AV6" s="5">
        <f t="shared" si="9"/>
        <v>0</v>
      </c>
      <c r="AW6" s="5">
        <f t="shared" ref="AW6:AW69" si="10">求节点($AL$81:$AL$96,$AO$81:$AO$96,$AR6)</f>
        <v>0</v>
      </c>
    </row>
    <row r="7" spans="2:49" x14ac:dyDescent="0.15">
      <c r="B7" s="54"/>
      <c r="C7" s="8">
        <v>2</v>
      </c>
      <c r="D7" s="8">
        <v>1</v>
      </c>
      <c r="E7" s="8">
        <v>1</v>
      </c>
      <c r="F7" s="8">
        <v>1</v>
      </c>
      <c r="G7" s="8">
        <v>1</v>
      </c>
      <c r="N7" s="8">
        <v>30</v>
      </c>
      <c r="O7" s="8">
        <f>IF(节奏预期!E22=0,0,求节点($C$54:$C$61,D$54:D$61,节奏预期!I22))</f>
        <v>0</v>
      </c>
      <c r="P7" s="8">
        <f>IF(节奏预期!F22=0,0,求节点($C$54:$C$61,E$54:E$61,节奏预期!J22))</f>
        <v>0</v>
      </c>
      <c r="Q7" s="8">
        <f>IF(节奏预期!G22=0,0,求节点($C$54:$C$61,F$54:F$61,节奏预期!K22))</f>
        <v>0</v>
      </c>
      <c r="R7" s="8">
        <f>IF(节奏预期!H22=0,0,求节点($C$54:$C$61,G$54:G$61,节奏预期!L22))</f>
        <v>0</v>
      </c>
      <c r="S7" s="8">
        <f t="shared" si="0"/>
        <v>0</v>
      </c>
      <c r="T7" s="8"/>
      <c r="Z7" s="5">
        <v>3</v>
      </c>
      <c r="AA7" s="5">
        <f t="shared" si="1"/>
        <v>0</v>
      </c>
      <c r="AB7" s="5">
        <f t="shared" si="2"/>
        <v>0</v>
      </c>
      <c r="AC7" s="5">
        <f t="shared" si="3"/>
        <v>0</v>
      </c>
      <c r="AD7" s="5">
        <f t="shared" si="4"/>
        <v>0</v>
      </c>
      <c r="AE7" s="5">
        <f t="shared" si="5"/>
        <v>0</v>
      </c>
      <c r="AL7" s="8">
        <v>30</v>
      </c>
      <c r="AM7" s="8">
        <f>MAX(AM6,IF(AL7&lt;=节奏预期!$B$1,0,节奏预期!H22*求节点($C$39:$C$46,$G$39:$G$46,节奏预期!L22)+节奏预期!G22*求节点($C$39:$C$46,$F$39:$F$46,节奏预期!K22)+节奏预期!F22*求节点($C$39:$C$46,$E$39:$E$46,节奏预期!J22)+节奏预期!E22*求节点($C$39:$C$46,$D$39:$D$46,节奏预期!I22)))</f>
        <v>0</v>
      </c>
      <c r="AN7" s="8">
        <f>IF(AL7&lt;=节奏预期!$B$1,0,SUMPRODUCT(投放验证!AD9:AG9,$D$50:$G$50)-SUMPRODUCT(节奏预期!E22:H22,节奏预期!I22:L22+1,$D$50:$G$50))</f>
        <v>0</v>
      </c>
      <c r="AO7" s="8">
        <f t="shared" si="6"/>
        <v>0</v>
      </c>
      <c r="AR7" s="5">
        <v>3</v>
      </c>
      <c r="AS7" s="5">
        <f t="shared" si="7"/>
        <v>0</v>
      </c>
      <c r="AT7" s="5">
        <f t="shared" si="8"/>
        <v>0</v>
      </c>
      <c r="AU7" s="5">
        <f t="shared" si="9"/>
        <v>0</v>
      </c>
      <c r="AV7" s="5">
        <f t="shared" si="9"/>
        <v>0</v>
      </c>
      <c r="AW7" s="5">
        <f t="shared" si="10"/>
        <v>0</v>
      </c>
    </row>
    <row r="8" spans="2:49" x14ac:dyDescent="0.15">
      <c r="B8" s="54"/>
      <c r="C8" s="8">
        <v>3</v>
      </c>
      <c r="D8" s="8">
        <v>1</v>
      </c>
      <c r="E8" s="8">
        <v>1</v>
      </c>
      <c r="F8" s="8">
        <v>1</v>
      </c>
      <c r="G8" s="8">
        <v>1</v>
      </c>
      <c r="N8" s="8">
        <v>40</v>
      </c>
      <c r="O8" s="8">
        <f>IF(节奏预期!E23=0,0,求节点($C$54:$C$61,D$54:D$61,节奏预期!I23))</f>
        <v>0</v>
      </c>
      <c r="P8" s="8">
        <f>IF(节奏预期!F23=0,0,求节点($C$54:$C$61,E$54:E$61,节奏预期!J23))</f>
        <v>0</v>
      </c>
      <c r="Q8" s="8">
        <f>IF(节奏预期!G23=0,0,求节点($C$54:$C$61,F$54:F$61,节奏预期!K23))</f>
        <v>0</v>
      </c>
      <c r="R8" s="8">
        <f>IF(节奏预期!H23=0,0,求节点($C$54:$C$61,G$54:G$61,节奏预期!L23))</f>
        <v>0</v>
      </c>
      <c r="S8" s="8">
        <f t="shared" si="0"/>
        <v>0</v>
      </c>
      <c r="T8" s="8"/>
      <c r="Z8" s="5">
        <v>4</v>
      </c>
      <c r="AA8" s="5">
        <f t="shared" si="1"/>
        <v>0</v>
      </c>
      <c r="AB8" s="5">
        <f t="shared" si="2"/>
        <v>0</v>
      </c>
      <c r="AC8" s="5">
        <f t="shared" si="3"/>
        <v>0</v>
      </c>
      <c r="AD8" s="5">
        <f t="shared" si="4"/>
        <v>0</v>
      </c>
      <c r="AE8" s="5">
        <f t="shared" si="5"/>
        <v>0</v>
      </c>
      <c r="AL8" s="8">
        <v>40</v>
      </c>
      <c r="AM8" s="8">
        <f>MAX(AM7,IF(AL8&lt;=节奏预期!$B$1,0,节奏预期!H23*求节点($C$39:$C$46,$G$39:$G$46,节奏预期!L23)+节奏预期!G23*求节点($C$39:$C$46,$F$39:$F$46,节奏预期!K23)+节奏预期!F23*求节点($C$39:$C$46,$E$39:$E$46,节奏预期!J23)+节奏预期!E23*求节点($C$39:$C$46,$D$39:$D$46,节奏预期!I23)))</f>
        <v>0</v>
      </c>
      <c r="AN8" s="8">
        <f>IF(AL8&lt;=节奏预期!$B$1,0,SUMPRODUCT(投放验证!AD10:AG10,$D$50:$G$50)-SUMPRODUCT(节奏预期!E23:H23,节奏预期!I23:L23+1,$D$50:$G$50))</f>
        <v>0</v>
      </c>
      <c r="AO8" s="8">
        <f t="shared" si="6"/>
        <v>0</v>
      </c>
      <c r="AR8" s="5">
        <v>4</v>
      </c>
      <c r="AS8" s="5">
        <f t="shared" si="7"/>
        <v>0</v>
      </c>
      <c r="AT8" s="5">
        <f t="shared" si="8"/>
        <v>0</v>
      </c>
      <c r="AU8" s="5">
        <f t="shared" si="9"/>
        <v>0</v>
      </c>
      <c r="AV8" s="5">
        <f t="shared" si="9"/>
        <v>0</v>
      </c>
      <c r="AW8" s="5">
        <f t="shared" si="10"/>
        <v>0</v>
      </c>
    </row>
    <row r="9" spans="2:49" x14ac:dyDescent="0.15">
      <c r="B9" s="54"/>
      <c r="C9" s="8">
        <v>4</v>
      </c>
      <c r="D9" s="8"/>
      <c r="E9" s="8">
        <v>1</v>
      </c>
      <c r="F9" s="8">
        <v>1</v>
      </c>
      <c r="G9" s="8">
        <v>1</v>
      </c>
      <c r="N9" s="8">
        <v>50</v>
      </c>
      <c r="O9" s="8">
        <f>IF(节奏预期!E24=0,0,求节点($C$54:$C$61,D$54:D$61,节奏预期!I24))</f>
        <v>0</v>
      </c>
      <c r="P9" s="8">
        <f>IF(节奏预期!F24=0,0,求节点($C$54:$C$61,E$54:E$61,节奏预期!J24))</f>
        <v>0</v>
      </c>
      <c r="Q9" s="8">
        <f>IF(节奏预期!G24=0,0,求节点($C$54:$C$61,F$54:F$61,节奏预期!K24))</f>
        <v>0</v>
      </c>
      <c r="R9" s="8">
        <f>IF(节奏预期!H24=0,0,求节点($C$54:$C$61,G$54:G$61,节奏预期!L24))</f>
        <v>0</v>
      </c>
      <c r="S9" s="8">
        <f t="shared" si="0"/>
        <v>0</v>
      </c>
      <c r="T9" s="8"/>
      <c r="Z9" s="5">
        <v>5</v>
      </c>
      <c r="AA9" s="5">
        <f t="shared" si="1"/>
        <v>0</v>
      </c>
      <c r="AB9" s="5">
        <f t="shared" si="2"/>
        <v>0</v>
      </c>
      <c r="AC9" s="5">
        <f t="shared" si="3"/>
        <v>0</v>
      </c>
      <c r="AD9" s="5">
        <f t="shared" si="4"/>
        <v>0</v>
      </c>
      <c r="AE9" s="5">
        <f t="shared" si="5"/>
        <v>0</v>
      </c>
      <c r="AL9" s="8">
        <v>50</v>
      </c>
      <c r="AM9" s="8">
        <f>MAX(AM8,IF(AL9&lt;=节奏预期!$B$1,0,节奏预期!H24*求节点($C$39:$C$46,$G$39:$G$46,节奏预期!L24)+节奏预期!G24*求节点($C$39:$C$46,$F$39:$F$46,节奏预期!K24)+节奏预期!F24*求节点($C$39:$C$46,$E$39:$E$46,节奏预期!J24)+节奏预期!E24*求节点($C$39:$C$46,$D$39:$D$46,节奏预期!I24)))</f>
        <v>0</v>
      </c>
      <c r="AN9" s="8">
        <f>IF(AL9&lt;=节奏预期!$B$1,0,SUMPRODUCT(投放验证!AD11:AG11,$D$50:$G$50)-SUMPRODUCT(节奏预期!E24:H24,节奏预期!I24:L24+1,$D$50:$G$50))</f>
        <v>0</v>
      </c>
      <c r="AO9" s="8">
        <f t="shared" si="6"/>
        <v>0</v>
      </c>
      <c r="AR9" s="5">
        <v>5</v>
      </c>
      <c r="AS9" s="5">
        <f t="shared" si="7"/>
        <v>0</v>
      </c>
      <c r="AT9" s="5">
        <f t="shared" si="8"/>
        <v>0</v>
      </c>
      <c r="AU9" s="5">
        <f t="shared" si="9"/>
        <v>0</v>
      </c>
      <c r="AV9" s="5">
        <f t="shared" si="9"/>
        <v>0</v>
      </c>
      <c r="AW9" s="5">
        <f t="shared" si="10"/>
        <v>0</v>
      </c>
    </row>
    <row r="10" spans="2:49" x14ac:dyDescent="0.15">
      <c r="B10" s="54"/>
      <c r="C10" s="8">
        <v>5</v>
      </c>
      <c r="D10" s="8"/>
      <c r="E10" s="8">
        <v>1</v>
      </c>
      <c r="F10" s="8">
        <v>1</v>
      </c>
      <c r="G10" s="8">
        <v>1</v>
      </c>
      <c r="N10" s="8">
        <v>60</v>
      </c>
      <c r="O10" s="8">
        <f>IF(节奏预期!E25=0,0,求节点($C$54:$C$61,D$54:D$61,节奏预期!I25))</f>
        <v>0</v>
      </c>
      <c r="P10" s="8">
        <f>IF(节奏预期!F25=0,0,求节点($C$54:$C$61,E$54:E$61,节奏预期!J25))</f>
        <v>0</v>
      </c>
      <c r="Q10" s="8">
        <f>IF(节奏预期!G25=0,0,求节点($C$54:$C$61,F$54:F$61,节奏预期!K25))</f>
        <v>0</v>
      </c>
      <c r="R10" s="8">
        <f>IF(节奏预期!H25=0,0,求节点($C$54:$C$61,G$54:G$61,节奏预期!L25))</f>
        <v>0</v>
      </c>
      <c r="S10" s="8">
        <f t="shared" si="0"/>
        <v>0</v>
      </c>
      <c r="T10" s="8"/>
      <c r="Z10" s="5">
        <v>6</v>
      </c>
      <c r="AA10" s="5">
        <f t="shared" si="1"/>
        <v>0</v>
      </c>
      <c r="AB10" s="5">
        <f t="shared" si="2"/>
        <v>0</v>
      </c>
      <c r="AC10" s="5">
        <f t="shared" si="3"/>
        <v>0</v>
      </c>
      <c r="AD10" s="5">
        <f t="shared" si="4"/>
        <v>0</v>
      </c>
      <c r="AE10" s="5">
        <f t="shared" si="5"/>
        <v>0</v>
      </c>
      <c r="AL10" s="8">
        <v>60</v>
      </c>
      <c r="AM10" s="8">
        <f>MAX(AM9,IF(AL10&lt;=节奏预期!$B$1,0,节奏预期!H25*求节点($C$39:$C$46,$G$39:$G$46,节奏预期!L25)+节奏预期!G25*求节点($C$39:$C$46,$F$39:$F$46,节奏预期!K25)+节奏预期!F25*求节点($C$39:$C$46,$E$39:$E$46,节奏预期!J25)+节奏预期!E25*求节点($C$39:$C$46,$D$39:$D$46,节奏预期!I25)))</f>
        <v>0</v>
      </c>
      <c r="AN10" s="8">
        <f>IF(AL10&lt;=节奏预期!$B$1,0,SUMPRODUCT(投放验证!AD12:AG12,$D$50:$G$50)-SUMPRODUCT(节奏预期!E25:H25,节奏预期!I25:L25+1,$D$50:$G$50))</f>
        <v>0</v>
      </c>
      <c r="AO10" s="8">
        <f t="shared" si="6"/>
        <v>0</v>
      </c>
      <c r="AR10" s="5">
        <v>6</v>
      </c>
      <c r="AS10" s="5">
        <f t="shared" si="7"/>
        <v>0</v>
      </c>
      <c r="AT10" s="5">
        <f t="shared" si="8"/>
        <v>0</v>
      </c>
      <c r="AU10" s="5">
        <f t="shared" si="9"/>
        <v>0</v>
      </c>
      <c r="AV10" s="5">
        <f t="shared" si="9"/>
        <v>0</v>
      </c>
      <c r="AW10" s="5">
        <f t="shared" si="10"/>
        <v>0</v>
      </c>
    </row>
    <row r="11" spans="2:49" x14ac:dyDescent="0.15">
      <c r="B11" s="54"/>
      <c r="C11" s="8">
        <v>6</v>
      </c>
      <c r="D11" s="8"/>
      <c r="E11" s="8"/>
      <c r="F11" s="8">
        <v>1</v>
      </c>
      <c r="G11" s="8">
        <v>1</v>
      </c>
      <c r="N11" s="8">
        <v>70</v>
      </c>
      <c r="O11" s="8">
        <f>IF(节奏预期!E26=0,0,求节点($C$54:$C$61,D$54:D$61,节奏预期!I26))</f>
        <v>0.08</v>
      </c>
      <c r="P11" s="8">
        <f>IF(节奏预期!F26=0,0,求节点($C$54:$C$61,E$54:E$61,节奏预期!J26))</f>
        <v>9.2202289515276994E-2</v>
      </c>
      <c r="Q11" s="8">
        <f>IF(节奏预期!G26=0,0,求节点($C$54:$C$61,F$54:F$61,节奏预期!K26))</f>
        <v>0.04</v>
      </c>
      <c r="R11" s="8">
        <f>IF(节奏预期!H26=0,0,求节点($C$54:$C$61,G$54:G$61,节奏预期!L26))</f>
        <v>0</v>
      </c>
      <c r="S11" s="8">
        <f t="shared" si="0"/>
        <v>9.2202289515276994E-2</v>
      </c>
      <c r="T11" s="8"/>
      <c r="Z11" s="5">
        <v>7</v>
      </c>
      <c r="AA11" s="5">
        <f t="shared" si="1"/>
        <v>0</v>
      </c>
      <c r="AB11" s="5">
        <f t="shared" si="2"/>
        <v>0</v>
      </c>
      <c r="AC11" s="5">
        <f t="shared" si="3"/>
        <v>0</v>
      </c>
      <c r="AD11" s="5">
        <f t="shared" si="4"/>
        <v>0</v>
      </c>
      <c r="AE11" s="5">
        <f t="shared" si="5"/>
        <v>0</v>
      </c>
      <c r="AL11" s="8">
        <v>70</v>
      </c>
      <c r="AM11" s="8">
        <f>MAX(AM10,IF(AL11&lt;=节奏预期!$B$1,0,节奏预期!H26*求节点($C$39:$C$46,$G$39:$G$46,节奏预期!L26)+节奏预期!G26*求节点($C$39:$C$46,$F$39:$F$46,节奏预期!K26)+节奏预期!F26*求节点($C$39:$C$46,$E$39:$E$46,节奏预期!J26)+节奏预期!E26*求节点($C$39:$C$46,$D$39:$D$46,节奏预期!I26)))</f>
        <v>91.047326448886409</v>
      </c>
      <c r="AN11" s="8">
        <f>IF(AL11&lt;=节奏预期!$B$1,0,SUMPRODUCT(投放验证!AD13:AG13,$D$50:$G$50)-SUMPRODUCT(节奏预期!E26:H26,节奏预期!I26:L26+1,$D$50:$G$50))</f>
        <v>85.035529257720839</v>
      </c>
      <c r="AO11" s="8">
        <f t="shared" si="6"/>
        <v>0.93397063455190454</v>
      </c>
      <c r="AR11" s="5">
        <v>7</v>
      </c>
      <c r="AS11" s="5">
        <f t="shared" si="7"/>
        <v>0</v>
      </c>
      <c r="AT11" s="5">
        <f t="shared" si="8"/>
        <v>0</v>
      </c>
      <c r="AU11" s="5">
        <f t="shared" si="9"/>
        <v>0</v>
      </c>
      <c r="AV11" s="5">
        <f t="shared" si="9"/>
        <v>0</v>
      </c>
      <c r="AW11" s="5">
        <f t="shared" si="10"/>
        <v>0</v>
      </c>
    </row>
    <row r="12" spans="2:49" x14ac:dyDescent="0.15">
      <c r="B12" s="54"/>
      <c r="C12" s="8">
        <v>7</v>
      </c>
      <c r="D12" s="8"/>
      <c r="E12" s="8"/>
      <c r="F12" s="8">
        <v>1</v>
      </c>
      <c r="G12" s="8">
        <v>1</v>
      </c>
      <c r="N12" s="8">
        <v>80</v>
      </c>
      <c r="O12" s="8">
        <f>IF(节奏预期!E27=0,0,求节点($C$54:$C$61,D$54:D$61,节奏预期!I27))</f>
        <v>0.08</v>
      </c>
      <c r="P12" s="8">
        <f>IF(节奏预期!F27=0,0,求节点($C$54:$C$61,E$54:E$61,节奏预期!J27))</f>
        <v>0.18</v>
      </c>
      <c r="Q12" s="8">
        <f>IF(节奏预期!G27=0,0,求节点($C$54:$C$61,F$54:F$61,节奏预期!K27))</f>
        <v>5.6848769507515287E-2</v>
      </c>
      <c r="R12" s="8">
        <f>IF(节奏预期!H27=0,0,求节点($C$54:$C$61,G$54:G$61,节奏预期!L27))</f>
        <v>0.06</v>
      </c>
      <c r="S12" s="8">
        <f t="shared" si="0"/>
        <v>0.18</v>
      </c>
      <c r="T12" s="8"/>
      <c r="Z12" s="5">
        <v>8</v>
      </c>
      <c r="AA12" s="5">
        <f t="shared" si="1"/>
        <v>0</v>
      </c>
      <c r="AB12" s="5">
        <f t="shared" si="2"/>
        <v>0</v>
      </c>
      <c r="AC12" s="5">
        <f t="shared" si="3"/>
        <v>0</v>
      </c>
      <c r="AD12" s="5">
        <f t="shared" si="4"/>
        <v>0</v>
      </c>
      <c r="AE12" s="5">
        <f t="shared" si="5"/>
        <v>0</v>
      </c>
      <c r="AL12" s="8">
        <v>80</v>
      </c>
      <c r="AM12" s="8">
        <f>MAX(AM11,IF(AL12&lt;=节奏预期!$B$1,0,节奏预期!H27*求节点($C$39:$C$46,$G$39:$G$46,节奏预期!L27)+节奏预期!G27*求节点($C$39:$C$46,$F$39:$F$46,节奏预期!K27)+节奏预期!F27*求节点($C$39:$C$46,$E$39:$E$46,节奏预期!J27)+节奏预期!E27*求节点($C$39:$C$46,$D$39:$D$46,节奏预期!I27)))</f>
        <v>789.69753901503054</v>
      </c>
      <c r="AN12" s="8">
        <f>IF(AL12&lt;=节奏预期!$B$1,0,SUMPRODUCT(投放验证!AD14:AG14,$D$50:$G$50)-SUMPRODUCT(节奏预期!E27:H27,节奏预期!I27:L27+1,$D$50:$G$50))</f>
        <v>319.04458574427008</v>
      </c>
      <c r="AO12" s="8">
        <f t="shared" si="6"/>
        <v>0.40400858554302471</v>
      </c>
      <c r="AR12" s="5">
        <v>8</v>
      </c>
      <c r="AS12" s="5">
        <f t="shared" si="7"/>
        <v>0</v>
      </c>
      <c r="AT12" s="5">
        <f t="shared" si="8"/>
        <v>0</v>
      </c>
      <c r="AU12" s="5">
        <f t="shared" si="9"/>
        <v>0</v>
      </c>
      <c r="AV12" s="5">
        <f t="shared" si="9"/>
        <v>0</v>
      </c>
      <c r="AW12" s="5">
        <f t="shared" si="10"/>
        <v>0</v>
      </c>
    </row>
    <row r="13" spans="2:49" x14ac:dyDescent="0.15">
      <c r="B13" s="9" t="s">
        <v>154</v>
      </c>
      <c r="C13" s="8"/>
      <c r="D13" s="8">
        <f>INDEX($C$5:$C$12,MATCH(MAX(D5:D12),D5:D12))</f>
        <v>3</v>
      </c>
      <c r="E13" s="8">
        <f t="shared" ref="E13:G13" si="11">INDEX($C$5:$C$12,MATCH(MAX(E5:E12),E5:E12))</f>
        <v>5</v>
      </c>
      <c r="F13" s="8">
        <f t="shared" si="11"/>
        <v>7</v>
      </c>
      <c r="G13" s="8">
        <f t="shared" si="11"/>
        <v>7</v>
      </c>
      <c r="N13" s="8">
        <v>90</v>
      </c>
      <c r="O13" s="8">
        <f>IF(节奏预期!E28=0,0,求节点($C$54:$C$61,D$54:D$61,节奏预期!I28))</f>
        <v>0.08</v>
      </c>
      <c r="P13" s="8">
        <f>IF(节奏预期!F28=0,0,求节点($C$54:$C$61,E$54:E$61,节奏预期!J28))</f>
        <v>0.18</v>
      </c>
      <c r="Q13" s="8">
        <f>IF(节奏预期!G28=0,0,求节点($C$54:$C$61,F$54:F$61,节奏预期!K28))</f>
        <v>0.11665875793973515</v>
      </c>
      <c r="R13" s="8">
        <f>IF(节奏预期!H28=0,0,求节点($C$54:$C$61,G$54:G$61,节奏预期!L28))</f>
        <v>0.06</v>
      </c>
      <c r="S13" s="8">
        <f t="shared" si="0"/>
        <v>0.18</v>
      </c>
      <c r="T13" s="8"/>
      <c r="Z13" s="5">
        <v>9</v>
      </c>
      <c r="AA13" s="5">
        <f t="shared" si="1"/>
        <v>0</v>
      </c>
      <c r="AB13" s="5">
        <f t="shared" si="2"/>
        <v>0</v>
      </c>
      <c r="AC13" s="5">
        <f t="shared" si="3"/>
        <v>0</v>
      </c>
      <c r="AD13" s="5">
        <f t="shared" si="4"/>
        <v>0</v>
      </c>
      <c r="AE13" s="5">
        <f t="shared" si="5"/>
        <v>0</v>
      </c>
      <c r="AL13" s="8">
        <v>90</v>
      </c>
      <c r="AM13" s="8">
        <f>MAX(AM12,IF(AL13&lt;=节奏预期!$B$1,0,节奏预期!H28*求节点($C$39:$C$46,$G$39:$G$46,节奏预期!L28)+节奏预期!G28*求节点($C$39:$C$46,$F$39:$F$46,节奏预期!K28)+节奏预期!F28*求节点($C$39:$C$46,$E$39:$E$46,节奏预期!J28)+节奏预期!E28*求节点($C$39:$C$46,$D$39:$D$46,节奏预期!I28)))</f>
        <v>982.63503175894061</v>
      </c>
      <c r="AN13" s="8">
        <f>IF(AL13&lt;=节奏预期!$B$1,0,SUMPRODUCT(投放验证!AD15:AG15,$D$50:$G$50)-SUMPRODUCT(节奏预期!E28:H28,节奏预期!I28:L28+1,$D$50:$G$50))</f>
        <v>858.05515500556271</v>
      </c>
      <c r="AO13" s="8">
        <f t="shared" si="6"/>
        <v>0.87321856770119732</v>
      </c>
      <c r="AR13" s="5">
        <v>9</v>
      </c>
      <c r="AS13" s="5">
        <f t="shared" si="7"/>
        <v>0</v>
      </c>
      <c r="AT13" s="5">
        <f t="shared" si="8"/>
        <v>0</v>
      </c>
      <c r="AU13" s="5">
        <f t="shared" si="9"/>
        <v>0</v>
      </c>
      <c r="AV13" s="5">
        <f t="shared" si="9"/>
        <v>0</v>
      </c>
      <c r="AW13" s="5">
        <f t="shared" si="10"/>
        <v>0</v>
      </c>
    </row>
    <row r="14" spans="2:49" x14ac:dyDescent="0.15">
      <c r="N14" s="8">
        <v>100</v>
      </c>
      <c r="O14" s="8">
        <f>IF(节奏预期!E29=0,0,求节点($C$54:$C$61,D$54:D$61,节奏预期!I29))</f>
        <v>0.08</v>
      </c>
      <c r="P14" s="8">
        <f>IF(节奏预期!F29=0,0,求节点($C$54:$C$61,E$54:E$61,节奏预期!J29))</f>
        <v>0.18</v>
      </c>
      <c r="Q14" s="8">
        <f>IF(节奏预期!G29=0,0,求节点($C$54:$C$61,F$54:F$61,节奏预期!K29))</f>
        <v>0.22130192166073845</v>
      </c>
      <c r="R14" s="8">
        <f>IF(节奏预期!H29=0,0,求节点($C$54:$C$61,G$54:G$61,节奏预期!L29))</f>
        <v>0.13661117464728192</v>
      </c>
      <c r="S14" s="8">
        <f t="shared" si="0"/>
        <v>0.22130192166073845</v>
      </c>
      <c r="T14" s="8"/>
      <c r="Z14" s="5">
        <v>10</v>
      </c>
      <c r="AA14" s="5">
        <f t="shared" si="1"/>
        <v>0</v>
      </c>
      <c r="AB14" s="5">
        <f t="shared" si="2"/>
        <v>0</v>
      </c>
      <c r="AC14" s="5">
        <f t="shared" si="3"/>
        <v>0</v>
      </c>
      <c r="AD14" s="5">
        <f t="shared" si="4"/>
        <v>0</v>
      </c>
      <c r="AE14" s="5">
        <f t="shared" si="5"/>
        <v>0</v>
      </c>
      <c r="AL14" s="8">
        <v>100</v>
      </c>
      <c r="AM14" s="8">
        <f>MAX(AM13,IF(AL14&lt;=节奏预期!$B$1,0,节奏预期!H29*求节点($C$39:$C$46,$G$39:$G$46,节奏预期!L29)+节奏预期!G29*求节点($C$39:$C$46,$F$39:$F$46,节奏预期!K29)+节奏预期!F29*求节点($C$39:$C$46,$E$39:$E$46,节奏预期!J29)+节奏预期!E29*求节点($C$39:$C$46,$D$39:$D$46,节奏预期!I29)))</f>
        <v>2662.5207862888469</v>
      </c>
      <c r="AN14" s="8">
        <f>IF(AL14&lt;=节奏预期!$B$1,0,SUMPRODUCT(投放验证!AD16:AG16,$D$50:$G$50)-SUMPRODUCT(节奏预期!E29:H29,节奏预期!I29:L29+1,$D$50:$G$50))</f>
        <v>1767.5051158972037</v>
      </c>
      <c r="AO14" s="8">
        <f t="shared" si="6"/>
        <v>0.6638465040345618</v>
      </c>
      <c r="AR14" s="5">
        <v>10</v>
      </c>
      <c r="AS14" s="5">
        <f t="shared" si="7"/>
        <v>0</v>
      </c>
      <c r="AT14" s="5">
        <f t="shared" si="8"/>
        <v>0</v>
      </c>
      <c r="AU14" s="5">
        <f t="shared" si="9"/>
        <v>0</v>
      </c>
      <c r="AV14" s="5">
        <f t="shared" si="9"/>
        <v>0</v>
      </c>
      <c r="AW14" s="5">
        <f t="shared" si="10"/>
        <v>0</v>
      </c>
    </row>
    <row r="15" spans="2:49" x14ac:dyDescent="0.15">
      <c r="N15" s="8">
        <v>110</v>
      </c>
      <c r="O15" s="8">
        <f>IF(节奏预期!E30=0,0,求节点($C$54:$C$61,D$54:D$61,节奏预期!I30))</f>
        <v>0.08</v>
      </c>
      <c r="P15" s="8">
        <f>IF(节奏预期!F30=0,0,求节点($C$54:$C$61,E$54:E$61,节奏预期!J30))</f>
        <v>0.18</v>
      </c>
      <c r="Q15" s="8">
        <f>IF(节奏预期!G30=0,0,求节点($C$54:$C$61,F$54:F$61,节奏预期!K30))</f>
        <v>0.32</v>
      </c>
      <c r="R15" s="8">
        <f>IF(节奏预期!H30=0,0,求节点($C$54:$C$61,G$54:G$61,节奏预期!L30))</f>
        <v>0.36903422799155661</v>
      </c>
      <c r="S15" s="8">
        <f t="shared" si="0"/>
        <v>0.36903422799155661</v>
      </c>
      <c r="T15" s="8"/>
      <c r="Z15" s="5">
        <v>11</v>
      </c>
      <c r="AA15" s="5">
        <f t="shared" si="1"/>
        <v>0</v>
      </c>
      <c r="AB15" s="5">
        <f t="shared" si="2"/>
        <v>0</v>
      </c>
      <c r="AC15" s="5">
        <f t="shared" si="3"/>
        <v>0</v>
      </c>
      <c r="AD15" s="5">
        <f t="shared" si="4"/>
        <v>0</v>
      </c>
      <c r="AE15" s="5">
        <f t="shared" si="5"/>
        <v>0</v>
      </c>
      <c r="AL15" s="8">
        <v>110</v>
      </c>
      <c r="AM15" s="8">
        <f>MAX(AM14,IF(AL15&lt;=节奏预期!$B$1,0,节奏预期!H30*求节点($C$39:$C$46,$G$39:$G$46,节奏预期!L30)+节奏预期!G30*求节点($C$39:$C$46,$F$39:$F$46,节奏预期!K30)+节奏预期!F30*求节点($C$39:$C$46,$E$39:$E$46,节奏预期!J30)+节奏预期!E30*求节点($C$39:$C$46,$D$39:$D$46,节奏预期!I30)))</f>
        <v>11489.092078861282</v>
      </c>
      <c r="AN15" s="8">
        <f>IF(AL15&lt;=节奏预期!$B$1,0,SUMPRODUCT(投放验证!AD17:AG17,$D$50:$G$50)-SUMPRODUCT(节奏预期!E30:H30,节奏预期!I30:L30+1,$D$50:$G$50))</f>
        <v>3858.7407804572667</v>
      </c>
      <c r="AO15" s="8">
        <f t="shared" si="6"/>
        <v>0.33586124595144839</v>
      </c>
      <c r="AR15" s="5">
        <v>11</v>
      </c>
      <c r="AS15" s="5">
        <f t="shared" si="7"/>
        <v>0</v>
      </c>
      <c r="AT15" s="5">
        <f t="shared" si="8"/>
        <v>0</v>
      </c>
      <c r="AU15" s="5">
        <f t="shared" si="9"/>
        <v>0</v>
      </c>
      <c r="AV15" s="5">
        <f t="shared" si="9"/>
        <v>0</v>
      </c>
      <c r="AW15" s="5">
        <f t="shared" si="10"/>
        <v>0</v>
      </c>
    </row>
    <row r="16" spans="2:49" ht="11.25" customHeight="1" x14ac:dyDescent="0.15">
      <c r="B16" s="54" t="s">
        <v>156</v>
      </c>
      <c r="C16" s="8" t="s">
        <v>150</v>
      </c>
      <c r="D16" s="8" t="s">
        <v>0</v>
      </c>
      <c r="E16" s="8" t="s">
        <v>1</v>
      </c>
      <c r="F16" s="8" t="s">
        <v>2</v>
      </c>
      <c r="G16" s="8" t="s">
        <v>3</v>
      </c>
      <c r="N16" s="8">
        <v>120</v>
      </c>
      <c r="O16" s="8">
        <f>IF(节奏预期!E31=0,0,求节点($C$54:$C$61,D$54:D$61,节奏预期!I31))</f>
        <v>0.08</v>
      </c>
      <c r="P16" s="8">
        <f>IF(节奏预期!F31=0,0,求节点($C$54:$C$61,E$54:E$61,节奏预期!J31))</f>
        <v>0.18</v>
      </c>
      <c r="Q16" s="8">
        <f>IF(节奏预期!G31=0,0,求节点($C$54:$C$61,F$54:F$61,节奏预期!K31))</f>
        <v>0.32</v>
      </c>
      <c r="R16" s="8">
        <f>IF(节奏预期!H31=0,0,求节点($C$54:$C$61,G$54:G$61,节奏预期!L31))</f>
        <v>0.48</v>
      </c>
      <c r="S16" s="8">
        <f t="shared" si="0"/>
        <v>0.48</v>
      </c>
      <c r="T16" s="8"/>
      <c r="Z16" s="5">
        <v>12</v>
      </c>
      <c r="AA16" s="5">
        <f t="shared" si="1"/>
        <v>0</v>
      </c>
      <c r="AB16" s="5">
        <f t="shared" si="2"/>
        <v>0</v>
      </c>
      <c r="AC16" s="5">
        <f t="shared" si="3"/>
        <v>0</v>
      </c>
      <c r="AD16" s="5">
        <f t="shared" si="4"/>
        <v>0</v>
      </c>
      <c r="AE16" s="5">
        <f t="shared" si="5"/>
        <v>0</v>
      </c>
      <c r="AL16" s="8">
        <v>120</v>
      </c>
      <c r="AM16" s="8">
        <f>MAX(AM15,IF(AL16&lt;=节奏预期!$B$1,0,节奏预期!H31*求节点($C$39:$C$46,$G$39:$G$46,节奏预期!L31)+节奏预期!G31*求节点($C$39:$C$46,$F$39:$F$46,节奏预期!K31)+节奏预期!F31*求节点($C$39:$C$46,$E$39:$E$46,节奏预期!J31)+节奏预期!E31*求节点($C$39:$C$46,$D$39:$D$46,节奏预期!I31)))</f>
        <v>12948</v>
      </c>
      <c r="AN16" s="8">
        <f>IF(AL16&lt;=节奏预期!$B$1,0,SUMPRODUCT(投放验证!AD18:AG18,$D$50:$G$50)-SUMPRODUCT(节奏预期!E31:H31,节奏预期!I31:L31+1,$D$50:$G$50))</f>
        <v>10420.306163765863</v>
      </c>
      <c r="AO16" s="8">
        <f t="shared" si="6"/>
        <v>0.80478113714595789</v>
      </c>
      <c r="AR16" s="5">
        <v>12</v>
      </c>
      <c r="AS16" s="5">
        <f t="shared" si="7"/>
        <v>0</v>
      </c>
      <c r="AT16" s="5">
        <f t="shared" si="8"/>
        <v>0</v>
      </c>
      <c r="AU16" s="5">
        <f t="shared" si="9"/>
        <v>0</v>
      </c>
      <c r="AV16" s="5">
        <f t="shared" si="9"/>
        <v>0</v>
      </c>
      <c r="AW16" s="5">
        <f t="shared" si="10"/>
        <v>0</v>
      </c>
    </row>
    <row r="17" spans="2:49" x14ac:dyDescent="0.15">
      <c r="B17" s="54"/>
      <c r="C17" s="8">
        <v>0</v>
      </c>
      <c r="D17" s="8">
        <f>IF(D5="","",SUM(D5:D$5))</f>
        <v>1</v>
      </c>
      <c r="E17" s="8">
        <f>IF(E5="","",SUM(E5:E$5))</f>
        <v>1</v>
      </c>
      <c r="F17" s="8">
        <f>IF(F5="","",SUM(F5:F$5))</f>
        <v>1</v>
      </c>
      <c r="G17" s="8">
        <f>IF(G5="","",SUM(G5:G$5))</f>
        <v>1</v>
      </c>
      <c r="N17" s="8">
        <v>130</v>
      </c>
      <c r="O17" s="8">
        <f>IF(节奏预期!E32=0,0,求节点($C$54:$C$61,D$54:D$61,节奏预期!I32))</f>
        <v>0.08</v>
      </c>
      <c r="P17" s="8">
        <f>IF(节奏预期!F32=0,0,求节点($C$54:$C$61,E$54:E$61,节奏预期!J32))</f>
        <v>0.18</v>
      </c>
      <c r="Q17" s="8">
        <f>IF(节奏预期!G32=0,0,求节点($C$54:$C$61,F$54:F$61,节奏预期!K32))</f>
        <v>0.32</v>
      </c>
      <c r="R17" s="8">
        <f>IF(节奏预期!H32=0,0,求节点($C$54:$C$61,G$54:G$61,节奏预期!L32))</f>
        <v>0.48</v>
      </c>
      <c r="S17" s="8">
        <f t="shared" si="0"/>
        <v>0.48</v>
      </c>
      <c r="T17" s="8"/>
      <c r="Z17" s="5">
        <v>13</v>
      </c>
      <c r="AA17" s="5">
        <f t="shared" si="1"/>
        <v>0</v>
      </c>
      <c r="AB17" s="5">
        <f t="shared" si="2"/>
        <v>0</v>
      </c>
      <c r="AC17" s="5">
        <f t="shared" si="3"/>
        <v>0</v>
      </c>
      <c r="AD17" s="5">
        <f t="shared" si="4"/>
        <v>0</v>
      </c>
      <c r="AE17" s="5">
        <f t="shared" si="5"/>
        <v>0</v>
      </c>
      <c r="AL17" s="8">
        <v>130</v>
      </c>
      <c r="AM17" s="8">
        <f>MAX(AM16,IF(AL17&lt;=节奏预期!$B$1,0,节奏预期!H32*求节点($C$39:$C$46,$G$39:$G$46,节奏预期!L32)+节奏预期!G32*求节点($C$39:$C$46,$F$39:$F$46,节奏预期!K32)+节奏预期!F32*求节点($C$39:$C$46,$E$39:$E$46,节奏预期!J32)+节奏预期!E32*求节点($C$39:$C$46,$D$39:$D$46,节奏预期!I32)))</f>
        <v>12948</v>
      </c>
      <c r="AN17" s="8">
        <f>IF(AL17&lt;=节奏预期!$B$1,0,SUMPRODUCT(投放验证!AD19:AG19,$D$50:$G$50)-SUMPRODUCT(节奏预期!E32:H32,节奏预期!I32:L32+1,$D$50:$G$50))</f>
        <v>23976.531931483485</v>
      </c>
      <c r="AO17" s="8">
        <f t="shared" si="6"/>
        <v>1.8517556326446931</v>
      </c>
      <c r="AR17" s="5">
        <v>13</v>
      </c>
      <c r="AS17" s="5">
        <f t="shared" si="7"/>
        <v>0</v>
      </c>
      <c r="AT17" s="5">
        <f t="shared" si="8"/>
        <v>0</v>
      </c>
      <c r="AU17" s="5">
        <f t="shared" si="9"/>
        <v>0</v>
      </c>
      <c r="AV17" s="5">
        <f t="shared" si="9"/>
        <v>0</v>
      </c>
      <c r="AW17" s="5">
        <f t="shared" si="10"/>
        <v>0</v>
      </c>
    </row>
    <row r="18" spans="2:49" x14ac:dyDescent="0.15">
      <c r="B18" s="54"/>
      <c r="C18" s="8">
        <v>1</v>
      </c>
      <c r="D18" s="8">
        <f>IF(D6="","",SUM(D$5:D6))</f>
        <v>2</v>
      </c>
      <c r="E18" s="8">
        <f>IF(E6="","",SUM(E$5:E6))</f>
        <v>2</v>
      </c>
      <c r="F18" s="8">
        <f>IF(F6="","",SUM(F$5:F6))</f>
        <v>2</v>
      </c>
      <c r="G18" s="8">
        <f>IF(G6="","",SUM(G$5:G6))</f>
        <v>2</v>
      </c>
      <c r="N18" s="8">
        <v>140</v>
      </c>
      <c r="O18" s="8">
        <f>IF(节奏预期!E33=0,0,求节点($C$54:$C$61,D$54:D$61,节奏预期!I33))</f>
        <v>0.08</v>
      </c>
      <c r="P18" s="8">
        <f>IF(节奏预期!F33=0,0,求节点($C$54:$C$61,E$54:E$61,节奏预期!J33))</f>
        <v>0.18</v>
      </c>
      <c r="Q18" s="8">
        <f>IF(节奏预期!G33=0,0,求节点($C$54:$C$61,F$54:F$61,节奏预期!K33))</f>
        <v>0.32</v>
      </c>
      <c r="R18" s="8">
        <f>IF(节奏预期!H33=0,0,求节点($C$54:$C$61,G$54:G$61,节奏预期!L33))</f>
        <v>0.48</v>
      </c>
      <c r="S18" s="8">
        <f t="shared" si="0"/>
        <v>0.48</v>
      </c>
      <c r="T18" s="8"/>
      <c r="Z18" s="5">
        <v>14</v>
      </c>
      <c r="AA18" s="5">
        <f t="shared" si="1"/>
        <v>0</v>
      </c>
      <c r="AB18" s="5">
        <f t="shared" si="2"/>
        <v>0</v>
      </c>
      <c r="AC18" s="5">
        <f t="shared" si="3"/>
        <v>0</v>
      </c>
      <c r="AD18" s="5">
        <f t="shared" si="4"/>
        <v>0</v>
      </c>
      <c r="AE18" s="5">
        <f t="shared" si="5"/>
        <v>0</v>
      </c>
      <c r="AL18" s="8">
        <v>140</v>
      </c>
      <c r="AM18" s="8">
        <f>MAX(AM17,IF(AL18&lt;=节奏预期!$B$1,0,节奏预期!H33*求节点($C$39:$C$46,$G$39:$G$46,节奏预期!L33)+节奏预期!G33*求节点($C$39:$C$46,$F$39:$F$46,节奏预期!K33)+节奏预期!F33*求节点($C$39:$C$46,$E$39:$E$46,节奏预期!J33)+节奏预期!E33*求节点($C$39:$C$46,$D$39:$D$46,节奏预期!I33)))</f>
        <v>12948</v>
      </c>
      <c r="AN18" s="8">
        <f>IF(AL18&lt;=节奏预期!$B$1,0,SUMPRODUCT(投放验证!AD20:AG20,$D$50:$G$50)-SUMPRODUCT(节奏预期!E33:H33,节奏预期!I33:L33+1,$D$50:$G$50))</f>
        <v>50350.834377430743</v>
      </c>
      <c r="AO18" s="8">
        <f t="shared" si="6"/>
        <v>3.8886958895142683</v>
      </c>
      <c r="AR18" s="5">
        <v>14</v>
      </c>
      <c r="AS18" s="5">
        <f t="shared" si="7"/>
        <v>0</v>
      </c>
      <c r="AT18" s="5">
        <f t="shared" si="8"/>
        <v>0</v>
      </c>
      <c r="AU18" s="5">
        <f t="shared" si="9"/>
        <v>0</v>
      </c>
      <c r="AV18" s="5">
        <f t="shared" si="9"/>
        <v>0</v>
      </c>
      <c r="AW18" s="5">
        <f t="shared" si="10"/>
        <v>0</v>
      </c>
    </row>
    <row r="19" spans="2:49" x14ac:dyDescent="0.15">
      <c r="B19" s="54"/>
      <c r="C19" s="8">
        <v>2</v>
      </c>
      <c r="D19" s="8">
        <f>IF(D7="","",SUM(D$5:D7))</f>
        <v>3</v>
      </c>
      <c r="E19" s="8">
        <f>IF(E7="","",SUM(E$5:E7))</f>
        <v>3</v>
      </c>
      <c r="F19" s="8">
        <f>IF(F7="","",SUM(F$5:F7))</f>
        <v>3</v>
      </c>
      <c r="G19" s="8">
        <f>IF(G7="","",SUM(G$5:G7))</f>
        <v>3</v>
      </c>
      <c r="N19" s="8">
        <v>150</v>
      </c>
      <c r="O19" s="8">
        <f>IF(节奏预期!E34=0,0,求节点($C$54:$C$61,D$54:D$61,节奏预期!I34))</f>
        <v>0.08</v>
      </c>
      <c r="P19" s="8">
        <f>IF(节奏预期!F34=0,0,求节点($C$54:$C$61,E$54:E$61,节奏预期!J34))</f>
        <v>0.18</v>
      </c>
      <c r="Q19" s="8">
        <f>IF(节奏预期!G34=0,0,求节点($C$54:$C$61,F$54:F$61,节奏预期!K34))</f>
        <v>0.32</v>
      </c>
      <c r="R19" s="8">
        <f>IF(节奏预期!H34=0,0,求节点($C$54:$C$61,G$54:G$61,节奏预期!L34))</f>
        <v>0.48</v>
      </c>
      <c r="S19" s="8">
        <f t="shared" si="0"/>
        <v>0.48</v>
      </c>
      <c r="T19" s="8"/>
      <c r="Z19" s="5">
        <v>15</v>
      </c>
      <c r="AA19" s="5">
        <f t="shared" si="1"/>
        <v>0</v>
      </c>
      <c r="AB19" s="5">
        <f t="shared" si="2"/>
        <v>0</v>
      </c>
      <c r="AC19" s="5">
        <f t="shared" si="3"/>
        <v>0</v>
      </c>
      <c r="AD19" s="5">
        <f t="shared" si="4"/>
        <v>0</v>
      </c>
      <c r="AE19" s="5">
        <f t="shared" si="5"/>
        <v>0</v>
      </c>
      <c r="AL19" s="8">
        <v>150</v>
      </c>
      <c r="AM19" s="8">
        <f>MAX(AM18,IF(AL19&lt;=节奏预期!$B$1,0,节奏预期!H34*求节点($C$39:$C$46,$G$39:$G$46,节奏预期!L34)+节奏预期!G34*求节点($C$39:$C$46,$F$39:$F$46,节奏预期!K34)+节奏预期!F34*求节点($C$39:$C$46,$E$39:$E$46,节奏预期!J34)+节奏预期!E34*求节点($C$39:$C$46,$D$39:$D$46,节奏预期!I34)))</f>
        <v>12948</v>
      </c>
      <c r="AN19" s="8">
        <f>IF(AL19&lt;=节奏预期!$B$1,0,SUMPRODUCT(投放验证!AD21:AG21,$D$50:$G$50)-SUMPRODUCT(节奏预期!E34:H34,节奏预期!I34:L34+1,$D$50:$G$50))</f>
        <v>101992.37091143604</v>
      </c>
      <c r="AO19" s="8">
        <f t="shared" si="6"/>
        <v>7.8770752943648468</v>
      </c>
      <c r="AR19" s="5">
        <v>15</v>
      </c>
      <c r="AS19" s="5">
        <f t="shared" si="7"/>
        <v>0</v>
      </c>
      <c r="AT19" s="5">
        <f t="shared" si="8"/>
        <v>0</v>
      </c>
      <c r="AU19" s="5">
        <f t="shared" si="9"/>
        <v>0</v>
      </c>
      <c r="AV19" s="5">
        <f t="shared" si="9"/>
        <v>0</v>
      </c>
      <c r="AW19" s="5">
        <f t="shared" si="10"/>
        <v>0</v>
      </c>
    </row>
    <row r="20" spans="2:49" x14ac:dyDescent="0.15">
      <c r="B20" s="54"/>
      <c r="C20" s="8">
        <v>3</v>
      </c>
      <c r="D20" s="8">
        <f>IF(D8="","",SUM(D$5:D8))</f>
        <v>4</v>
      </c>
      <c r="E20" s="8">
        <f>IF(E8="","",SUM(E$5:E8))</f>
        <v>4</v>
      </c>
      <c r="F20" s="8">
        <f>IF(F8="","",SUM(F$5:F8))</f>
        <v>4</v>
      </c>
      <c r="G20" s="8">
        <f>IF(G8="","",SUM(G$5:G8))</f>
        <v>4</v>
      </c>
      <c r="N20" s="8">
        <v>160</v>
      </c>
      <c r="O20" s="8">
        <f>IF(节奏预期!E35=0,0,求节点($C$54:$C$61,D$54:D$61,节奏预期!I35))</f>
        <v>0.08</v>
      </c>
      <c r="P20" s="8">
        <f>IF(节奏预期!F35=0,0,求节点($C$54:$C$61,E$54:E$61,节奏预期!J35))</f>
        <v>0.18</v>
      </c>
      <c r="Q20" s="8">
        <f>IF(节奏预期!G35=0,0,求节点($C$54:$C$61,F$54:F$61,节奏预期!K35))</f>
        <v>0.32</v>
      </c>
      <c r="R20" s="8">
        <f>IF(节奏预期!H35=0,0,求节点($C$54:$C$61,G$54:G$61,节奏预期!L35))</f>
        <v>0.48</v>
      </c>
      <c r="S20" s="8">
        <f t="shared" si="0"/>
        <v>0.48</v>
      </c>
      <c r="T20" s="8"/>
      <c r="Z20" s="5">
        <v>16</v>
      </c>
      <c r="AA20" s="5">
        <f t="shared" si="1"/>
        <v>0</v>
      </c>
      <c r="AB20" s="5">
        <f t="shared" si="2"/>
        <v>0</v>
      </c>
      <c r="AC20" s="5">
        <f t="shared" si="3"/>
        <v>0</v>
      </c>
      <c r="AD20" s="5">
        <f t="shared" si="4"/>
        <v>0</v>
      </c>
      <c r="AE20" s="5">
        <f t="shared" si="5"/>
        <v>0</v>
      </c>
      <c r="AL20" s="8">
        <v>160</v>
      </c>
      <c r="AM20" s="8">
        <f>MAX(AM19,IF(AL20&lt;=节奏预期!$B$1,0,节奏预期!H35*求节点($C$39:$C$46,$G$39:$G$46,节奏预期!L35)+节奏预期!G35*求节点($C$39:$C$46,$F$39:$F$46,节奏预期!K35)+节奏预期!F35*求节点($C$39:$C$46,$E$39:$E$46,节奏预期!J35)+节奏预期!E35*求节点($C$39:$C$46,$D$39:$D$46,节奏预期!I35)))</f>
        <v>12948</v>
      </c>
      <c r="AN20" s="8">
        <f>IF(AL20&lt;=节奏预期!$B$1,0,SUMPRODUCT(投放验证!AD22:AG22,$D$50:$G$50)-SUMPRODUCT(节奏预期!E35:H35,节奏预期!I35:L35+1,$D$50:$G$50))</f>
        <v>203483.36622411918</v>
      </c>
      <c r="AO20" s="8">
        <f t="shared" si="6"/>
        <v>15.715428346008586</v>
      </c>
      <c r="AR20" s="5">
        <v>16</v>
      </c>
      <c r="AS20" s="5">
        <f t="shared" si="7"/>
        <v>0</v>
      </c>
      <c r="AT20" s="5">
        <f t="shared" si="8"/>
        <v>0</v>
      </c>
      <c r="AU20" s="5">
        <f t="shared" si="9"/>
        <v>0</v>
      </c>
      <c r="AV20" s="5">
        <f t="shared" si="9"/>
        <v>0</v>
      </c>
      <c r="AW20" s="5">
        <f t="shared" si="10"/>
        <v>0</v>
      </c>
    </row>
    <row r="21" spans="2:49" x14ac:dyDescent="0.15">
      <c r="B21" s="54"/>
      <c r="C21" s="8">
        <v>4</v>
      </c>
      <c r="D21" s="8" t="str">
        <f>IF(D9="","",SUM(D$5:D9))</f>
        <v/>
      </c>
      <c r="E21" s="8">
        <f>IF(E9="","",SUM(E$5:E9))</f>
        <v>5</v>
      </c>
      <c r="F21" s="8">
        <f>IF(F9="","",SUM(F$5:F9))</f>
        <v>5</v>
      </c>
      <c r="G21" s="8">
        <f>IF(G9="","",SUM(G$5:G9))</f>
        <v>5</v>
      </c>
      <c r="Z21" s="5">
        <v>17</v>
      </c>
      <c r="AA21" s="5">
        <f t="shared" si="1"/>
        <v>0</v>
      </c>
      <c r="AB21" s="5">
        <f t="shared" si="2"/>
        <v>0</v>
      </c>
      <c r="AC21" s="5">
        <f t="shared" si="3"/>
        <v>0</v>
      </c>
      <c r="AD21" s="5">
        <f t="shared" si="4"/>
        <v>0</v>
      </c>
      <c r="AE21" s="5">
        <f t="shared" si="5"/>
        <v>0</v>
      </c>
      <c r="AR21" s="5">
        <v>17</v>
      </c>
      <c r="AS21" s="5">
        <f t="shared" si="7"/>
        <v>0</v>
      </c>
      <c r="AT21" s="5">
        <f t="shared" si="8"/>
        <v>0</v>
      </c>
      <c r="AU21" s="5">
        <f t="shared" si="9"/>
        <v>0</v>
      </c>
      <c r="AV21" s="5">
        <f t="shared" si="9"/>
        <v>0</v>
      </c>
      <c r="AW21" s="5">
        <f t="shared" si="10"/>
        <v>0</v>
      </c>
    </row>
    <row r="22" spans="2:49" x14ac:dyDescent="0.15">
      <c r="B22" s="54"/>
      <c r="C22" s="8">
        <v>5</v>
      </c>
      <c r="D22" s="8" t="str">
        <f>IF(D10="","",SUM(D$5:D10))</f>
        <v/>
      </c>
      <c r="E22" s="8">
        <f>IF(E10="","",SUM(E$5:E10))</f>
        <v>6</v>
      </c>
      <c r="F22" s="8">
        <f>IF(F10="","",SUM(F$5:F10))</f>
        <v>6</v>
      </c>
      <c r="G22" s="8">
        <f>IF(G10="","",SUM(G$5:G10))</f>
        <v>6</v>
      </c>
      <c r="O22" s="53" t="s">
        <v>158</v>
      </c>
      <c r="P22" s="53"/>
      <c r="Q22" s="53"/>
      <c r="R22" s="53"/>
      <c r="Z22" s="5">
        <v>18</v>
      </c>
      <c r="AA22" s="5">
        <f t="shared" si="1"/>
        <v>0</v>
      </c>
      <c r="AB22" s="5">
        <f t="shared" si="2"/>
        <v>0</v>
      </c>
      <c r="AC22" s="5">
        <f t="shared" si="3"/>
        <v>0</v>
      </c>
      <c r="AD22" s="5">
        <f t="shared" si="4"/>
        <v>0</v>
      </c>
      <c r="AE22" s="5">
        <f t="shared" si="5"/>
        <v>0</v>
      </c>
      <c r="AR22" s="5">
        <v>18</v>
      </c>
      <c r="AS22" s="5">
        <f t="shared" si="7"/>
        <v>0</v>
      </c>
      <c r="AT22" s="5">
        <f t="shared" si="8"/>
        <v>0</v>
      </c>
      <c r="AU22" s="5">
        <f t="shared" si="9"/>
        <v>0</v>
      </c>
      <c r="AV22" s="5">
        <f t="shared" si="9"/>
        <v>0</v>
      </c>
      <c r="AW22" s="5">
        <f t="shared" si="10"/>
        <v>0</v>
      </c>
    </row>
    <row r="23" spans="2:49" x14ac:dyDescent="0.15">
      <c r="B23" s="54"/>
      <c r="C23" s="8">
        <v>6</v>
      </c>
      <c r="D23" s="8" t="str">
        <f>IF(D11="","",SUM(D$5:D11))</f>
        <v/>
      </c>
      <c r="E23" s="8" t="str">
        <f>IF(E11="","",SUM(E$5:E11))</f>
        <v/>
      </c>
      <c r="F23" s="8">
        <f>IF(F11="","",SUM(F$5:F11))</f>
        <v>7</v>
      </c>
      <c r="G23" s="8">
        <f>IF(G11="","",SUM(G$5:G11))</f>
        <v>7</v>
      </c>
      <c r="M23" s="5" t="s">
        <v>128</v>
      </c>
      <c r="N23" s="8" t="s">
        <v>141</v>
      </c>
      <c r="O23" s="8" t="s">
        <v>0</v>
      </c>
      <c r="P23" s="8" t="s">
        <v>1</v>
      </c>
      <c r="Q23" s="8" t="s">
        <v>2</v>
      </c>
      <c r="R23" s="8" t="s">
        <v>3</v>
      </c>
      <c r="S23" s="8" t="s">
        <v>159</v>
      </c>
      <c r="T23" s="8"/>
      <c r="Z23" s="5">
        <v>19</v>
      </c>
      <c r="AA23" s="5">
        <f t="shared" si="1"/>
        <v>0</v>
      </c>
      <c r="AB23" s="5">
        <f t="shared" si="2"/>
        <v>0</v>
      </c>
      <c r="AC23" s="5">
        <f t="shared" si="3"/>
        <v>0</v>
      </c>
      <c r="AD23" s="5">
        <f t="shared" si="4"/>
        <v>0</v>
      </c>
      <c r="AE23" s="5">
        <f t="shared" si="5"/>
        <v>0</v>
      </c>
      <c r="AK23" s="5" t="s">
        <v>128</v>
      </c>
      <c r="AL23" s="8" t="s">
        <v>141</v>
      </c>
      <c r="AM23" s="8" t="s">
        <v>189</v>
      </c>
      <c r="AN23" s="8" t="s">
        <v>190</v>
      </c>
      <c r="AO23" s="8" t="s">
        <v>192</v>
      </c>
      <c r="AR23" s="5">
        <v>19</v>
      </c>
      <c r="AS23" s="5">
        <f t="shared" si="7"/>
        <v>0</v>
      </c>
      <c r="AT23" s="5">
        <f t="shared" si="8"/>
        <v>0</v>
      </c>
      <c r="AU23" s="5">
        <f t="shared" si="9"/>
        <v>0</v>
      </c>
      <c r="AV23" s="5">
        <f t="shared" si="9"/>
        <v>0</v>
      </c>
      <c r="AW23" s="5">
        <f t="shared" si="10"/>
        <v>0</v>
      </c>
    </row>
    <row r="24" spans="2:49" x14ac:dyDescent="0.15">
      <c r="B24" s="54"/>
      <c r="C24" s="8">
        <v>7</v>
      </c>
      <c r="D24" s="8" t="str">
        <f>IF(D12="","",SUM(D$5:D12))</f>
        <v/>
      </c>
      <c r="E24" s="8" t="str">
        <f>IF(E12="","",SUM(E$5:E12))</f>
        <v/>
      </c>
      <c r="F24" s="8">
        <f>IF(F12="","",SUM(F$5:F12))</f>
        <v>8</v>
      </c>
      <c r="G24" s="8">
        <f>IF(G12="","",SUM(G$5:G12))</f>
        <v>8</v>
      </c>
      <c r="N24" s="8">
        <v>10</v>
      </c>
      <c r="O24" s="8">
        <f>IF(节奏预期!E39=0,0,求节点($C$54:$C$61,D$54:D$61,节奏预期!I39))</f>
        <v>0</v>
      </c>
      <c r="P24" s="8">
        <f>IF(节奏预期!F39=0,0,求节点($C$54:$C$61,E$54:E$61,节奏预期!J39))</f>
        <v>0</v>
      </c>
      <c r="Q24" s="8">
        <f>IF(节奏预期!G39=0,0,求节点($C$54:$C$61,F$54:F$61,节奏预期!K39))</f>
        <v>0</v>
      </c>
      <c r="R24" s="8">
        <f>IF(节奏预期!H39=0,0,求节点($C$54:$C$61,G$54:G$61,节奏预期!L39))</f>
        <v>0</v>
      </c>
      <c r="S24" s="8">
        <f>MAX(O24:R24)</f>
        <v>0</v>
      </c>
      <c r="T24" s="8"/>
      <c r="Z24" s="5">
        <v>20</v>
      </c>
      <c r="AA24" s="5">
        <f t="shared" si="1"/>
        <v>0</v>
      </c>
      <c r="AB24" s="5">
        <f t="shared" si="2"/>
        <v>0</v>
      </c>
      <c r="AC24" s="5">
        <f t="shared" si="3"/>
        <v>0</v>
      </c>
      <c r="AD24" s="5">
        <f t="shared" si="4"/>
        <v>0</v>
      </c>
      <c r="AE24" s="5">
        <f t="shared" si="5"/>
        <v>0</v>
      </c>
      <c r="AL24" s="8">
        <v>10</v>
      </c>
      <c r="AM24" s="8">
        <f>MAX(AM23,IF(AL24&lt;=节奏预期!$B$1,0,节奏预期!H39*求节点($C$39:$C$46,$G$39:$G$46,节奏预期!L39)+节奏预期!G39*求节点($C$39:$C$46,$F$39:$F$46,节奏预期!K39)+节奏预期!F39*求节点($C$39:$C$46,$E$39:$E$46,节奏预期!J39)+节奏预期!E39*求节点($C$39:$C$46,$D$39:$D$46,节奏预期!I39)))</f>
        <v>0</v>
      </c>
      <c r="AN24" s="8">
        <f>IF(AL24&lt;=节奏预期!$B$1,0,SUMPRODUCT(投放验证!AD26:AG26,$D$50:$G$50)-SUMPRODUCT(节奏预期!E39:H39,节奏预期!I39:L39+1,$D$50:$G$50))</f>
        <v>0</v>
      </c>
      <c r="AO24" s="8">
        <f>IFERROR(AN24/AM24,0)</f>
        <v>0</v>
      </c>
      <c r="AR24" s="5">
        <v>20</v>
      </c>
      <c r="AS24" s="5">
        <f t="shared" si="7"/>
        <v>0</v>
      </c>
      <c r="AT24" s="5">
        <f t="shared" si="8"/>
        <v>0</v>
      </c>
      <c r="AU24" s="5">
        <f t="shared" si="9"/>
        <v>0</v>
      </c>
      <c r="AV24" s="5">
        <f t="shared" si="9"/>
        <v>0</v>
      </c>
      <c r="AW24" s="5">
        <f t="shared" si="10"/>
        <v>0</v>
      </c>
    </row>
    <row r="25" spans="2:49" x14ac:dyDescent="0.15">
      <c r="N25" s="8">
        <v>20</v>
      </c>
      <c r="O25" s="8">
        <f>IF(节奏预期!E40=0,0,求节点($C$54:$C$61,D$54:D$61,节奏预期!I40))</f>
        <v>0</v>
      </c>
      <c r="P25" s="8">
        <f>IF(节奏预期!F40=0,0,求节点($C$54:$C$61,E$54:E$61,节奏预期!J40))</f>
        <v>0</v>
      </c>
      <c r="Q25" s="8">
        <f>IF(节奏预期!G40=0,0,求节点($C$54:$C$61,F$54:F$61,节奏预期!K40))</f>
        <v>0</v>
      </c>
      <c r="R25" s="8">
        <f>IF(节奏预期!H40=0,0,求节点($C$54:$C$61,G$54:G$61,节奏预期!L40))</f>
        <v>0</v>
      </c>
      <c r="S25" s="8">
        <f t="shared" ref="S25:S39" si="12">MAX(O25:R25)</f>
        <v>0</v>
      </c>
      <c r="T25" s="8"/>
      <c r="Z25" s="5">
        <v>21</v>
      </c>
      <c r="AA25" s="5">
        <f t="shared" si="1"/>
        <v>0</v>
      </c>
      <c r="AB25" s="5">
        <f t="shared" si="2"/>
        <v>0</v>
      </c>
      <c r="AC25" s="5">
        <f t="shared" si="3"/>
        <v>0</v>
      </c>
      <c r="AD25" s="5">
        <f t="shared" si="4"/>
        <v>0</v>
      </c>
      <c r="AE25" s="5">
        <f t="shared" si="5"/>
        <v>0</v>
      </c>
      <c r="AL25" s="8">
        <v>20</v>
      </c>
      <c r="AM25" s="8">
        <f>MAX(AM24,IF(AL25&lt;=节奏预期!$B$1,0,节奏预期!H40*求节点($C$39:$C$46,$G$39:$G$46,节奏预期!L40)+节奏预期!G40*求节点($C$39:$C$46,$F$39:$F$46,节奏预期!K40)+节奏预期!F40*求节点($C$39:$C$46,$E$39:$E$46,节奏预期!J40)+节奏预期!E40*求节点($C$39:$C$46,$D$39:$D$46,节奏预期!I40)))</f>
        <v>0</v>
      </c>
      <c r="AN25" s="8">
        <f>IF(AL25&lt;=节奏预期!$B$1,0,SUMPRODUCT(投放验证!AD27:AG27,$D$50:$G$50)-SUMPRODUCT(节奏预期!E40:H40,节奏预期!I40:L40+1,$D$50:$G$50))</f>
        <v>0</v>
      </c>
      <c r="AO25" s="8">
        <f t="shared" ref="AO25:AO39" si="13">IFERROR(AN25/AM25,0)</f>
        <v>0</v>
      </c>
      <c r="AR25" s="5">
        <v>21</v>
      </c>
      <c r="AS25" s="5">
        <f t="shared" si="7"/>
        <v>0</v>
      </c>
      <c r="AT25" s="5">
        <f t="shared" si="8"/>
        <v>0</v>
      </c>
      <c r="AU25" s="5">
        <f t="shared" si="9"/>
        <v>0</v>
      </c>
      <c r="AV25" s="5">
        <f t="shared" si="9"/>
        <v>0</v>
      </c>
      <c r="AW25" s="5">
        <f t="shared" si="10"/>
        <v>0</v>
      </c>
    </row>
    <row r="26" spans="2:49" x14ac:dyDescent="0.15">
      <c r="N26" s="8">
        <v>30</v>
      </c>
      <c r="O26" s="8">
        <f>IF(节奏预期!E41=0,0,求节点($C$54:$C$61,D$54:D$61,节奏预期!I41))</f>
        <v>0</v>
      </c>
      <c r="P26" s="8">
        <f>IF(节奏预期!F41=0,0,求节点($C$54:$C$61,E$54:E$61,节奏预期!J41))</f>
        <v>0</v>
      </c>
      <c r="Q26" s="8">
        <f>IF(节奏预期!G41=0,0,求节点($C$54:$C$61,F$54:F$61,节奏预期!K41))</f>
        <v>0</v>
      </c>
      <c r="R26" s="8">
        <f>IF(节奏预期!H41=0,0,求节点($C$54:$C$61,G$54:G$61,节奏预期!L41))</f>
        <v>0</v>
      </c>
      <c r="S26" s="8">
        <f t="shared" si="12"/>
        <v>0</v>
      </c>
      <c r="T26" s="8"/>
      <c r="Z26" s="5">
        <v>22</v>
      </c>
      <c r="AA26" s="5">
        <f t="shared" si="1"/>
        <v>0</v>
      </c>
      <c r="AB26" s="5">
        <f t="shared" si="2"/>
        <v>0</v>
      </c>
      <c r="AC26" s="5">
        <f t="shared" si="3"/>
        <v>0</v>
      </c>
      <c r="AD26" s="5">
        <f t="shared" si="4"/>
        <v>0</v>
      </c>
      <c r="AE26" s="5">
        <f t="shared" si="5"/>
        <v>0</v>
      </c>
      <c r="AL26" s="8">
        <v>30</v>
      </c>
      <c r="AM26" s="8">
        <f>MAX(AM25,IF(AL26&lt;=节奏预期!$B$1,0,节奏预期!H41*求节点($C$39:$C$46,$G$39:$G$46,节奏预期!L41)+节奏预期!G41*求节点($C$39:$C$46,$F$39:$F$46,节奏预期!K41)+节奏预期!F41*求节点($C$39:$C$46,$E$39:$E$46,节奏预期!J41)+节奏预期!E41*求节点($C$39:$C$46,$D$39:$D$46,节奏预期!I41)))</f>
        <v>0</v>
      </c>
      <c r="AN26" s="8">
        <f>IF(AL26&lt;=节奏预期!$B$1,0,SUMPRODUCT(投放验证!AD28:AG28,$D$50:$G$50)-SUMPRODUCT(节奏预期!E41:H41,节奏预期!I41:L41+1,$D$50:$G$50))</f>
        <v>0</v>
      </c>
      <c r="AO26" s="8">
        <f t="shared" si="13"/>
        <v>0</v>
      </c>
      <c r="AR26" s="5">
        <v>22</v>
      </c>
      <c r="AS26" s="5">
        <f t="shared" si="7"/>
        <v>0</v>
      </c>
      <c r="AT26" s="5">
        <f t="shared" si="8"/>
        <v>0</v>
      </c>
      <c r="AU26" s="5">
        <f t="shared" si="9"/>
        <v>0</v>
      </c>
      <c r="AV26" s="5">
        <f t="shared" si="9"/>
        <v>0</v>
      </c>
      <c r="AW26" s="5">
        <f t="shared" si="10"/>
        <v>0</v>
      </c>
    </row>
    <row r="27" spans="2:49" x14ac:dyDescent="0.15">
      <c r="B27" s="54" t="s">
        <v>152</v>
      </c>
      <c r="C27" s="8" t="s">
        <v>150</v>
      </c>
      <c r="D27" s="8" t="s">
        <v>0</v>
      </c>
      <c r="E27" s="8" t="s">
        <v>1</v>
      </c>
      <c r="F27" s="8" t="s">
        <v>2</v>
      </c>
      <c r="G27" s="8" t="s">
        <v>3</v>
      </c>
      <c r="N27" s="8">
        <v>40</v>
      </c>
      <c r="O27" s="8">
        <f>IF(节奏预期!E42=0,0,求节点($C$54:$C$61,D$54:D$61,节奏预期!I42))</f>
        <v>0</v>
      </c>
      <c r="P27" s="8">
        <f>IF(节奏预期!F42=0,0,求节点($C$54:$C$61,E$54:E$61,节奏预期!J42))</f>
        <v>0</v>
      </c>
      <c r="Q27" s="8">
        <f>IF(节奏预期!G42=0,0,求节点($C$54:$C$61,F$54:F$61,节奏预期!K42))</f>
        <v>0</v>
      </c>
      <c r="R27" s="8">
        <f>IF(节奏预期!H42=0,0,求节点($C$54:$C$61,G$54:G$61,节奏预期!L42))</f>
        <v>0</v>
      </c>
      <c r="S27" s="8">
        <f t="shared" si="12"/>
        <v>0</v>
      </c>
      <c r="T27" s="8"/>
      <c r="Z27" s="5">
        <v>23</v>
      </c>
      <c r="AA27" s="5">
        <f t="shared" si="1"/>
        <v>0</v>
      </c>
      <c r="AB27" s="5">
        <f t="shared" si="2"/>
        <v>0</v>
      </c>
      <c r="AC27" s="5">
        <f t="shared" si="3"/>
        <v>0</v>
      </c>
      <c r="AD27" s="5">
        <f t="shared" si="4"/>
        <v>0</v>
      </c>
      <c r="AE27" s="5">
        <f t="shared" si="5"/>
        <v>0</v>
      </c>
      <c r="AL27" s="8">
        <v>40</v>
      </c>
      <c r="AM27" s="8">
        <f>MAX(AM26,IF(AL27&lt;=节奏预期!$B$1,0,节奏预期!H42*求节点($C$39:$C$46,$G$39:$G$46,节奏预期!L42)+节奏预期!G42*求节点($C$39:$C$46,$F$39:$F$46,节奏预期!K42)+节奏预期!F42*求节点($C$39:$C$46,$E$39:$E$46,节奏预期!J42)+节奏预期!E42*求节点($C$39:$C$46,$D$39:$D$46,节奏预期!I42)))</f>
        <v>0</v>
      </c>
      <c r="AN27" s="8">
        <f>IF(AL27&lt;=节奏预期!$B$1,0,SUMPRODUCT(投放验证!AD29:AG29,$D$50:$G$50)-SUMPRODUCT(节奏预期!E42:H42,节奏预期!I42:L42+1,$D$50:$G$50))</f>
        <v>0</v>
      </c>
      <c r="AO27" s="8">
        <f t="shared" si="13"/>
        <v>0</v>
      </c>
      <c r="AR27" s="5">
        <v>23</v>
      </c>
      <c r="AS27" s="5">
        <f t="shared" si="7"/>
        <v>0</v>
      </c>
      <c r="AT27" s="5">
        <f t="shared" si="8"/>
        <v>0</v>
      </c>
      <c r="AU27" s="5">
        <f t="shared" si="9"/>
        <v>0</v>
      </c>
      <c r="AV27" s="5">
        <f t="shared" si="9"/>
        <v>0</v>
      </c>
      <c r="AW27" s="5">
        <f t="shared" si="10"/>
        <v>0</v>
      </c>
    </row>
    <row r="28" spans="2:49" x14ac:dyDescent="0.15">
      <c r="B28" s="54"/>
      <c r="C28" s="8">
        <v>0</v>
      </c>
      <c r="D28" s="8">
        <v>0</v>
      </c>
      <c r="E28" s="8">
        <v>0</v>
      </c>
      <c r="F28" s="8">
        <v>0</v>
      </c>
      <c r="G28" s="8">
        <v>0</v>
      </c>
      <c r="N28" s="8">
        <v>50</v>
      </c>
      <c r="O28" s="8">
        <f>IF(节奏预期!E43=0,0,求节点($C$54:$C$61,D$54:D$61,节奏预期!I43))</f>
        <v>0</v>
      </c>
      <c r="P28" s="8">
        <f>IF(节奏预期!F43=0,0,求节点($C$54:$C$61,E$54:E$61,节奏预期!J43))</f>
        <v>0</v>
      </c>
      <c r="Q28" s="8">
        <f>IF(节奏预期!G43=0,0,求节点($C$54:$C$61,F$54:F$61,节奏预期!K43))</f>
        <v>0</v>
      </c>
      <c r="R28" s="8">
        <f>IF(节奏预期!H43=0,0,求节点($C$54:$C$61,G$54:G$61,节奏预期!L43))</f>
        <v>0</v>
      </c>
      <c r="S28" s="8">
        <f t="shared" si="12"/>
        <v>0</v>
      </c>
      <c r="T28" s="8"/>
      <c r="Z28" s="5">
        <v>24</v>
      </c>
      <c r="AA28" s="5">
        <f t="shared" si="1"/>
        <v>0</v>
      </c>
      <c r="AB28" s="5">
        <f t="shared" si="2"/>
        <v>0</v>
      </c>
      <c r="AC28" s="5">
        <f t="shared" si="3"/>
        <v>0</v>
      </c>
      <c r="AD28" s="5">
        <f t="shared" si="4"/>
        <v>0</v>
      </c>
      <c r="AE28" s="5">
        <f t="shared" si="5"/>
        <v>0</v>
      </c>
      <c r="AL28" s="8">
        <v>50</v>
      </c>
      <c r="AM28" s="8">
        <f>MAX(AM27,IF(AL28&lt;=节奏预期!$B$1,0,节奏预期!H43*求节点($C$39:$C$46,$G$39:$G$46,节奏预期!L43)+节奏预期!G43*求节点($C$39:$C$46,$F$39:$F$46,节奏预期!K43)+节奏预期!F43*求节点($C$39:$C$46,$E$39:$E$46,节奏预期!J43)+节奏预期!E43*求节点($C$39:$C$46,$D$39:$D$46,节奏预期!I43)))</f>
        <v>0</v>
      </c>
      <c r="AN28" s="8">
        <f>IF(AL28&lt;=节奏预期!$B$1,0,SUMPRODUCT(投放验证!AD30:AG30,$D$50:$G$50)-SUMPRODUCT(节奏预期!E43:H43,节奏预期!I43:L43+1,$D$50:$G$50))</f>
        <v>0</v>
      </c>
      <c r="AO28" s="8">
        <f t="shared" si="13"/>
        <v>0</v>
      </c>
      <c r="AR28" s="5">
        <v>24</v>
      </c>
      <c r="AS28" s="5">
        <f t="shared" si="7"/>
        <v>0</v>
      </c>
      <c r="AT28" s="5">
        <f t="shared" si="8"/>
        <v>0</v>
      </c>
      <c r="AU28" s="5">
        <f t="shared" si="9"/>
        <v>0</v>
      </c>
      <c r="AV28" s="5">
        <f t="shared" si="9"/>
        <v>0</v>
      </c>
      <c r="AW28" s="5">
        <f t="shared" si="10"/>
        <v>0</v>
      </c>
    </row>
    <row r="29" spans="2:49" x14ac:dyDescent="0.15">
      <c r="B29" s="54"/>
      <c r="C29" s="8">
        <v>1</v>
      </c>
      <c r="D29" s="8">
        <v>1</v>
      </c>
      <c r="E29" s="8">
        <v>4</v>
      </c>
      <c r="F29" s="8">
        <v>8</v>
      </c>
      <c r="G29" s="8">
        <v>16</v>
      </c>
      <c r="N29" s="8">
        <v>60</v>
      </c>
      <c r="O29" s="8">
        <f>IF(节奏预期!E44=0,0,求节点($C$54:$C$61,D$54:D$61,节奏预期!I44))</f>
        <v>0</v>
      </c>
      <c r="P29" s="8">
        <f>IF(节奏预期!F44=0,0,求节点($C$54:$C$61,E$54:E$61,节奏预期!J44))</f>
        <v>0</v>
      </c>
      <c r="Q29" s="8">
        <f>IF(节奏预期!G44=0,0,求节点($C$54:$C$61,F$54:F$61,节奏预期!K44))</f>
        <v>0</v>
      </c>
      <c r="R29" s="8">
        <f>IF(节奏预期!H44=0,0,求节点($C$54:$C$61,G$54:G$61,节奏预期!L44))</f>
        <v>0</v>
      </c>
      <c r="S29" s="8">
        <f t="shared" si="12"/>
        <v>0</v>
      </c>
      <c r="T29" s="8"/>
      <c r="Z29" s="5">
        <v>25</v>
      </c>
      <c r="AA29" s="5">
        <f t="shared" si="1"/>
        <v>0</v>
      </c>
      <c r="AB29" s="5">
        <f t="shared" si="2"/>
        <v>0</v>
      </c>
      <c r="AC29" s="5">
        <f t="shared" si="3"/>
        <v>0</v>
      </c>
      <c r="AD29" s="5">
        <f t="shared" si="4"/>
        <v>0</v>
      </c>
      <c r="AE29" s="5">
        <f t="shared" si="5"/>
        <v>0</v>
      </c>
      <c r="AL29" s="8">
        <v>60</v>
      </c>
      <c r="AM29" s="8">
        <f>MAX(AM28,IF(AL29&lt;=节奏预期!$B$1,0,节奏预期!H44*求节点($C$39:$C$46,$G$39:$G$46,节奏预期!L44)+节奏预期!G44*求节点($C$39:$C$46,$F$39:$F$46,节奏预期!K44)+节奏预期!F44*求节点($C$39:$C$46,$E$39:$E$46,节奏预期!J44)+节奏预期!E44*求节点($C$39:$C$46,$D$39:$D$46,节奏预期!I44)))</f>
        <v>0</v>
      </c>
      <c r="AN29" s="8">
        <f>IF(AL29&lt;=节奏预期!$B$1,0,SUMPRODUCT(投放验证!AD31:AG31,$D$50:$G$50)-SUMPRODUCT(节奏预期!E44:H44,节奏预期!I44:L44+1,$D$50:$G$50))</f>
        <v>0</v>
      </c>
      <c r="AO29" s="8">
        <f t="shared" si="13"/>
        <v>0</v>
      </c>
      <c r="AR29" s="5">
        <v>25</v>
      </c>
      <c r="AS29" s="5">
        <f t="shared" si="7"/>
        <v>0</v>
      </c>
      <c r="AT29" s="5">
        <f t="shared" si="8"/>
        <v>0</v>
      </c>
      <c r="AU29" s="5">
        <f t="shared" si="9"/>
        <v>0</v>
      </c>
      <c r="AV29" s="5">
        <f t="shared" si="9"/>
        <v>0</v>
      </c>
      <c r="AW29" s="5">
        <f t="shared" si="10"/>
        <v>0</v>
      </c>
    </row>
    <row r="30" spans="2:49" x14ac:dyDescent="0.15">
      <c r="B30" s="54"/>
      <c r="C30" s="8">
        <v>2</v>
      </c>
      <c r="D30" s="8">
        <v>2</v>
      </c>
      <c r="E30" s="8">
        <f>E29*2</f>
        <v>8</v>
      </c>
      <c r="F30" s="8">
        <f>F29*2</f>
        <v>16</v>
      </c>
      <c r="G30" s="8">
        <f>G29*2</f>
        <v>32</v>
      </c>
      <c r="N30" s="8">
        <v>70</v>
      </c>
      <c r="O30" s="8">
        <f>IF(节奏预期!E45=0,0,求节点($C$54:$C$61,D$54:D$61,节奏预期!I45))</f>
        <v>0.08</v>
      </c>
      <c r="P30" s="8">
        <f>IF(节奏预期!F45=0,0,求节点($C$54:$C$61,E$54:E$61,节奏预期!J45))</f>
        <v>0.12782186345479526</v>
      </c>
      <c r="Q30" s="8">
        <f>IF(节奏预期!G45=0,0,求节点($C$54:$C$61,F$54:F$61,节奏预期!K45))</f>
        <v>0.04</v>
      </c>
      <c r="R30" s="8">
        <f>IF(节奏预期!H45=0,0,求节点($C$54:$C$61,G$54:G$61,节奏预期!L45))</f>
        <v>0</v>
      </c>
      <c r="S30" s="8">
        <f t="shared" si="12"/>
        <v>0.12782186345479526</v>
      </c>
      <c r="T30" s="8"/>
      <c r="Z30" s="5">
        <v>26</v>
      </c>
      <c r="AA30" s="5">
        <f t="shared" si="1"/>
        <v>0</v>
      </c>
      <c r="AB30" s="5">
        <f t="shared" si="2"/>
        <v>0</v>
      </c>
      <c r="AC30" s="5">
        <f t="shared" si="3"/>
        <v>0</v>
      </c>
      <c r="AD30" s="5">
        <f t="shared" si="4"/>
        <v>0</v>
      </c>
      <c r="AE30" s="5">
        <f t="shared" si="5"/>
        <v>0</v>
      </c>
      <c r="AL30" s="8">
        <v>70</v>
      </c>
      <c r="AM30" s="8">
        <f>MAX(AM29,IF(AL30&lt;=节奏预期!$B$1,0,节奏预期!H45*求节点($C$39:$C$46,$G$39:$G$46,节奏预期!L45)+节奏预期!G45*求节点($C$39:$C$46,$F$39:$F$46,节奏预期!K45)+节奏预期!F45*求节点($C$39:$C$46,$E$39:$E$46,节奏预期!J45)+节奏预期!E45*求节点($C$39:$C$46,$D$39:$D$46,节奏预期!I45)))</f>
        <v>230.05992611068967</v>
      </c>
      <c r="AN30" s="8">
        <f>IF(AL30&lt;=节奏预期!$B$1,0,SUMPRODUCT(投放验证!AD32:AG32,$D$50:$G$50)-SUMPRODUCT(节奏预期!E45:H45,节奏预期!I45:L45+1,$D$50:$G$50))</f>
        <v>114.66789874238049</v>
      </c>
      <c r="AO30" s="8">
        <f t="shared" si="13"/>
        <v>0.49842621738133502</v>
      </c>
      <c r="AR30" s="5">
        <v>26</v>
      </c>
      <c r="AS30" s="5">
        <f t="shared" si="7"/>
        <v>0</v>
      </c>
      <c r="AT30" s="5">
        <f t="shared" si="8"/>
        <v>0</v>
      </c>
      <c r="AU30" s="5">
        <f t="shared" si="9"/>
        <v>0</v>
      </c>
      <c r="AV30" s="5">
        <f t="shared" si="9"/>
        <v>0</v>
      </c>
      <c r="AW30" s="5">
        <f t="shared" si="10"/>
        <v>0</v>
      </c>
    </row>
    <row r="31" spans="2:49" x14ac:dyDescent="0.15">
      <c r="B31" s="54"/>
      <c r="C31" s="8">
        <v>3</v>
      </c>
      <c r="D31" s="8">
        <v>3</v>
      </c>
      <c r="E31" s="8">
        <f t="shared" ref="E31:E33" si="14">E30*2</f>
        <v>16</v>
      </c>
      <c r="F31" s="8">
        <f t="shared" ref="F31:F35" si="15">F30*2</f>
        <v>32</v>
      </c>
      <c r="G31" s="8">
        <f t="shared" ref="G31:G35" si="16">G30*2</f>
        <v>64</v>
      </c>
      <c r="N31" s="8">
        <v>80</v>
      </c>
      <c r="O31" s="8">
        <f>IF(节奏预期!E46=0,0,求节点($C$54:$C$61,D$54:D$61,节奏预期!I46))</f>
        <v>0.08</v>
      </c>
      <c r="P31" s="8">
        <f>IF(节奏预期!F46=0,0,求节点($C$54:$C$61,E$54:E$61,节奏预期!J46))</f>
        <v>0.18</v>
      </c>
      <c r="Q31" s="8">
        <f>IF(节奏预期!G46=0,0,求节点($C$54:$C$61,F$54:F$61,节奏预期!K46))</f>
        <v>7.4295779461910044E-2</v>
      </c>
      <c r="R31" s="8">
        <f>IF(节奏预期!H46=0,0,求节点($C$54:$C$61,G$54:G$61,节奏预期!L46))</f>
        <v>0.06</v>
      </c>
      <c r="S31" s="8">
        <f t="shared" si="12"/>
        <v>0.18</v>
      </c>
      <c r="T31" s="8"/>
      <c r="Z31" s="5">
        <v>27</v>
      </c>
      <c r="AA31" s="5">
        <f t="shared" si="1"/>
        <v>0</v>
      </c>
      <c r="AB31" s="5">
        <f t="shared" si="2"/>
        <v>0</v>
      </c>
      <c r="AC31" s="5">
        <f t="shared" si="3"/>
        <v>0</v>
      </c>
      <c r="AD31" s="5">
        <f t="shared" si="4"/>
        <v>0</v>
      </c>
      <c r="AE31" s="5">
        <f t="shared" si="5"/>
        <v>0</v>
      </c>
      <c r="AL31" s="8">
        <v>80</v>
      </c>
      <c r="AM31" s="8">
        <f>MAX(AM30,IF(AL31&lt;=节奏预期!$B$1,0,节奏预期!H46*求节点($C$39:$C$46,$G$39:$G$46,节奏预期!L46)+节奏预期!G46*求节点($C$39:$C$46,$F$39:$F$46,节奏预期!K46)+节奏预期!F46*求节点($C$39:$C$46,$E$39:$E$46,节奏预期!J46)+节奏预期!E46*求节点($C$39:$C$46,$D$39:$D$46,节奏预期!I46)))</f>
        <v>824.59155892382012</v>
      </c>
      <c r="AN31" s="8">
        <f>IF(AL31&lt;=节奏预期!$B$1,0,SUMPRODUCT(投放验证!AD33:AG33,$D$50:$G$50)-SUMPRODUCT(节奏预期!E46:H46,节奏预期!I46:L46+1,$D$50:$G$50))</f>
        <v>468.58502278079879</v>
      </c>
      <c r="AO31" s="8">
        <f t="shared" si="13"/>
        <v>0.5682631815833189</v>
      </c>
      <c r="AR31" s="5">
        <v>27</v>
      </c>
      <c r="AS31" s="5">
        <f t="shared" si="7"/>
        <v>0</v>
      </c>
      <c r="AT31" s="5">
        <f t="shared" si="8"/>
        <v>0</v>
      </c>
      <c r="AU31" s="5">
        <f t="shared" si="9"/>
        <v>0</v>
      </c>
      <c r="AV31" s="5">
        <f t="shared" si="9"/>
        <v>0</v>
      </c>
      <c r="AW31" s="5">
        <f t="shared" si="10"/>
        <v>0</v>
      </c>
    </row>
    <row r="32" spans="2:49" x14ac:dyDescent="0.15">
      <c r="B32" s="54"/>
      <c r="C32" s="8">
        <v>4</v>
      </c>
      <c r="D32" s="8"/>
      <c r="E32" s="8">
        <f t="shared" si="14"/>
        <v>32</v>
      </c>
      <c r="F32" s="8">
        <f t="shared" si="15"/>
        <v>64</v>
      </c>
      <c r="G32" s="8">
        <f t="shared" si="16"/>
        <v>128</v>
      </c>
      <c r="N32" s="8">
        <v>90</v>
      </c>
      <c r="O32" s="8">
        <f>IF(节奏预期!E47=0,0,求节点($C$54:$C$61,D$54:D$61,节奏预期!I47))</f>
        <v>0.08</v>
      </c>
      <c r="P32" s="8">
        <f>IF(节奏预期!F47=0,0,求节点($C$54:$C$61,E$54:E$61,节奏预期!J47))</f>
        <v>0.18</v>
      </c>
      <c r="Q32" s="8">
        <f>IF(节奏预期!G47=0,0,求节点($C$54:$C$61,F$54:F$61,节奏预期!K47))</f>
        <v>0.15074949260398512</v>
      </c>
      <c r="R32" s="8">
        <f>IF(节奏预期!H47=0,0,求节点($C$54:$C$61,G$54:G$61,节奏预期!L47))</f>
        <v>8.6975134638982113E-2</v>
      </c>
      <c r="S32" s="8">
        <f t="shared" si="12"/>
        <v>0.18</v>
      </c>
      <c r="T32" s="8"/>
      <c r="Z32" s="5">
        <v>28</v>
      </c>
      <c r="AA32" s="5">
        <f t="shared" si="1"/>
        <v>0</v>
      </c>
      <c r="AB32" s="5">
        <f t="shared" si="2"/>
        <v>0</v>
      </c>
      <c r="AC32" s="5">
        <f t="shared" si="3"/>
        <v>0</v>
      </c>
      <c r="AD32" s="5">
        <f t="shared" si="4"/>
        <v>0</v>
      </c>
      <c r="AE32" s="5">
        <f t="shared" si="5"/>
        <v>0</v>
      </c>
      <c r="AL32" s="8">
        <v>90</v>
      </c>
      <c r="AM32" s="8">
        <f>MAX(AM31,IF(AL32&lt;=节奏预期!$B$1,0,节奏预期!H47*求节点($C$39:$C$46,$G$39:$G$46,节奏预期!L47)+节奏预期!G47*求节点($C$39:$C$46,$F$39:$F$46,节奏预期!K47)+节奏预期!F47*求节点($C$39:$C$46,$E$39:$E$46,节奏预期!J47)+节奏预期!E47*求节点($C$39:$C$46,$D$39:$D$46,节奏预期!I47)))</f>
        <v>1249.1893100689429</v>
      </c>
      <c r="AN32" s="8">
        <f>IF(AL32&lt;=节奏预期!$B$1,0,SUMPRODUCT(投放验证!AD34:AG34,$D$50:$G$50)-SUMPRODUCT(节奏预期!E47:H47,节奏预期!I47:L47+1,$D$50:$G$50))</f>
        <v>1107.6678154665308</v>
      </c>
      <c r="AO32" s="8">
        <f t="shared" si="13"/>
        <v>0.88670932943334146</v>
      </c>
      <c r="AR32" s="5">
        <v>28</v>
      </c>
      <c r="AS32" s="5">
        <f t="shared" si="7"/>
        <v>0</v>
      </c>
      <c r="AT32" s="5">
        <f t="shared" si="8"/>
        <v>0</v>
      </c>
      <c r="AU32" s="5">
        <f t="shared" si="9"/>
        <v>0</v>
      </c>
      <c r="AV32" s="5">
        <f t="shared" si="9"/>
        <v>0</v>
      </c>
      <c r="AW32" s="5">
        <f t="shared" si="10"/>
        <v>0</v>
      </c>
    </row>
    <row r="33" spans="2:49" x14ac:dyDescent="0.15">
      <c r="B33" s="54"/>
      <c r="C33" s="8">
        <v>5</v>
      </c>
      <c r="D33" s="8"/>
      <c r="E33" s="8">
        <f t="shared" si="14"/>
        <v>64</v>
      </c>
      <c r="F33" s="8">
        <f t="shared" si="15"/>
        <v>128</v>
      </c>
      <c r="G33" s="8">
        <f t="shared" si="16"/>
        <v>256</v>
      </c>
      <c r="N33" s="8">
        <v>100</v>
      </c>
      <c r="O33" s="8">
        <f>IF(节奏预期!E48=0,0,求节点($C$54:$C$61,D$54:D$61,节奏预期!I48))</f>
        <v>0.08</v>
      </c>
      <c r="P33" s="8">
        <f>IF(节奏预期!F48=0,0,求节点($C$54:$C$61,E$54:E$61,节奏预期!J48))</f>
        <v>0.18</v>
      </c>
      <c r="Q33" s="8">
        <f>IF(节奏预期!G48=0,0,求节点($C$54:$C$61,F$54:F$61,节奏预期!K48))</f>
        <v>0.28487328917029903</v>
      </c>
      <c r="R33" s="8">
        <f>IF(节奏预期!H48=0,0,求节点($C$54:$C$61,G$54:G$61,节奏预期!L48))</f>
        <v>0.28045637421935643</v>
      </c>
      <c r="S33" s="8">
        <f t="shared" si="12"/>
        <v>0.28487328917029903</v>
      </c>
      <c r="T33" s="8"/>
      <c r="Z33" s="5">
        <v>29</v>
      </c>
      <c r="AA33" s="5">
        <f t="shared" si="1"/>
        <v>0</v>
      </c>
      <c r="AB33" s="5">
        <f t="shared" si="2"/>
        <v>0</v>
      </c>
      <c r="AC33" s="5">
        <f t="shared" si="3"/>
        <v>0</v>
      </c>
      <c r="AD33" s="5">
        <f t="shared" si="4"/>
        <v>0</v>
      </c>
      <c r="AE33" s="5">
        <f t="shared" si="5"/>
        <v>0</v>
      </c>
      <c r="AL33" s="8">
        <v>100</v>
      </c>
      <c r="AM33" s="8">
        <f>MAX(AM32,IF(AL33&lt;=节奏预期!$B$1,0,节奏预期!H48*求节点($C$39:$C$46,$G$39:$G$46,节奏预期!L48)+节奏预期!G48*求节点($C$39:$C$46,$F$39:$F$46,节奏预期!K48)+节奏预期!F48*求节点($C$39:$C$46,$E$39:$E$46,节奏预期!J48)+节奏预期!E48*求节点($C$39:$C$46,$D$39:$D$46,节奏预期!I48)))</f>
        <v>6618.0879454662354</v>
      </c>
      <c r="AN33" s="8">
        <f>IF(AL33&lt;=节奏预期!$B$1,0,SUMPRODUCT(投放验证!AD35:AG35,$D$50:$G$50)-SUMPRODUCT(节奏预期!E48:H48,节奏预期!I48:L48+1,$D$50:$G$50))</f>
        <v>2130.774882760229</v>
      </c>
      <c r="AO33" s="8">
        <f t="shared" si="13"/>
        <v>0.32196231000827519</v>
      </c>
      <c r="AR33" s="5">
        <v>29</v>
      </c>
      <c r="AS33" s="5">
        <f t="shared" si="7"/>
        <v>0</v>
      </c>
      <c r="AT33" s="5">
        <f t="shared" si="8"/>
        <v>0</v>
      </c>
      <c r="AU33" s="5">
        <f t="shared" si="9"/>
        <v>0</v>
      </c>
      <c r="AV33" s="5">
        <f t="shared" si="9"/>
        <v>0</v>
      </c>
      <c r="AW33" s="5">
        <f t="shared" si="10"/>
        <v>0</v>
      </c>
    </row>
    <row r="34" spans="2:49" x14ac:dyDescent="0.15">
      <c r="B34" s="54"/>
      <c r="C34" s="8">
        <v>6</v>
      </c>
      <c r="D34" s="8"/>
      <c r="E34" s="8"/>
      <c r="F34" s="8">
        <f t="shared" si="15"/>
        <v>256</v>
      </c>
      <c r="G34" s="8">
        <f t="shared" si="16"/>
        <v>512</v>
      </c>
      <c r="N34" s="8">
        <v>110</v>
      </c>
      <c r="O34" s="8">
        <f>IF(节奏预期!E49=0,0,求节点($C$54:$C$61,D$54:D$61,节奏预期!I49))</f>
        <v>0.08</v>
      </c>
      <c r="P34" s="8">
        <f>IF(节奏预期!F49=0,0,求节点($C$54:$C$61,E$54:E$61,节奏预期!J49))</f>
        <v>0.18</v>
      </c>
      <c r="Q34" s="8">
        <f>IF(节奏预期!G49=0,0,求节点($C$54:$C$61,F$54:F$61,节奏预期!K49))</f>
        <v>0.32</v>
      </c>
      <c r="R34" s="8">
        <f>IF(节奏预期!H49=0,0,求节点($C$54:$C$61,G$54:G$61,节奏预期!L49))</f>
        <v>0.48</v>
      </c>
      <c r="S34" s="8">
        <f t="shared" si="12"/>
        <v>0.48</v>
      </c>
      <c r="T34" s="8"/>
      <c r="Z34" s="5">
        <v>30</v>
      </c>
      <c r="AA34" s="5">
        <f t="shared" si="1"/>
        <v>0</v>
      </c>
      <c r="AB34" s="5">
        <f t="shared" si="2"/>
        <v>0</v>
      </c>
      <c r="AC34" s="5">
        <f t="shared" si="3"/>
        <v>0</v>
      </c>
      <c r="AD34" s="5">
        <f t="shared" si="4"/>
        <v>0</v>
      </c>
      <c r="AE34" s="5">
        <f t="shared" si="5"/>
        <v>0</v>
      </c>
      <c r="AL34" s="8">
        <v>110</v>
      </c>
      <c r="AM34" s="8">
        <f>MAX(AM33,IF(AL34&lt;=节奏预期!$B$1,0,节奏预期!H49*求节点($C$39:$C$46,$G$39:$G$46,节奏预期!L49)+节奏预期!G49*求节点($C$39:$C$46,$F$39:$F$46,节奏预期!K49)+节奏预期!F49*求节点($C$39:$C$46,$E$39:$E$46,节奏预期!J49)+节奏预期!E49*求节点($C$39:$C$46,$D$39:$D$46,节奏预期!I49)))</f>
        <v>12948</v>
      </c>
      <c r="AN34" s="8">
        <f>IF(AL34&lt;=节奏预期!$B$1,0,SUMPRODUCT(投放验证!AD36:AG36,$D$50:$G$50)-SUMPRODUCT(节奏预期!E49:H49,节奏预期!I49:L49+1,$D$50:$G$50))</f>
        <v>6134.2932702268954</v>
      </c>
      <c r="AO34" s="8">
        <f t="shared" si="13"/>
        <v>0.47376376816704474</v>
      </c>
      <c r="AR34" s="5">
        <v>30</v>
      </c>
      <c r="AS34" s="5">
        <f t="shared" si="7"/>
        <v>0</v>
      </c>
      <c r="AT34" s="5">
        <f t="shared" si="8"/>
        <v>0</v>
      </c>
      <c r="AU34" s="5">
        <f t="shared" si="9"/>
        <v>0</v>
      </c>
      <c r="AV34" s="5">
        <f t="shared" si="9"/>
        <v>0</v>
      </c>
      <c r="AW34" s="5">
        <f t="shared" si="10"/>
        <v>0</v>
      </c>
    </row>
    <row r="35" spans="2:49" x14ac:dyDescent="0.15">
      <c r="B35" s="54"/>
      <c r="C35" s="8">
        <v>7</v>
      </c>
      <c r="D35" s="8"/>
      <c r="E35" s="8"/>
      <c r="F35" s="8">
        <f t="shared" si="15"/>
        <v>512</v>
      </c>
      <c r="G35" s="8">
        <f t="shared" si="16"/>
        <v>1024</v>
      </c>
      <c r="N35" s="8">
        <v>120</v>
      </c>
      <c r="O35" s="8">
        <f>IF(节奏预期!E50=0,0,求节点($C$54:$C$61,D$54:D$61,节奏预期!I50))</f>
        <v>0.08</v>
      </c>
      <c r="P35" s="8">
        <f>IF(节奏预期!F50=0,0,求节点($C$54:$C$61,E$54:E$61,节奏预期!J50))</f>
        <v>0.18</v>
      </c>
      <c r="Q35" s="8">
        <f>IF(节奏预期!G50=0,0,求节点($C$54:$C$61,F$54:F$61,节奏预期!K50))</f>
        <v>0.32</v>
      </c>
      <c r="R35" s="8">
        <f>IF(节奏预期!H50=0,0,求节点($C$54:$C$61,G$54:G$61,节奏预期!L50))</f>
        <v>0.48</v>
      </c>
      <c r="S35" s="8">
        <f t="shared" si="12"/>
        <v>0.48</v>
      </c>
      <c r="T35" s="8"/>
      <c r="Z35" s="5">
        <v>31</v>
      </c>
      <c r="AA35" s="5">
        <f t="shared" si="1"/>
        <v>0</v>
      </c>
      <c r="AB35" s="5">
        <f t="shared" si="2"/>
        <v>0</v>
      </c>
      <c r="AC35" s="5">
        <f t="shared" si="3"/>
        <v>0</v>
      </c>
      <c r="AD35" s="5">
        <f t="shared" si="4"/>
        <v>0</v>
      </c>
      <c r="AE35" s="5">
        <f t="shared" si="5"/>
        <v>0</v>
      </c>
      <c r="AL35" s="8">
        <v>120</v>
      </c>
      <c r="AM35" s="8">
        <f>MAX(AM34,IF(AL35&lt;=节奏预期!$B$1,0,节奏预期!H50*求节点($C$39:$C$46,$G$39:$G$46,节奏预期!L50)+节奏预期!G50*求节点($C$39:$C$46,$F$39:$F$46,节奏预期!K50)+节奏预期!F50*求节点($C$39:$C$46,$E$39:$E$46,节奏预期!J50)+节奏预期!E50*求节点($C$39:$C$46,$D$39:$D$46,节奏预期!I50)))</f>
        <v>12948</v>
      </c>
      <c r="AN35" s="8">
        <f>IF(AL35&lt;=节奏预期!$B$1,0,SUMPRODUCT(投放验证!AD37:AG37,$D$50:$G$50)-SUMPRODUCT(节奏预期!E50:H50,节奏预期!I50:L50+1,$D$50:$G$50))</f>
        <v>15986.213121721212</v>
      </c>
      <c r="AO35" s="8">
        <f t="shared" si="13"/>
        <v>1.2346472908341992</v>
      </c>
      <c r="AR35" s="5">
        <v>31</v>
      </c>
      <c r="AS35" s="5">
        <f t="shared" si="7"/>
        <v>0</v>
      </c>
      <c r="AT35" s="5">
        <f t="shared" si="8"/>
        <v>0</v>
      </c>
      <c r="AU35" s="5">
        <f t="shared" si="9"/>
        <v>0</v>
      </c>
      <c r="AV35" s="5">
        <f t="shared" si="9"/>
        <v>0</v>
      </c>
      <c r="AW35" s="5">
        <f t="shared" si="10"/>
        <v>0</v>
      </c>
    </row>
    <row r="36" spans="2:49" x14ac:dyDescent="0.15">
      <c r="N36" s="8">
        <v>130</v>
      </c>
      <c r="O36" s="8">
        <f>IF(节奏预期!E51=0,0,求节点($C$54:$C$61,D$54:D$61,节奏预期!I51))</f>
        <v>0.08</v>
      </c>
      <c r="P36" s="8">
        <f>IF(节奏预期!F51=0,0,求节点($C$54:$C$61,E$54:E$61,节奏预期!J51))</f>
        <v>0.18</v>
      </c>
      <c r="Q36" s="8">
        <f>IF(节奏预期!G51=0,0,求节点($C$54:$C$61,F$54:F$61,节奏预期!K51))</f>
        <v>0.32</v>
      </c>
      <c r="R36" s="8">
        <f>IF(节奏预期!H51=0,0,求节点($C$54:$C$61,G$54:G$61,节奏预期!L51))</f>
        <v>0.48</v>
      </c>
      <c r="S36" s="8">
        <f t="shared" si="12"/>
        <v>0.48</v>
      </c>
      <c r="T36" s="8"/>
      <c r="Z36" s="5">
        <v>32</v>
      </c>
      <c r="AA36" s="5">
        <f t="shared" si="1"/>
        <v>0</v>
      </c>
      <c r="AB36" s="5">
        <f t="shared" si="2"/>
        <v>0</v>
      </c>
      <c r="AC36" s="5">
        <f t="shared" si="3"/>
        <v>0</v>
      </c>
      <c r="AD36" s="5">
        <f t="shared" si="4"/>
        <v>0</v>
      </c>
      <c r="AE36" s="5">
        <f t="shared" si="5"/>
        <v>0</v>
      </c>
      <c r="AL36" s="8">
        <v>130</v>
      </c>
      <c r="AM36" s="8">
        <f>MAX(AM35,IF(AL36&lt;=节奏预期!$B$1,0,节奏预期!H51*求节点($C$39:$C$46,$G$39:$G$46,节奏预期!L51)+节奏预期!G51*求节点($C$39:$C$46,$F$39:$F$46,节奏预期!K51)+节奏预期!F51*求节点($C$39:$C$46,$E$39:$E$46,节奏预期!J51)+节奏预期!E51*求节点($C$39:$C$46,$D$39:$D$46,节奏预期!I51)))</f>
        <v>12948</v>
      </c>
      <c r="AN36" s="8">
        <f>IF(AL36&lt;=节奏预期!$B$1,0,SUMPRODUCT(投放验证!AD38:AG38,$D$50:$G$50)-SUMPRODUCT(节奏预期!E51:H51,节奏预期!I51:L51+1,$D$50:$G$50))</f>
        <v>35013.794382378219</v>
      </c>
      <c r="AO36" s="8">
        <f t="shared" si="13"/>
        <v>2.7041855408077091</v>
      </c>
      <c r="AR36" s="5">
        <v>32</v>
      </c>
      <c r="AS36" s="5">
        <f t="shared" si="7"/>
        <v>0</v>
      </c>
      <c r="AT36" s="5">
        <f t="shared" si="8"/>
        <v>0</v>
      </c>
      <c r="AU36" s="5">
        <f t="shared" si="9"/>
        <v>0</v>
      </c>
      <c r="AV36" s="5">
        <f t="shared" si="9"/>
        <v>0</v>
      </c>
      <c r="AW36" s="5">
        <f t="shared" si="10"/>
        <v>0</v>
      </c>
    </row>
    <row r="37" spans="2:49" x14ac:dyDescent="0.15">
      <c r="N37" s="8">
        <v>140</v>
      </c>
      <c r="O37" s="8">
        <f>IF(节奏预期!E52=0,0,求节点($C$54:$C$61,D$54:D$61,节奏预期!I52))</f>
        <v>0.08</v>
      </c>
      <c r="P37" s="8">
        <f>IF(节奏预期!F52=0,0,求节点($C$54:$C$61,E$54:E$61,节奏预期!J52))</f>
        <v>0.18</v>
      </c>
      <c r="Q37" s="8">
        <f>IF(节奏预期!G52=0,0,求节点($C$54:$C$61,F$54:F$61,节奏预期!K52))</f>
        <v>0.32</v>
      </c>
      <c r="R37" s="8">
        <f>IF(节奏预期!H52=0,0,求节点($C$54:$C$61,G$54:G$61,节奏预期!L52))</f>
        <v>0.48</v>
      </c>
      <c r="S37" s="8">
        <f t="shared" si="12"/>
        <v>0.48</v>
      </c>
      <c r="T37" s="8"/>
      <c r="Z37" s="5">
        <v>33</v>
      </c>
      <c r="AA37" s="5">
        <f t="shared" si="1"/>
        <v>0</v>
      </c>
      <c r="AB37" s="5">
        <f t="shared" si="2"/>
        <v>0</v>
      </c>
      <c r="AC37" s="5">
        <f t="shared" si="3"/>
        <v>0</v>
      </c>
      <c r="AD37" s="5">
        <f t="shared" si="4"/>
        <v>0</v>
      </c>
      <c r="AE37" s="5">
        <f t="shared" si="5"/>
        <v>0</v>
      </c>
      <c r="AL37" s="8">
        <v>140</v>
      </c>
      <c r="AM37" s="8">
        <f>MAX(AM36,IF(AL37&lt;=节奏预期!$B$1,0,节奏预期!H52*求节点($C$39:$C$46,$G$39:$G$46,节奏预期!L52)+节奏预期!G52*求节点($C$39:$C$46,$F$39:$F$46,节奏预期!K52)+节奏预期!F52*求节点($C$39:$C$46,$E$39:$E$46,节奏预期!J52)+节奏预期!E52*求节点($C$39:$C$46,$D$39:$D$46,节奏预期!I52)))</f>
        <v>12948</v>
      </c>
      <c r="AN37" s="8">
        <f>IF(AL37&lt;=节奏预期!$B$1,0,SUMPRODUCT(投放验证!AD39:AG39,$D$50:$G$50)-SUMPRODUCT(节奏预期!E52:H52,节奏预期!I52:L52+1,$D$50:$G$50))</f>
        <v>72484.783548408363</v>
      </c>
      <c r="AO37" s="8">
        <f t="shared" si="13"/>
        <v>5.5981451612919653</v>
      </c>
      <c r="AR37" s="5">
        <v>33</v>
      </c>
      <c r="AS37" s="5">
        <f t="shared" si="7"/>
        <v>0</v>
      </c>
      <c r="AT37" s="5">
        <f t="shared" si="8"/>
        <v>0</v>
      </c>
      <c r="AU37" s="5">
        <f t="shared" si="9"/>
        <v>0</v>
      </c>
      <c r="AV37" s="5">
        <f t="shared" si="9"/>
        <v>0</v>
      </c>
      <c r="AW37" s="5">
        <f t="shared" si="10"/>
        <v>0</v>
      </c>
    </row>
    <row r="38" spans="2:49" x14ac:dyDescent="0.15">
      <c r="B38" s="54" t="s">
        <v>153</v>
      </c>
      <c r="C38" s="8" t="s">
        <v>150</v>
      </c>
      <c r="D38" s="8" t="s">
        <v>0</v>
      </c>
      <c r="E38" s="8" t="s">
        <v>1</v>
      </c>
      <c r="F38" s="8" t="s">
        <v>2</v>
      </c>
      <c r="G38" s="8" t="s">
        <v>3</v>
      </c>
      <c r="N38" s="8">
        <v>150</v>
      </c>
      <c r="O38" s="8">
        <f>IF(节奏预期!E53=0,0,求节点($C$54:$C$61,D$54:D$61,节奏预期!I53))</f>
        <v>0.08</v>
      </c>
      <c r="P38" s="8">
        <f>IF(节奏预期!F53=0,0,求节点($C$54:$C$61,E$54:E$61,节奏预期!J53))</f>
        <v>0.18</v>
      </c>
      <c r="Q38" s="8">
        <f>IF(节奏预期!G53=0,0,求节点($C$54:$C$61,F$54:F$61,节奏预期!K53))</f>
        <v>0.32</v>
      </c>
      <c r="R38" s="8">
        <f>IF(节奏预期!H53=0,0,求节点($C$54:$C$61,G$54:G$61,节奏预期!L53))</f>
        <v>0.48</v>
      </c>
      <c r="S38" s="8">
        <f t="shared" si="12"/>
        <v>0.48</v>
      </c>
      <c r="T38" s="8"/>
      <c r="Z38" s="5">
        <v>34</v>
      </c>
      <c r="AA38" s="5">
        <f t="shared" si="1"/>
        <v>0</v>
      </c>
      <c r="AB38" s="5">
        <f t="shared" si="2"/>
        <v>0</v>
      </c>
      <c r="AC38" s="5">
        <f t="shared" si="3"/>
        <v>0</v>
      </c>
      <c r="AD38" s="5">
        <f t="shared" si="4"/>
        <v>0</v>
      </c>
      <c r="AE38" s="5">
        <f t="shared" si="5"/>
        <v>0</v>
      </c>
      <c r="AL38" s="8">
        <v>150</v>
      </c>
      <c r="AM38" s="8">
        <f>MAX(AM37,IF(AL38&lt;=节奏预期!$B$1,0,节奏预期!H53*求节点($C$39:$C$46,$G$39:$G$46,节奏预期!L53)+节奏预期!G53*求节点($C$39:$C$46,$F$39:$F$46,节奏预期!K53)+节奏预期!F53*求节点($C$39:$C$46,$E$39:$E$46,节奏预期!J53)+节奏预期!E53*求节点($C$39:$C$46,$D$39:$D$46,节奏预期!I53)))</f>
        <v>12948</v>
      </c>
      <c r="AN38" s="8">
        <f>IF(AL38&lt;=节奏预期!$B$1,0,SUMPRODUCT(投放验证!AD40:AG40,$D$50:$G$50)-SUMPRODUCT(节奏预期!E53:H53,节奏预期!I53:L53+1,$D$50:$G$50))</f>
        <v>145851.83825159387</v>
      </c>
      <c r="AO38" s="8">
        <f t="shared" si="13"/>
        <v>11.264429892770611</v>
      </c>
      <c r="AR38" s="5">
        <v>34</v>
      </c>
      <c r="AS38" s="5">
        <f t="shared" si="7"/>
        <v>0</v>
      </c>
      <c r="AT38" s="5">
        <f t="shared" si="8"/>
        <v>0</v>
      </c>
      <c r="AU38" s="5">
        <f t="shared" ref="AU38:AV69" si="17">求节点($AL$62:$AL$77,$AO$62:$AO$77,$AR38)</f>
        <v>0</v>
      </c>
      <c r="AV38" s="5">
        <f t="shared" si="17"/>
        <v>0</v>
      </c>
      <c r="AW38" s="5">
        <f t="shared" si="10"/>
        <v>0</v>
      </c>
    </row>
    <row r="39" spans="2:49" x14ac:dyDescent="0.15">
      <c r="B39" s="54"/>
      <c r="C39" s="8">
        <v>0</v>
      </c>
      <c r="D39" s="8">
        <f>SUM(D$28:D28)</f>
        <v>0</v>
      </c>
      <c r="E39" s="8">
        <f>SUM(E$28:E28)</f>
        <v>0</v>
      </c>
      <c r="F39" s="8">
        <f>SUM(F$28:F28)</f>
        <v>0</v>
      </c>
      <c r="G39" s="8">
        <f>SUM(G$28:G28)</f>
        <v>0</v>
      </c>
      <c r="N39" s="8">
        <v>160</v>
      </c>
      <c r="O39" s="8">
        <f>IF(节奏预期!E54=0,0,求节点($C$54:$C$61,D$54:D$61,节奏预期!I54))</f>
        <v>0.08</v>
      </c>
      <c r="P39" s="8">
        <f>IF(节奏预期!F54=0,0,求节点($C$54:$C$61,E$54:E$61,节奏预期!J54))</f>
        <v>0.18</v>
      </c>
      <c r="Q39" s="8">
        <f>IF(节奏预期!G54=0,0,求节点($C$54:$C$61,F$54:F$61,节奏预期!K54))</f>
        <v>0.32</v>
      </c>
      <c r="R39" s="8">
        <f>IF(节奏预期!H54=0,0,求节点($C$54:$C$61,G$54:G$61,节奏预期!L54))</f>
        <v>0.48</v>
      </c>
      <c r="S39" s="8">
        <f t="shared" si="12"/>
        <v>0.48</v>
      </c>
      <c r="T39" s="8"/>
      <c r="Z39" s="5">
        <v>35</v>
      </c>
      <c r="AA39" s="5">
        <f t="shared" si="1"/>
        <v>0</v>
      </c>
      <c r="AB39" s="5">
        <f t="shared" si="2"/>
        <v>0</v>
      </c>
      <c r="AC39" s="5">
        <f t="shared" si="3"/>
        <v>0</v>
      </c>
      <c r="AD39" s="5">
        <f t="shared" si="4"/>
        <v>0</v>
      </c>
      <c r="AE39" s="5">
        <f t="shared" si="5"/>
        <v>0</v>
      </c>
      <c r="AL39" s="8">
        <v>160</v>
      </c>
      <c r="AM39" s="8">
        <f>MAX(AM38,IF(AL39&lt;=节奏预期!$B$1,0,节奏预期!H54*求节点($C$39:$C$46,$G$39:$G$46,节奏预期!L54)+节奏预期!G54*求节点($C$39:$C$46,$F$39:$F$46,节奏预期!K54)+节奏预期!F54*求节点($C$39:$C$46,$E$39:$E$46,节奏预期!J54)+节奏预期!E54*求节点($C$39:$C$46,$D$39:$D$46,节奏预期!I54)))</f>
        <v>12948</v>
      </c>
      <c r="AN39" s="8">
        <f>IF(AL39&lt;=节奏预期!$B$1,0,SUMPRODUCT(投放验证!AD41:AG41,$D$50:$G$50)-SUMPRODUCT(节奏预期!E54:H54,节奏预期!I54:L54+1,$D$50:$G$50))</f>
        <v>344544.26019671489</v>
      </c>
      <c r="AO39" s="8">
        <f t="shared" si="13"/>
        <v>26.609844006542701</v>
      </c>
      <c r="AR39" s="5">
        <v>35</v>
      </c>
      <c r="AS39" s="5">
        <f t="shared" si="7"/>
        <v>0</v>
      </c>
      <c r="AT39" s="5">
        <f t="shared" si="8"/>
        <v>0</v>
      </c>
      <c r="AU39" s="5">
        <f t="shared" si="17"/>
        <v>0</v>
      </c>
      <c r="AV39" s="5">
        <f t="shared" si="17"/>
        <v>0</v>
      </c>
      <c r="AW39" s="5">
        <f t="shared" si="10"/>
        <v>0</v>
      </c>
    </row>
    <row r="40" spans="2:49" x14ac:dyDescent="0.15">
      <c r="B40" s="54"/>
      <c r="C40" s="8">
        <v>1</v>
      </c>
      <c r="D40" s="8">
        <f>SUM(D$28:D29)</f>
        <v>1</v>
      </c>
      <c r="E40" s="8">
        <f>SUM(E$28:E29)</f>
        <v>4</v>
      </c>
      <c r="F40" s="8">
        <f>SUM(F$28:F29)</f>
        <v>8</v>
      </c>
      <c r="G40" s="8">
        <f>SUM(G$28:G29)</f>
        <v>16</v>
      </c>
      <c r="Z40" s="5">
        <v>36</v>
      </c>
      <c r="AA40" s="5">
        <f t="shared" si="1"/>
        <v>0</v>
      </c>
      <c r="AB40" s="5">
        <f t="shared" si="2"/>
        <v>0</v>
      </c>
      <c r="AC40" s="5">
        <f t="shared" si="3"/>
        <v>0</v>
      </c>
      <c r="AD40" s="5">
        <f t="shared" si="4"/>
        <v>0</v>
      </c>
      <c r="AE40" s="5">
        <f t="shared" si="5"/>
        <v>0</v>
      </c>
      <c r="AR40" s="5">
        <v>36</v>
      </c>
      <c r="AS40" s="5">
        <f t="shared" si="7"/>
        <v>0</v>
      </c>
      <c r="AT40" s="5">
        <f t="shared" si="8"/>
        <v>0</v>
      </c>
      <c r="AU40" s="5">
        <f t="shared" si="17"/>
        <v>0</v>
      </c>
      <c r="AV40" s="5">
        <f t="shared" si="17"/>
        <v>0</v>
      </c>
      <c r="AW40" s="5">
        <f t="shared" si="10"/>
        <v>0</v>
      </c>
    </row>
    <row r="41" spans="2:49" x14ac:dyDescent="0.15">
      <c r="B41" s="54"/>
      <c r="C41" s="8">
        <v>2</v>
      </c>
      <c r="D41" s="8">
        <f>SUM(D$28:D30)</f>
        <v>3</v>
      </c>
      <c r="E41" s="8">
        <f>SUM(E$28:E30)</f>
        <v>12</v>
      </c>
      <c r="F41" s="8">
        <f>SUM(F$28:F30)</f>
        <v>24</v>
      </c>
      <c r="G41" s="8">
        <f>SUM(G$28:G30)</f>
        <v>48</v>
      </c>
      <c r="O41" s="53" t="s">
        <v>158</v>
      </c>
      <c r="P41" s="53"/>
      <c r="Q41" s="53"/>
      <c r="R41" s="53"/>
      <c r="Z41" s="5">
        <v>37</v>
      </c>
      <c r="AA41" s="5">
        <f t="shared" si="1"/>
        <v>0</v>
      </c>
      <c r="AB41" s="5">
        <f t="shared" si="2"/>
        <v>0</v>
      </c>
      <c r="AC41" s="5">
        <f t="shared" si="3"/>
        <v>0</v>
      </c>
      <c r="AD41" s="5">
        <f t="shared" si="4"/>
        <v>0</v>
      </c>
      <c r="AE41" s="5">
        <f t="shared" si="5"/>
        <v>0</v>
      </c>
      <c r="AR41" s="5">
        <v>37</v>
      </c>
      <c r="AS41" s="5">
        <f t="shared" si="7"/>
        <v>0</v>
      </c>
      <c r="AT41" s="5">
        <f t="shared" si="8"/>
        <v>0</v>
      </c>
      <c r="AU41" s="5">
        <f t="shared" si="17"/>
        <v>0</v>
      </c>
      <c r="AV41" s="5">
        <f t="shared" si="17"/>
        <v>0</v>
      </c>
      <c r="AW41" s="5">
        <f t="shared" si="10"/>
        <v>0</v>
      </c>
    </row>
    <row r="42" spans="2:49" x14ac:dyDescent="0.15">
      <c r="B42" s="54"/>
      <c r="C42" s="8">
        <v>3</v>
      </c>
      <c r="D42" s="8">
        <f>SUM(D$28:D31)</f>
        <v>6</v>
      </c>
      <c r="E42" s="8">
        <f>SUM(E$28:E31)</f>
        <v>28</v>
      </c>
      <c r="F42" s="8">
        <f>SUM(F$28:F31)</f>
        <v>56</v>
      </c>
      <c r="G42" s="8">
        <f>SUM(G$28:G31)</f>
        <v>112</v>
      </c>
      <c r="M42" s="5" t="s">
        <v>129</v>
      </c>
      <c r="N42" s="8" t="s">
        <v>141</v>
      </c>
      <c r="O42" s="8" t="s">
        <v>0</v>
      </c>
      <c r="P42" s="8" t="s">
        <v>1</v>
      </c>
      <c r="Q42" s="8" t="s">
        <v>2</v>
      </c>
      <c r="R42" s="8" t="s">
        <v>3</v>
      </c>
      <c r="S42" s="8" t="s">
        <v>159</v>
      </c>
      <c r="T42" s="8"/>
      <c r="Z42" s="5">
        <v>38</v>
      </c>
      <c r="AA42" s="5">
        <f t="shared" si="1"/>
        <v>0</v>
      </c>
      <c r="AB42" s="5">
        <f t="shared" si="2"/>
        <v>0</v>
      </c>
      <c r="AC42" s="5">
        <f t="shared" si="3"/>
        <v>0</v>
      </c>
      <c r="AD42" s="5">
        <f t="shared" si="4"/>
        <v>0</v>
      </c>
      <c r="AE42" s="5">
        <f t="shared" si="5"/>
        <v>0</v>
      </c>
      <c r="AK42" s="5" t="s">
        <v>129</v>
      </c>
      <c r="AL42" s="8" t="s">
        <v>141</v>
      </c>
      <c r="AM42" s="8" t="s">
        <v>189</v>
      </c>
      <c r="AN42" s="8" t="s">
        <v>190</v>
      </c>
      <c r="AO42" s="8" t="s">
        <v>192</v>
      </c>
      <c r="AR42" s="5">
        <v>38</v>
      </c>
      <c r="AS42" s="5">
        <f t="shared" si="7"/>
        <v>0</v>
      </c>
      <c r="AT42" s="5">
        <f t="shared" si="8"/>
        <v>0</v>
      </c>
      <c r="AU42" s="5">
        <f t="shared" si="17"/>
        <v>0</v>
      </c>
      <c r="AV42" s="5">
        <f t="shared" si="17"/>
        <v>0</v>
      </c>
      <c r="AW42" s="5">
        <f t="shared" si="10"/>
        <v>0</v>
      </c>
    </row>
    <row r="43" spans="2:49" x14ac:dyDescent="0.15">
      <c r="B43" s="54"/>
      <c r="C43" s="8">
        <v>4</v>
      </c>
      <c r="D43" s="8">
        <f>SUM(D$28:D32)</f>
        <v>6</v>
      </c>
      <c r="E43" s="8">
        <f>SUM(E$28:E32)</f>
        <v>60</v>
      </c>
      <c r="F43" s="8">
        <f>SUM(F$28:F32)</f>
        <v>120</v>
      </c>
      <c r="G43" s="8">
        <f>SUM(G$28:G32)</f>
        <v>240</v>
      </c>
      <c r="N43" s="8">
        <v>10</v>
      </c>
      <c r="O43" s="8">
        <f>IF(节奏预期!E58=0,0,求节点($C$54:$C$61,D$54:D$61,节奏预期!I58))</f>
        <v>0</v>
      </c>
      <c r="P43" s="8">
        <f>IF(节奏预期!F58=0,0,求节点($C$54:$C$61,E$54:E$61,节奏预期!J58))</f>
        <v>0</v>
      </c>
      <c r="Q43" s="8">
        <f>IF(节奏预期!G58=0,0,求节点($C$54:$C$61,F$54:F$61,节奏预期!K58))</f>
        <v>0</v>
      </c>
      <c r="R43" s="8">
        <f>IF(节奏预期!H58=0,0,求节点($C$54:$C$61,G$54:G$61,节奏预期!L58))</f>
        <v>0</v>
      </c>
      <c r="S43" s="8">
        <f>MAX(O43:R43)</f>
        <v>0</v>
      </c>
      <c r="T43" s="8"/>
      <c r="Z43" s="5">
        <v>39</v>
      </c>
      <c r="AA43" s="5">
        <f t="shared" si="1"/>
        <v>0</v>
      </c>
      <c r="AB43" s="5">
        <f t="shared" si="2"/>
        <v>0</v>
      </c>
      <c r="AC43" s="5">
        <f t="shared" si="3"/>
        <v>0</v>
      </c>
      <c r="AD43" s="5">
        <f t="shared" si="4"/>
        <v>0</v>
      </c>
      <c r="AE43" s="5">
        <f t="shared" si="5"/>
        <v>0</v>
      </c>
      <c r="AL43" s="8">
        <v>10</v>
      </c>
      <c r="AM43" s="8">
        <f>MAX(AM42,IF(AL43&lt;=节奏预期!$B$1,0,节奏预期!H58*求节点($C$39:$C$46,$G$39:$G$46,节奏预期!L58)+节奏预期!G58*求节点($C$39:$C$46,$F$39:$F$46,节奏预期!K58)+节奏预期!F58*求节点($C$39:$C$46,$E$39:$E$46,节奏预期!J58)+节奏预期!E58*求节点($C$39:$C$46,$D$39:$D$46,节奏预期!I58)))</f>
        <v>0</v>
      </c>
      <c r="AN43" s="8">
        <f>IF(AL43&lt;=节奏预期!$B$1,0,SUMPRODUCT(投放验证!AD45:AG45,$D$50:$G$50)-SUMPRODUCT(节奏预期!E58:H58,节奏预期!I58:L58+1,$D$50:$G$50))</f>
        <v>0</v>
      </c>
      <c r="AO43" s="8">
        <f>IFERROR(AN43/AM43,0)</f>
        <v>0</v>
      </c>
      <c r="AR43" s="5">
        <v>39</v>
      </c>
      <c r="AS43" s="5">
        <f t="shared" si="7"/>
        <v>0</v>
      </c>
      <c r="AT43" s="5">
        <f t="shared" si="8"/>
        <v>0</v>
      </c>
      <c r="AU43" s="5">
        <f t="shared" si="17"/>
        <v>0</v>
      </c>
      <c r="AV43" s="5">
        <f t="shared" si="17"/>
        <v>0</v>
      </c>
      <c r="AW43" s="5">
        <f t="shared" si="10"/>
        <v>0</v>
      </c>
    </row>
    <row r="44" spans="2:49" x14ac:dyDescent="0.15">
      <c r="B44" s="54"/>
      <c r="C44" s="8">
        <v>5</v>
      </c>
      <c r="D44" s="8">
        <f>SUM(D$28:D33)</f>
        <v>6</v>
      </c>
      <c r="E44" s="8">
        <f>SUM(E$28:E33)</f>
        <v>124</v>
      </c>
      <c r="F44" s="8">
        <f>SUM(F$28:F33)</f>
        <v>248</v>
      </c>
      <c r="G44" s="8">
        <f>SUM(G$28:G33)</f>
        <v>496</v>
      </c>
      <c r="N44" s="8">
        <v>20</v>
      </c>
      <c r="O44" s="8">
        <f>IF(节奏预期!E59=0,0,求节点($C$54:$C$61,D$54:D$61,节奏预期!I59))</f>
        <v>0</v>
      </c>
      <c r="P44" s="8">
        <f>IF(节奏预期!F59=0,0,求节点($C$54:$C$61,E$54:E$61,节奏预期!J59))</f>
        <v>0</v>
      </c>
      <c r="Q44" s="8">
        <f>IF(节奏预期!G59=0,0,求节点($C$54:$C$61,F$54:F$61,节奏预期!K59))</f>
        <v>0</v>
      </c>
      <c r="R44" s="8">
        <f>IF(节奏预期!H59=0,0,求节点($C$54:$C$61,G$54:G$61,节奏预期!L59))</f>
        <v>0</v>
      </c>
      <c r="S44" s="8">
        <f t="shared" ref="S44:S58" si="18">MAX(O44:R44)</f>
        <v>0</v>
      </c>
      <c r="T44" s="8"/>
      <c r="Z44" s="5">
        <v>40</v>
      </c>
      <c r="AA44" s="5">
        <f t="shared" si="1"/>
        <v>0</v>
      </c>
      <c r="AB44" s="5">
        <f t="shared" si="2"/>
        <v>0</v>
      </c>
      <c r="AC44" s="5">
        <f t="shared" si="3"/>
        <v>0</v>
      </c>
      <c r="AD44" s="5">
        <f t="shared" si="4"/>
        <v>0</v>
      </c>
      <c r="AE44" s="5">
        <f t="shared" si="5"/>
        <v>0</v>
      </c>
      <c r="AL44" s="8">
        <v>20</v>
      </c>
      <c r="AM44" s="8">
        <f>MAX(AM43,IF(AL44&lt;=节奏预期!$B$1,0,节奏预期!H59*求节点($C$39:$C$46,$G$39:$G$46,节奏预期!L59)+节奏预期!G59*求节点($C$39:$C$46,$F$39:$F$46,节奏预期!K59)+节奏预期!F59*求节点($C$39:$C$46,$E$39:$E$46,节奏预期!J59)+节奏预期!E59*求节点($C$39:$C$46,$D$39:$D$46,节奏预期!I59)))</f>
        <v>0</v>
      </c>
      <c r="AN44" s="8">
        <f>IF(AL44&lt;=节奏预期!$B$1,0,SUMPRODUCT(投放验证!AD46:AG46,$D$50:$G$50)-SUMPRODUCT(节奏预期!E59:H59,节奏预期!I59:L59+1,$D$50:$G$50))</f>
        <v>0</v>
      </c>
      <c r="AO44" s="8">
        <f t="shared" ref="AO44:AO58" si="19">IFERROR(AN44/AM44,0)</f>
        <v>0</v>
      </c>
      <c r="AR44" s="5">
        <v>40</v>
      </c>
      <c r="AS44" s="5">
        <f t="shared" si="7"/>
        <v>0</v>
      </c>
      <c r="AT44" s="5">
        <f t="shared" si="8"/>
        <v>0</v>
      </c>
      <c r="AU44" s="5">
        <f t="shared" si="17"/>
        <v>0</v>
      </c>
      <c r="AV44" s="5">
        <f t="shared" si="17"/>
        <v>0</v>
      </c>
      <c r="AW44" s="5">
        <f t="shared" si="10"/>
        <v>0</v>
      </c>
    </row>
    <row r="45" spans="2:49" x14ac:dyDescent="0.15">
      <c r="B45" s="54"/>
      <c r="C45" s="8">
        <v>6</v>
      </c>
      <c r="D45" s="8">
        <f>SUM(D$28:D34)</f>
        <v>6</v>
      </c>
      <c r="E45" s="8">
        <f>SUM(E$28:E34)</f>
        <v>124</v>
      </c>
      <c r="F45" s="8">
        <f>SUM(F$28:F34)</f>
        <v>504</v>
      </c>
      <c r="G45" s="8">
        <f>SUM(G$28:G34)</f>
        <v>1008</v>
      </c>
      <c r="N45" s="8">
        <v>30</v>
      </c>
      <c r="O45" s="8">
        <f>IF(节奏预期!E60=0,0,求节点($C$54:$C$61,D$54:D$61,节奏预期!I60))</f>
        <v>0</v>
      </c>
      <c r="P45" s="8">
        <f>IF(节奏预期!F60=0,0,求节点($C$54:$C$61,E$54:E$61,节奏预期!J60))</f>
        <v>0</v>
      </c>
      <c r="Q45" s="8">
        <f>IF(节奏预期!G60=0,0,求节点($C$54:$C$61,F$54:F$61,节奏预期!K60))</f>
        <v>0</v>
      </c>
      <c r="R45" s="8">
        <f>IF(节奏预期!H60=0,0,求节点($C$54:$C$61,G$54:G$61,节奏预期!L60))</f>
        <v>0</v>
      </c>
      <c r="S45" s="8">
        <f t="shared" si="18"/>
        <v>0</v>
      </c>
      <c r="T45" s="8"/>
      <c r="Z45" s="5">
        <v>41</v>
      </c>
      <c r="AA45" s="5">
        <f t="shared" si="1"/>
        <v>0</v>
      </c>
      <c r="AB45" s="5">
        <f t="shared" si="2"/>
        <v>0</v>
      </c>
      <c r="AC45" s="5">
        <f t="shared" si="3"/>
        <v>0</v>
      </c>
      <c r="AD45" s="5">
        <f t="shared" si="4"/>
        <v>0</v>
      </c>
      <c r="AE45" s="5">
        <f t="shared" si="5"/>
        <v>0</v>
      </c>
      <c r="AL45" s="8">
        <v>30</v>
      </c>
      <c r="AM45" s="8">
        <f>MAX(AM44,IF(AL45&lt;=节奏预期!$B$1,0,节奏预期!H60*求节点($C$39:$C$46,$G$39:$G$46,节奏预期!L60)+节奏预期!G60*求节点($C$39:$C$46,$F$39:$F$46,节奏预期!K60)+节奏预期!F60*求节点($C$39:$C$46,$E$39:$E$46,节奏预期!J60)+节奏预期!E60*求节点($C$39:$C$46,$D$39:$D$46,节奏预期!I60)))</f>
        <v>0</v>
      </c>
      <c r="AN45" s="8">
        <f>IF(AL45&lt;=节奏预期!$B$1,0,SUMPRODUCT(投放验证!AD47:AG47,$D$50:$G$50)-SUMPRODUCT(节奏预期!E60:H60,节奏预期!I60:L60+1,$D$50:$G$50))</f>
        <v>0</v>
      </c>
      <c r="AO45" s="8">
        <f t="shared" si="19"/>
        <v>0</v>
      </c>
      <c r="AR45" s="5">
        <v>41</v>
      </c>
      <c r="AS45" s="5">
        <f t="shared" si="7"/>
        <v>0</v>
      </c>
      <c r="AT45" s="5">
        <f t="shared" si="8"/>
        <v>0</v>
      </c>
      <c r="AU45" s="5">
        <f t="shared" si="17"/>
        <v>0</v>
      </c>
      <c r="AV45" s="5">
        <f t="shared" si="17"/>
        <v>0</v>
      </c>
      <c r="AW45" s="5">
        <f t="shared" si="10"/>
        <v>0</v>
      </c>
    </row>
    <row r="46" spans="2:49" x14ac:dyDescent="0.15">
      <c r="B46" s="54"/>
      <c r="C46" s="8">
        <v>7</v>
      </c>
      <c r="D46" s="8">
        <f>SUM(D$28:D35)</f>
        <v>6</v>
      </c>
      <c r="E46" s="8">
        <f>SUM(E$28:E35)</f>
        <v>124</v>
      </c>
      <c r="F46" s="8">
        <f>SUM(F$28:F35)</f>
        <v>1016</v>
      </c>
      <c r="G46" s="8">
        <f>SUM(G$28:G35)</f>
        <v>2032</v>
      </c>
      <c r="N46" s="8">
        <v>40</v>
      </c>
      <c r="O46" s="8">
        <f>IF(节奏预期!E61=0,0,求节点($C$54:$C$61,D$54:D$61,节奏预期!I61))</f>
        <v>0</v>
      </c>
      <c r="P46" s="8">
        <f>IF(节奏预期!F61=0,0,求节点($C$54:$C$61,E$54:E$61,节奏预期!J61))</f>
        <v>0</v>
      </c>
      <c r="Q46" s="8">
        <f>IF(节奏预期!G61=0,0,求节点($C$54:$C$61,F$54:F$61,节奏预期!K61))</f>
        <v>0</v>
      </c>
      <c r="R46" s="8">
        <f>IF(节奏预期!H61=0,0,求节点($C$54:$C$61,G$54:G$61,节奏预期!L61))</f>
        <v>0</v>
      </c>
      <c r="S46" s="8">
        <f t="shared" si="18"/>
        <v>0</v>
      </c>
      <c r="T46" s="8"/>
      <c r="Z46" s="5">
        <v>42</v>
      </c>
      <c r="AA46" s="5">
        <f t="shared" si="1"/>
        <v>0</v>
      </c>
      <c r="AB46" s="5">
        <f t="shared" si="2"/>
        <v>0</v>
      </c>
      <c r="AC46" s="5">
        <f t="shared" si="3"/>
        <v>0</v>
      </c>
      <c r="AD46" s="5">
        <f t="shared" si="4"/>
        <v>0</v>
      </c>
      <c r="AE46" s="5">
        <f t="shared" si="5"/>
        <v>0</v>
      </c>
      <c r="AL46" s="8">
        <v>40</v>
      </c>
      <c r="AM46" s="8">
        <f>MAX(AM45,IF(AL46&lt;=节奏预期!$B$1,0,节奏预期!H61*求节点($C$39:$C$46,$G$39:$G$46,节奏预期!L61)+节奏预期!G61*求节点($C$39:$C$46,$F$39:$F$46,节奏预期!K61)+节奏预期!F61*求节点($C$39:$C$46,$E$39:$E$46,节奏预期!J61)+节奏预期!E61*求节点($C$39:$C$46,$D$39:$D$46,节奏预期!I61)))</f>
        <v>0</v>
      </c>
      <c r="AN46" s="8">
        <f>IF(AL46&lt;=节奏预期!$B$1,0,SUMPRODUCT(投放验证!AD48:AG48,$D$50:$G$50)-SUMPRODUCT(节奏预期!E61:H61,节奏预期!I61:L61+1,$D$50:$G$50))</f>
        <v>0</v>
      </c>
      <c r="AO46" s="8">
        <f t="shared" si="19"/>
        <v>0</v>
      </c>
      <c r="AR46" s="5">
        <v>42</v>
      </c>
      <c r="AS46" s="5">
        <f t="shared" si="7"/>
        <v>0</v>
      </c>
      <c r="AT46" s="5">
        <f t="shared" si="8"/>
        <v>0</v>
      </c>
      <c r="AU46" s="5">
        <f t="shared" si="17"/>
        <v>0</v>
      </c>
      <c r="AV46" s="5">
        <f t="shared" si="17"/>
        <v>0</v>
      </c>
      <c r="AW46" s="5">
        <f t="shared" si="10"/>
        <v>0</v>
      </c>
    </row>
    <row r="47" spans="2:49" x14ac:dyDescent="0.15">
      <c r="N47" s="8">
        <v>50</v>
      </c>
      <c r="O47" s="8">
        <f>IF(节奏预期!E62=0,0,求节点($C$54:$C$61,D$54:D$61,节奏预期!I62))</f>
        <v>0</v>
      </c>
      <c r="P47" s="8">
        <f>IF(节奏预期!F62=0,0,求节点($C$54:$C$61,E$54:E$61,节奏预期!J62))</f>
        <v>0</v>
      </c>
      <c r="Q47" s="8">
        <f>IF(节奏预期!G62=0,0,求节点($C$54:$C$61,F$54:F$61,节奏预期!K62))</f>
        <v>0</v>
      </c>
      <c r="R47" s="8">
        <f>IF(节奏预期!H62=0,0,求节点($C$54:$C$61,G$54:G$61,节奏预期!L62))</f>
        <v>0</v>
      </c>
      <c r="S47" s="8">
        <f t="shared" si="18"/>
        <v>0</v>
      </c>
      <c r="T47" s="8"/>
      <c r="Z47" s="5">
        <v>43</v>
      </c>
      <c r="AA47" s="5">
        <f t="shared" si="1"/>
        <v>0</v>
      </c>
      <c r="AB47" s="5">
        <f t="shared" si="2"/>
        <v>0</v>
      </c>
      <c r="AC47" s="5">
        <f t="shared" si="3"/>
        <v>0</v>
      </c>
      <c r="AD47" s="5">
        <f t="shared" si="4"/>
        <v>0</v>
      </c>
      <c r="AE47" s="5">
        <f t="shared" si="5"/>
        <v>0</v>
      </c>
      <c r="AL47" s="8">
        <v>50</v>
      </c>
      <c r="AM47" s="8">
        <f>MAX(AM46,IF(AL47&lt;=节奏预期!$B$1,0,节奏预期!H62*求节点($C$39:$C$46,$G$39:$G$46,节奏预期!L62)+节奏预期!G62*求节点($C$39:$C$46,$F$39:$F$46,节奏预期!K62)+节奏预期!F62*求节点($C$39:$C$46,$E$39:$E$46,节奏预期!J62)+节奏预期!E62*求节点($C$39:$C$46,$D$39:$D$46,节奏预期!I62)))</f>
        <v>0</v>
      </c>
      <c r="AN47" s="8">
        <f>IF(AL47&lt;=节奏预期!$B$1,0,SUMPRODUCT(投放验证!AD49:AG49,$D$50:$G$50)-SUMPRODUCT(节奏预期!E62:H62,节奏预期!I62:L62+1,$D$50:$G$50))</f>
        <v>0</v>
      </c>
      <c r="AO47" s="8">
        <f t="shared" si="19"/>
        <v>0</v>
      </c>
      <c r="AR47" s="5">
        <v>43</v>
      </c>
      <c r="AS47" s="5">
        <f t="shared" si="7"/>
        <v>0</v>
      </c>
      <c r="AT47" s="5">
        <f t="shared" si="8"/>
        <v>0</v>
      </c>
      <c r="AU47" s="5">
        <f t="shared" si="17"/>
        <v>0</v>
      </c>
      <c r="AV47" s="5">
        <f t="shared" si="17"/>
        <v>0</v>
      </c>
      <c r="AW47" s="5">
        <f t="shared" si="10"/>
        <v>0</v>
      </c>
    </row>
    <row r="48" spans="2:49" x14ac:dyDescent="0.15">
      <c r="N48" s="8">
        <v>60</v>
      </c>
      <c r="O48" s="8">
        <f>IF(节奏预期!E63=0,0,求节点($C$54:$C$61,D$54:D$61,节奏预期!I63))</f>
        <v>0</v>
      </c>
      <c r="P48" s="8">
        <f>IF(节奏预期!F63=0,0,求节点($C$54:$C$61,E$54:E$61,节奏预期!J63))</f>
        <v>0</v>
      </c>
      <c r="Q48" s="8">
        <f>IF(节奏预期!G63=0,0,求节点($C$54:$C$61,F$54:F$61,节奏预期!K63))</f>
        <v>0</v>
      </c>
      <c r="R48" s="8">
        <f>IF(节奏预期!H63=0,0,求节点($C$54:$C$61,G$54:G$61,节奏预期!L63))</f>
        <v>0</v>
      </c>
      <c r="S48" s="8">
        <f t="shared" si="18"/>
        <v>0</v>
      </c>
      <c r="T48" s="8"/>
      <c r="Z48" s="5">
        <v>44</v>
      </c>
      <c r="AA48" s="5">
        <f t="shared" si="1"/>
        <v>0</v>
      </c>
      <c r="AB48" s="5">
        <f t="shared" si="2"/>
        <v>0</v>
      </c>
      <c r="AC48" s="5">
        <f t="shared" si="3"/>
        <v>0</v>
      </c>
      <c r="AD48" s="5">
        <f t="shared" si="4"/>
        <v>0</v>
      </c>
      <c r="AE48" s="5">
        <f t="shared" si="5"/>
        <v>0</v>
      </c>
      <c r="AL48" s="8">
        <v>60</v>
      </c>
      <c r="AM48" s="8">
        <f>MAX(AM47,IF(AL48&lt;=节奏预期!$B$1,0,节奏预期!H63*求节点($C$39:$C$46,$G$39:$G$46,节奏预期!L63)+节奏预期!G63*求节点($C$39:$C$46,$F$39:$F$46,节奏预期!K63)+节奏预期!F63*求节点($C$39:$C$46,$E$39:$E$46,节奏预期!J63)+节奏预期!E63*求节点($C$39:$C$46,$D$39:$D$46,节奏预期!I63)))</f>
        <v>0</v>
      </c>
      <c r="AN48" s="8">
        <f>IF(AL48&lt;=节奏预期!$B$1,0,SUMPRODUCT(投放验证!AD50:AG50,$D$50:$G$50)-SUMPRODUCT(节奏预期!E63:H63,节奏预期!I63:L63+1,$D$50:$G$50))</f>
        <v>0</v>
      </c>
      <c r="AO48" s="8">
        <f t="shared" si="19"/>
        <v>0</v>
      </c>
      <c r="AR48" s="5">
        <v>44</v>
      </c>
      <c r="AS48" s="5">
        <f t="shared" si="7"/>
        <v>0</v>
      </c>
      <c r="AT48" s="5">
        <f t="shared" si="8"/>
        <v>0</v>
      </c>
      <c r="AU48" s="5">
        <f t="shared" si="17"/>
        <v>0</v>
      </c>
      <c r="AV48" s="5">
        <f t="shared" si="17"/>
        <v>0</v>
      </c>
      <c r="AW48" s="5">
        <f t="shared" si="10"/>
        <v>0</v>
      </c>
    </row>
    <row r="49" spans="2:49" ht="11.25" customHeight="1" x14ac:dyDescent="0.15">
      <c r="B49" s="55" t="s">
        <v>151</v>
      </c>
      <c r="C49" s="56"/>
      <c r="D49" s="8" t="s">
        <v>0</v>
      </c>
      <c r="E49" s="8" t="s">
        <v>1</v>
      </c>
      <c r="F49" s="8" t="s">
        <v>2</v>
      </c>
      <c r="G49" s="8" t="s">
        <v>3</v>
      </c>
      <c r="N49" s="8">
        <v>70</v>
      </c>
      <c r="O49" s="8">
        <f>IF(节奏预期!E64=0,0,求节点($C$54:$C$61,D$54:D$61,节奏预期!I64))</f>
        <v>0.08</v>
      </c>
      <c r="P49" s="8">
        <f>IF(节奏预期!F64=0,0,求节点($C$54:$C$61,E$54:E$61,节奏预期!J64))</f>
        <v>0.18</v>
      </c>
      <c r="Q49" s="8">
        <f>IF(节奏预期!G64=0,0,求节点($C$54:$C$61,F$54:F$61,节奏预期!K64))</f>
        <v>4.2401295630427632E-2</v>
      </c>
      <c r="R49" s="8">
        <f>IF(节奏预期!H64=0,0,求节点($C$54:$C$61,G$54:G$61,节奏预期!L64))</f>
        <v>0</v>
      </c>
      <c r="S49" s="8">
        <f t="shared" si="18"/>
        <v>0.18</v>
      </c>
      <c r="T49" s="8"/>
      <c r="Z49" s="5">
        <v>45</v>
      </c>
      <c r="AA49" s="5">
        <f t="shared" si="1"/>
        <v>0</v>
      </c>
      <c r="AB49" s="5">
        <f t="shared" si="2"/>
        <v>0</v>
      </c>
      <c r="AC49" s="5">
        <f t="shared" si="3"/>
        <v>0</v>
      </c>
      <c r="AD49" s="5">
        <f t="shared" si="4"/>
        <v>0</v>
      </c>
      <c r="AE49" s="5">
        <f t="shared" si="5"/>
        <v>0</v>
      </c>
      <c r="AL49" s="8">
        <v>70</v>
      </c>
      <c r="AM49" s="8">
        <f>MAX(AM48,IF(AL49&lt;=节奏预期!$B$1,0,节奏预期!H64*求节点($C$39:$C$46,$G$39:$G$46,节奏预期!L64)+节奏预期!G64*求节点($C$39:$C$46,$F$39:$F$46,节奏预期!K64)+节奏预期!F64*求节点($C$39:$C$46,$E$39:$E$46,节奏预期!J64)+节奏预期!E64*求节点($C$39:$C$46,$D$39:$D$46,节奏预期!I64)))</f>
        <v>760.80259126085525</v>
      </c>
      <c r="AN49" s="8">
        <f>IF(AL49&lt;=节奏预期!$B$1,0,SUMPRODUCT(投放验证!AD51:AG51,$D$50:$G$50)-SUMPRODUCT(节奏预期!E64:H64,节奏预期!I64:L64+1,$D$50:$G$50))</f>
        <v>181.06493642682926</v>
      </c>
      <c r="AO49" s="8">
        <f t="shared" si="19"/>
        <v>0.23799200805396284</v>
      </c>
      <c r="AR49" s="5">
        <v>45</v>
      </c>
      <c r="AS49" s="5">
        <f t="shared" si="7"/>
        <v>0</v>
      </c>
      <c r="AT49" s="5">
        <f t="shared" si="8"/>
        <v>0</v>
      </c>
      <c r="AU49" s="5">
        <f t="shared" si="17"/>
        <v>0</v>
      </c>
      <c r="AV49" s="5">
        <f t="shared" si="17"/>
        <v>0</v>
      </c>
      <c r="AW49" s="5">
        <f t="shared" si="10"/>
        <v>0</v>
      </c>
    </row>
    <row r="50" spans="2:49" x14ac:dyDescent="0.15">
      <c r="B50" s="57"/>
      <c r="C50" s="58"/>
      <c r="D50" s="8">
        <v>1</v>
      </c>
      <c r="E50" s="8">
        <f>投放验证!E7/投放验证!$D7</f>
        <v>5</v>
      </c>
      <c r="F50" s="8">
        <f>投放验证!F7/投放验证!$D7</f>
        <v>25</v>
      </c>
      <c r="G50" s="8">
        <f>投放验证!G7/投放验证!$D7</f>
        <v>250</v>
      </c>
      <c r="N50" s="8">
        <v>80</v>
      </c>
      <c r="O50" s="8">
        <f>IF(节奏预期!E65=0,0,求节点($C$54:$C$61,D$54:D$61,节奏预期!I65))</f>
        <v>0.08</v>
      </c>
      <c r="P50" s="8">
        <f>IF(节奏预期!F65=0,0,求节点($C$54:$C$61,E$54:E$61,节奏预期!J65))</f>
        <v>0.18</v>
      </c>
      <c r="Q50" s="8">
        <f>IF(节奏预期!G65=0,0,求节点($C$54:$C$61,F$54:F$61,节奏预期!K65))</f>
        <v>0.10851930998886163</v>
      </c>
      <c r="R50" s="8">
        <f>IF(节奏预期!H65=0,0,求节点($C$54:$C$61,G$54:G$61,节奏预期!L65))</f>
        <v>0.06</v>
      </c>
      <c r="S50" s="8">
        <f t="shared" si="18"/>
        <v>0.18</v>
      </c>
      <c r="T50" s="8"/>
      <c r="Z50" s="5">
        <v>46</v>
      </c>
      <c r="AA50" s="5">
        <f t="shared" si="1"/>
        <v>0</v>
      </c>
      <c r="AB50" s="5">
        <f t="shared" si="2"/>
        <v>0</v>
      </c>
      <c r="AC50" s="5">
        <f t="shared" si="3"/>
        <v>0</v>
      </c>
      <c r="AD50" s="5">
        <f t="shared" si="4"/>
        <v>0</v>
      </c>
      <c r="AE50" s="5">
        <f t="shared" si="5"/>
        <v>0</v>
      </c>
      <c r="AL50" s="8">
        <v>80</v>
      </c>
      <c r="AM50" s="8">
        <f>MAX(AM49,IF(AL50&lt;=节奏预期!$B$1,0,节奏预期!H65*求节点($C$39:$C$46,$G$39:$G$46,节奏预期!L65)+节奏预期!G65*求节点($C$39:$C$46,$F$39:$F$46,节奏预期!K65)+节奏预期!F65*求节点($C$39:$C$46,$E$39:$E$46,节奏预期!J65)+节奏预期!E65*求节点($C$39:$C$46,$D$39:$D$46,节奏预期!I65)))</f>
        <v>950.07723995544643</v>
      </c>
      <c r="AN50" s="8">
        <f>IF(AL50&lt;=节奏预期!$B$1,0,SUMPRODUCT(投放验证!AD52:AG52,$D$50:$G$50)-SUMPRODUCT(节奏预期!E65:H65,节奏预期!I65:L65+1,$D$50:$G$50))</f>
        <v>731.16011747327752</v>
      </c>
      <c r="AO50" s="8">
        <f t="shared" si="19"/>
        <v>0.76957965807871054</v>
      </c>
      <c r="AR50" s="5">
        <v>46</v>
      </c>
      <c r="AS50" s="5">
        <f t="shared" si="7"/>
        <v>0</v>
      </c>
      <c r="AT50" s="5">
        <f t="shared" si="8"/>
        <v>0</v>
      </c>
      <c r="AU50" s="5">
        <f t="shared" si="17"/>
        <v>0</v>
      </c>
      <c r="AV50" s="5">
        <f t="shared" si="17"/>
        <v>0</v>
      </c>
      <c r="AW50" s="5">
        <f t="shared" si="10"/>
        <v>0</v>
      </c>
    </row>
    <row r="51" spans="2:49" x14ac:dyDescent="0.15">
      <c r="N51" s="8">
        <v>90</v>
      </c>
      <c r="O51" s="8">
        <f>IF(节奏预期!E66=0,0,求节点($C$54:$C$61,D$54:D$61,节奏预期!I66))</f>
        <v>0.08</v>
      </c>
      <c r="P51" s="8">
        <f>IF(节奏预期!F66=0,0,求节点($C$54:$C$61,E$54:E$61,节奏预期!J66))</f>
        <v>0.18</v>
      </c>
      <c r="Q51" s="8">
        <f>IF(节奏预期!G66=0,0,求节点($C$54:$C$61,F$54:F$61,节奏预期!K66))</f>
        <v>0.2187099399102834</v>
      </c>
      <c r="R51" s="8">
        <f>IF(节奏预期!H66=0,0,求节点($C$54:$C$61,G$54:G$61,节奏预期!L66))</f>
        <v>0.17518341719710648</v>
      </c>
      <c r="S51" s="8">
        <f t="shared" si="18"/>
        <v>0.2187099399102834</v>
      </c>
      <c r="T51" s="8"/>
      <c r="Z51" s="5">
        <v>47</v>
      </c>
      <c r="AA51" s="5">
        <f t="shared" si="1"/>
        <v>0</v>
      </c>
      <c r="AB51" s="5">
        <f t="shared" si="2"/>
        <v>0</v>
      </c>
      <c r="AC51" s="5">
        <f t="shared" si="3"/>
        <v>0</v>
      </c>
      <c r="AD51" s="5">
        <f t="shared" si="4"/>
        <v>0</v>
      </c>
      <c r="AE51" s="5">
        <f t="shared" si="5"/>
        <v>0</v>
      </c>
      <c r="AL51" s="8">
        <v>90</v>
      </c>
      <c r="AM51" s="8">
        <f>MAX(AM50,IF(AL51&lt;=节奏预期!$B$1,0,节奏预期!H66*求节点($C$39:$C$46,$G$39:$G$46,节奏预期!L66)+节奏预期!G66*求节点($C$39:$C$46,$F$39:$F$46,节奏预期!K66)+节奏预期!F66*求节点($C$39:$C$46,$E$39:$E$46,节奏预期!J66)+节奏预期!E66*求节点($C$39:$C$46,$D$39:$D$46,节奏预期!I66)))</f>
        <v>2600.1492329675252</v>
      </c>
      <c r="AN51" s="8">
        <f>IF(AL51&lt;=节奏预期!$B$1,0,SUMPRODUCT(投放验证!AD53:AG53,$D$50:$G$50)-SUMPRODUCT(节奏预期!E66:H66,节奏预期!I66:L66+1,$D$50:$G$50))</f>
        <v>1531.7161781531254</v>
      </c>
      <c r="AO51" s="8">
        <f t="shared" si="19"/>
        <v>0.58908779493590546</v>
      </c>
      <c r="AR51" s="5">
        <v>47</v>
      </c>
      <c r="AS51" s="5">
        <f t="shared" si="7"/>
        <v>0</v>
      </c>
      <c r="AT51" s="5">
        <f t="shared" si="8"/>
        <v>0</v>
      </c>
      <c r="AU51" s="5">
        <f t="shared" si="17"/>
        <v>0</v>
      </c>
      <c r="AV51" s="5">
        <f t="shared" si="17"/>
        <v>0</v>
      </c>
      <c r="AW51" s="5">
        <f t="shared" si="10"/>
        <v>0</v>
      </c>
    </row>
    <row r="52" spans="2:49" x14ac:dyDescent="0.15">
      <c r="N52" s="8">
        <v>100</v>
      </c>
      <c r="O52" s="8">
        <f>IF(节奏预期!E67=0,0,求节点($C$54:$C$61,D$54:D$61,节奏预期!I67))</f>
        <v>0.08</v>
      </c>
      <c r="P52" s="8">
        <f>IF(节奏预期!F67=0,0,求节点($C$54:$C$61,E$54:E$61,节奏预期!J67))</f>
        <v>0.18</v>
      </c>
      <c r="Q52" s="8">
        <f>IF(节奏预期!G67=0,0,求节点($C$54:$C$61,F$54:F$61,节奏预期!K67))</f>
        <v>0.32</v>
      </c>
      <c r="R52" s="8">
        <f>IF(节奏预期!H67=0,0,求节点($C$54:$C$61,G$54:G$61,节奏预期!L67))</f>
        <v>0.48</v>
      </c>
      <c r="S52" s="8">
        <f t="shared" si="18"/>
        <v>0.48</v>
      </c>
      <c r="T52" s="8"/>
      <c r="Z52" s="5">
        <v>48</v>
      </c>
      <c r="AA52" s="5">
        <f t="shared" si="1"/>
        <v>0</v>
      </c>
      <c r="AB52" s="5">
        <f t="shared" si="2"/>
        <v>0</v>
      </c>
      <c r="AC52" s="5">
        <f t="shared" si="3"/>
        <v>0</v>
      </c>
      <c r="AD52" s="5">
        <f t="shared" si="4"/>
        <v>0</v>
      </c>
      <c r="AE52" s="5">
        <f t="shared" si="5"/>
        <v>0</v>
      </c>
      <c r="AL52" s="8">
        <v>100</v>
      </c>
      <c r="AM52" s="8">
        <f>MAX(AM51,IF(AL52&lt;=节奏预期!$B$1,0,节奏预期!H67*求节点($C$39:$C$46,$G$39:$G$46,节奏预期!L67)+节奏预期!G67*求节点($C$39:$C$46,$F$39:$F$46,节奏预期!K67)+节奏预期!F67*求节点($C$39:$C$46,$E$39:$E$46,节奏预期!J67)+节奏预期!E67*求节点($C$39:$C$46,$D$39:$D$46,节奏预期!I67)))</f>
        <v>12948</v>
      </c>
      <c r="AN52" s="8">
        <f>IF(AL52&lt;=节奏预期!$B$1,0,SUMPRODUCT(投放验证!AD54:AG54,$D$50:$G$50)-SUMPRODUCT(节奏预期!E67:H67,节奏预期!I67:L67+1,$D$50:$G$50))</f>
        <v>3665.7419414617598</v>
      </c>
      <c r="AO52" s="8">
        <f t="shared" si="19"/>
        <v>0.283112599742181</v>
      </c>
      <c r="AR52" s="5">
        <v>48</v>
      </c>
      <c r="AS52" s="5">
        <f t="shared" si="7"/>
        <v>0</v>
      </c>
      <c r="AT52" s="5">
        <f t="shared" si="8"/>
        <v>0</v>
      </c>
      <c r="AU52" s="5">
        <f t="shared" si="17"/>
        <v>0</v>
      </c>
      <c r="AV52" s="5">
        <f t="shared" si="17"/>
        <v>0</v>
      </c>
      <c r="AW52" s="5">
        <f t="shared" si="10"/>
        <v>0</v>
      </c>
    </row>
    <row r="53" spans="2:49" x14ac:dyDescent="0.15">
      <c r="B53" s="54" t="s">
        <v>157</v>
      </c>
      <c r="C53" s="8" t="s">
        <v>150</v>
      </c>
      <c r="D53" s="8" t="s">
        <v>0</v>
      </c>
      <c r="E53" s="8" t="s">
        <v>1</v>
      </c>
      <c r="F53" s="8" t="s">
        <v>2</v>
      </c>
      <c r="G53" s="8" t="s">
        <v>3</v>
      </c>
      <c r="N53" s="8">
        <v>110</v>
      </c>
      <c r="O53" s="8">
        <f>IF(节奏预期!E68=0,0,求节点($C$54:$C$61,D$54:D$61,节奏预期!I68))</f>
        <v>0.08</v>
      </c>
      <c r="P53" s="8">
        <f>IF(节奏预期!F68=0,0,求节点($C$54:$C$61,E$54:E$61,节奏预期!J68))</f>
        <v>0.18</v>
      </c>
      <c r="Q53" s="8">
        <f>IF(节奏预期!G68=0,0,求节点($C$54:$C$61,F$54:F$61,节奏预期!K68))</f>
        <v>0.32</v>
      </c>
      <c r="R53" s="8">
        <f>IF(节奏预期!H68=0,0,求节点($C$54:$C$61,G$54:G$61,节奏预期!L68))</f>
        <v>0.48</v>
      </c>
      <c r="S53" s="8">
        <f t="shared" si="18"/>
        <v>0.48</v>
      </c>
      <c r="T53" s="8"/>
      <c r="Z53" s="5">
        <v>49</v>
      </c>
      <c r="AA53" s="5">
        <f t="shared" si="1"/>
        <v>0</v>
      </c>
      <c r="AB53" s="5">
        <f t="shared" si="2"/>
        <v>0</v>
      </c>
      <c r="AC53" s="5">
        <f t="shared" si="3"/>
        <v>0</v>
      </c>
      <c r="AD53" s="5">
        <f t="shared" si="4"/>
        <v>0</v>
      </c>
      <c r="AE53" s="5">
        <f t="shared" si="5"/>
        <v>0</v>
      </c>
      <c r="AL53" s="8">
        <v>110</v>
      </c>
      <c r="AM53" s="8">
        <f>MAX(AM52,IF(AL53&lt;=节奏预期!$B$1,0,节奏预期!H68*求节点($C$39:$C$46,$G$39:$G$46,节奏预期!L68)+节奏预期!G68*求节点($C$39:$C$46,$F$39:$F$46,节奏预期!K68)+节奏预期!F68*求节点($C$39:$C$46,$E$39:$E$46,节奏预期!J68)+节奏预期!E68*求节点($C$39:$C$46,$D$39:$D$46,节奏预期!I68)))</f>
        <v>12948</v>
      </c>
      <c r="AN53" s="8">
        <f>IF(AL53&lt;=节奏预期!$B$1,0,SUMPRODUCT(投放验证!AD55:AG55,$D$50:$G$50)-SUMPRODUCT(节奏预期!E68:H68,节奏预期!I68:L68+1,$D$50:$G$50))</f>
        <v>11347.286898753686</v>
      </c>
      <c r="AO53" s="8">
        <f t="shared" si="19"/>
        <v>0.87637371785246265</v>
      </c>
      <c r="AR53" s="5">
        <v>49</v>
      </c>
      <c r="AS53" s="5">
        <f t="shared" si="7"/>
        <v>0</v>
      </c>
      <c r="AT53" s="5">
        <f t="shared" si="8"/>
        <v>0</v>
      </c>
      <c r="AU53" s="5">
        <f t="shared" si="17"/>
        <v>0</v>
      </c>
      <c r="AV53" s="5">
        <f t="shared" si="17"/>
        <v>0</v>
      </c>
      <c r="AW53" s="5">
        <f t="shared" si="10"/>
        <v>0</v>
      </c>
    </row>
    <row r="54" spans="2:49" x14ac:dyDescent="0.15">
      <c r="B54" s="54"/>
      <c r="C54" s="8">
        <v>0</v>
      </c>
      <c r="D54" s="12">
        <v>0.02</v>
      </c>
      <c r="E54" s="12">
        <v>0.03</v>
      </c>
      <c r="F54" s="12">
        <v>0.04</v>
      </c>
      <c r="G54" s="12">
        <v>0.06</v>
      </c>
      <c r="N54" s="8">
        <v>120</v>
      </c>
      <c r="O54" s="8">
        <f>IF(节奏预期!E69=0,0,求节点($C$54:$C$61,D$54:D$61,节奏预期!I69))</f>
        <v>0.08</v>
      </c>
      <c r="P54" s="8">
        <f>IF(节奏预期!F69=0,0,求节点($C$54:$C$61,E$54:E$61,节奏预期!J69))</f>
        <v>0.18</v>
      </c>
      <c r="Q54" s="8">
        <f>IF(节奏预期!G69=0,0,求节点($C$54:$C$61,F$54:F$61,节奏预期!K69))</f>
        <v>0.32</v>
      </c>
      <c r="R54" s="8">
        <f>IF(节奏预期!H69=0,0,求节点($C$54:$C$61,G$54:G$61,节奏预期!L69))</f>
        <v>0.48</v>
      </c>
      <c r="S54" s="8">
        <f t="shared" si="18"/>
        <v>0.48</v>
      </c>
      <c r="T54" s="8"/>
      <c r="Z54" s="5">
        <v>50</v>
      </c>
      <c r="AA54" s="5">
        <f t="shared" si="1"/>
        <v>0</v>
      </c>
      <c r="AB54" s="5">
        <f t="shared" si="2"/>
        <v>0</v>
      </c>
      <c r="AC54" s="5">
        <f t="shared" si="3"/>
        <v>0</v>
      </c>
      <c r="AD54" s="5">
        <f t="shared" si="4"/>
        <v>0</v>
      </c>
      <c r="AE54" s="5">
        <f t="shared" si="5"/>
        <v>0</v>
      </c>
      <c r="AL54" s="8">
        <v>120</v>
      </c>
      <c r="AM54" s="8">
        <f>MAX(AM53,IF(AL54&lt;=节奏预期!$B$1,0,节奏预期!H69*求节点($C$39:$C$46,$G$39:$G$46,节奏预期!L69)+节奏预期!G69*求节点($C$39:$C$46,$F$39:$F$46,节奏预期!K69)+节奏预期!F69*求节点($C$39:$C$46,$E$39:$E$46,节奏预期!J69)+节奏预期!E69*求节点($C$39:$C$46,$D$39:$D$46,节奏预期!I69)))</f>
        <v>12948</v>
      </c>
      <c r="AN54" s="8">
        <f>IF(AL54&lt;=节奏预期!$B$1,0,SUMPRODUCT(投放验证!AD56:AG56,$D$50:$G$50)-SUMPRODUCT(节奏预期!E69:H69,节奏预期!I69:L69+1,$D$50:$G$50))</f>
        <v>26541.515574915193</v>
      </c>
      <c r="AO54" s="8">
        <f t="shared" si="19"/>
        <v>2.0498544620725356</v>
      </c>
      <c r="AR54" s="5">
        <v>50</v>
      </c>
      <c r="AS54" s="5">
        <f t="shared" si="7"/>
        <v>0</v>
      </c>
      <c r="AT54" s="5">
        <f t="shared" si="8"/>
        <v>0</v>
      </c>
      <c r="AU54" s="5">
        <f t="shared" si="17"/>
        <v>0</v>
      </c>
      <c r="AV54" s="5">
        <f t="shared" si="17"/>
        <v>0</v>
      </c>
      <c r="AW54" s="5">
        <f t="shared" si="10"/>
        <v>0</v>
      </c>
    </row>
    <row r="55" spans="2:49" x14ac:dyDescent="0.15">
      <c r="B55" s="54"/>
      <c r="C55" s="8">
        <v>1</v>
      </c>
      <c r="D55" s="12">
        <v>0.04</v>
      </c>
      <c r="E55" s="12">
        <v>0.06</v>
      </c>
      <c r="F55" s="12">
        <v>0.08</v>
      </c>
      <c r="G55" s="12">
        <v>0.12</v>
      </c>
      <c r="N55" s="8">
        <v>130</v>
      </c>
      <c r="O55" s="8">
        <f>IF(节奏预期!E70=0,0,求节点($C$54:$C$61,D$54:D$61,节奏预期!I70))</f>
        <v>0.08</v>
      </c>
      <c r="P55" s="8">
        <f>IF(节奏预期!F70=0,0,求节点($C$54:$C$61,E$54:E$61,节奏预期!J70))</f>
        <v>0.18</v>
      </c>
      <c r="Q55" s="8">
        <f>IF(节奏预期!G70=0,0,求节点($C$54:$C$61,F$54:F$61,节奏预期!K70))</f>
        <v>0.32</v>
      </c>
      <c r="R55" s="8">
        <f>IF(节奏预期!H70=0,0,求节点($C$54:$C$61,G$54:G$61,节奏预期!L70))</f>
        <v>0.48</v>
      </c>
      <c r="S55" s="8">
        <f t="shared" si="18"/>
        <v>0.48</v>
      </c>
      <c r="T55" s="8"/>
      <c r="Z55" s="5">
        <v>51</v>
      </c>
      <c r="AA55" s="5">
        <f t="shared" si="1"/>
        <v>0</v>
      </c>
      <c r="AB55" s="5">
        <f t="shared" si="2"/>
        <v>0</v>
      </c>
      <c r="AC55" s="5">
        <f t="shared" si="3"/>
        <v>0</v>
      </c>
      <c r="AD55" s="5">
        <f t="shared" si="4"/>
        <v>0</v>
      </c>
      <c r="AE55" s="5">
        <f t="shared" si="5"/>
        <v>0</v>
      </c>
      <c r="AL55" s="8">
        <v>130</v>
      </c>
      <c r="AM55" s="8">
        <f>MAX(AM54,IF(AL55&lt;=节奏预期!$B$1,0,节奏预期!H70*求节点($C$39:$C$46,$G$39:$G$46,节奏预期!L70)+节奏预期!G70*求节点($C$39:$C$46,$F$39:$F$46,节奏预期!K70)+节奏预期!F70*求节点($C$39:$C$46,$E$39:$E$46,节奏预期!J70)+节奏预期!E70*求节点($C$39:$C$46,$D$39:$D$46,节奏预期!I70)))</f>
        <v>12948</v>
      </c>
      <c r="AN55" s="8">
        <f>IF(AL55&lt;=节奏预期!$B$1,0,SUMPRODUCT(投放验证!AD57:AG57,$D$50:$G$50)-SUMPRODUCT(节奏预期!E70:H70,节奏预期!I70:L70+1,$D$50:$G$50))</f>
        <v>56029.061918443804</v>
      </c>
      <c r="AO55" s="8">
        <f t="shared" si="19"/>
        <v>4.3272367870284061</v>
      </c>
      <c r="AR55" s="5">
        <v>51</v>
      </c>
      <c r="AS55" s="5">
        <f t="shared" si="7"/>
        <v>0</v>
      </c>
      <c r="AT55" s="5">
        <f t="shared" si="8"/>
        <v>0</v>
      </c>
      <c r="AU55" s="5">
        <f t="shared" si="17"/>
        <v>0</v>
      </c>
      <c r="AV55" s="5">
        <f t="shared" si="17"/>
        <v>0</v>
      </c>
      <c r="AW55" s="5">
        <f t="shared" si="10"/>
        <v>0</v>
      </c>
    </row>
    <row r="56" spans="2:49" x14ac:dyDescent="0.15">
      <c r="B56" s="54"/>
      <c r="C56" s="8">
        <v>2</v>
      </c>
      <c r="D56" s="12">
        <v>0.06</v>
      </c>
      <c r="E56" s="12">
        <v>0.09</v>
      </c>
      <c r="F56" s="12">
        <v>0.12</v>
      </c>
      <c r="G56" s="12">
        <v>0.18</v>
      </c>
      <c r="N56" s="8">
        <v>140</v>
      </c>
      <c r="O56" s="8">
        <f>IF(节奏预期!E71=0,0,求节点($C$54:$C$61,D$54:D$61,节奏预期!I71))</f>
        <v>0.08</v>
      </c>
      <c r="P56" s="8">
        <f>IF(节奏预期!F71=0,0,求节点($C$54:$C$61,E$54:E$61,节奏预期!J71))</f>
        <v>0.18</v>
      </c>
      <c r="Q56" s="8">
        <f>IF(节奏预期!G71=0,0,求节点($C$54:$C$61,F$54:F$61,节奏预期!K71))</f>
        <v>0.32</v>
      </c>
      <c r="R56" s="8">
        <f>IF(节奏预期!H71=0,0,求节点($C$54:$C$61,G$54:G$61,节奏预期!L71))</f>
        <v>0.48</v>
      </c>
      <c r="S56" s="8">
        <f t="shared" si="18"/>
        <v>0.48</v>
      </c>
      <c r="T56" s="8"/>
      <c r="Z56" s="5">
        <v>52</v>
      </c>
      <c r="AA56" s="5">
        <f t="shared" si="1"/>
        <v>0</v>
      </c>
      <c r="AB56" s="5">
        <f t="shared" si="2"/>
        <v>0</v>
      </c>
      <c r="AC56" s="5">
        <f t="shared" si="3"/>
        <v>0</v>
      </c>
      <c r="AD56" s="5">
        <f t="shared" si="4"/>
        <v>0</v>
      </c>
      <c r="AE56" s="5">
        <f t="shared" si="5"/>
        <v>0</v>
      </c>
      <c r="AL56" s="8">
        <v>140</v>
      </c>
      <c r="AM56" s="8">
        <f>MAX(AM55,IF(AL56&lt;=节奏预期!$B$1,0,节奏预期!H71*求节点($C$39:$C$46,$G$39:$G$46,节奏预期!L71)+节奏预期!G71*求节点($C$39:$C$46,$F$39:$F$46,节奏预期!K71)+节奏预期!F71*求节点($C$39:$C$46,$E$39:$E$46,节奏预期!J71)+节奏预期!E71*求节点($C$39:$C$46,$D$39:$D$46,节奏预期!I71)))</f>
        <v>12948</v>
      </c>
      <c r="AN56" s="8">
        <f>IF(AL56&lt;=节奏预期!$B$1,0,SUMPRODUCT(投放验证!AD58:AG58,$D$50:$G$50)-SUMPRODUCT(节奏预期!E71:H71,节奏预期!I71:L71+1,$D$50:$G$50))</f>
        <v>114245.85328143652</v>
      </c>
      <c r="AO56" s="8">
        <f t="shared" si="19"/>
        <v>8.8234363053318283</v>
      </c>
      <c r="AR56" s="5">
        <v>52</v>
      </c>
      <c r="AS56" s="5">
        <f t="shared" si="7"/>
        <v>0</v>
      </c>
      <c r="AT56" s="5">
        <f t="shared" si="8"/>
        <v>0</v>
      </c>
      <c r="AU56" s="5">
        <f t="shared" si="17"/>
        <v>0</v>
      </c>
      <c r="AV56" s="5">
        <f t="shared" si="17"/>
        <v>0</v>
      </c>
      <c r="AW56" s="5">
        <f t="shared" si="10"/>
        <v>0</v>
      </c>
    </row>
    <row r="57" spans="2:49" x14ac:dyDescent="0.15">
      <c r="B57" s="54"/>
      <c r="C57" s="8">
        <v>3</v>
      </c>
      <c r="D57" s="12">
        <v>0.08</v>
      </c>
      <c r="E57" s="12">
        <v>0.12</v>
      </c>
      <c r="F57" s="12">
        <v>0.16</v>
      </c>
      <c r="G57" s="12">
        <v>0.24</v>
      </c>
      <c r="N57" s="8">
        <v>150</v>
      </c>
      <c r="O57" s="8">
        <f>IF(节奏预期!E72=0,0,求节点($C$54:$C$61,D$54:D$61,节奏预期!I72))</f>
        <v>0.08</v>
      </c>
      <c r="P57" s="8">
        <f>IF(节奏预期!F72=0,0,求节点($C$54:$C$61,E$54:E$61,节奏预期!J72))</f>
        <v>0.18</v>
      </c>
      <c r="Q57" s="8">
        <f>IF(节奏预期!G72=0,0,求节点($C$54:$C$61,F$54:F$61,节奏预期!K72))</f>
        <v>0.32</v>
      </c>
      <c r="R57" s="8">
        <f>IF(节奏预期!H72=0,0,求节点($C$54:$C$61,G$54:G$61,节奏预期!L72))</f>
        <v>0.48</v>
      </c>
      <c r="S57" s="8">
        <f t="shared" si="18"/>
        <v>0.48</v>
      </c>
      <c r="T57" s="8"/>
      <c r="Z57" s="5">
        <v>53</v>
      </c>
      <c r="AA57" s="5">
        <f t="shared" si="1"/>
        <v>0</v>
      </c>
      <c r="AB57" s="5">
        <f t="shared" si="2"/>
        <v>0</v>
      </c>
      <c r="AC57" s="5">
        <f t="shared" si="3"/>
        <v>0</v>
      </c>
      <c r="AD57" s="5">
        <f t="shared" si="4"/>
        <v>0</v>
      </c>
      <c r="AE57" s="5">
        <f t="shared" si="5"/>
        <v>0</v>
      </c>
      <c r="AL57" s="8">
        <v>150</v>
      </c>
      <c r="AM57" s="8">
        <f>MAX(AM56,IF(AL57&lt;=节奏预期!$B$1,0,节奏预期!H72*求节点($C$39:$C$46,$G$39:$G$46,节奏预期!L72)+节奏预期!G72*求节点($C$39:$C$46,$F$39:$F$46,节奏预期!K72)+节奏预期!F72*求节点($C$39:$C$46,$E$39:$E$46,节奏预期!J72)+节奏预期!E72*求节点($C$39:$C$46,$D$39:$D$46,节奏预期!I72)))</f>
        <v>12948</v>
      </c>
      <c r="AN57" s="8">
        <f>IF(AL57&lt;=节奏预期!$B$1,0,SUMPRODUCT(投放验证!AD59:AG59,$D$50:$G$50)-SUMPRODUCT(节奏预期!E72:H72,节奏预期!I72:L72+1,$D$50:$G$50))</f>
        <v>229288.17523887154</v>
      </c>
      <c r="AO57" s="8">
        <f t="shared" si="19"/>
        <v>17.708385483385197</v>
      </c>
      <c r="AR57" s="5">
        <v>53</v>
      </c>
      <c r="AS57" s="5">
        <f t="shared" si="7"/>
        <v>0</v>
      </c>
      <c r="AT57" s="5">
        <f t="shared" si="8"/>
        <v>0</v>
      </c>
      <c r="AU57" s="5">
        <f t="shared" si="17"/>
        <v>0</v>
      </c>
      <c r="AV57" s="5">
        <f t="shared" si="17"/>
        <v>0</v>
      </c>
      <c r="AW57" s="5">
        <f t="shared" si="10"/>
        <v>0</v>
      </c>
    </row>
    <row r="58" spans="2:49" x14ac:dyDescent="0.15">
      <c r="B58" s="54"/>
      <c r="C58" s="8">
        <v>4</v>
      </c>
      <c r="D58" s="12"/>
      <c r="E58" s="12">
        <v>0.15</v>
      </c>
      <c r="F58" s="12">
        <v>0.2</v>
      </c>
      <c r="G58" s="12">
        <v>0.3</v>
      </c>
      <c r="N58" s="8">
        <v>160</v>
      </c>
      <c r="O58" s="8">
        <f>IF(节奏预期!E73=0,0,求节点($C$54:$C$61,D$54:D$61,节奏预期!I73))</f>
        <v>0.08</v>
      </c>
      <c r="P58" s="8">
        <f>IF(节奏预期!F73=0,0,求节点($C$54:$C$61,E$54:E$61,节奏预期!J73))</f>
        <v>0.18</v>
      </c>
      <c r="Q58" s="8">
        <f>IF(节奏预期!G73=0,0,求节点($C$54:$C$61,F$54:F$61,节奏预期!K73))</f>
        <v>0.32</v>
      </c>
      <c r="R58" s="8">
        <f>IF(节奏预期!H73=0,0,求节点($C$54:$C$61,G$54:G$61,节奏预期!L73))</f>
        <v>0.48</v>
      </c>
      <c r="S58" s="8">
        <f t="shared" si="18"/>
        <v>0.48</v>
      </c>
      <c r="T58" s="8"/>
      <c r="Z58" s="5">
        <v>54</v>
      </c>
      <c r="AA58" s="5">
        <f t="shared" si="1"/>
        <v>0</v>
      </c>
      <c r="AB58" s="5">
        <f t="shared" si="2"/>
        <v>0</v>
      </c>
      <c r="AC58" s="5">
        <f t="shared" si="3"/>
        <v>0</v>
      </c>
      <c r="AD58" s="5">
        <f t="shared" si="4"/>
        <v>0</v>
      </c>
      <c r="AE58" s="5">
        <f t="shared" si="5"/>
        <v>0</v>
      </c>
      <c r="AL58" s="8">
        <v>160</v>
      </c>
      <c r="AM58" s="8">
        <f>MAX(AM57,IF(AL58&lt;=节奏预期!$B$1,0,节奏预期!H73*求节点($C$39:$C$46,$G$39:$G$46,节奏预期!L73)+节奏预期!G73*求节点($C$39:$C$46,$F$39:$F$46,节奏预期!K73)+节奏预期!F73*求节点($C$39:$C$46,$E$39:$E$46,节奏预期!J73)+节奏预期!E73*求节点($C$39:$C$46,$D$39:$D$46,节奏预期!I73)))</f>
        <v>12948</v>
      </c>
      <c r="AN58" s="8">
        <f>IF(AL58&lt;=节奏预期!$B$1,0,SUMPRODUCT(投放验证!AD60:AG60,$D$50:$G$50)-SUMPRODUCT(节奏预期!E73:H73,节奏预期!I73:L73+1,$D$50:$G$50))</f>
        <v>688658.80195093504</v>
      </c>
      <c r="AO58" s="8">
        <f t="shared" si="19"/>
        <v>53.186499996210614</v>
      </c>
      <c r="AR58" s="5">
        <v>54</v>
      </c>
      <c r="AS58" s="5">
        <f t="shared" si="7"/>
        <v>0</v>
      </c>
      <c r="AT58" s="5">
        <f t="shared" si="8"/>
        <v>0</v>
      </c>
      <c r="AU58" s="5">
        <f t="shared" si="17"/>
        <v>0</v>
      </c>
      <c r="AV58" s="5">
        <f t="shared" si="17"/>
        <v>0</v>
      </c>
      <c r="AW58" s="5">
        <f t="shared" si="10"/>
        <v>0</v>
      </c>
    </row>
    <row r="59" spans="2:49" x14ac:dyDescent="0.15">
      <c r="B59" s="54"/>
      <c r="C59" s="8">
        <v>5</v>
      </c>
      <c r="D59" s="12"/>
      <c r="E59" s="12">
        <v>0.18</v>
      </c>
      <c r="F59" s="12">
        <v>0.24</v>
      </c>
      <c r="G59" s="12">
        <v>0.36</v>
      </c>
      <c r="Z59" s="5">
        <v>55</v>
      </c>
      <c r="AA59" s="5">
        <f t="shared" si="1"/>
        <v>0</v>
      </c>
      <c r="AB59" s="5">
        <f t="shared" si="2"/>
        <v>0</v>
      </c>
      <c r="AC59" s="5">
        <f t="shared" si="3"/>
        <v>0</v>
      </c>
      <c r="AD59" s="5">
        <f t="shared" si="4"/>
        <v>0</v>
      </c>
      <c r="AE59" s="5">
        <f t="shared" si="5"/>
        <v>0</v>
      </c>
      <c r="AR59" s="5">
        <v>55</v>
      </c>
      <c r="AS59" s="5">
        <f t="shared" si="7"/>
        <v>0</v>
      </c>
      <c r="AT59" s="5">
        <f t="shared" si="8"/>
        <v>0</v>
      </c>
      <c r="AU59" s="5">
        <f t="shared" si="17"/>
        <v>0</v>
      </c>
      <c r="AV59" s="5">
        <f t="shared" si="17"/>
        <v>0</v>
      </c>
      <c r="AW59" s="5">
        <f t="shared" si="10"/>
        <v>0</v>
      </c>
    </row>
    <row r="60" spans="2:49" x14ac:dyDescent="0.15">
      <c r="B60" s="54"/>
      <c r="C60" s="8">
        <v>6</v>
      </c>
      <c r="D60" s="12"/>
      <c r="E60" s="12"/>
      <c r="F60" s="12">
        <v>0.28000000000000003</v>
      </c>
      <c r="G60" s="12">
        <v>0.42</v>
      </c>
      <c r="O60" s="53" t="s">
        <v>158</v>
      </c>
      <c r="P60" s="53"/>
      <c r="Q60" s="53"/>
      <c r="R60" s="53"/>
      <c r="Z60" s="5">
        <v>56</v>
      </c>
      <c r="AA60" s="5">
        <f t="shared" si="1"/>
        <v>0</v>
      </c>
      <c r="AB60" s="5">
        <f t="shared" si="2"/>
        <v>0</v>
      </c>
      <c r="AC60" s="5">
        <f t="shared" si="3"/>
        <v>0</v>
      </c>
      <c r="AD60" s="5">
        <f t="shared" si="4"/>
        <v>0</v>
      </c>
      <c r="AE60" s="5">
        <f t="shared" si="5"/>
        <v>0</v>
      </c>
      <c r="AR60" s="5">
        <v>56</v>
      </c>
      <c r="AS60" s="5">
        <f t="shared" si="7"/>
        <v>0</v>
      </c>
      <c r="AT60" s="5">
        <f t="shared" si="8"/>
        <v>0</v>
      </c>
      <c r="AU60" s="5">
        <f t="shared" si="17"/>
        <v>0</v>
      </c>
      <c r="AV60" s="5">
        <f t="shared" si="17"/>
        <v>0</v>
      </c>
      <c r="AW60" s="5">
        <f t="shared" si="10"/>
        <v>0</v>
      </c>
    </row>
    <row r="61" spans="2:49" x14ac:dyDescent="0.15">
      <c r="B61" s="54"/>
      <c r="C61" s="8">
        <v>7</v>
      </c>
      <c r="D61" s="12"/>
      <c r="E61" s="12"/>
      <c r="F61" s="12">
        <v>0.32</v>
      </c>
      <c r="G61" s="12">
        <v>0.48</v>
      </c>
      <c r="M61" s="5" t="s">
        <v>130</v>
      </c>
      <c r="N61" s="8" t="s">
        <v>141</v>
      </c>
      <c r="O61" s="8" t="s">
        <v>0</v>
      </c>
      <c r="P61" s="8" t="s">
        <v>1</v>
      </c>
      <c r="Q61" s="8" t="s">
        <v>2</v>
      </c>
      <c r="R61" s="8" t="s">
        <v>3</v>
      </c>
      <c r="S61" s="8" t="s">
        <v>159</v>
      </c>
      <c r="T61" s="8"/>
      <c r="Z61" s="5">
        <v>57</v>
      </c>
      <c r="AA61" s="5">
        <f t="shared" si="1"/>
        <v>0</v>
      </c>
      <c r="AB61" s="5">
        <f t="shared" si="2"/>
        <v>0</v>
      </c>
      <c r="AC61" s="5">
        <f t="shared" si="3"/>
        <v>0</v>
      </c>
      <c r="AD61" s="5">
        <f t="shared" si="4"/>
        <v>0</v>
      </c>
      <c r="AE61" s="5">
        <f t="shared" si="5"/>
        <v>0</v>
      </c>
      <c r="AK61" s="5" t="s">
        <v>130</v>
      </c>
      <c r="AL61" s="8" t="s">
        <v>141</v>
      </c>
      <c r="AM61" s="8" t="s">
        <v>189</v>
      </c>
      <c r="AN61" s="8" t="s">
        <v>190</v>
      </c>
      <c r="AO61" s="8" t="s">
        <v>192</v>
      </c>
      <c r="AR61" s="5">
        <v>57</v>
      </c>
      <c r="AS61" s="5">
        <f t="shared" si="7"/>
        <v>0</v>
      </c>
      <c r="AT61" s="5">
        <f t="shared" si="8"/>
        <v>0</v>
      </c>
      <c r="AU61" s="5">
        <f t="shared" si="17"/>
        <v>0</v>
      </c>
      <c r="AV61" s="5">
        <f t="shared" si="17"/>
        <v>0</v>
      </c>
      <c r="AW61" s="5">
        <f t="shared" si="10"/>
        <v>0</v>
      </c>
    </row>
    <row r="62" spans="2:49" x14ac:dyDescent="0.15">
      <c r="N62" s="8">
        <v>10</v>
      </c>
      <c r="O62" s="8">
        <f>IF(节奏预期!E77=0,0,求节点($C$54:$C$61,D$54:D$61,节奏预期!I77))</f>
        <v>0</v>
      </c>
      <c r="P62" s="8">
        <f>IF(节奏预期!F77=0,0,求节点($C$54:$C$61,E$54:E$61,节奏预期!J77))</f>
        <v>0</v>
      </c>
      <c r="Q62" s="8">
        <f>IF(节奏预期!G77=0,0,求节点($C$54:$C$61,F$54:F$61,节奏预期!K77))</f>
        <v>0</v>
      </c>
      <c r="R62" s="8">
        <f>IF(节奏预期!H77=0,0,求节点($C$54:$C$61,G$54:G$61,节奏预期!L77))</f>
        <v>0</v>
      </c>
      <c r="S62" s="8">
        <f>MAX(O62:R62)</f>
        <v>0</v>
      </c>
      <c r="T62" s="8"/>
      <c r="Z62" s="5">
        <v>58</v>
      </c>
      <c r="AA62" s="5">
        <f t="shared" si="1"/>
        <v>0</v>
      </c>
      <c r="AB62" s="5">
        <f t="shared" si="2"/>
        <v>0</v>
      </c>
      <c r="AC62" s="5">
        <f t="shared" si="3"/>
        <v>0</v>
      </c>
      <c r="AD62" s="5">
        <f t="shared" si="4"/>
        <v>0</v>
      </c>
      <c r="AE62" s="5">
        <f t="shared" si="5"/>
        <v>0</v>
      </c>
      <c r="AL62" s="8">
        <v>10</v>
      </c>
      <c r="AM62" s="8">
        <f>MAX(AM61,IF(AL62&lt;=节奏预期!$B$1,0,节奏预期!H77*求节点($C$39:$C$46,$G$39:$G$46,节奏预期!L77)+节奏预期!G77*求节点($C$39:$C$46,$F$39:$F$46,节奏预期!K77)+节奏预期!F77*求节点($C$39:$C$46,$E$39:$E$46,节奏预期!J77)+节奏预期!E77*求节点($C$39:$C$46,$D$39:$D$46,节奏预期!I77)))</f>
        <v>0</v>
      </c>
      <c r="AN62" s="8">
        <f>IF(AL62&lt;=节奏预期!$B$1,0,SUMPRODUCT(投放验证!AD64:AG64,$D$50:$G$50)-SUMPRODUCT(节奏预期!E77:H77,节奏预期!I77:L77+1,$D$50:$G$50))</f>
        <v>0</v>
      </c>
      <c r="AO62" s="8">
        <f>IFERROR(AN62/AM62,0)</f>
        <v>0</v>
      </c>
      <c r="AR62" s="5">
        <v>58</v>
      </c>
      <c r="AS62" s="5">
        <f t="shared" si="7"/>
        <v>0</v>
      </c>
      <c r="AT62" s="5">
        <f t="shared" si="8"/>
        <v>0</v>
      </c>
      <c r="AU62" s="5">
        <f t="shared" si="17"/>
        <v>0</v>
      </c>
      <c r="AV62" s="5">
        <f t="shared" si="17"/>
        <v>0</v>
      </c>
      <c r="AW62" s="5">
        <f t="shared" si="10"/>
        <v>0</v>
      </c>
    </row>
    <row r="63" spans="2:49" x14ac:dyDescent="0.15">
      <c r="N63" s="8">
        <v>20</v>
      </c>
      <c r="O63" s="8">
        <f>IF(节奏预期!E78=0,0,求节点($C$54:$C$61,D$54:D$61,节奏预期!I78))</f>
        <v>0</v>
      </c>
      <c r="P63" s="8">
        <f>IF(节奏预期!F78=0,0,求节点($C$54:$C$61,E$54:E$61,节奏预期!J78))</f>
        <v>0</v>
      </c>
      <c r="Q63" s="8">
        <f>IF(节奏预期!G78=0,0,求节点($C$54:$C$61,F$54:F$61,节奏预期!K78))</f>
        <v>0</v>
      </c>
      <c r="R63" s="8">
        <f>IF(节奏预期!H78=0,0,求节点($C$54:$C$61,G$54:G$61,节奏预期!L78))</f>
        <v>0</v>
      </c>
      <c r="S63" s="8">
        <f t="shared" ref="S63:S77" si="20">MAX(O63:R63)</f>
        <v>0</v>
      </c>
      <c r="T63" s="8"/>
      <c r="Z63" s="5">
        <v>59</v>
      </c>
      <c r="AA63" s="5">
        <f t="shared" si="1"/>
        <v>0</v>
      </c>
      <c r="AB63" s="5">
        <f t="shared" si="2"/>
        <v>0</v>
      </c>
      <c r="AC63" s="5">
        <f t="shared" si="3"/>
        <v>0</v>
      </c>
      <c r="AD63" s="5">
        <f t="shared" si="4"/>
        <v>0</v>
      </c>
      <c r="AE63" s="5">
        <f t="shared" si="5"/>
        <v>0</v>
      </c>
      <c r="AL63" s="8">
        <v>20</v>
      </c>
      <c r="AM63" s="8">
        <f>MAX(AM62,IF(AL63&lt;=节奏预期!$B$1,0,节奏预期!H78*求节点($C$39:$C$46,$G$39:$G$46,节奏预期!L78)+节奏预期!G78*求节点($C$39:$C$46,$F$39:$F$46,节奏预期!K78)+节奏预期!F78*求节点($C$39:$C$46,$E$39:$E$46,节奏预期!J78)+节奏预期!E78*求节点($C$39:$C$46,$D$39:$D$46,节奏预期!I78)))</f>
        <v>0</v>
      </c>
      <c r="AN63" s="8">
        <f>IF(AL63&lt;=节奏预期!$B$1,0,SUMPRODUCT(投放验证!AD65:AG65,$D$50:$G$50)-SUMPRODUCT(节奏预期!E78:H78,节奏预期!I78:L78+1,$D$50:$G$50))</f>
        <v>0</v>
      </c>
      <c r="AO63" s="8">
        <f t="shared" ref="AO63:AO77" si="21">IFERROR(AN63/AM63,0)</f>
        <v>0</v>
      </c>
      <c r="AR63" s="5">
        <v>59</v>
      </c>
      <c r="AS63" s="5">
        <f t="shared" si="7"/>
        <v>0</v>
      </c>
      <c r="AT63" s="5">
        <f t="shared" si="8"/>
        <v>0</v>
      </c>
      <c r="AU63" s="5">
        <f t="shared" si="17"/>
        <v>0</v>
      </c>
      <c r="AV63" s="5">
        <f t="shared" si="17"/>
        <v>0</v>
      </c>
      <c r="AW63" s="5">
        <f t="shared" si="10"/>
        <v>0</v>
      </c>
    </row>
    <row r="64" spans="2:49" ht="11.25" customHeight="1" x14ac:dyDescent="0.15">
      <c r="B64" s="55" t="s">
        <v>170</v>
      </c>
      <c r="C64" s="56"/>
      <c r="D64" s="8" t="s">
        <v>0</v>
      </c>
      <c r="E64" s="8" t="s">
        <v>1</v>
      </c>
      <c r="F64" s="8" t="s">
        <v>2</v>
      </c>
      <c r="G64" s="8" t="s">
        <v>3</v>
      </c>
      <c r="N64" s="8">
        <v>30</v>
      </c>
      <c r="O64" s="8">
        <f>IF(节奏预期!E79=0,0,求节点($C$54:$C$61,D$54:D$61,节奏预期!I79))</f>
        <v>0</v>
      </c>
      <c r="P64" s="8">
        <f>IF(节奏预期!F79=0,0,求节点($C$54:$C$61,E$54:E$61,节奏预期!J79))</f>
        <v>0</v>
      </c>
      <c r="Q64" s="8">
        <f>IF(节奏预期!G79=0,0,求节点($C$54:$C$61,F$54:F$61,节奏预期!K79))</f>
        <v>0</v>
      </c>
      <c r="R64" s="8">
        <f>IF(节奏预期!H79=0,0,求节点($C$54:$C$61,G$54:G$61,节奏预期!L79))</f>
        <v>0</v>
      </c>
      <c r="S64" s="8">
        <f t="shared" si="20"/>
        <v>0</v>
      </c>
      <c r="T64" s="8"/>
      <c r="Z64" s="5">
        <v>60</v>
      </c>
      <c r="AA64" s="5">
        <f t="shared" si="1"/>
        <v>0</v>
      </c>
      <c r="AB64" s="5">
        <f t="shared" si="2"/>
        <v>0</v>
      </c>
      <c r="AC64" s="5">
        <f t="shared" si="3"/>
        <v>0</v>
      </c>
      <c r="AD64" s="5">
        <f t="shared" si="4"/>
        <v>0</v>
      </c>
      <c r="AE64" s="5">
        <f t="shared" si="5"/>
        <v>0</v>
      </c>
      <c r="AL64" s="8">
        <v>30</v>
      </c>
      <c r="AM64" s="8">
        <f>MAX(AM63,IF(AL64&lt;=节奏预期!$B$1,0,节奏预期!H79*求节点($C$39:$C$46,$G$39:$G$46,节奏预期!L79)+节奏预期!G79*求节点($C$39:$C$46,$F$39:$F$46,节奏预期!K79)+节奏预期!F79*求节点($C$39:$C$46,$E$39:$E$46,节奏预期!J79)+节奏预期!E79*求节点($C$39:$C$46,$D$39:$D$46,节奏预期!I79)))</f>
        <v>0</v>
      </c>
      <c r="AN64" s="8">
        <f>IF(AL64&lt;=节奏预期!$B$1,0,SUMPRODUCT(投放验证!AD66:AG66,$D$50:$G$50)-SUMPRODUCT(节奏预期!E79:H79,节奏预期!I79:L79+1,$D$50:$G$50))</f>
        <v>0</v>
      </c>
      <c r="AO64" s="8">
        <f t="shared" si="21"/>
        <v>0</v>
      </c>
      <c r="AR64" s="5">
        <v>60</v>
      </c>
      <c r="AS64" s="5">
        <f t="shared" si="7"/>
        <v>0</v>
      </c>
      <c r="AT64" s="5">
        <f t="shared" si="8"/>
        <v>0</v>
      </c>
      <c r="AU64" s="5">
        <f t="shared" si="17"/>
        <v>0</v>
      </c>
      <c r="AV64" s="5">
        <f t="shared" si="17"/>
        <v>0</v>
      </c>
      <c r="AW64" s="5">
        <f t="shared" si="10"/>
        <v>0</v>
      </c>
    </row>
    <row r="65" spans="2:49" x14ac:dyDescent="0.15">
      <c r="B65" s="57"/>
      <c r="C65" s="58"/>
      <c r="D65" s="8">
        <v>3</v>
      </c>
      <c r="E65" s="8">
        <v>5</v>
      </c>
      <c r="F65" s="8">
        <v>7</v>
      </c>
      <c r="G65" s="8">
        <v>10</v>
      </c>
      <c r="N65" s="8">
        <v>40</v>
      </c>
      <c r="O65" s="8">
        <f>IF(节奏预期!E80=0,0,求节点($C$54:$C$61,D$54:D$61,节奏预期!I80))</f>
        <v>0</v>
      </c>
      <c r="P65" s="8">
        <f>IF(节奏预期!F80=0,0,求节点($C$54:$C$61,E$54:E$61,节奏预期!J80))</f>
        <v>0</v>
      </c>
      <c r="Q65" s="8">
        <f>IF(节奏预期!G80=0,0,求节点($C$54:$C$61,F$54:F$61,节奏预期!K80))</f>
        <v>0</v>
      </c>
      <c r="R65" s="8">
        <f>IF(节奏预期!H80=0,0,求节点($C$54:$C$61,G$54:G$61,节奏预期!L80))</f>
        <v>0</v>
      </c>
      <c r="S65" s="8">
        <f t="shared" si="20"/>
        <v>0</v>
      </c>
      <c r="T65" s="8"/>
      <c r="Z65" s="5">
        <v>61</v>
      </c>
      <c r="AA65" s="5">
        <f t="shared" si="1"/>
        <v>9.2202289515276991E-3</v>
      </c>
      <c r="AB65" s="5">
        <f t="shared" si="2"/>
        <v>1.2782186345479526E-2</v>
      </c>
      <c r="AC65" s="5">
        <f t="shared" si="3"/>
        <v>1.7999999999999999E-2</v>
      </c>
      <c r="AD65" s="5">
        <f t="shared" si="4"/>
        <v>1.7999999999999999E-2</v>
      </c>
      <c r="AE65" s="5">
        <f t="shared" si="5"/>
        <v>1.7999999999999999E-2</v>
      </c>
      <c r="AL65" s="8">
        <v>40</v>
      </c>
      <c r="AM65" s="8">
        <f>MAX(AM64,IF(AL65&lt;=节奏预期!$B$1,0,节奏预期!H80*求节点($C$39:$C$46,$G$39:$G$46,节奏预期!L80)+节奏预期!G80*求节点($C$39:$C$46,$F$39:$F$46,节奏预期!K80)+节奏预期!F80*求节点($C$39:$C$46,$E$39:$E$46,节奏预期!J80)+节奏预期!E80*求节点($C$39:$C$46,$D$39:$D$46,节奏预期!I80)))</f>
        <v>0</v>
      </c>
      <c r="AN65" s="8">
        <f>IF(AL65&lt;=节奏预期!$B$1,0,SUMPRODUCT(投放验证!AD67:AG67,$D$50:$G$50)-SUMPRODUCT(节奏预期!E80:H80,节奏预期!I80:L80+1,$D$50:$G$50))</f>
        <v>0</v>
      </c>
      <c r="AO65" s="8">
        <f t="shared" si="21"/>
        <v>0</v>
      </c>
      <c r="AR65" s="5">
        <v>61</v>
      </c>
      <c r="AS65" s="5">
        <f t="shared" si="7"/>
        <v>9.3397063455190457E-2</v>
      </c>
      <c r="AT65" s="5">
        <f t="shared" si="8"/>
        <v>4.9842621738133502E-2</v>
      </c>
      <c r="AU65" s="5">
        <f t="shared" si="17"/>
        <v>5.9564480290923962E-2</v>
      </c>
      <c r="AV65" s="5">
        <f t="shared" si="17"/>
        <v>5.9564480290923962E-2</v>
      </c>
      <c r="AW65" s="5">
        <f t="shared" si="10"/>
        <v>7.0759483458027822E-2</v>
      </c>
    </row>
    <row r="66" spans="2:49" x14ac:dyDescent="0.15">
      <c r="N66" s="8">
        <v>50</v>
      </c>
      <c r="O66" s="8">
        <f>IF(节奏预期!E81=0,0,求节点($C$54:$C$61,D$54:D$61,节奏预期!I81))</f>
        <v>0</v>
      </c>
      <c r="P66" s="8">
        <f>IF(节奏预期!F81=0,0,求节点($C$54:$C$61,E$54:E$61,节奏预期!J81))</f>
        <v>0</v>
      </c>
      <c r="Q66" s="8">
        <f>IF(节奏预期!G81=0,0,求节点($C$54:$C$61,F$54:F$61,节奏预期!K81))</f>
        <v>0</v>
      </c>
      <c r="R66" s="8">
        <f>IF(节奏预期!H81=0,0,求节点($C$54:$C$61,G$54:G$61,节奏预期!L81))</f>
        <v>0</v>
      </c>
      <c r="S66" s="8">
        <f t="shared" si="20"/>
        <v>0</v>
      </c>
      <c r="T66" s="8"/>
      <c r="Z66" s="5">
        <v>62</v>
      </c>
      <c r="AA66" s="5">
        <f t="shared" si="1"/>
        <v>1.8440457903055398E-2</v>
      </c>
      <c r="AB66" s="5">
        <f t="shared" si="2"/>
        <v>2.5564372690959052E-2</v>
      </c>
      <c r="AC66" s="5">
        <f t="shared" si="3"/>
        <v>3.5999999999999997E-2</v>
      </c>
      <c r="AD66" s="5">
        <f t="shared" si="4"/>
        <v>3.5999999999999997E-2</v>
      </c>
      <c r="AE66" s="5">
        <f t="shared" si="5"/>
        <v>3.5999999999999997E-2</v>
      </c>
      <c r="AL66" s="8">
        <v>50</v>
      </c>
      <c r="AM66" s="8">
        <f>MAX(AM65,IF(AL66&lt;=节奏预期!$B$1,0,节奏预期!H81*求节点($C$39:$C$46,$G$39:$G$46,节奏预期!L81)+节奏预期!G81*求节点($C$39:$C$46,$F$39:$F$46,节奏预期!K81)+节奏预期!F81*求节点($C$39:$C$46,$E$39:$E$46,节奏预期!J81)+节奏预期!E81*求节点($C$39:$C$46,$D$39:$D$46,节奏预期!I81)))</f>
        <v>0</v>
      </c>
      <c r="AN66" s="8">
        <f>IF(AL66&lt;=节奏预期!$B$1,0,SUMPRODUCT(投放验证!AD68:AG68,$D$50:$G$50)-SUMPRODUCT(节奏预期!E81:H81,节奏预期!I81:L81+1,$D$50:$G$50))</f>
        <v>0</v>
      </c>
      <c r="AO66" s="8">
        <f t="shared" si="21"/>
        <v>0</v>
      </c>
      <c r="AR66" s="5">
        <v>62</v>
      </c>
      <c r="AS66" s="5">
        <f t="shared" si="7"/>
        <v>0.18679412691038091</v>
      </c>
      <c r="AT66" s="5">
        <f t="shared" si="8"/>
        <v>9.9685243476267005E-2</v>
      </c>
      <c r="AU66" s="5">
        <f t="shared" si="17"/>
        <v>0.11912896058184792</v>
      </c>
      <c r="AV66" s="5">
        <f t="shared" si="17"/>
        <v>0.11912896058184792</v>
      </c>
      <c r="AW66" s="5">
        <f t="shared" si="10"/>
        <v>0.14151896691605564</v>
      </c>
    </row>
    <row r="67" spans="2:49" x14ac:dyDescent="0.15">
      <c r="N67" s="8">
        <v>60</v>
      </c>
      <c r="O67" s="8">
        <f>IF(节奏预期!E82=0,0,求节点($C$54:$C$61,D$54:D$61,节奏预期!I82))</f>
        <v>0</v>
      </c>
      <c r="P67" s="8">
        <f>IF(节奏预期!F82=0,0,求节点($C$54:$C$61,E$54:E$61,节奏预期!J82))</f>
        <v>0</v>
      </c>
      <c r="Q67" s="8">
        <f>IF(节奏预期!G82=0,0,求节点($C$54:$C$61,F$54:F$61,节奏预期!K82))</f>
        <v>0</v>
      </c>
      <c r="R67" s="8">
        <f>IF(节奏预期!H82=0,0,求节点($C$54:$C$61,G$54:G$61,节奏预期!L82))</f>
        <v>0</v>
      </c>
      <c r="S67" s="8">
        <f t="shared" si="20"/>
        <v>0</v>
      </c>
      <c r="T67" s="8"/>
      <c r="Z67" s="5">
        <v>63</v>
      </c>
      <c r="AA67" s="5">
        <f t="shared" si="1"/>
        <v>2.7660686854583096E-2</v>
      </c>
      <c r="AB67" s="5">
        <f t="shared" si="2"/>
        <v>3.8346559036438577E-2</v>
      </c>
      <c r="AC67" s="5">
        <f t="shared" si="3"/>
        <v>5.3999999999999992E-2</v>
      </c>
      <c r="AD67" s="5">
        <f t="shared" si="4"/>
        <v>5.3999999999999992E-2</v>
      </c>
      <c r="AE67" s="5">
        <f t="shared" si="5"/>
        <v>5.3999999999999992E-2</v>
      </c>
      <c r="AL67" s="8">
        <v>60</v>
      </c>
      <c r="AM67" s="8">
        <f>MAX(AM66,IF(AL67&lt;=节奏预期!$B$1,0,节奏预期!H82*求节点($C$39:$C$46,$G$39:$G$46,节奏预期!L82)+节奏预期!G82*求节点($C$39:$C$46,$F$39:$F$46,节奏预期!K82)+节奏预期!F82*求节点($C$39:$C$46,$E$39:$E$46,节奏预期!J82)+节奏预期!E82*求节点($C$39:$C$46,$D$39:$D$46,节奏预期!I82)))</f>
        <v>0</v>
      </c>
      <c r="AN67" s="8">
        <f>IF(AL67&lt;=节奏预期!$B$1,0,SUMPRODUCT(投放验证!AD69:AG69,$D$50:$G$50)-SUMPRODUCT(节奏预期!E82:H82,节奏预期!I82:L82+1,$D$50:$G$50))</f>
        <v>0</v>
      </c>
      <c r="AO67" s="8">
        <f t="shared" si="21"/>
        <v>0</v>
      </c>
      <c r="AR67" s="5">
        <v>63</v>
      </c>
      <c r="AS67" s="5">
        <f t="shared" si="7"/>
        <v>0.28019119036557139</v>
      </c>
      <c r="AT67" s="5">
        <f t="shared" si="8"/>
        <v>0.14952786521440051</v>
      </c>
      <c r="AU67" s="5">
        <f t="shared" si="17"/>
        <v>0.17869344087277189</v>
      </c>
      <c r="AV67" s="5">
        <f t="shared" si="17"/>
        <v>0.17869344087277189</v>
      </c>
      <c r="AW67" s="5">
        <f t="shared" si="10"/>
        <v>0.21227845037408347</v>
      </c>
    </row>
    <row r="68" spans="2:49" x14ac:dyDescent="0.15">
      <c r="N68" s="8">
        <v>70</v>
      </c>
      <c r="O68" s="8">
        <f>IF(节奏预期!E83=0,0,求节点($C$54:$C$61,D$54:D$61,节奏预期!I83))</f>
        <v>0.08</v>
      </c>
      <c r="P68" s="8">
        <f>IF(节奏预期!F83=0,0,求节点($C$54:$C$61,E$54:E$61,节奏预期!J83))</f>
        <v>0.18</v>
      </c>
      <c r="Q68" s="8">
        <f>IF(节奏预期!G83=0,0,求节点($C$54:$C$61,F$54:F$61,节奏预期!K83))</f>
        <v>8.0026656466035434E-2</v>
      </c>
      <c r="R68" s="8">
        <f>IF(节奏预期!H83=0,0,求节点($C$54:$C$61,G$54:G$61,节奏预期!L83))</f>
        <v>0</v>
      </c>
      <c r="S68" s="8">
        <f t="shared" si="20"/>
        <v>0.18</v>
      </c>
      <c r="T68" s="8"/>
      <c r="Z68" s="5">
        <v>64</v>
      </c>
      <c r="AA68" s="5">
        <f t="shared" si="1"/>
        <v>3.6880915806110796E-2</v>
      </c>
      <c r="AB68" s="5">
        <f t="shared" si="2"/>
        <v>5.1128745381918105E-2</v>
      </c>
      <c r="AC68" s="5">
        <f t="shared" si="3"/>
        <v>7.1999999999999995E-2</v>
      </c>
      <c r="AD68" s="5">
        <f t="shared" si="4"/>
        <v>7.1999999999999995E-2</v>
      </c>
      <c r="AE68" s="5">
        <f t="shared" si="5"/>
        <v>7.1999999999999995E-2</v>
      </c>
      <c r="AL68" s="8">
        <v>70</v>
      </c>
      <c r="AM68" s="8">
        <f>MAX(AM67,IF(AL68&lt;=节奏预期!$B$1,0,节奏预期!H83*求节点($C$39:$C$46,$G$39:$G$46,节奏预期!L83)+节奏预期!G83*求节点($C$39:$C$46,$F$39:$F$46,节奏预期!K83)+节奏预期!F83*求节点($C$39:$C$46,$E$39:$E$46,节奏预期!J83)+节奏预期!E83*求节点($C$39:$C$46,$D$39:$D$46,节奏预期!I83)))</f>
        <v>836.10662586414173</v>
      </c>
      <c r="AN68" s="8">
        <f>IF(AL68&lt;=节奏预期!$B$1,0,SUMPRODUCT(投放验证!AD70:AG70,$D$50:$G$50)-SUMPRODUCT(节奏预期!E83:H83,节奏预期!I83:L83+1,$D$50:$G$50))</f>
        <v>498.02256637395601</v>
      </c>
      <c r="AO68" s="8">
        <f t="shared" si="21"/>
        <v>0.5956448029092396</v>
      </c>
      <c r="AR68" s="5">
        <v>64</v>
      </c>
      <c r="AS68" s="5">
        <f t="shared" si="7"/>
        <v>0.37358825382076183</v>
      </c>
      <c r="AT68" s="5">
        <f t="shared" si="8"/>
        <v>0.19937048695253401</v>
      </c>
      <c r="AU68" s="5">
        <f t="shared" si="17"/>
        <v>0.23825792116369585</v>
      </c>
      <c r="AV68" s="5">
        <f t="shared" si="17"/>
        <v>0.23825792116369585</v>
      </c>
      <c r="AW68" s="5">
        <f t="shared" si="10"/>
        <v>0.28303793383211129</v>
      </c>
    </row>
    <row r="69" spans="2:49" x14ac:dyDescent="0.15">
      <c r="N69" s="8">
        <v>80</v>
      </c>
      <c r="O69" s="8">
        <f>IF(节奏预期!E84=0,0,求节点($C$54:$C$61,D$54:D$61,节奏预期!I84))</f>
        <v>0.08</v>
      </c>
      <c r="P69" s="8">
        <f>IF(节奏预期!F84=0,0,求节点($C$54:$C$61,E$54:E$61,节奏预期!J84))</f>
        <v>0.18</v>
      </c>
      <c r="Q69" s="8">
        <f>IF(节奏预期!G84=0,0,求节点($C$54:$C$61,F$54:F$61,节奏预期!K84))</f>
        <v>0.21319517207775712</v>
      </c>
      <c r="R69" s="8">
        <f>IF(节奏预期!H84=0,0,求节点($C$54:$C$61,G$54:G$61,节奏预期!L84))</f>
        <v>0.11875336701457659</v>
      </c>
      <c r="S69" s="8">
        <f t="shared" si="20"/>
        <v>0.21319517207775712</v>
      </c>
      <c r="T69" s="8"/>
      <c r="Z69" s="5">
        <v>65</v>
      </c>
      <c r="AA69" s="5">
        <f t="shared" si="1"/>
        <v>4.6101144757638497E-2</v>
      </c>
      <c r="AB69" s="5">
        <f t="shared" si="2"/>
        <v>6.3910931727397632E-2</v>
      </c>
      <c r="AC69" s="5">
        <f t="shared" si="3"/>
        <v>0.09</v>
      </c>
      <c r="AD69" s="5">
        <f t="shared" si="4"/>
        <v>0.09</v>
      </c>
      <c r="AE69" s="5">
        <f t="shared" si="5"/>
        <v>0.09</v>
      </c>
      <c r="AL69" s="8">
        <v>80</v>
      </c>
      <c r="AM69" s="8">
        <f>MAX(AM68,IF(AL69&lt;=节奏预期!$B$1,0,节奏预期!H84*求节点($C$39:$C$46,$G$39:$G$46,节奏预期!L84)+节奏预期!G84*求节点($C$39:$C$46,$F$39:$F$46,节奏预期!K84)+节奏预期!F84*求节点($C$39:$C$46,$E$39:$E$46,节奏预期!J84)+节奏预期!E84*求节点($C$39:$C$46,$D$39:$D$46,节奏预期!I84)))</f>
        <v>2393.9130710254476</v>
      </c>
      <c r="AN69" s="8">
        <f>IF(AL69&lt;=节奏预期!$B$1,0,SUMPRODUCT(投放验证!AD71:AG71,$D$50:$G$50)-SUMPRODUCT(节奏预期!E84:H84,节奏预期!I84:L84+1,$D$50:$G$50))</f>
        <v>1434.4280545104889</v>
      </c>
      <c r="AO69" s="8">
        <f t="shared" si="21"/>
        <v>0.59919805437882612</v>
      </c>
      <c r="AR69" s="5">
        <v>65</v>
      </c>
      <c r="AS69" s="5">
        <f t="shared" si="7"/>
        <v>0.46698531727595227</v>
      </c>
      <c r="AT69" s="5">
        <f t="shared" si="8"/>
        <v>0.24921310869066751</v>
      </c>
      <c r="AU69" s="5">
        <f t="shared" si="17"/>
        <v>0.2978224014546198</v>
      </c>
      <c r="AV69" s="5">
        <f t="shared" si="17"/>
        <v>0.2978224014546198</v>
      </c>
      <c r="AW69" s="5">
        <f t="shared" si="10"/>
        <v>0.35379741729013914</v>
      </c>
    </row>
    <row r="70" spans="2:49" x14ac:dyDescent="0.15">
      <c r="N70" s="8">
        <v>90</v>
      </c>
      <c r="O70" s="8">
        <f>IF(节奏预期!E85=0,0,求节点($C$54:$C$61,D$54:D$61,节奏预期!I85))</f>
        <v>0.08</v>
      </c>
      <c r="P70" s="8">
        <f>IF(节奏预期!F85=0,0,求节点($C$54:$C$61,E$54:E$61,节奏预期!J85))</f>
        <v>0.18</v>
      </c>
      <c r="Q70" s="8">
        <f>IF(节奏预期!G85=0,0,求节点($C$54:$C$61,F$54:F$61,节奏预期!K85))</f>
        <v>0.32</v>
      </c>
      <c r="R70" s="8">
        <f>IF(节奏预期!H85=0,0,求节点($C$54:$C$61,G$54:G$61,节奏预期!L85))</f>
        <v>0.48</v>
      </c>
      <c r="S70" s="8">
        <f t="shared" si="20"/>
        <v>0.48</v>
      </c>
      <c r="T70" s="8"/>
      <c r="Z70" s="5">
        <v>66</v>
      </c>
      <c r="AA70" s="5">
        <f t="shared" ref="AA70:AA133" si="22">求节点($N$5:$N$20,$S$5:$S$20,$Z70)</f>
        <v>5.5321373709166191E-2</v>
      </c>
      <c r="AB70" s="5">
        <f t="shared" ref="AB70:AB133" si="23">求节点($N$24:$N$39,$S$24:$S$39,$Z70)</f>
        <v>7.6693118072877153E-2</v>
      </c>
      <c r="AC70" s="5">
        <f t="shared" ref="AC70:AC133" si="24">求节点($N$43:$N$58,$S$43:$S$58,$Z70)</f>
        <v>0.10799999999999998</v>
      </c>
      <c r="AD70" s="5">
        <f t="shared" ref="AD70:AD133" si="25">求节点($N$62:$N$77,$S$62:$S$77,$Z70)</f>
        <v>0.10799999999999998</v>
      </c>
      <c r="AE70" s="5">
        <f t="shared" ref="AE70:AE133" si="26">求节点($N$81:$N$96,$S$81:$S$96,$Z70)</f>
        <v>0.10799999999999998</v>
      </c>
      <c r="AL70" s="8">
        <v>90</v>
      </c>
      <c r="AM70" s="8">
        <f>MAX(AM69,IF(AL70&lt;=节奏预期!$B$1,0,节奏预期!H85*求节点($C$39:$C$46,$G$39:$G$46,节奏预期!L85)+节奏预期!G85*求节点($C$39:$C$46,$F$39:$F$46,节奏预期!K85)+节奏预期!F85*求节点($C$39:$C$46,$E$39:$E$46,节奏预期!J85)+节奏预期!E85*求节点($C$39:$C$46,$D$39:$D$46,节奏预期!I85)))</f>
        <v>12948</v>
      </c>
      <c r="AN70" s="8">
        <f>IF(AL70&lt;=节奏预期!$B$1,0,SUMPRODUCT(投放验证!AD72:AG72,$D$50:$G$50)-SUMPRODUCT(节奏预期!E85:H85,节奏预期!I85:L85+1,$D$50:$G$50))</f>
        <v>3372.5288459405401</v>
      </c>
      <c r="AO70" s="8">
        <f t="shared" si="21"/>
        <v>0.2604671644995783</v>
      </c>
      <c r="AR70" s="5">
        <v>66</v>
      </c>
      <c r="AS70" s="5">
        <f t="shared" ref="AS70:AS133" si="27">求节点($AL$5:$AL$20,$AO$5:$AO$20,$AR70)</f>
        <v>0.56038238073114277</v>
      </c>
      <c r="AT70" s="5">
        <f t="shared" ref="AT70:AT133" si="28">求节点($AL$24:$AL$39,$AO$24:$AO$39,$AR70)</f>
        <v>0.29905573042880101</v>
      </c>
      <c r="AU70" s="5">
        <f t="shared" ref="AU70:AV101" si="29">求节点($AL$62:$AL$77,$AO$62:$AO$77,$AR70)</f>
        <v>0.35738688174554378</v>
      </c>
      <c r="AV70" s="5">
        <f t="shared" si="29"/>
        <v>0.35738688174554378</v>
      </c>
      <c r="AW70" s="5">
        <f t="shared" ref="AW70:AW133" si="30">求节点($AL$81:$AL$96,$AO$81:$AO$96,$AR70)</f>
        <v>0.42455690074816693</v>
      </c>
    </row>
    <row r="71" spans="2:49" x14ac:dyDescent="0.15">
      <c r="N71" s="8">
        <v>100</v>
      </c>
      <c r="O71" s="8">
        <f>IF(节奏预期!E86=0,0,求节点($C$54:$C$61,D$54:D$61,节奏预期!I86))</f>
        <v>0.08</v>
      </c>
      <c r="P71" s="8">
        <f>IF(节奏预期!F86=0,0,求节点($C$54:$C$61,E$54:E$61,节奏预期!J86))</f>
        <v>0.18</v>
      </c>
      <c r="Q71" s="8">
        <f>IF(节奏预期!G86=0,0,求节点($C$54:$C$61,F$54:F$61,节奏预期!K86))</f>
        <v>0.32</v>
      </c>
      <c r="R71" s="8">
        <f>IF(节奏预期!H86=0,0,求节点($C$54:$C$61,G$54:G$61,节奏预期!L86))</f>
        <v>0.48</v>
      </c>
      <c r="S71" s="8">
        <f t="shared" si="20"/>
        <v>0.48</v>
      </c>
      <c r="T71" s="8"/>
      <c r="Z71" s="5">
        <v>67</v>
      </c>
      <c r="AA71" s="5">
        <f t="shared" si="22"/>
        <v>6.4541602660693892E-2</v>
      </c>
      <c r="AB71" s="5">
        <f t="shared" si="23"/>
        <v>8.9475304418356688E-2</v>
      </c>
      <c r="AC71" s="5">
        <f t="shared" si="24"/>
        <v>0.126</v>
      </c>
      <c r="AD71" s="5">
        <f t="shared" si="25"/>
        <v>0.126</v>
      </c>
      <c r="AE71" s="5">
        <f t="shared" si="26"/>
        <v>0.126</v>
      </c>
      <c r="AL71" s="8">
        <v>100</v>
      </c>
      <c r="AM71" s="8">
        <f>MAX(AM70,IF(AL71&lt;=节奏预期!$B$1,0,节奏预期!H86*求节点($C$39:$C$46,$G$39:$G$46,节奏预期!L86)+节奏预期!G86*求节点($C$39:$C$46,$F$39:$F$46,节奏预期!K86)+节奏预期!F86*求节点($C$39:$C$46,$E$39:$E$46,节奏预期!J86)+节奏预期!E86*求节点($C$39:$C$46,$D$39:$D$46,节奏预期!I86)))</f>
        <v>12948</v>
      </c>
      <c r="AN71" s="8">
        <f>IF(AL71&lt;=节奏预期!$B$1,0,SUMPRODUCT(投放验证!AD73:AG73,$D$50:$G$50)-SUMPRODUCT(节奏预期!E86:H86,节奏预期!I86:L86+1,$D$50:$G$50))</f>
        <v>11689.80769160783</v>
      </c>
      <c r="AO71" s="8">
        <f t="shared" si="21"/>
        <v>0.90282728541920221</v>
      </c>
      <c r="AR71" s="5">
        <v>67</v>
      </c>
      <c r="AS71" s="5">
        <f t="shared" si="27"/>
        <v>0.65377944418633316</v>
      </c>
      <c r="AT71" s="5">
        <f t="shared" si="28"/>
        <v>0.34889835216693454</v>
      </c>
      <c r="AU71" s="5">
        <f t="shared" si="29"/>
        <v>0.41695136203646771</v>
      </c>
      <c r="AV71" s="5">
        <f t="shared" si="29"/>
        <v>0.41695136203646771</v>
      </c>
      <c r="AW71" s="5">
        <f t="shared" si="30"/>
        <v>0.49531638420619473</v>
      </c>
    </row>
    <row r="72" spans="2:49" x14ac:dyDescent="0.15">
      <c r="N72" s="8">
        <v>110</v>
      </c>
      <c r="O72" s="8">
        <f>IF(节奏预期!E87=0,0,求节点($C$54:$C$61,D$54:D$61,节奏预期!I87))</f>
        <v>0.08</v>
      </c>
      <c r="P72" s="8">
        <f>IF(节奏预期!F87=0,0,求节点($C$54:$C$61,E$54:E$61,节奏预期!J87))</f>
        <v>0.18</v>
      </c>
      <c r="Q72" s="8">
        <f>IF(节奏预期!G87=0,0,求节点($C$54:$C$61,F$54:F$61,节奏预期!K87))</f>
        <v>0.32</v>
      </c>
      <c r="R72" s="8">
        <f>IF(节奏预期!H87=0,0,求节点($C$54:$C$61,G$54:G$61,节奏预期!L87))</f>
        <v>0.48</v>
      </c>
      <c r="S72" s="8">
        <f t="shared" si="20"/>
        <v>0.48</v>
      </c>
      <c r="T72" s="8"/>
      <c r="Z72" s="5">
        <v>68</v>
      </c>
      <c r="AA72" s="5">
        <f t="shared" si="22"/>
        <v>7.3761831612221593E-2</v>
      </c>
      <c r="AB72" s="5">
        <f t="shared" si="23"/>
        <v>0.10225749076383621</v>
      </c>
      <c r="AC72" s="5">
        <f t="shared" si="24"/>
        <v>0.14399999999999999</v>
      </c>
      <c r="AD72" s="5">
        <f t="shared" si="25"/>
        <v>0.14399999999999999</v>
      </c>
      <c r="AE72" s="5">
        <f t="shared" si="26"/>
        <v>0.14399999999999999</v>
      </c>
      <c r="AL72" s="8">
        <v>110</v>
      </c>
      <c r="AM72" s="8">
        <f>MAX(AM71,IF(AL72&lt;=节奏预期!$B$1,0,节奏预期!H87*求节点($C$39:$C$46,$G$39:$G$46,节奏预期!L87)+节奏预期!G87*求节点($C$39:$C$46,$F$39:$F$46,节奏预期!K87)+节奏预期!F87*求节点($C$39:$C$46,$E$39:$E$46,节奏预期!J87)+节奏预期!E87*求节点($C$39:$C$46,$D$39:$D$46,节奏预期!I87)))</f>
        <v>12948</v>
      </c>
      <c r="AN72" s="8">
        <f>IF(AL72&lt;=节奏预期!$B$1,0,SUMPRODUCT(投放验证!AD74:AG74,$D$50:$G$50)-SUMPRODUCT(节奏预期!E87:H87,节奏预期!I87:L87+1,$D$50:$G$50))</f>
        <v>27683.425808832864</v>
      </c>
      <c r="AO72" s="8">
        <f t="shared" si="21"/>
        <v>2.1380464789027545</v>
      </c>
      <c r="AR72" s="5">
        <v>68</v>
      </c>
      <c r="AS72" s="5">
        <f t="shared" si="27"/>
        <v>0.74717650764152366</v>
      </c>
      <c r="AT72" s="5">
        <f t="shared" si="28"/>
        <v>0.39874097390506802</v>
      </c>
      <c r="AU72" s="5">
        <f t="shared" si="29"/>
        <v>0.47651584232739169</v>
      </c>
      <c r="AV72" s="5">
        <f t="shared" si="29"/>
        <v>0.47651584232739169</v>
      </c>
      <c r="AW72" s="5">
        <f t="shared" si="30"/>
        <v>0.56607586766422258</v>
      </c>
    </row>
    <row r="73" spans="2:49" x14ac:dyDescent="0.15">
      <c r="N73" s="8">
        <v>120</v>
      </c>
      <c r="O73" s="8">
        <f>IF(节奏预期!E88=0,0,求节点($C$54:$C$61,D$54:D$61,节奏预期!I88))</f>
        <v>0.08</v>
      </c>
      <c r="P73" s="8">
        <f>IF(节奏预期!F88=0,0,求节点($C$54:$C$61,E$54:E$61,节奏预期!J88))</f>
        <v>0.18</v>
      </c>
      <c r="Q73" s="8">
        <f>IF(节奏预期!G88=0,0,求节点($C$54:$C$61,F$54:F$61,节奏预期!K88))</f>
        <v>0.32</v>
      </c>
      <c r="R73" s="8">
        <f>IF(节奏预期!H88=0,0,求节点($C$54:$C$61,G$54:G$61,节奏预期!L88))</f>
        <v>0.48</v>
      </c>
      <c r="S73" s="8">
        <f t="shared" si="20"/>
        <v>0.48</v>
      </c>
      <c r="T73" s="8"/>
      <c r="Z73" s="5">
        <v>69</v>
      </c>
      <c r="AA73" s="5">
        <f t="shared" si="22"/>
        <v>8.2982060563749294E-2</v>
      </c>
      <c r="AB73" s="5">
        <f t="shared" si="23"/>
        <v>0.11503967710931573</v>
      </c>
      <c r="AC73" s="5">
        <f t="shared" si="24"/>
        <v>0.16199999999999998</v>
      </c>
      <c r="AD73" s="5">
        <f t="shared" si="25"/>
        <v>0.16199999999999998</v>
      </c>
      <c r="AE73" s="5">
        <f t="shared" si="26"/>
        <v>0.16199999999999998</v>
      </c>
      <c r="AL73" s="8">
        <v>120</v>
      </c>
      <c r="AM73" s="8">
        <f>MAX(AM72,IF(AL73&lt;=节奏预期!$B$1,0,节奏预期!H88*求节点($C$39:$C$46,$G$39:$G$46,节奏预期!L88)+节奏预期!G88*求节点($C$39:$C$46,$F$39:$F$46,节奏预期!K88)+节奏预期!F88*求节点($C$39:$C$46,$E$39:$E$46,节奏预期!J88)+节奏预期!E88*求节点($C$39:$C$46,$D$39:$D$46,节奏预期!I88)))</f>
        <v>12948</v>
      </c>
      <c r="AN73" s="8">
        <f>IF(AL73&lt;=节奏预期!$B$1,0,SUMPRODUCT(投放验证!AD75:AG75,$D$50:$G$50)-SUMPRODUCT(节奏预期!E88:H88,节奏预期!I88:L88+1,$D$50:$G$50))</f>
        <v>59405.9669791489</v>
      </c>
      <c r="AO73" s="8">
        <f t="shared" si="21"/>
        <v>4.5880419353683113</v>
      </c>
      <c r="AR73" s="5">
        <v>69</v>
      </c>
      <c r="AS73" s="5">
        <f t="shared" si="27"/>
        <v>0.84057357109671416</v>
      </c>
      <c r="AT73" s="5">
        <f t="shared" si="28"/>
        <v>0.44858359564320149</v>
      </c>
      <c r="AU73" s="5">
        <f t="shared" si="29"/>
        <v>0.53608032261831562</v>
      </c>
      <c r="AV73" s="5">
        <f t="shared" si="29"/>
        <v>0.53608032261831562</v>
      </c>
      <c r="AW73" s="5">
        <f t="shared" si="30"/>
        <v>0.63683535112225043</v>
      </c>
    </row>
    <row r="74" spans="2:49" x14ac:dyDescent="0.15">
      <c r="N74" s="8">
        <v>130</v>
      </c>
      <c r="O74" s="8">
        <f>IF(节奏预期!E89=0,0,求节点($C$54:$C$61,D$54:D$61,节奏预期!I89))</f>
        <v>0.08</v>
      </c>
      <c r="P74" s="8">
        <f>IF(节奏预期!F89=0,0,求节点($C$54:$C$61,E$54:E$61,节奏预期!J89))</f>
        <v>0.18</v>
      </c>
      <c r="Q74" s="8">
        <f>IF(节奏预期!G89=0,0,求节点($C$54:$C$61,F$54:F$61,节奏预期!K89))</f>
        <v>0.32</v>
      </c>
      <c r="R74" s="8">
        <f>IF(节奏预期!H89=0,0,求节点($C$54:$C$61,G$54:G$61,节奏预期!L89))</f>
        <v>0.48</v>
      </c>
      <c r="S74" s="8">
        <f t="shared" si="20"/>
        <v>0.48</v>
      </c>
      <c r="T74" s="8"/>
      <c r="Z74" s="5">
        <v>70</v>
      </c>
      <c r="AA74" s="5">
        <f t="shared" si="22"/>
        <v>9.2202289515276994E-2</v>
      </c>
      <c r="AB74" s="5">
        <f t="shared" si="23"/>
        <v>0.12782186345479526</v>
      </c>
      <c r="AC74" s="5">
        <f t="shared" si="24"/>
        <v>0.18</v>
      </c>
      <c r="AD74" s="5">
        <f t="shared" si="25"/>
        <v>0.18</v>
      </c>
      <c r="AE74" s="5">
        <f t="shared" si="26"/>
        <v>0.18</v>
      </c>
      <c r="AL74" s="8">
        <v>130</v>
      </c>
      <c r="AM74" s="8">
        <f>MAX(AM73,IF(AL74&lt;=节奏预期!$B$1,0,节奏预期!H89*求节点($C$39:$C$46,$G$39:$G$46,节奏预期!L89)+节奏预期!G89*求节点($C$39:$C$46,$F$39:$F$46,节奏预期!K89)+节奏预期!F89*求节点($C$39:$C$46,$E$39:$E$46,节奏预期!J89)+节奏预期!E89*求节点($C$39:$C$46,$D$39:$D$46,节奏预期!I89)))</f>
        <v>12948</v>
      </c>
      <c r="AN74" s="8">
        <f>IF(AL74&lt;=节奏预期!$B$1,0,SUMPRODUCT(投放验证!AD76:AG76,$D$50:$G$50)-SUMPRODUCT(节奏预期!E89:H89,节奏预期!I89:L89+1,$D$50:$G$50))</f>
        <v>122061.56895895199</v>
      </c>
      <c r="AO74" s="8">
        <f t="shared" si="21"/>
        <v>9.4270596971696001</v>
      </c>
      <c r="AR74" s="5">
        <v>70</v>
      </c>
      <c r="AS74" s="5">
        <f t="shared" si="27"/>
        <v>0.93397063455190454</v>
      </c>
      <c r="AT74" s="5">
        <f t="shared" si="28"/>
        <v>0.49842621738133502</v>
      </c>
      <c r="AU74" s="5">
        <f t="shared" si="29"/>
        <v>0.5956448029092396</v>
      </c>
      <c r="AV74" s="5">
        <f t="shared" si="29"/>
        <v>0.5956448029092396</v>
      </c>
      <c r="AW74" s="5">
        <f t="shared" si="30"/>
        <v>0.70759483458027828</v>
      </c>
    </row>
    <row r="75" spans="2:49" x14ac:dyDescent="0.15">
      <c r="N75" s="8">
        <v>140</v>
      </c>
      <c r="O75" s="8">
        <f>IF(节奏预期!E90=0,0,求节点($C$54:$C$61,D$54:D$61,节奏预期!I90))</f>
        <v>0.08</v>
      </c>
      <c r="P75" s="8">
        <f>IF(节奏预期!F90=0,0,求节点($C$54:$C$61,E$54:E$61,节奏预期!J90))</f>
        <v>0.18</v>
      </c>
      <c r="Q75" s="8">
        <f>IF(节奏预期!G90=0,0,求节点($C$54:$C$61,F$54:F$61,节奏预期!K90))</f>
        <v>0.32</v>
      </c>
      <c r="R75" s="8">
        <f>IF(节奏预期!H90=0,0,求节点($C$54:$C$61,G$54:G$61,节奏预期!L90))</f>
        <v>0.48</v>
      </c>
      <c r="S75" s="8">
        <f t="shared" si="20"/>
        <v>0.48</v>
      </c>
      <c r="T75" s="8"/>
      <c r="Z75" s="5">
        <v>71</v>
      </c>
      <c r="AA75" s="5">
        <f t="shared" si="22"/>
        <v>0.1009820605637493</v>
      </c>
      <c r="AB75" s="5">
        <f t="shared" si="23"/>
        <v>0.13303967710931575</v>
      </c>
      <c r="AC75" s="5">
        <f t="shared" si="24"/>
        <v>0.18</v>
      </c>
      <c r="AD75" s="5">
        <f t="shared" si="25"/>
        <v>0.1833195172077757</v>
      </c>
      <c r="AE75" s="5">
        <f t="shared" si="26"/>
        <v>0.18883080554021286</v>
      </c>
      <c r="AL75" s="8">
        <v>140</v>
      </c>
      <c r="AM75" s="8">
        <f>MAX(AM74,IF(AL75&lt;=节奏预期!$B$1,0,节奏预期!H90*求节点($C$39:$C$46,$G$39:$G$46,节奏预期!L90)+节奏预期!G90*求节点($C$39:$C$46,$F$39:$F$46,节奏预期!K90)+节奏预期!F90*求节点($C$39:$C$46,$E$39:$E$46,节奏预期!J90)+节奏预期!E90*求节点($C$39:$C$46,$D$39:$D$46,节奏预期!I90)))</f>
        <v>12948</v>
      </c>
      <c r="AN75" s="8">
        <f>IF(AL75&lt;=节奏预期!$B$1,0,SUMPRODUCT(投放验证!AD77:AG77,$D$50:$G$50)-SUMPRODUCT(节奏预期!E90:H90,节奏预期!I90:L90+1,$D$50:$G$50))</f>
        <v>245182.79293013879</v>
      </c>
      <c r="AO75" s="8">
        <f t="shared" si="21"/>
        <v>18.935958675481835</v>
      </c>
      <c r="AR75" s="5">
        <v>71</v>
      </c>
      <c r="AS75" s="5">
        <f t="shared" si="27"/>
        <v>0.88097442965101658</v>
      </c>
      <c r="AT75" s="5">
        <f t="shared" si="28"/>
        <v>0.50540991380153344</v>
      </c>
      <c r="AU75" s="5">
        <f t="shared" si="29"/>
        <v>0.59600012805619829</v>
      </c>
      <c r="AV75" s="5">
        <f t="shared" si="29"/>
        <v>0.59600012805619829</v>
      </c>
      <c r="AW75" s="5">
        <f t="shared" si="30"/>
        <v>0.66818893205013086</v>
      </c>
    </row>
    <row r="76" spans="2:49" x14ac:dyDescent="0.15">
      <c r="N76" s="8">
        <v>150</v>
      </c>
      <c r="O76" s="8">
        <f>IF(节奏预期!E91=0,0,求节点($C$54:$C$61,D$54:D$61,节奏预期!I91))</f>
        <v>0.08</v>
      </c>
      <c r="P76" s="8">
        <f>IF(节奏预期!F91=0,0,求节点($C$54:$C$61,E$54:E$61,节奏预期!J91))</f>
        <v>0.18</v>
      </c>
      <c r="Q76" s="8">
        <f>IF(节奏预期!G91=0,0,求节点($C$54:$C$61,F$54:F$61,节奏预期!K91))</f>
        <v>0.32</v>
      </c>
      <c r="R76" s="8">
        <f>IF(节奏预期!H91=0,0,求节点($C$54:$C$61,G$54:G$61,节奏预期!L91))</f>
        <v>0.48</v>
      </c>
      <c r="S76" s="8">
        <f t="shared" si="20"/>
        <v>0.48</v>
      </c>
      <c r="T76" s="8"/>
      <c r="Z76" s="5">
        <v>72</v>
      </c>
      <c r="AA76" s="5">
        <f t="shared" si="22"/>
        <v>0.1097618316122216</v>
      </c>
      <c r="AB76" s="5">
        <f t="shared" si="23"/>
        <v>0.1382574907638362</v>
      </c>
      <c r="AC76" s="5">
        <f t="shared" si="24"/>
        <v>0.18</v>
      </c>
      <c r="AD76" s="5">
        <f t="shared" si="25"/>
        <v>0.18663903441555141</v>
      </c>
      <c r="AE76" s="5">
        <f t="shared" si="26"/>
        <v>0.19766161108042574</v>
      </c>
      <c r="AL76" s="8">
        <v>150</v>
      </c>
      <c r="AM76" s="8">
        <f>MAX(AM75,IF(AL76&lt;=节奏预期!$B$1,0,节奏预期!H91*求节点($C$39:$C$46,$G$39:$G$46,节奏预期!L91)+节奏预期!G91*求节点($C$39:$C$46,$F$39:$F$46,节奏预期!K91)+节奏预期!F91*求节点($C$39:$C$46,$E$39:$E$46,节奏预期!J91)+节奏预期!E91*求节点($C$39:$C$46,$D$39:$D$46,节奏预期!I91)))</f>
        <v>12948</v>
      </c>
      <c r="AN76" s="8">
        <f>IF(AL76&lt;=节奏预期!$B$1,0,SUMPRODUCT(投放验证!AD78:AG78,$D$50:$G$50)-SUMPRODUCT(节奏预期!E91:H91,节奏预期!I91:L91+1,$D$50:$G$50))</f>
        <v>491211.38676496624</v>
      </c>
      <c r="AO76" s="8">
        <f t="shared" si="21"/>
        <v>37.937240250615247</v>
      </c>
      <c r="AR76" s="5">
        <v>72</v>
      </c>
      <c r="AS76" s="5">
        <f t="shared" si="27"/>
        <v>0.82797822475012861</v>
      </c>
      <c r="AT76" s="5">
        <f t="shared" si="28"/>
        <v>0.5123936102217318</v>
      </c>
      <c r="AU76" s="5">
        <f t="shared" si="29"/>
        <v>0.59635545320315686</v>
      </c>
      <c r="AV76" s="5">
        <f t="shared" si="29"/>
        <v>0.59635545320315686</v>
      </c>
      <c r="AW76" s="5">
        <f t="shared" si="30"/>
        <v>0.62878302951998344</v>
      </c>
    </row>
    <row r="77" spans="2:49" x14ac:dyDescent="0.15">
      <c r="N77" s="8">
        <v>160</v>
      </c>
      <c r="O77" s="8">
        <f>IF(节奏预期!E92=0,0,求节点($C$54:$C$61,D$54:D$61,节奏预期!I92))</f>
        <v>0.08</v>
      </c>
      <c r="P77" s="8">
        <f>IF(节奏预期!F92=0,0,求节点($C$54:$C$61,E$54:E$61,节奏预期!J92))</f>
        <v>0.18</v>
      </c>
      <c r="Q77" s="8">
        <f>IF(节奏预期!G92=0,0,求节点($C$54:$C$61,F$54:F$61,节奏预期!K92))</f>
        <v>0.32</v>
      </c>
      <c r="R77" s="8">
        <f>IF(节奏预期!H92=0,0,求节点($C$54:$C$61,G$54:G$61,节奏预期!L92))</f>
        <v>0.48</v>
      </c>
      <c r="S77" s="8">
        <f t="shared" si="20"/>
        <v>0.48</v>
      </c>
      <c r="T77" s="8"/>
      <c r="Z77" s="5">
        <v>73</v>
      </c>
      <c r="AA77" s="5">
        <f t="shared" si="22"/>
        <v>0.11854160266069388</v>
      </c>
      <c r="AB77" s="5">
        <f t="shared" si="23"/>
        <v>0.14347530441835668</v>
      </c>
      <c r="AC77" s="5">
        <f t="shared" si="24"/>
        <v>0.18</v>
      </c>
      <c r="AD77" s="5">
        <f t="shared" si="25"/>
        <v>0.18995855162332714</v>
      </c>
      <c r="AE77" s="5">
        <f t="shared" si="26"/>
        <v>0.20649241662063861</v>
      </c>
      <c r="AL77" s="8">
        <v>160</v>
      </c>
      <c r="AM77" s="8">
        <f>MAX(AM76,IF(AL77&lt;=节奏预期!$B$1,0,节奏预期!H92*求节点($C$39:$C$46,$G$39:$G$46,节奏预期!L92)+节奏预期!G92*求节点($C$39:$C$46,$F$39:$F$46,节奏预期!K92)+节奏预期!F92*求节点($C$39:$C$46,$E$39:$E$46,节奏预期!J92)+节奏预期!E92*求节点($C$39:$C$46,$D$39:$D$46,节奏预期!I92)))</f>
        <v>12948</v>
      </c>
      <c r="AN77" s="8">
        <f>IF(AL77&lt;=节奏预期!$B$1,0,SUMPRODUCT(投放验证!AD79:AG79,$D$50:$G$50)-SUMPRODUCT(节奏预期!E92:H92,节奏预期!I92:L92+1,$D$50:$G$50))</f>
        <v>2084449.8910235837</v>
      </c>
      <c r="AO77" s="8">
        <f t="shared" si="21"/>
        <v>160.98624428665306</v>
      </c>
      <c r="AR77" s="5">
        <v>73</v>
      </c>
      <c r="AS77" s="5">
        <f t="shared" si="27"/>
        <v>0.77498201984924053</v>
      </c>
      <c r="AT77" s="5">
        <f t="shared" si="28"/>
        <v>0.51937730664193016</v>
      </c>
      <c r="AU77" s="5">
        <f t="shared" si="29"/>
        <v>0.59671077835011554</v>
      </c>
      <c r="AV77" s="5">
        <f t="shared" si="29"/>
        <v>0.59671077835011554</v>
      </c>
      <c r="AW77" s="5">
        <f t="shared" si="30"/>
        <v>0.58937712698983602</v>
      </c>
    </row>
    <row r="78" spans="2:49" x14ac:dyDescent="0.15">
      <c r="Z78" s="5">
        <v>74</v>
      </c>
      <c r="AA78" s="5">
        <f t="shared" si="22"/>
        <v>0.12732137370916619</v>
      </c>
      <c r="AB78" s="5">
        <f t="shared" si="23"/>
        <v>0.14869311807287716</v>
      </c>
      <c r="AC78" s="5">
        <f t="shared" si="24"/>
        <v>0.18</v>
      </c>
      <c r="AD78" s="5">
        <f t="shared" si="25"/>
        <v>0.19327806883110285</v>
      </c>
      <c r="AE78" s="5">
        <f t="shared" si="26"/>
        <v>0.21532322216085148</v>
      </c>
      <c r="AR78" s="5">
        <v>74</v>
      </c>
      <c r="AS78" s="5">
        <f t="shared" si="27"/>
        <v>0.72198581494835257</v>
      </c>
      <c r="AT78" s="5">
        <f t="shared" si="28"/>
        <v>0.52636100306212863</v>
      </c>
      <c r="AU78" s="5">
        <f t="shared" si="29"/>
        <v>0.59706610349707423</v>
      </c>
      <c r="AV78" s="5">
        <f t="shared" si="29"/>
        <v>0.59706610349707423</v>
      </c>
      <c r="AW78" s="5">
        <f t="shared" si="30"/>
        <v>0.5499712244596886</v>
      </c>
    </row>
    <row r="79" spans="2:49" x14ac:dyDescent="0.15">
      <c r="O79" s="53" t="s">
        <v>158</v>
      </c>
      <c r="P79" s="53"/>
      <c r="Q79" s="53"/>
      <c r="R79" s="53"/>
      <c r="Z79" s="5">
        <v>75</v>
      </c>
      <c r="AA79" s="5">
        <f t="shared" si="22"/>
        <v>0.13610114475763849</v>
      </c>
      <c r="AB79" s="5">
        <f t="shared" si="23"/>
        <v>0.15391093172739762</v>
      </c>
      <c r="AC79" s="5">
        <f t="shared" si="24"/>
        <v>0.18</v>
      </c>
      <c r="AD79" s="5">
        <f t="shared" si="25"/>
        <v>0.19659758603887856</v>
      </c>
      <c r="AE79" s="5">
        <f t="shared" si="26"/>
        <v>0.22415402770106435</v>
      </c>
      <c r="AR79" s="5">
        <v>75</v>
      </c>
      <c r="AS79" s="5">
        <f t="shared" si="27"/>
        <v>0.6689896100474646</v>
      </c>
      <c r="AT79" s="5">
        <f t="shared" si="28"/>
        <v>0.53334469948232699</v>
      </c>
      <c r="AU79" s="5">
        <f t="shared" si="29"/>
        <v>0.59742142864403291</v>
      </c>
      <c r="AV79" s="5">
        <f t="shared" si="29"/>
        <v>0.59742142864403291</v>
      </c>
      <c r="AW79" s="5">
        <f t="shared" si="30"/>
        <v>0.51056532192954118</v>
      </c>
    </row>
    <row r="80" spans="2:49" x14ac:dyDescent="0.15">
      <c r="M80" s="5" t="s">
        <v>131</v>
      </c>
      <c r="N80" s="8" t="s">
        <v>141</v>
      </c>
      <c r="O80" s="8" t="s">
        <v>0</v>
      </c>
      <c r="P80" s="8" t="s">
        <v>1</v>
      </c>
      <c r="Q80" s="8" t="s">
        <v>2</v>
      </c>
      <c r="R80" s="8" t="s">
        <v>3</v>
      </c>
      <c r="S80" s="8" t="s">
        <v>159</v>
      </c>
      <c r="T80" s="8"/>
      <c r="Z80" s="5">
        <v>76</v>
      </c>
      <c r="AA80" s="5">
        <f t="shared" si="22"/>
        <v>0.14488091580611079</v>
      </c>
      <c r="AB80" s="5">
        <f t="shared" si="23"/>
        <v>0.1591287453819181</v>
      </c>
      <c r="AC80" s="5">
        <f t="shared" si="24"/>
        <v>0.18</v>
      </c>
      <c r="AD80" s="5">
        <f t="shared" si="25"/>
        <v>0.19991710324665427</v>
      </c>
      <c r="AE80" s="5">
        <f t="shared" si="26"/>
        <v>0.23298483324127722</v>
      </c>
      <c r="AK80" s="5" t="s">
        <v>131</v>
      </c>
      <c r="AL80" s="8" t="s">
        <v>141</v>
      </c>
      <c r="AM80" s="8" t="s">
        <v>189</v>
      </c>
      <c r="AN80" s="8" t="s">
        <v>190</v>
      </c>
      <c r="AO80" s="8" t="s">
        <v>192</v>
      </c>
      <c r="AR80" s="5">
        <v>76</v>
      </c>
      <c r="AS80" s="5">
        <f t="shared" si="27"/>
        <v>0.61599340514657663</v>
      </c>
      <c r="AT80" s="5">
        <f t="shared" si="28"/>
        <v>0.54032839590252535</v>
      </c>
      <c r="AU80" s="5">
        <f t="shared" si="29"/>
        <v>0.59777675379099149</v>
      </c>
      <c r="AV80" s="5">
        <f t="shared" si="29"/>
        <v>0.59777675379099149</v>
      </c>
      <c r="AW80" s="5">
        <f t="shared" si="30"/>
        <v>0.47115941939939371</v>
      </c>
    </row>
    <row r="81" spans="14:49" x14ac:dyDescent="0.15">
      <c r="N81" s="8">
        <v>10</v>
      </c>
      <c r="O81" s="8">
        <f>IF(节奏预期!E96=0,0,求节点($C$54:$C$61,D$54:D$61,节奏预期!I96))</f>
        <v>0</v>
      </c>
      <c r="P81" s="8">
        <f>IF(节奏预期!F96=0,0,求节点($C$54:$C$61,E$54:E$61,节奏预期!J96))</f>
        <v>0</v>
      </c>
      <c r="Q81" s="8">
        <f>IF(节奏预期!G96=0,0,求节点($C$54:$C$61,F$54:F$61,节奏预期!K96))</f>
        <v>0</v>
      </c>
      <c r="R81" s="8">
        <f>IF(节奏预期!H96=0,0,求节点($C$54:$C$61,G$54:G$61,节奏预期!L96))</f>
        <v>0</v>
      </c>
      <c r="S81" s="8">
        <f>MAX(O81:R81)</f>
        <v>0</v>
      </c>
      <c r="T81" s="8"/>
      <c r="Z81" s="5">
        <v>77</v>
      </c>
      <c r="AA81" s="5">
        <f t="shared" si="22"/>
        <v>0.15366068685458309</v>
      </c>
      <c r="AB81" s="5">
        <f t="shared" si="23"/>
        <v>0.16434655903643858</v>
      </c>
      <c r="AC81" s="5">
        <f t="shared" si="24"/>
        <v>0.18</v>
      </c>
      <c r="AD81" s="5">
        <f t="shared" si="25"/>
        <v>0.20323662045442997</v>
      </c>
      <c r="AE81" s="5">
        <f t="shared" si="26"/>
        <v>0.24181563878149009</v>
      </c>
      <c r="AL81" s="8">
        <v>10</v>
      </c>
      <c r="AM81" s="8">
        <f>MAX(AM80,IF(AL81&lt;=节奏预期!$B$1,0,节奏预期!H96*求节点($C$39:$C$46,$G$39:$G$46,节奏预期!L96)+节奏预期!G96*求节点($C$39:$C$46,$F$39:$F$46,节奏预期!K96)+节奏预期!F96*求节点($C$39:$C$46,$E$39:$E$46,节奏预期!J96)+节奏预期!E96*求节点($C$39:$C$46,$D$39:$D$46,节奏预期!I96)))</f>
        <v>0</v>
      </c>
      <c r="AN81" s="8">
        <f>IF(AL81&lt;=节奏预期!$B$1,0,SUMPRODUCT(投放验证!AD83:AG83,$D$50:$G$50)-SUMPRODUCT(节奏预期!E96:H96,节奏预期!I96:L96+1,$D$50:$G$50))</f>
        <v>0</v>
      </c>
      <c r="AO81" s="8">
        <f>IFERROR(AN81/AM81,0)</f>
        <v>0</v>
      </c>
      <c r="AR81" s="5">
        <v>77</v>
      </c>
      <c r="AS81" s="5">
        <f t="shared" si="27"/>
        <v>0.56299720024568867</v>
      </c>
      <c r="AT81" s="5">
        <f t="shared" si="28"/>
        <v>0.54731209232272371</v>
      </c>
      <c r="AU81" s="5">
        <f t="shared" si="29"/>
        <v>0.59813207893795017</v>
      </c>
      <c r="AV81" s="5">
        <f t="shared" si="29"/>
        <v>0.59813207893795017</v>
      </c>
      <c r="AW81" s="5">
        <f t="shared" si="30"/>
        <v>0.43175351686924629</v>
      </c>
    </row>
    <row r="82" spans="14:49" x14ac:dyDescent="0.15">
      <c r="N82" s="8">
        <v>20</v>
      </c>
      <c r="O82" s="8">
        <f>IF(节奏预期!E97=0,0,求节点($C$54:$C$61,D$54:D$61,节奏预期!I97))</f>
        <v>0</v>
      </c>
      <c r="P82" s="8">
        <f>IF(节奏预期!F97=0,0,求节点($C$54:$C$61,E$54:E$61,节奏预期!J97))</f>
        <v>0</v>
      </c>
      <c r="Q82" s="8">
        <f>IF(节奏预期!G97=0,0,求节点($C$54:$C$61,F$54:F$61,节奏预期!K97))</f>
        <v>0</v>
      </c>
      <c r="R82" s="8">
        <f>IF(节奏预期!H97=0,0,求节点($C$54:$C$61,G$54:G$61,节奏预期!L97))</f>
        <v>0</v>
      </c>
      <c r="S82" s="8">
        <f t="shared" ref="S82:S96" si="31">MAX(O82:R82)</f>
        <v>0</v>
      </c>
      <c r="T82" s="8"/>
      <c r="Z82" s="5">
        <v>78</v>
      </c>
      <c r="AA82" s="5">
        <f t="shared" si="22"/>
        <v>0.16244045790305539</v>
      </c>
      <c r="AB82" s="5">
        <f t="shared" si="23"/>
        <v>0.16956437269095903</v>
      </c>
      <c r="AC82" s="5">
        <f t="shared" si="24"/>
        <v>0.18</v>
      </c>
      <c r="AD82" s="5">
        <f t="shared" si="25"/>
        <v>0.20655613766220571</v>
      </c>
      <c r="AE82" s="5">
        <f t="shared" si="26"/>
        <v>0.25064644432170297</v>
      </c>
      <c r="AL82" s="8">
        <v>20</v>
      </c>
      <c r="AM82" s="8">
        <f>MAX(AM81,IF(AL82&lt;=节奏预期!$B$1,0,节奏预期!H97*求节点($C$39:$C$46,$G$39:$G$46,节奏预期!L97)+节奏预期!G97*求节点($C$39:$C$46,$F$39:$F$46,节奏预期!K97)+节奏预期!F97*求节点($C$39:$C$46,$E$39:$E$46,节奏预期!J97)+节奏预期!E97*求节点($C$39:$C$46,$D$39:$D$46,节奏预期!I97)))</f>
        <v>0</v>
      </c>
      <c r="AN82" s="8">
        <f>IF(AL82&lt;=节奏预期!$B$1,0,SUMPRODUCT(投放验证!AD84:AG84,$D$50:$G$50)-SUMPRODUCT(节奏预期!E97:H97,节奏预期!I97:L97+1,$D$50:$G$50))</f>
        <v>0</v>
      </c>
      <c r="AO82" s="8">
        <f t="shared" ref="AO82:AO96" si="32">IFERROR(AN82/AM82,0)</f>
        <v>0</v>
      </c>
      <c r="AR82" s="5">
        <v>78</v>
      </c>
      <c r="AS82" s="5">
        <f t="shared" si="27"/>
        <v>0.51000099534480059</v>
      </c>
      <c r="AT82" s="5">
        <f t="shared" si="28"/>
        <v>0.55429578874292207</v>
      </c>
      <c r="AU82" s="5">
        <f t="shared" si="29"/>
        <v>0.59848740408490886</v>
      </c>
      <c r="AV82" s="5">
        <f t="shared" si="29"/>
        <v>0.59848740408490886</v>
      </c>
      <c r="AW82" s="5">
        <f t="shared" si="30"/>
        <v>0.39234761433909887</v>
      </c>
    </row>
    <row r="83" spans="14:49" x14ac:dyDescent="0.15">
      <c r="N83" s="8">
        <v>30</v>
      </c>
      <c r="O83" s="8">
        <f>IF(节奏预期!E98=0,0,求节点($C$54:$C$61,D$54:D$61,节奏预期!I98))</f>
        <v>0</v>
      </c>
      <c r="P83" s="8">
        <f>IF(节奏预期!F98=0,0,求节点($C$54:$C$61,E$54:E$61,节奏预期!J98))</f>
        <v>0</v>
      </c>
      <c r="Q83" s="8">
        <f>IF(节奏预期!G98=0,0,求节点($C$54:$C$61,F$54:F$61,节奏预期!K98))</f>
        <v>0</v>
      </c>
      <c r="R83" s="8">
        <f>IF(节奏预期!H98=0,0,求节点($C$54:$C$61,G$54:G$61,节奏预期!L98))</f>
        <v>0</v>
      </c>
      <c r="S83" s="8">
        <f t="shared" si="31"/>
        <v>0</v>
      </c>
      <c r="T83" s="8"/>
      <c r="Z83" s="5">
        <v>79</v>
      </c>
      <c r="AA83" s="5">
        <f t="shared" si="22"/>
        <v>0.17122022895152769</v>
      </c>
      <c r="AB83" s="5">
        <f t="shared" si="23"/>
        <v>0.17478218634547951</v>
      </c>
      <c r="AC83" s="5">
        <f t="shared" si="24"/>
        <v>0.18</v>
      </c>
      <c r="AD83" s="5">
        <f t="shared" si="25"/>
        <v>0.20987565486998142</v>
      </c>
      <c r="AE83" s="5">
        <f t="shared" si="26"/>
        <v>0.25947724986191584</v>
      </c>
      <c r="AL83" s="8">
        <v>30</v>
      </c>
      <c r="AM83" s="8">
        <f>MAX(AM82,IF(AL83&lt;=节奏预期!$B$1,0,节奏预期!H98*求节点($C$39:$C$46,$G$39:$G$46,节奏预期!L98)+节奏预期!G98*求节点($C$39:$C$46,$F$39:$F$46,节奏预期!K98)+节奏预期!F98*求节点($C$39:$C$46,$E$39:$E$46,节奏预期!J98)+节奏预期!E98*求节点($C$39:$C$46,$D$39:$D$46,节奏预期!I98)))</f>
        <v>0</v>
      </c>
      <c r="AN83" s="8">
        <f>IF(AL83&lt;=节奏预期!$B$1,0,SUMPRODUCT(投放验证!AD85:AG85,$D$50:$G$50)-SUMPRODUCT(节奏预期!E98:H98,节奏预期!I98:L98+1,$D$50:$G$50))</f>
        <v>0</v>
      </c>
      <c r="AO83" s="8">
        <f t="shared" si="32"/>
        <v>0</v>
      </c>
      <c r="AR83" s="5">
        <v>79</v>
      </c>
      <c r="AS83" s="5">
        <f t="shared" si="27"/>
        <v>0.45700479044391268</v>
      </c>
      <c r="AT83" s="5">
        <f t="shared" si="28"/>
        <v>0.56127948516312054</v>
      </c>
      <c r="AU83" s="5">
        <f t="shared" si="29"/>
        <v>0.59884272923186743</v>
      </c>
      <c r="AV83" s="5">
        <f t="shared" si="29"/>
        <v>0.59884272923186743</v>
      </c>
      <c r="AW83" s="5">
        <f t="shared" si="30"/>
        <v>0.35294171180895145</v>
      </c>
    </row>
    <row r="84" spans="14:49" x14ac:dyDescent="0.15">
      <c r="N84" s="8">
        <v>40</v>
      </c>
      <c r="O84" s="8">
        <f>IF(节奏预期!E99=0,0,求节点($C$54:$C$61,D$54:D$61,节奏预期!I99))</f>
        <v>0</v>
      </c>
      <c r="P84" s="8">
        <f>IF(节奏预期!F99=0,0,求节点($C$54:$C$61,E$54:E$61,节奏预期!J99))</f>
        <v>0</v>
      </c>
      <c r="Q84" s="8">
        <f>IF(节奏预期!G99=0,0,求节点($C$54:$C$61,F$54:F$61,节奏预期!K99))</f>
        <v>0</v>
      </c>
      <c r="R84" s="8">
        <f>IF(节奏预期!H99=0,0,求节点($C$54:$C$61,G$54:G$61,节奏预期!L99))</f>
        <v>0</v>
      </c>
      <c r="S84" s="8">
        <f t="shared" si="31"/>
        <v>0</v>
      </c>
      <c r="T84" s="8"/>
      <c r="Z84" s="5">
        <v>80</v>
      </c>
      <c r="AA84" s="5">
        <f t="shared" si="22"/>
        <v>0.18</v>
      </c>
      <c r="AB84" s="5">
        <f t="shared" si="23"/>
        <v>0.18</v>
      </c>
      <c r="AC84" s="5">
        <f t="shared" si="24"/>
        <v>0.18</v>
      </c>
      <c r="AD84" s="5">
        <f t="shared" si="25"/>
        <v>0.21319517207775712</v>
      </c>
      <c r="AE84" s="5">
        <f t="shared" si="26"/>
        <v>0.26830805540212871</v>
      </c>
      <c r="AL84" s="8">
        <v>40</v>
      </c>
      <c r="AM84" s="8">
        <f>MAX(AM83,IF(AL84&lt;=节奏预期!$B$1,0,节奏预期!H99*求节点($C$39:$C$46,$G$39:$G$46,节奏预期!L99)+节奏预期!G99*求节点($C$39:$C$46,$F$39:$F$46,节奏预期!K99)+节奏预期!F99*求节点($C$39:$C$46,$E$39:$E$46,节奏预期!J99)+节奏预期!E99*求节点($C$39:$C$46,$D$39:$D$46,节奏预期!I99)))</f>
        <v>0</v>
      </c>
      <c r="AN84" s="8">
        <f>IF(AL84&lt;=节奏预期!$B$1,0,SUMPRODUCT(投放验证!AD86:AG86,$D$50:$G$50)-SUMPRODUCT(节奏预期!E99:H99,节奏预期!I99:L99+1,$D$50:$G$50))</f>
        <v>0</v>
      </c>
      <c r="AO84" s="8">
        <f t="shared" si="32"/>
        <v>0</v>
      </c>
      <c r="AR84" s="5">
        <v>80</v>
      </c>
      <c r="AS84" s="5">
        <f t="shared" si="27"/>
        <v>0.40400858554302471</v>
      </c>
      <c r="AT84" s="5">
        <f t="shared" si="28"/>
        <v>0.5682631815833189</v>
      </c>
      <c r="AU84" s="5">
        <f t="shared" si="29"/>
        <v>0.59919805437882612</v>
      </c>
      <c r="AV84" s="5">
        <f t="shared" si="29"/>
        <v>0.59919805437882612</v>
      </c>
      <c r="AW84" s="5">
        <f t="shared" si="30"/>
        <v>0.31353580927880403</v>
      </c>
    </row>
    <row r="85" spans="14:49" x14ac:dyDescent="0.15">
      <c r="N85" s="8">
        <v>50</v>
      </c>
      <c r="O85" s="8">
        <f>IF(节奏预期!E100=0,0,求节点($C$54:$C$61,D$54:D$61,节奏预期!I100))</f>
        <v>0</v>
      </c>
      <c r="P85" s="8">
        <f>IF(节奏预期!F100=0,0,求节点($C$54:$C$61,E$54:E$61,节奏预期!J100))</f>
        <v>0</v>
      </c>
      <c r="Q85" s="8">
        <f>IF(节奏预期!G100=0,0,求节点($C$54:$C$61,F$54:F$61,节奏预期!K100))</f>
        <v>0</v>
      </c>
      <c r="R85" s="8">
        <f>IF(节奏预期!H100=0,0,求节点($C$54:$C$61,G$54:G$61,节奏预期!L100))</f>
        <v>0</v>
      </c>
      <c r="S85" s="8">
        <f t="shared" si="31"/>
        <v>0</v>
      </c>
      <c r="T85" s="8"/>
      <c r="Z85" s="5">
        <v>81</v>
      </c>
      <c r="AA85" s="5">
        <f t="shared" si="22"/>
        <v>0.18</v>
      </c>
      <c r="AB85" s="5">
        <f t="shared" si="23"/>
        <v>0.18</v>
      </c>
      <c r="AC85" s="5">
        <f t="shared" si="24"/>
        <v>0.18387099399102833</v>
      </c>
      <c r="AD85" s="5">
        <f t="shared" si="25"/>
        <v>0.23987565486998141</v>
      </c>
      <c r="AE85" s="5">
        <f t="shared" si="26"/>
        <v>0.28947724986191581</v>
      </c>
      <c r="AL85" s="8">
        <v>50</v>
      </c>
      <c r="AM85" s="8">
        <f>MAX(AM84,IF(AL85&lt;=节奏预期!$B$1,0,节奏预期!H100*求节点($C$39:$C$46,$G$39:$G$46,节奏预期!L100)+节奏预期!G100*求节点($C$39:$C$46,$F$39:$F$46,节奏预期!K100)+节奏预期!F100*求节点($C$39:$C$46,$E$39:$E$46,节奏预期!J100)+节奏预期!E100*求节点($C$39:$C$46,$D$39:$D$46,节奏预期!I100)))</f>
        <v>0</v>
      </c>
      <c r="AN85" s="8">
        <f>IF(AL85&lt;=节奏预期!$B$1,0,SUMPRODUCT(投放验证!AD87:AG87,$D$50:$G$50)-SUMPRODUCT(节奏预期!E100:H100,节奏预期!I100:L100+1,$D$50:$G$50))</f>
        <v>0</v>
      </c>
      <c r="AO85" s="8">
        <f t="shared" si="32"/>
        <v>0</v>
      </c>
      <c r="AR85" s="5">
        <v>81</v>
      </c>
      <c r="AS85" s="5">
        <f t="shared" si="27"/>
        <v>0.45092958375884196</v>
      </c>
      <c r="AT85" s="5">
        <f t="shared" si="28"/>
        <v>0.60010779636832112</v>
      </c>
      <c r="AU85" s="5">
        <f t="shared" si="29"/>
        <v>0.56532496539090138</v>
      </c>
      <c r="AV85" s="5">
        <f t="shared" si="29"/>
        <v>0.56532496539090138</v>
      </c>
      <c r="AW85" s="5">
        <f t="shared" si="30"/>
        <v>0.32573624728020584</v>
      </c>
    </row>
    <row r="86" spans="14:49" x14ac:dyDescent="0.15">
      <c r="N86" s="8">
        <v>60</v>
      </c>
      <c r="O86" s="8">
        <f>IF(节奏预期!E101=0,0,求节点($C$54:$C$61,D$54:D$61,节奏预期!I101))</f>
        <v>0</v>
      </c>
      <c r="P86" s="8">
        <f>IF(节奏预期!F101=0,0,求节点($C$54:$C$61,E$54:E$61,节奏预期!J101))</f>
        <v>0</v>
      </c>
      <c r="Q86" s="8">
        <f>IF(节奏预期!G101=0,0,求节点($C$54:$C$61,F$54:F$61,节奏预期!K101))</f>
        <v>0</v>
      </c>
      <c r="R86" s="8">
        <f>IF(节奏预期!H101=0,0,求节点($C$54:$C$61,G$54:G$61,节奏预期!L101))</f>
        <v>0</v>
      </c>
      <c r="S86" s="8">
        <f t="shared" si="31"/>
        <v>0</v>
      </c>
      <c r="T86" s="8"/>
      <c r="Z86" s="5">
        <v>82</v>
      </c>
      <c r="AA86" s="5">
        <f t="shared" si="22"/>
        <v>0.18</v>
      </c>
      <c r="AB86" s="5">
        <f t="shared" si="23"/>
        <v>0.18</v>
      </c>
      <c r="AC86" s="5">
        <f t="shared" si="24"/>
        <v>0.18774198798205669</v>
      </c>
      <c r="AD86" s="5">
        <f t="shared" si="25"/>
        <v>0.26655613766220571</v>
      </c>
      <c r="AE86" s="5">
        <f t="shared" si="26"/>
        <v>0.31064644432170296</v>
      </c>
      <c r="AL86" s="8">
        <v>60</v>
      </c>
      <c r="AM86" s="8">
        <f>MAX(AM85,IF(AL86&lt;=节奏预期!$B$1,0,节奏预期!H101*求节点($C$39:$C$46,$G$39:$G$46,节奏预期!L101)+节奏预期!G101*求节点($C$39:$C$46,$F$39:$F$46,节奏预期!K101)+节奏预期!F101*求节点($C$39:$C$46,$E$39:$E$46,节奏预期!J101)+节奏预期!E101*求节点($C$39:$C$46,$D$39:$D$46,节奏预期!I101)))</f>
        <v>0</v>
      </c>
      <c r="AN86" s="8">
        <f>IF(AL86&lt;=节奏预期!$B$1,0,SUMPRODUCT(投放验证!AD88:AG88,$D$50:$G$50)-SUMPRODUCT(节奏预期!E101:H101,节奏预期!I101:L101+1,$D$50:$G$50))</f>
        <v>0</v>
      </c>
      <c r="AO86" s="8">
        <f t="shared" si="32"/>
        <v>0</v>
      </c>
      <c r="AR86" s="5">
        <v>82</v>
      </c>
      <c r="AS86" s="5">
        <f t="shared" si="27"/>
        <v>0.49785058197465926</v>
      </c>
      <c r="AT86" s="5">
        <f t="shared" si="28"/>
        <v>0.63195241115332346</v>
      </c>
      <c r="AU86" s="5">
        <f t="shared" si="29"/>
        <v>0.53145187640297653</v>
      </c>
      <c r="AV86" s="5">
        <f t="shared" si="29"/>
        <v>0.53145187640297653</v>
      </c>
      <c r="AW86" s="5">
        <f t="shared" si="30"/>
        <v>0.33793668528160759</v>
      </c>
    </row>
    <row r="87" spans="14:49" x14ac:dyDescent="0.15">
      <c r="N87" s="8">
        <v>70</v>
      </c>
      <c r="O87" s="8">
        <f>IF(节奏预期!E102=0,0,求节点($C$54:$C$61,D$54:D$61,节奏预期!I102))</f>
        <v>0.08</v>
      </c>
      <c r="P87" s="8">
        <f>IF(节奏预期!F102=0,0,求节点($C$54:$C$61,E$54:E$61,节奏预期!J102))</f>
        <v>0.18</v>
      </c>
      <c r="Q87" s="8">
        <f>IF(节奏预期!G102=0,0,求节点($C$54:$C$61,F$54:F$61,节奏预期!K102))</f>
        <v>9.9859112430191743E-2</v>
      </c>
      <c r="R87" s="8">
        <f>IF(节奏预期!H102=0,0,求节点($C$54:$C$61,G$54:G$61,节奏预期!L102))</f>
        <v>0</v>
      </c>
      <c r="S87" s="8">
        <f t="shared" si="31"/>
        <v>0.18</v>
      </c>
      <c r="T87" s="8"/>
      <c r="Z87" s="5">
        <v>83</v>
      </c>
      <c r="AA87" s="5">
        <f t="shared" si="22"/>
        <v>0.18</v>
      </c>
      <c r="AB87" s="5">
        <f t="shared" si="23"/>
        <v>0.18</v>
      </c>
      <c r="AC87" s="5">
        <f t="shared" si="24"/>
        <v>0.19161298197308502</v>
      </c>
      <c r="AD87" s="5">
        <f t="shared" si="25"/>
        <v>0.29323662045443</v>
      </c>
      <c r="AE87" s="5">
        <f t="shared" si="26"/>
        <v>0.33181563878149012</v>
      </c>
      <c r="AL87" s="8">
        <v>70</v>
      </c>
      <c r="AM87" s="8">
        <f>MAX(AM86,IF(AL87&lt;=节奏预期!$B$1,0,节奏预期!H102*求节点($C$39:$C$46,$G$39:$G$46,节奏预期!L102)+节奏预期!G102*求节点($C$39:$C$46,$F$39:$F$46,节奏预期!K102)+节奏预期!F102*求节点($C$39:$C$46,$E$39:$E$46,节奏预期!J102)+节奏预期!E102*求节点($C$39:$C$46,$D$39:$D$46,节奏预期!I102)))</f>
        <v>915.43644972076697</v>
      </c>
      <c r="AN87" s="8">
        <f>IF(AL87&lt;=节奏预期!$B$1,0,SUMPRODUCT(投放验证!AD89:AG89,$D$50:$G$50)-SUMPRODUCT(节奏预期!E102:H102,节奏预期!I102:L102+1,$D$50:$G$50))</f>
        <v>647.75810320892333</v>
      </c>
      <c r="AO87" s="8">
        <f t="shared" si="32"/>
        <v>0.70759483458027828</v>
      </c>
      <c r="AR87" s="5">
        <v>83</v>
      </c>
      <c r="AS87" s="5">
        <f t="shared" si="27"/>
        <v>0.54477158019047645</v>
      </c>
      <c r="AT87" s="5">
        <f t="shared" si="28"/>
        <v>0.66379702593832568</v>
      </c>
      <c r="AU87" s="5">
        <f t="shared" si="29"/>
        <v>0.49757878741505179</v>
      </c>
      <c r="AV87" s="5">
        <f t="shared" si="29"/>
        <v>0.49757878741505179</v>
      </c>
      <c r="AW87" s="5">
        <f t="shared" si="30"/>
        <v>0.35013712328300939</v>
      </c>
    </row>
    <row r="88" spans="14:49" x14ac:dyDescent="0.15">
      <c r="N88" s="8">
        <v>80</v>
      </c>
      <c r="O88" s="8">
        <f>IF(节奏预期!E103=0,0,求节点($C$54:$C$61,D$54:D$61,节奏预期!I103))</f>
        <v>0.08</v>
      </c>
      <c r="P88" s="8">
        <f>IF(节奏预期!F103=0,0,求节点($C$54:$C$61,E$54:E$61,节奏预期!J103))</f>
        <v>0.18</v>
      </c>
      <c r="Q88" s="8">
        <f>IF(节奏预期!G103=0,0,求节点($C$54:$C$61,F$54:F$61,节奏预期!K103))</f>
        <v>0.26287736574452292</v>
      </c>
      <c r="R88" s="8">
        <f>IF(节奏预期!H103=0,0,求节点($C$54:$C$61,G$54:G$61,节奏预期!L103))</f>
        <v>0.26830805540212871</v>
      </c>
      <c r="S88" s="8">
        <f t="shared" si="31"/>
        <v>0.26830805540212871</v>
      </c>
      <c r="T88" s="8"/>
      <c r="Z88" s="5">
        <v>84</v>
      </c>
      <c r="AA88" s="5">
        <f t="shared" si="22"/>
        <v>0.18</v>
      </c>
      <c r="AB88" s="5">
        <f t="shared" si="23"/>
        <v>0.18</v>
      </c>
      <c r="AC88" s="5">
        <f t="shared" si="24"/>
        <v>0.19548397596411335</v>
      </c>
      <c r="AD88" s="5">
        <f t="shared" si="25"/>
        <v>0.31991710324665423</v>
      </c>
      <c r="AE88" s="5">
        <f t="shared" si="26"/>
        <v>0.35298483324127722</v>
      </c>
      <c r="AL88" s="8">
        <v>80</v>
      </c>
      <c r="AM88" s="8">
        <f>MAX(AM87,IF(AL88&lt;=节奏预期!$B$1,0,节奏预期!H103*求节点($C$39:$C$46,$G$39:$G$46,节奏预期!L103)+节奏预期!G103*求节点($C$39:$C$46,$F$39:$F$46,节奏预期!K103)+节奏预期!F103*求节点($C$39:$C$46,$E$39:$E$46,节奏预期!J103)+节奏预期!E103*求节点($C$39:$C$46,$D$39:$D$46,节奏预期!I103)))</f>
        <v>4872.5419258406755</v>
      </c>
      <c r="AN88" s="8">
        <f>IF(AL88&lt;=节奏预期!$B$1,0,SUMPRODUCT(投放验证!AD90:AG90,$D$50:$G$50)-SUMPRODUCT(节奏预期!E103:H103,节奏预期!I103:L103+1,$D$50:$G$50))</f>
        <v>1527.7163759633586</v>
      </c>
      <c r="AO88" s="8">
        <f t="shared" si="32"/>
        <v>0.31353580927880403</v>
      </c>
      <c r="AR88" s="5">
        <v>84</v>
      </c>
      <c r="AS88" s="5">
        <f t="shared" si="27"/>
        <v>0.59169257840629375</v>
      </c>
      <c r="AT88" s="5">
        <f t="shared" si="28"/>
        <v>0.6956416407233279</v>
      </c>
      <c r="AU88" s="5">
        <f t="shared" si="29"/>
        <v>0.463705698427127</v>
      </c>
      <c r="AV88" s="5">
        <f t="shared" si="29"/>
        <v>0.463705698427127</v>
      </c>
      <c r="AW88" s="5">
        <f t="shared" si="30"/>
        <v>0.36233756128441119</v>
      </c>
    </row>
    <row r="89" spans="14:49" x14ac:dyDescent="0.15">
      <c r="N89" s="8">
        <v>90</v>
      </c>
      <c r="O89" s="8">
        <f>IF(节奏预期!E104=0,0,求节点($C$54:$C$61,D$54:D$61,节奏预期!I104))</f>
        <v>0.08</v>
      </c>
      <c r="P89" s="8">
        <f>IF(节奏预期!F104=0,0,求节点($C$54:$C$61,E$54:E$61,节奏预期!J104))</f>
        <v>0.18</v>
      </c>
      <c r="Q89" s="8">
        <f>IF(节奏预期!G104=0,0,求节点($C$54:$C$61,F$54:F$61,节奏预期!K104))</f>
        <v>0.32</v>
      </c>
      <c r="R89" s="8">
        <f>IF(节奏预期!H104=0,0,求节点($C$54:$C$61,G$54:G$61,节奏预期!L104))</f>
        <v>0.48</v>
      </c>
      <c r="S89" s="8">
        <f t="shared" si="31"/>
        <v>0.48</v>
      </c>
      <c r="T89" s="8"/>
      <c r="Z89" s="5">
        <v>85</v>
      </c>
      <c r="AA89" s="5">
        <f t="shared" si="22"/>
        <v>0.18</v>
      </c>
      <c r="AB89" s="5">
        <f t="shared" si="23"/>
        <v>0.18</v>
      </c>
      <c r="AC89" s="5">
        <f t="shared" si="24"/>
        <v>0.19935496995514168</v>
      </c>
      <c r="AD89" s="5">
        <f t="shared" si="25"/>
        <v>0.34659758603887858</v>
      </c>
      <c r="AE89" s="5">
        <f t="shared" si="26"/>
        <v>0.37415402770106432</v>
      </c>
      <c r="AL89" s="8">
        <v>90</v>
      </c>
      <c r="AM89" s="8">
        <f>MAX(AM88,IF(AL89&lt;=节奏预期!$B$1,0,节奏预期!H104*求节点($C$39:$C$46,$G$39:$G$46,节奏预期!L104)+节奏预期!G104*求节点($C$39:$C$46,$F$39:$F$46,节奏预期!K104)+节奏预期!F104*求节点($C$39:$C$46,$E$39:$E$46,节奏预期!J104)+节奏预期!E104*求节点($C$39:$C$46,$D$39:$D$46,节奏预期!I104)))</f>
        <v>12948</v>
      </c>
      <c r="AN89" s="8">
        <f>IF(AL89&lt;=节奏预期!$B$1,0,SUMPRODUCT(投放验证!AD91:AG91,$D$50:$G$50)-SUMPRODUCT(节奏预期!E104:H104,节奏预期!I104:L104+1,$D$50:$G$50))</f>
        <v>5639.3743709634582</v>
      </c>
      <c r="AO89" s="8">
        <f t="shared" si="32"/>
        <v>0.4355401892928219</v>
      </c>
      <c r="AR89" s="5">
        <v>85</v>
      </c>
      <c r="AS89" s="5">
        <f t="shared" si="27"/>
        <v>0.63861357662211105</v>
      </c>
      <c r="AT89" s="5">
        <f t="shared" si="28"/>
        <v>0.72748625550833013</v>
      </c>
      <c r="AU89" s="5">
        <f t="shared" si="29"/>
        <v>0.42983260943920221</v>
      </c>
      <c r="AV89" s="5">
        <f t="shared" si="29"/>
        <v>0.42983260943920221</v>
      </c>
      <c r="AW89" s="5">
        <f t="shared" si="30"/>
        <v>0.37453799928581299</v>
      </c>
    </row>
    <row r="90" spans="14:49" x14ac:dyDescent="0.15">
      <c r="N90" s="8">
        <v>100</v>
      </c>
      <c r="O90" s="8">
        <f>IF(节奏预期!E105=0,0,求节点($C$54:$C$61,D$54:D$61,节奏预期!I105))</f>
        <v>0.08</v>
      </c>
      <c r="P90" s="8">
        <f>IF(节奏预期!F105=0,0,求节点($C$54:$C$61,E$54:E$61,节奏预期!J105))</f>
        <v>0.18</v>
      </c>
      <c r="Q90" s="8">
        <f>IF(节奏预期!G105=0,0,求节点($C$54:$C$61,F$54:F$61,节奏预期!K105))</f>
        <v>0.32</v>
      </c>
      <c r="R90" s="8">
        <f>IF(节奏预期!H105=0,0,求节点($C$54:$C$61,G$54:G$61,节奏预期!L105))</f>
        <v>0.48</v>
      </c>
      <c r="S90" s="8">
        <f t="shared" si="31"/>
        <v>0.48</v>
      </c>
      <c r="T90" s="8"/>
      <c r="Z90" s="5">
        <v>86</v>
      </c>
      <c r="AA90" s="5">
        <f t="shared" si="22"/>
        <v>0.18</v>
      </c>
      <c r="AB90" s="5">
        <f t="shared" si="23"/>
        <v>0.18</v>
      </c>
      <c r="AC90" s="5">
        <f t="shared" si="24"/>
        <v>0.20322596394617004</v>
      </c>
      <c r="AD90" s="5">
        <f t="shared" si="25"/>
        <v>0.37327806883110282</v>
      </c>
      <c r="AE90" s="5">
        <f t="shared" si="26"/>
        <v>0.39532322216085147</v>
      </c>
      <c r="AL90" s="8">
        <v>100</v>
      </c>
      <c r="AM90" s="8">
        <f>MAX(AM89,IF(AL90&lt;=节奏预期!$B$1,0,节奏预期!H105*求节点($C$39:$C$46,$G$39:$G$46,节奏预期!L105)+节奏预期!G105*求节点($C$39:$C$46,$F$39:$F$46,节奏预期!K105)+节奏预期!F105*求节点($C$39:$C$46,$E$39:$E$46,节奏预期!J105)+节奏预期!E105*求节点($C$39:$C$46,$D$39:$D$46,节奏预期!I105)))</f>
        <v>12948</v>
      </c>
      <c r="AN90" s="8">
        <f>IF(AL90&lt;=节奏预期!$B$1,0,SUMPRODUCT(投放验证!AD92:AG92,$D$50:$G$50)-SUMPRODUCT(节奏预期!E105:H105,节奏预期!I105:L105+1,$D$50:$G$50))</f>
        <v>16593.755662100077</v>
      </c>
      <c r="AO90" s="8">
        <f t="shared" si="32"/>
        <v>1.2815690193157303</v>
      </c>
      <c r="AR90" s="5">
        <v>86</v>
      </c>
      <c r="AS90" s="5">
        <f t="shared" si="27"/>
        <v>0.68553457483792823</v>
      </c>
      <c r="AT90" s="5">
        <f t="shared" si="28"/>
        <v>0.75933087029333246</v>
      </c>
      <c r="AU90" s="5">
        <f t="shared" si="29"/>
        <v>0.39595952045127747</v>
      </c>
      <c r="AV90" s="5">
        <f t="shared" si="29"/>
        <v>0.39595952045127747</v>
      </c>
      <c r="AW90" s="5">
        <f t="shared" si="30"/>
        <v>0.38673843728721474</v>
      </c>
    </row>
    <row r="91" spans="14:49" x14ac:dyDescent="0.15">
      <c r="N91" s="8">
        <v>110</v>
      </c>
      <c r="O91" s="8">
        <f>IF(节奏预期!E106=0,0,求节点($C$54:$C$61,D$54:D$61,节奏预期!I106))</f>
        <v>0.08</v>
      </c>
      <c r="P91" s="8">
        <f>IF(节奏预期!F106=0,0,求节点($C$54:$C$61,E$54:E$61,节奏预期!J106))</f>
        <v>0.18</v>
      </c>
      <c r="Q91" s="8">
        <f>IF(节奏预期!G106=0,0,求节点($C$54:$C$61,F$54:F$61,节奏预期!K106))</f>
        <v>0.32</v>
      </c>
      <c r="R91" s="8">
        <f>IF(节奏预期!H106=0,0,求节点($C$54:$C$61,G$54:G$61,节奏预期!L106))</f>
        <v>0.48</v>
      </c>
      <c r="S91" s="8">
        <f t="shared" si="31"/>
        <v>0.48</v>
      </c>
      <c r="T91" s="8"/>
      <c r="Z91" s="5">
        <v>87</v>
      </c>
      <c r="AA91" s="5">
        <f t="shared" si="22"/>
        <v>0.18</v>
      </c>
      <c r="AB91" s="5">
        <f t="shared" si="23"/>
        <v>0.18</v>
      </c>
      <c r="AC91" s="5">
        <f t="shared" si="24"/>
        <v>0.20709695793719837</v>
      </c>
      <c r="AD91" s="5">
        <f t="shared" si="25"/>
        <v>0.39995855162332711</v>
      </c>
      <c r="AE91" s="5">
        <f t="shared" si="26"/>
        <v>0.41649241662063863</v>
      </c>
      <c r="AL91" s="8">
        <v>110</v>
      </c>
      <c r="AM91" s="8">
        <f>MAX(AM90,IF(AL91&lt;=节奏预期!$B$1,0,节奏预期!H106*求节点($C$39:$C$46,$G$39:$G$46,节奏预期!L106)+节奏预期!G106*求节点($C$39:$C$46,$F$39:$F$46,节奏预期!K106)+节奏预期!F106*求节点($C$39:$C$46,$E$39:$E$46,节奏预期!J106)+节奏预期!E106*求节点($C$39:$C$46,$D$39:$D$46,节奏预期!I106)))</f>
        <v>12948</v>
      </c>
      <c r="AN91" s="8">
        <f>IF(AL91&lt;=节奏预期!$B$1,0,SUMPRODUCT(投放验证!AD93:AG93,$D$50:$G$50)-SUMPRODUCT(节奏预期!E106:H106,节奏预期!I106:L106+1,$D$50:$G$50))</f>
        <v>37927.318900212522</v>
      </c>
      <c r="AO91" s="8">
        <f t="shared" si="32"/>
        <v>2.9292028807701977</v>
      </c>
      <c r="AR91" s="5">
        <v>87</v>
      </c>
      <c r="AS91" s="5">
        <f t="shared" si="27"/>
        <v>0.73245557305374553</v>
      </c>
      <c r="AT91" s="5">
        <f t="shared" si="28"/>
        <v>0.79117548507833468</v>
      </c>
      <c r="AU91" s="5">
        <f t="shared" si="29"/>
        <v>0.36208643146335268</v>
      </c>
      <c r="AV91" s="5">
        <f t="shared" si="29"/>
        <v>0.36208643146335268</v>
      </c>
      <c r="AW91" s="5">
        <f t="shared" si="30"/>
        <v>0.39893887528861655</v>
      </c>
    </row>
    <row r="92" spans="14:49" x14ac:dyDescent="0.15">
      <c r="N92" s="8">
        <v>120</v>
      </c>
      <c r="O92" s="8">
        <f>IF(节奏预期!E107=0,0,求节点($C$54:$C$61,D$54:D$61,节奏预期!I107))</f>
        <v>0.08</v>
      </c>
      <c r="P92" s="8">
        <f>IF(节奏预期!F107=0,0,求节点($C$54:$C$61,E$54:E$61,节奏预期!J107))</f>
        <v>0.18</v>
      </c>
      <c r="Q92" s="8">
        <f>IF(节奏预期!G107=0,0,求节点($C$54:$C$61,F$54:F$61,节奏预期!K107))</f>
        <v>0.32</v>
      </c>
      <c r="R92" s="8">
        <f>IF(节奏预期!H107=0,0,求节点($C$54:$C$61,G$54:G$61,节奏预期!L107))</f>
        <v>0.48</v>
      </c>
      <c r="S92" s="8">
        <f t="shared" si="31"/>
        <v>0.48</v>
      </c>
      <c r="T92" s="8"/>
      <c r="Z92" s="5">
        <v>88</v>
      </c>
      <c r="AA92" s="5">
        <f t="shared" si="22"/>
        <v>0.18</v>
      </c>
      <c r="AB92" s="5">
        <f t="shared" si="23"/>
        <v>0.18</v>
      </c>
      <c r="AC92" s="5">
        <f t="shared" si="24"/>
        <v>0.2109679519282267</v>
      </c>
      <c r="AD92" s="5">
        <f t="shared" si="25"/>
        <v>0.4266390344155514</v>
      </c>
      <c r="AE92" s="5">
        <f t="shared" si="26"/>
        <v>0.43766161108042573</v>
      </c>
      <c r="AL92" s="8">
        <v>120</v>
      </c>
      <c r="AM92" s="8">
        <f>MAX(AM91,IF(AL92&lt;=节奏预期!$B$1,0,节奏预期!H107*求节点($C$39:$C$46,$G$39:$G$46,节奏预期!L107)+节奏预期!G107*求节点($C$39:$C$46,$F$39:$F$46,节奏预期!K107)+节奏预期!F107*求节点($C$39:$C$46,$E$39:$E$46,节奏预期!J107)+节奏预期!E107*求节点($C$39:$C$46,$D$39:$D$46,节奏预期!I107)))</f>
        <v>12948</v>
      </c>
      <c r="AN92" s="8">
        <f>IF(AL92&lt;=节奏预期!$B$1,0,SUMPRODUCT(投放验证!AD94:AG94,$D$50:$G$50)-SUMPRODUCT(节奏预期!E107:H107,节奏预期!I107:L107+1,$D$50:$G$50))</f>
        <v>79683.286629792288</v>
      </c>
      <c r="AO92" s="8">
        <f t="shared" si="32"/>
        <v>6.1540999868545168</v>
      </c>
      <c r="AR92" s="5">
        <v>88</v>
      </c>
      <c r="AS92" s="5">
        <f t="shared" si="27"/>
        <v>0.77937657126956283</v>
      </c>
      <c r="AT92" s="5">
        <f t="shared" si="28"/>
        <v>0.82302009986333702</v>
      </c>
      <c r="AU92" s="5">
        <f t="shared" si="29"/>
        <v>0.32821334247542788</v>
      </c>
      <c r="AV92" s="5">
        <f t="shared" si="29"/>
        <v>0.32821334247542788</v>
      </c>
      <c r="AW92" s="5">
        <f t="shared" si="30"/>
        <v>0.41113931329001829</v>
      </c>
    </row>
    <row r="93" spans="14:49" x14ac:dyDescent="0.15">
      <c r="N93" s="8">
        <v>130</v>
      </c>
      <c r="O93" s="8">
        <f>IF(节奏预期!E108=0,0,求节点($C$54:$C$61,D$54:D$61,节奏预期!I108))</f>
        <v>0.08</v>
      </c>
      <c r="P93" s="8">
        <f>IF(节奏预期!F108=0,0,求节点($C$54:$C$61,E$54:E$61,节奏预期!J108))</f>
        <v>0.18</v>
      </c>
      <c r="Q93" s="8">
        <f>IF(节奏预期!G108=0,0,求节点($C$54:$C$61,F$54:F$61,节奏预期!K108))</f>
        <v>0.32</v>
      </c>
      <c r="R93" s="8">
        <f>IF(节奏预期!H108=0,0,求节点($C$54:$C$61,G$54:G$61,节奏预期!L108))</f>
        <v>0.48</v>
      </c>
      <c r="S93" s="8">
        <f t="shared" si="31"/>
        <v>0.48</v>
      </c>
      <c r="T93" s="8"/>
      <c r="Z93" s="5">
        <v>89</v>
      </c>
      <c r="AA93" s="5">
        <f t="shared" si="22"/>
        <v>0.18</v>
      </c>
      <c r="AB93" s="5">
        <f t="shared" si="23"/>
        <v>0.18</v>
      </c>
      <c r="AC93" s="5">
        <f t="shared" si="24"/>
        <v>0.21483894591925506</v>
      </c>
      <c r="AD93" s="5">
        <f t="shared" si="25"/>
        <v>0.45331951720777569</v>
      </c>
      <c r="AE93" s="5">
        <f t="shared" si="26"/>
        <v>0.45883080554021283</v>
      </c>
      <c r="AL93" s="8">
        <v>130</v>
      </c>
      <c r="AM93" s="8">
        <f>MAX(AM92,IF(AL93&lt;=节奏预期!$B$1,0,节奏预期!H108*求节点($C$39:$C$46,$G$39:$G$46,节奏预期!L108)+节奏预期!G108*求节点($C$39:$C$46,$F$39:$F$46,节奏预期!K108)+节奏预期!F108*求节点($C$39:$C$46,$E$39:$E$46,节奏预期!J108)+节奏预期!E108*求节点($C$39:$C$46,$D$39:$D$46,节奏预期!I108)))</f>
        <v>12948</v>
      </c>
      <c r="AN93" s="8">
        <f>IF(AL93&lt;=节奏预期!$B$1,0,SUMPRODUCT(投放验证!AD95:AG95,$D$50:$G$50)-SUMPRODUCT(节奏预期!E108:H108,节奏预期!I108:L108+1,$D$50:$G$50))</f>
        <v>163253.37445421904</v>
      </c>
      <c r="AO93" s="8">
        <f t="shared" si="32"/>
        <v>12.608385422784911</v>
      </c>
      <c r="AR93" s="5">
        <v>89</v>
      </c>
      <c r="AS93" s="5">
        <f t="shared" si="27"/>
        <v>0.82629756948538002</v>
      </c>
      <c r="AT93" s="5">
        <f t="shared" si="28"/>
        <v>0.85486471464833924</v>
      </c>
      <c r="AU93" s="5">
        <f t="shared" si="29"/>
        <v>0.29434025348750309</v>
      </c>
      <c r="AV93" s="5">
        <f t="shared" si="29"/>
        <v>0.29434025348750309</v>
      </c>
      <c r="AW93" s="5">
        <f t="shared" si="30"/>
        <v>0.4233397512914201</v>
      </c>
    </row>
    <row r="94" spans="14:49" x14ac:dyDescent="0.15">
      <c r="N94" s="8">
        <v>140</v>
      </c>
      <c r="O94" s="8">
        <f>IF(节奏预期!E109=0,0,求节点($C$54:$C$61,D$54:D$61,节奏预期!I109))</f>
        <v>0.08</v>
      </c>
      <c r="P94" s="8">
        <f>IF(节奏预期!F109=0,0,求节点($C$54:$C$61,E$54:E$61,节奏预期!J109))</f>
        <v>0.18</v>
      </c>
      <c r="Q94" s="8">
        <f>IF(节奏预期!G109=0,0,求节点($C$54:$C$61,F$54:F$61,节奏预期!K109))</f>
        <v>0.32</v>
      </c>
      <c r="R94" s="8">
        <f>IF(节奏预期!H109=0,0,求节点($C$54:$C$61,G$54:G$61,节奏预期!L109))</f>
        <v>0.48</v>
      </c>
      <c r="S94" s="8">
        <f t="shared" si="31"/>
        <v>0.48</v>
      </c>
      <c r="T94" s="8"/>
      <c r="Z94" s="5">
        <v>90</v>
      </c>
      <c r="AA94" s="5">
        <f t="shared" si="22"/>
        <v>0.18</v>
      </c>
      <c r="AB94" s="5">
        <f t="shared" si="23"/>
        <v>0.18</v>
      </c>
      <c r="AC94" s="5">
        <f t="shared" si="24"/>
        <v>0.2187099399102834</v>
      </c>
      <c r="AD94" s="5">
        <f t="shared" si="25"/>
        <v>0.48</v>
      </c>
      <c r="AE94" s="5">
        <f t="shared" si="26"/>
        <v>0.48</v>
      </c>
      <c r="AL94" s="8">
        <v>140</v>
      </c>
      <c r="AM94" s="8">
        <f>MAX(AM93,IF(AL94&lt;=节奏预期!$B$1,0,节奏预期!H109*求节点($C$39:$C$46,$G$39:$G$46,节奏预期!L109)+节奏预期!G109*求节点($C$39:$C$46,$F$39:$F$46,节奏预期!K109)+节奏预期!F109*求节点($C$39:$C$46,$E$39:$E$46,节奏预期!J109)+节奏预期!E109*求节点($C$39:$C$46,$D$39:$D$46,节奏预期!I109)))</f>
        <v>12948</v>
      </c>
      <c r="AN94" s="8">
        <f>IF(AL94&lt;=节奏预期!$B$1,0,SUMPRODUCT(投放验证!AD96:AG96,$D$50:$G$50)-SUMPRODUCT(节奏预期!E109:H109,节奏预期!I109:L109+1,$D$50:$G$50))</f>
        <v>326293.27072386874</v>
      </c>
      <c r="AO94" s="8">
        <f t="shared" si="32"/>
        <v>25.200283497363973</v>
      </c>
      <c r="AR94" s="5">
        <v>90</v>
      </c>
      <c r="AS94" s="5">
        <f t="shared" si="27"/>
        <v>0.87321856770119732</v>
      </c>
      <c r="AT94" s="5">
        <f t="shared" si="28"/>
        <v>0.88670932943334146</v>
      </c>
      <c r="AU94" s="5">
        <f t="shared" si="29"/>
        <v>0.2604671644995783</v>
      </c>
      <c r="AV94" s="5">
        <f t="shared" si="29"/>
        <v>0.2604671644995783</v>
      </c>
      <c r="AW94" s="5">
        <f t="shared" si="30"/>
        <v>0.4355401892928219</v>
      </c>
    </row>
    <row r="95" spans="14:49" x14ac:dyDescent="0.15">
      <c r="N95" s="8">
        <v>150</v>
      </c>
      <c r="O95" s="8">
        <f>IF(节奏预期!E110=0,0,求节点($C$54:$C$61,D$54:D$61,节奏预期!I110))</f>
        <v>0.08</v>
      </c>
      <c r="P95" s="8">
        <f>IF(节奏预期!F110=0,0,求节点($C$54:$C$61,E$54:E$61,节奏预期!J110))</f>
        <v>0.18</v>
      </c>
      <c r="Q95" s="8">
        <f>IF(节奏预期!G110=0,0,求节点($C$54:$C$61,F$54:F$61,节奏预期!K110))</f>
        <v>0.32</v>
      </c>
      <c r="R95" s="8">
        <f>IF(节奏预期!H110=0,0,求节点($C$54:$C$61,G$54:G$61,节奏预期!L110))</f>
        <v>0.48</v>
      </c>
      <c r="S95" s="8">
        <f t="shared" si="31"/>
        <v>0.48</v>
      </c>
      <c r="T95" s="8"/>
      <c r="Z95" s="5">
        <v>91</v>
      </c>
      <c r="AA95" s="5">
        <f t="shared" si="22"/>
        <v>0.18413019216607385</v>
      </c>
      <c r="AB95" s="5">
        <f t="shared" si="23"/>
        <v>0.19048732891702991</v>
      </c>
      <c r="AC95" s="5">
        <f t="shared" si="24"/>
        <v>0.24483894591925506</v>
      </c>
      <c r="AD95" s="5">
        <f t="shared" si="25"/>
        <v>0.48</v>
      </c>
      <c r="AE95" s="5">
        <f t="shared" si="26"/>
        <v>0.48</v>
      </c>
      <c r="AL95" s="8">
        <v>150</v>
      </c>
      <c r="AM95" s="8">
        <f>MAX(AM94,IF(AL95&lt;=节奏预期!$B$1,0,节奏预期!H110*求节点($C$39:$C$46,$G$39:$G$46,节奏预期!L110)+节奏预期!G110*求节点($C$39:$C$46,$F$39:$F$46,节奏预期!K110)+节奏预期!F110*求节点($C$39:$C$46,$E$39:$E$46,节奏预期!J110)+节奏预期!E110*求节点($C$39:$C$46,$D$39:$D$46,节奏预期!I110)))</f>
        <v>12948</v>
      </c>
      <c r="AN95" s="8">
        <f>IF(AL95&lt;=节奏预期!$B$1,0,SUMPRODUCT(投放验证!AD97:AG97,$D$50:$G$50)-SUMPRODUCT(节奏预期!E110:H110,节奏预期!I110:L110+1,$D$50:$G$50))</f>
        <v>653853.50037903886</v>
      </c>
      <c r="AO95" s="8">
        <f t="shared" si="32"/>
        <v>50.4984167731726</v>
      </c>
      <c r="AR95" s="5">
        <v>91</v>
      </c>
      <c r="AS95" s="5">
        <f t="shared" si="27"/>
        <v>0.8522813613345338</v>
      </c>
      <c r="AT95" s="5">
        <f t="shared" si="28"/>
        <v>0.83023462749083488</v>
      </c>
      <c r="AU95" s="5">
        <f t="shared" si="29"/>
        <v>0.32470317659154069</v>
      </c>
      <c r="AV95" s="5">
        <f t="shared" si="29"/>
        <v>0.32470317659154069</v>
      </c>
      <c r="AW95" s="5">
        <f t="shared" si="30"/>
        <v>0.5201430722951127</v>
      </c>
    </row>
    <row r="96" spans="14:49" x14ac:dyDescent="0.15">
      <c r="N96" s="8">
        <v>160</v>
      </c>
      <c r="O96" s="8">
        <f>IF(节奏预期!E111=0,0,求节点($C$54:$C$61,D$54:D$61,节奏预期!I111))</f>
        <v>0.08</v>
      </c>
      <c r="P96" s="8">
        <f>IF(节奏预期!F111=0,0,求节点($C$54:$C$61,E$54:E$61,节奏预期!J111))</f>
        <v>0.18</v>
      </c>
      <c r="Q96" s="8">
        <f>IF(节奏预期!G111=0,0,求节点($C$54:$C$61,F$54:F$61,节奏预期!K111))</f>
        <v>0.32</v>
      </c>
      <c r="R96" s="8">
        <f>IF(节奏预期!H111=0,0,求节点($C$54:$C$61,G$54:G$61,节奏预期!L111))</f>
        <v>0.48</v>
      </c>
      <c r="S96" s="8">
        <f t="shared" si="31"/>
        <v>0.48</v>
      </c>
      <c r="T96" s="8"/>
      <c r="Z96" s="5">
        <v>92</v>
      </c>
      <c r="AA96" s="5">
        <f t="shared" si="22"/>
        <v>0.18826038433214767</v>
      </c>
      <c r="AB96" s="5">
        <f t="shared" si="23"/>
        <v>0.20097465783405979</v>
      </c>
      <c r="AC96" s="5">
        <f t="shared" si="24"/>
        <v>0.2709679519282267</v>
      </c>
      <c r="AD96" s="5">
        <f t="shared" si="25"/>
        <v>0.48</v>
      </c>
      <c r="AE96" s="5">
        <f t="shared" si="26"/>
        <v>0.48</v>
      </c>
      <c r="AL96" s="8">
        <v>160</v>
      </c>
      <c r="AM96" s="8">
        <f>MAX(AM95,IF(AL96&lt;=节奏预期!$B$1,0,节奏预期!H111*求节点($C$39:$C$46,$G$39:$G$46,节奏预期!L111)+节奏预期!G111*求节点($C$39:$C$46,$F$39:$F$46,节奏预期!K111)+节奏预期!F111*求节点($C$39:$C$46,$E$39:$E$46,节奏预期!J111)+节奏预期!E111*求节点($C$39:$C$46,$D$39:$D$46,节奏预期!I111)))</f>
        <v>12948</v>
      </c>
      <c r="AN96" s="8">
        <f>IF(AL96&lt;=节奏预期!$B$1,0,SUMPRODUCT(投放验证!AD98:AG98,$D$50:$G$50)-SUMPRODUCT(节奏预期!E111:H111,节奏预期!I111:L111+1,$D$50:$G$50))</f>
        <v>5189318.5066362703</v>
      </c>
      <c r="AO96" s="8">
        <f t="shared" si="32"/>
        <v>400.78147255454667</v>
      </c>
      <c r="AR96" s="5">
        <v>92</v>
      </c>
      <c r="AS96" s="5">
        <f t="shared" si="27"/>
        <v>0.83134415496787017</v>
      </c>
      <c r="AT96" s="5">
        <f t="shared" si="28"/>
        <v>0.77375992554832818</v>
      </c>
      <c r="AU96" s="5">
        <f t="shared" si="29"/>
        <v>0.38893918868350308</v>
      </c>
      <c r="AV96" s="5">
        <f t="shared" si="29"/>
        <v>0.38893918868350308</v>
      </c>
      <c r="AW96" s="5">
        <f t="shared" si="30"/>
        <v>0.6047459552974036</v>
      </c>
    </row>
    <row r="97" spans="26:49" x14ac:dyDescent="0.15">
      <c r="Z97" s="5">
        <v>93</v>
      </c>
      <c r="AA97" s="5">
        <f t="shared" si="22"/>
        <v>0.19239057649822153</v>
      </c>
      <c r="AB97" s="5">
        <f t="shared" si="23"/>
        <v>0.21146198675108971</v>
      </c>
      <c r="AC97" s="5">
        <f t="shared" si="24"/>
        <v>0.29709695793719837</v>
      </c>
      <c r="AD97" s="5">
        <f t="shared" si="25"/>
        <v>0.48</v>
      </c>
      <c r="AE97" s="5">
        <f t="shared" si="26"/>
        <v>0.48</v>
      </c>
      <c r="AR97" s="5">
        <v>93</v>
      </c>
      <c r="AS97" s="5">
        <f t="shared" si="27"/>
        <v>0.81040694860120666</v>
      </c>
      <c r="AT97" s="5">
        <f t="shared" si="28"/>
        <v>0.71728522360582159</v>
      </c>
      <c r="AU97" s="5">
        <f t="shared" si="29"/>
        <v>0.45317520077546547</v>
      </c>
      <c r="AV97" s="5">
        <f t="shared" si="29"/>
        <v>0.45317520077546547</v>
      </c>
      <c r="AW97" s="5">
        <f t="shared" si="30"/>
        <v>0.6893488382996944</v>
      </c>
    </row>
    <row r="98" spans="26:49" x14ac:dyDescent="0.15">
      <c r="Z98" s="5">
        <v>94</v>
      </c>
      <c r="AA98" s="5">
        <f t="shared" si="22"/>
        <v>0.19652076866429538</v>
      </c>
      <c r="AB98" s="5">
        <f t="shared" si="23"/>
        <v>0.2219493156681196</v>
      </c>
      <c r="AC98" s="5">
        <f t="shared" si="24"/>
        <v>0.32322596394617004</v>
      </c>
      <c r="AD98" s="5">
        <f t="shared" si="25"/>
        <v>0.48</v>
      </c>
      <c r="AE98" s="5">
        <f t="shared" si="26"/>
        <v>0.48</v>
      </c>
      <c r="AR98" s="5">
        <v>94</v>
      </c>
      <c r="AS98" s="5">
        <f t="shared" si="27"/>
        <v>0.78946974223454314</v>
      </c>
      <c r="AT98" s="5">
        <f t="shared" si="28"/>
        <v>0.66081052166331489</v>
      </c>
      <c r="AU98" s="5">
        <f t="shared" si="29"/>
        <v>0.51741121286742786</v>
      </c>
      <c r="AV98" s="5">
        <f t="shared" si="29"/>
        <v>0.51741121286742786</v>
      </c>
      <c r="AW98" s="5">
        <f t="shared" si="30"/>
        <v>0.77395172130198531</v>
      </c>
    </row>
    <row r="99" spans="26:49" x14ac:dyDescent="0.15">
      <c r="Z99" s="5">
        <v>95</v>
      </c>
      <c r="AA99" s="5">
        <f t="shared" si="22"/>
        <v>0.20065096083036921</v>
      </c>
      <c r="AB99" s="5">
        <f t="shared" si="23"/>
        <v>0.23243664458514951</v>
      </c>
      <c r="AC99" s="5">
        <f t="shared" si="24"/>
        <v>0.3493549699551417</v>
      </c>
      <c r="AD99" s="5">
        <f t="shared" si="25"/>
        <v>0.48</v>
      </c>
      <c r="AE99" s="5">
        <f t="shared" si="26"/>
        <v>0.48</v>
      </c>
      <c r="AR99" s="5">
        <v>95</v>
      </c>
      <c r="AS99" s="5">
        <f t="shared" si="27"/>
        <v>0.76853253586787962</v>
      </c>
      <c r="AT99" s="5">
        <f t="shared" si="28"/>
        <v>0.6043358197208083</v>
      </c>
      <c r="AU99" s="5">
        <f t="shared" si="29"/>
        <v>0.58164722495939025</v>
      </c>
      <c r="AV99" s="5">
        <f t="shared" si="29"/>
        <v>0.58164722495939025</v>
      </c>
      <c r="AW99" s="5">
        <f t="shared" si="30"/>
        <v>0.8585546043042761</v>
      </c>
    </row>
    <row r="100" spans="26:49" x14ac:dyDescent="0.15">
      <c r="Z100" s="5">
        <v>96</v>
      </c>
      <c r="AA100" s="5">
        <f t="shared" si="22"/>
        <v>0.20478115299644306</v>
      </c>
      <c r="AB100" s="5">
        <f t="shared" si="23"/>
        <v>0.24292397350217942</v>
      </c>
      <c r="AC100" s="5">
        <f t="shared" si="24"/>
        <v>0.37548397596411331</v>
      </c>
      <c r="AD100" s="5">
        <f t="shared" si="25"/>
        <v>0.48</v>
      </c>
      <c r="AE100" s="5">
        <f t="shared" si="26"/>
        <v>0.48</v>
      </c>
      <c r="AR100" s="5">
        <v>96</v>
      </c>
      <c r="AS100" s="5">
        <f t="shared" si="27"/>
        <v>0.74759532950121599</v>
      </c>
      <c r="AT100" s="5">
        <f t="shared" si="28"/>
        <v>0.54786111777830171</v>
      </c>
      <c r="AU100" s="5">
        <f t="shared" si="29"/>
        <v>0.64588323705135264</v>
      </c>
      <c r="AV100" s="5">
        <f t="shared" si="29"/>
        <v>0.64588323705135264</v>
      </c>
      <c r="AW100" s="5">
        <f t="shared" si="30"/>
        <v>0.9431574873065669</v>
      </c>
    </row>
    <row r="101" spans="26:49" x14ac:dyDescent="0.15">
      <c r="Z101" s="5">
        <v>97</v>
      </c>
      <c r="AA101" s="5">
        <f t="shared" si="22"/>
        <v>0.20891134516251691</v>
      </c>
      <c r="AB101" s="5">
        <f t="shared" si="23"/>
        <v>0.25341130241920934</v>
      </c>
      <c r="AC101" s="5">
        <f t="shared" si="24"/>
        <v>0.40161298197308498</v>
      </c>
      <c r="AD101" s="5">
        <f t="shared" si="25"/>
        <v>0.48</v>
      </c>
      <c r="AE101" s="5">
        <f t="shared" si="26"/>
        <v>0.48</v>
      </c>
      <c r="AR101" s="5">
        <v>97</v>
      </c>
      <c r="AS101" s="5">
        <f t="shared" si="27"/>
        <v>0.72665812313455247</v>
      </c>
      <c r="AT101" s="5">
        <f t="shared" si="28"/>
        <v>0.49138641583579507</v>
      </c>
      <c r="AU101" s="5">
        <f t="shared" si="29"/>
        <v>0.71011924914331503</v>
      </c>
      <c r="AV101" s="5">
        <f t="shared" si="29"/>
        <v>0.71011924914331503</v>
      </c>
      <c r="AW101" s="5">
        <f t="shared" si="30"/>
        <v>1.0277603703088578</v>
      </c>
    </row>
    <row r="102" spans="26:49" x14ac:dyDescent="0.15">
      <c r="Z102" s="5">
        <v>98</v>
      </c>
      <c r="AA102" s="5">
        <f t="shared" si="22"/>
        <v>0.21304153732859077</v>
      </c>
      <c r="AB102" s="5">
        <f t="shared" si="23"/>
        <v>0.26389863133623925</v>
      </c>
      <c r="AC102" s="5">
        <f t="shared" si="24"/>
        <v>0.42774198798205665</v>
      </c>
      <c r="AD102" s="5">
        <f t="shared" si="25"/>
        <v>0.48</v>
      </c>
      <c r="AE102" s="5">
        <f t="shared" si="26"/>
        <v>0.48</v>
      </c>
      <c r="AR102" s="5">
        <v>98</v>
      </c>
      <c r="AS102" s="5">
        <f t="shared" si="27"/>
        <v>0.70572091676788884</v>
      </c>
      <c r="AT102" s="5">
        <f t="shared" si="28"/>
        <v>0.43491171389328842</v>
      </c>
      <c r="AU102" s="5">
        <f t="shared" ref="AU102:AV133" si="33">求节点($AL$62:$AL$77,$AO$62:$AO$77,$AR102)</f>
        <v>0.77435526123527743</v>
      </c>
      <c r="AV102" s="5">
        <f t="shared" si="33"/>
        <v>0.77435526123527743</v>
      </c>
      <c r="AW102" s="5">
        <f t="shared" si="30"/>
        <v>1.1123632533111487</v>
      </c>
    </row>
    <row r="103" spans="26:49" x14ac:dyDescent="0.15">
      <c r="Z103" s="5">
        <v>99</v>
      </c>
      <c r="AA103" s="5">
        <f t="shared" si="22"/>
        <v>0.21717172949466459</v>
      </c>
      <c r="AB103" s="5">
        <f t="shared" si="23"/>
        <v>0.27438596025326911</v>
      </c>
      <c r="AC103" s="5">
        <f t="shared" si="24"/>
        <v>0.45387099399102832</v>
      </c>
      <c r="AD103" s="5">
        <f t="shared" si="25"/>
        <v>0.48</v>
      </c>
      <c r="AE103" s="5">
        <f t="shared" si="26"/>
        <v>0.48</v>
      </c>
      <c r="AR103" s="5">
        <v>99</v>
      </c>
      <c r="AS103" s="5">
        <f t="shared" si="27"/>
        <v>0.68478371040122532</v>
      </c>
      <c r="AT103" s="5">
        <f t="shared" si="28"/>
        <v>0.37843701195078183</v>
      </c>
      <c r="AU103" s="5">
        <f t="shared" si="33"/>
        <v>0.83859127332723982</v>
      </c>
      <c r="AV103" s="5">
        <f t="shared" si="33"/>
        <v>0.83859127332723982</v>
      </c>
      <c r="AW103" s="5">
        <f t="shared" si="30"/>
        <v>1.1969661363134394</v>
      </c>
    </row>
    <row r="104" spans="26:49" x14ac:dyDescent="0.15">
      <c r="Z104" s="5">
        <v>100</v>
      </c>
      <c r="AA104" s="5">
        <f t="shared" si="22"/>
        <v>0.22130192166073845</v>
      </c>
      <c r="AB104" s="5">
        <f t="shared" si="23"/>
        <v>0.28487328917029903</v>
      </c>
      <c r="AC104" s="5">
        <f t="shared" si="24"/>
        <v>0.48</v>
      </c>
      <c r="AD104" s="5">
        <f t="shared" si="25"/>
        <v>0.48</v>
      </c>
      <c r="AE104" s="5">
        <f t="shared" si="26"/>
        <v>0.48</v>
      </c>
      <c r="AR104" s="5">
        <v>100</v>
      </c>
      <c r="AS104" s="5">
        <f t="shared" si="27"/>
        <v>0.6638465040345618</v>
      </c>
      <c r="AT104" s="5">
        <f t="shared" si="28"/>
        <v>0.32196231000827519</v>
      </c>
      <c r="AU104" s="5">
        <f t="shared" si="33"/>
        <v>0.90282728541920221</v>
      </c>
      <c r="AV104" s="5">
        <f t="shared" si="33"/>
        <v>0.90282728541920221</v>
      </c>
      <c r="AW104" s="5">
        <f t="shared" si="30"/>
        <v>1.2815690193157303</v>
      </c>
    </row>
    <row r="105" spans="26:49" x14ac:dyDescent="0.15">
      <c r="Z105" s="5">
        <v>101</v>
      </c>
      <c r="AA105" s="5">
        <f t="shared" si="22"/>
        <v>0.23607515229382026</v>
      </c>
      <c r="AB105" s="5">
        <f t="shared" si="23"/>
        <v>0.30438596025326914</v>
      </c>
      <c r="AC105" s="5">
        <f t="shared" si="24"/>
        <v>0.48</v>
      </c>
      <c r="AD105" s="5">
        <f t="shared" si="25"/>
        <v>0.48</v>
      </c>
      <c r="AE105" s="5">
        <f t="shared" si="26"/>
        <v>0.48</v>
      </c>
      <c r="AR105" s="5">
        <v>101</v>
      </c>
      <c r="AS105" s="5">
        <f t="shared" si="27"/>
        <v>0.63104797822625047</v>
      </c>
      <c r="AT105" s="5">
        <f t="shared" si="28"/>
        <v>0.33714245582415214</v>
      </c>
      <c r="AU105" s="5">
        <f t="shared" si="33"/>
        <v>1.0263492047675573</v>
      </c>
      <c r="AV105" s="5">
        <f t="shared" si="33"/>
        <v>1.0263492047675573</v>
      </c>
      <c r="AW105" s="5">
        <f t="shared" si="30"/>
        <v>1.446332405461177</v>
      </c>
    </row>
    <row r="106" spans="26:49" x14ac:dyDescent="0.15">
      <c r="Z106" s="5">
        <v>102</v>
      </c>
      <c r="AA106" s="5">
        <f t="shared" si="22"/>
        <v>0.25084838292690209</v>
      </c>
      <c r="AB106" s="5">
        <f t="shared" si="23"/>
        <v>0.3238986313362392</v>
      </c>
      <c r="AC106" s="5">
        <f t="shared" si="24"/>
        <v>0.48</v>
      </c>
      <c r="AD106" s="5">
        <f t="shared" si="25"/>
        <v>0.48</v>
      </c>
      <c r="AE106" s="5">
        <f t="shared" si="26"/>
        <v>0.48</v>
      </c>
      <c r="AR106" s="5">
        <v>102</v>
      </c>
      <c r="AS106" s="5">
        <f t="shared" si="27"/>
        <v>0.59824945241793914</v>
      </c>
      <c r="AT106" s="5">
        <f t="shared" si="28"/>
        <v>0.3523226016400291</v>
      </c>
      <c r="AU106" s="5">
        <f t="shared" si="33"/>
        <v>1.1498711241159127</v>
      </c>
      <c r="AV106" s="5">
        <f t="shared" si="33"/>
        <v>1.1498711241159127</v>
      </c>
      <c r="AW106" s="5">
        <f t="shared" si="30"/>
        <v>1.6110957916066238</v>
      </c>
    </row>
    <row r="107" spans="26:49" x14ac:dyDescent="0.15">
      <c r="Z107" s="5">
        <v>103</v>
      </c>
      <c r="AA107" s="5">
        <f t="shared" si="22"/>
        <v>0.26562161355998393</v>
      </c>
      <c r="AB107" s="5">
        <f t="shared" si="23"/>
        <v>0.34341130241920931</v>
      </c>
      <c r="AC107" s="5">
        <f t="shared" si="24"/>
        <v>0.48</v>
      </c>
      <c r="AD107" s="5">
        <f t="shared" si="25"/>
        <v>0.48</v>
      </c>
      <c r="AE107" s="5">
        <f t="shared" si="26"/>
        <v>0.48</v>
      </c>
      <c r="AR107" s="5">
        <v>103</v>
      </c>
      <c r="AS107" s="5">
        <f t="shared" si="27"/>
        <v>0.56545092660962781</v>
      </c>
      <c r="AT107" s="5">
        <f t="shared" si="28"/>
        <v>0.36750274745590605</v>
      </c>
      <c r="AU107" s="5">
        <f t="shared" si="33"/>
        <v>1.2733930434642677</v>
      </c>
      <c r="AV107" s="5">
        <f t="shared" si="33"/>
        <v>1.2733930434642677</v>
      </c>
      <c r="AW107" s="5">
        <f t="shared" si="30"/>
        <v>1.7758591777520705</v>
      </c>
    </row>
    <row r="108" spans="26:49" x14ac:dyDescent="0.15">
      <c r="Z108" s="5">
        <v>104</v>
      </c>
      <c r="AA108" s="5">
        <f t="shared" si="22"/>
        <v>0.28039484419306571</v>
      </c>
      <c r="AB108" s="5">
        <f t="shared" si="23"/>
        <v>0.36292397350217942</v>
      </c>
      <c r="AC108" s="5">
        <f t="shared" si="24"/>
        <v>0.48</v>
      </c>
      <c r="AD108" s="5">
        <f t="shared" si="25"/>
        <v>0.48</v>
      </c>
      <c r="AE108" s="5">
        <f t="shared" si="26"/>
        <v>0.48</v>
      </c>
      <c r="AR108" s="5">
        <v>104</v>
      </c>
      <c r="AS108" s="5">
        <f t="shared" si="27"/>
        <v>0.53265240080131648</v>
      </c>
      <c r="AT108" s="5">
        <f t="shared" si="28"/>
        <v>0.38268289327178301</v>
      </c>
      <c r="AU108" s="5">
        <f t="shared" si="33"/>
        <v>1.3969149628126232</v>
      </c>
      <c r="AV108" s="5">
        <f t="shared" si="33"/>
        <v>1.3969149628126232</v>
      </c>
      <c r="AW108" s="5">
        <f t="shared" si="30"/>
        <v>1.9406225638975174</v>
      </c>
    </row>
    <row r="109" spans="26:49" x14ac:dyDescent="0.15">
      <c r="Z109" s="5">
        <v>105</v>
      </c>
      <c r="AA109" s="5">
        <f t="shared" si="22"/>
        <v>0.29516807482614754</v>
      </c>
      <c r="AB109" s="5">
        <f t="shared" si="23"/>
        <v>0.38243664458514948</v>
      </c>
      <c r="AC109" s="5">
        <f t="shared" si="24"/>
        <v>0.48</v>
      </c>
      <c r="AD109" s="5">
        <f t="shared" si="25"/>
        <v>0.48</v>
      </c>
      <c r="AE109" s="5">
        <f t="shared" si="26"/>
        <v>0.48</v>
      </c>
      <c r="AR109" s="5">
        <v>105</v>
      </c>
      <c r="AS109" s="5">
        <f t="shared" si="27"/>
        <v>0.4998538749930051</v>
      </c>
      <c r="AT109" s="5">
        <f t="shared" si="28"/>
        <v>0.39786303908765996</v>
      </c>
      <c r="AU109" s="5">
        <f t="shared" si="33"/>
        <v>1.5204368821609782</v>
      </c>
      <c r="AV109" s="5">
        <f t="shared" si="33"/>
        <v>1.5204368821609782</v>
      </c>
      <c r="AW109" s="5">
        <f t="shared" si="30"/>
        <v>2.1053859500429639</v>
      </c>
    </row>
    <row r="110" spans="26:49" x14ac:dyDescent="0.15">
      <c r="Z110" s="5">
        <v>106</v>
      </c>
      <c r="AA110" s="5">
        <f t="shared" si="22"/>
        <v>0.30994130545922938</v>
      </c>
      <c r="AB110" s="5">
        <f t="shared" si="23"/>
        <v>0.40194931566811959</v>
      </c>
      <c r="AC110" s="5">
        <f t="shared" si="24"/>
        <v>0.48</v>
      </c>
      <c r="AD110" s="5">
        <f t="shared" si="25"/>
        <v>0.48</v>
      </c>
      <c r="AE110" s="5">
        <f t="shared" si="26"/>
        <v>0.48</v>
      </c>
      <c r="AR110" s="5">
        <v>106</v>
      </c>
      <c r="AS110" s="5">
        <f t="shared" si="27"/>
        <v>0.46705534918469371</v>
      </c>
      <c r="AT110" s="5">
        <f t="shared" si="28"/>
        <v>0.41304318490353692</v>
      </c>
      <c r="AU110" s="5">
        <f t="shared" si="33"/>
        <v>1.6439588015093336</v>
      </c>
      <c r="AV110" s="5">
        <f t="shared" si="33"/>
        <v>1.6439588015093336</v>
      </c>
      <c r="AW110" s="5">
        <f t="shared" si="30"/>
        <v>2.2701493361884109</v>
      </c>
    </row>
    <row r="111" spans="26:49" x14ac:dyDescent="0.15">
      <c r="Z111" s="5">
        <v>107</v>
      </c>
      <c r="AA111" s="5">
        <f t="shared" si="22"/>
        <v>0.32471453609231116</v>
      </c>
      <c r="AB111" s="5">
        <f t="shared" si="23"/>
        <v>0.4214619867510897</v>
      </c>
      <c r="AC111" s="5">
        <f t="shared" si="24"/>
        <v>0.48</v>
      </c>
      <c r="AD111" s="5">
        <f t="shared" si="25"/>
        <v>0.48</v>
      </c>
      <c r="AE111" s="5">
        <f t="shared" si="26"/>
        <v>0.48</v>
      </c>
      <c r="AR111" s="5">
        <v>107</v>
      </c>
      <c r="AS111" s="5">
        <f t="shared" si="27"/>
        <v>0.43425682337638238</v>
      </c>
      <c r="AT111" s="5">
        <f t="shared" si="28"/>
        <v>0.42822333071941387</v>
      </c>
      <c r="AU111" s="5">
        <f t="shared" si="33"/>
        <v>1.7674807208576886</v>
      </c>
      <c r="AV111" s="5">
        <f t="shared" si="33"/>
        <v>1.7674807208576886</v>
      </c>
      <c r="AW111" s="5">
        <f t="shared" si="30"/>
        <v>2.4349127223338574</v>
      </c>
    </row>
    <row r="112" spans="26:49" x14ac:dyDescent="0.15">
      <c r="Z112" s="5">
        <v>108</v>
      </c>
      <c r="AA112" s="5">
        <f t="shared" si="22"/>
        <v>0.33948776672539299</v>
      </c>
      <c r="AB112" s="5">
        <f t="shared" si="23"/>
        <v>0.44097465783405976</v>
      </c>
      <c r="AC112" s="5">
        <f t="shared" si="24"/>
        <v>0.48</v>
      </c>
      <c r="AD112" s="5">
        <f t="shared" si="25"/>
        <v>0.48</v>
      </c>
      <c r="AE112" s="5">
        <f t="shared" si="26"/>
        <v>0.48</v>
      </c>
      <c r="AR112" s="5">
        <v>108</v>
      </c>
      <c r="AS112" s="5">
        <f t="shared" si="27"/>
        <v>0.40145829756807105</v>
      </c>
      <c r="AT112" s="5">
        <f t="shared" si="28"/>
        <v>0.44340347653529083</v>
      </c>
      <c r="AU112" s="5">
        <f t="shared" si="33"/>
        <v>1.891002640206044</v>
      </c>
      <c r="AV112" s="5">
        <f t="shared" si="33"/>
        <v>1.891002640206044</v>
      </c>
      <c r="AW112" s="5">
        <f t="shared" si="30"/>
        <v>2.5996761084793043</v>
      </c>
    </row>
    <row r="113" spans="26:49" x14ac:dyDescent="0.15">
      <c r="Z113" s="5">
        <v>109</v>
      </c>
      <c r="AA113" s="5">
        <f t="shared" si="22"/>
        <v>0.35426099735847483</v>
      </c>
      <c r="AB113" s="5">
        <f t="shared" si="23"/>
        <v>0.46048732891702987</v>
      </c>
      <c r="AC113" s="5">
        <f t="shared" si="24"/>
        <v>0.48</v>
      </c>
      <c r="AD113" s="5">
        <f t="shared" si="25"/>
        <v>0.48</v>
      </c>
      <c r="AE113" s="5">
        <f t="shared" si="26"/>
        <v>0.48</v>
      </c>
      <c r="AR113" s="5">
        <v>109</v>
      </c>
      <c r="AS113" s="5">
        <f t="shared" si="27"/>
        <v>0.36865977175975972</v>
      </c>
      <c r="AT113" s="5">
        <f t="shared" si="28"/>
        <v>0.45858362235116779</v>
      </c>
      <c r="AU113" s="5">
        <f t="shared" si="33"/>
        <v>2.014524559554399</v>
      </c>
      <c r="AV113" s="5">
        <f t="shared" si="33"/>
        <v>2.014524559554399</v>
      </c>
      <c r="AW113" s="5">
        <f t="shared" si="30"/>
        <v>2.7644394946247512</v>
      </c>
    </row>
    <row r="114" spans="26:49" x14ac:dyDescent="0.15">
      <c r="Z114" s="5">
        <v>110</v>
      </c>
      <c r="AA114" s="5">
        <f t="shared" si="22"/>
        <v>0.36903422799155661</v>
      </c>
      <c r="AB114" s="5">
        <f t="shared" si="23"/>
        <v>0.48</v>
      </c>
      <c r="AC114" s="5">
        <f t="shared" si="24"/>
        <v>0.48</v>
      </c>
      <c r="AD114" s="5">
        <f t="shared" si="25"/>
        <v>0.48</v>
      </c>
      <c r="AE114" s="5">
        <f t="shared" si="26"/>
        <v>0.48</v>
      </c>
      <c r="AR114" s="5">
        <v>110</v>
      </c>
      <c r="AS114" s="5">
        <f t="shared" si="27"/>
        <v>0.33586124595144839</v>
      </c>
      <c r="AT114" s="5">
        <f t="shared" si="28"/>
        <v>0.47376376816704474</v>
      </c>
      <c r="AU114" s="5">
        <f t="shared" si="33"/>
        <v>2.1380464789027545</v>
      </c>
      <c r="AV114" s="5">
        <f t="shared" si="33"/>
        <v>2.1380464789027545</v>
      </c>
      <c r="AW114" s="5">
        <f t="shared" si="30"/>
        <v>2.9292028807701977</v>
      </c>
    </row>
    <row r="115" spans="26:49" x14ac:dyDescent="0.15">
      <c r="Z115" s="5">
        <v>111</v>
      </c>
      <c r="AA115" s="5">
        <f t="shared" si="22"/>
        <v>0.38013080519240094</v>
      </c>
      <c r="AB115" s="5">
        <f t="shared" si="23"/>
        <v>0.48</v>
      </c>
      <c r="AC115" s="5">
        <f t="shared" si="24"/>
        <v>0.48</v>
      </c>
      <c r="AD115" s="5">
        <f t="shared" si="25"/>
        <v>0.48</v>
      </c>
      <c r="AE115" s="5">
        <f t="shared" si="26"/>
        <v>0.48</v>
      </c>
      <c r="AR115" s="5">
        <v>111</v>
      </c>
      <c r="AS115" s="5">
        <f t="shared" si="27"/>
        <v>0.38275323507089937</v>
      </c>
      <c r="AT115" s="5">
        <f t="shared" si="28"/>
        <v>0.54985212043376019</v>
      </c>
      <c r="AU115" s="5">
        <f t="shared" si="33"/>
        <v>2.3830460245493104</v>
      </c>
      <c r="AV115" s="5">
        <f t="shared" si="33"/>
        <v>2.3830460245493104</v>
      </c>
      <c r="AW115" s="5">
        <f t="shared" si="30"/>
        <v>3.2516925913786299</v>
      </c>
    </row>
    <row r="116" spans="26:49" x14ac:dyDescent="0.15">
      <c r="Z116" s="5">
        <v>112</v>
      </c>
      <c r="AA116" s="5">
        <f t="shared" si="22"/>
        <v>0.39122738239324528</v>
      </c>
      <c r="AB116" s="5">
        <f t="shared" si="23"/>
        <v>0.48</v>
      </c>
      <c r="AC116" s="5">
        <f t="shared" si="24"/>
        <v>0.48</v>
      </c>
      <c r="AD116" s="5">
        <f t="shared" si="25"/>
        <v>0.48</v>
      </c>
      <c r="AE116" s="5">
        <f t="shared" si="26"/>
        <v>0.48</v>
      </c>
      <c r="AR116" s="5">
        <v>112</v>
      </c>
      <c r="AS116" s="5">
        <f t="shared" si="27"/>
        <v>0.42964522419035028</v>
      </c>
      <c r="AT116" s="5">
        <f t="shared" si="28"/>
        <v>0.62594047270047559</v>
      </c>
      <c r="AU116" s="5">
        <f t="shared" si="33"/>
        <v>2.6280455701958658</v>
      </c>
      <c r="AV116" s="5">
        <f t="shared" si="33"/>
        <v>2.6280455701958658</v>
      </c>
      <c r="AW116" s="5">
        <f t="shared" si="30"/>
        <v>3.5741823019870615</v>
      </c>
    </row>
    <row r="117" spans="26:49" x14ac:dyDescent="0.15">
      <c r="Z117" s="5">
        <v>113</v>
      </c>
      <c r="AA117" s="5">
        <f t="shared" si="22"/>
        <v>0.40232395959408962</v>
      </c>
      <c r="AB117" s="5">
        <f t="shared" si="23"/>
        <v>0.48</v>
      </c>
      <c r="AC117" s="5">
        <f t="shared" si="24"/>
        <v>0.48</v>
      </c>
      <c r="AD117" s="5">
        <f t="shared" si="25"/>
        <v>0.48</v>
      </c>
      <c r="AE117" s="5">
        <f t="shared" si="26"/>
        <v>0.48</v>
      </c>
      <c r="AR117" s="5">
        <v>113</v>
      </c>
      <c r="AS117" s="5">
        <f t="shared" si="27"/>
        <v>0.47653721330980126</v>
      </c>
      <c r="AT117" s="5">
        <f t="shared" si="28"/>
        <v>0.7020288249671911</v>
      </c>
      <c r="AU117" s="5">
        <f t="shared" si="33"/>
        <v>2.8730451158424213</v>
      </c>
      <c r="AV117" s="5">
        <f t="shared" si="33"/>
        <v>2.8730451158424213</v>
      </c>
      <c r="AW117" s="5">
        <f t="shared" si="30"/>
        <v>3.8966720125954932</v>
      </c>
    </row>
    <row r="118" spans="26:49" x14ac:dyDescent="0.15">
      <c r="Z118" s="5">
        <v>114</v>
      </c>
      <c r="AA118" s="5">
        <f t="shared" si="22"/>
        <v>0.41342053679493396</v>
      </c>
      <c r="AB118" s="5">
        <f t="shared" si="23"/>
        <v>0.48</v>
      </c>
      <c r="AC118" s="5">
        <f t="shared" si="24"/>
        <v>0.48</v>
      </c>
      <c r="AD118" s="5">
        <f t="shared" si="25"/>
        <v>0.48</v>
      </c>
      <c r="AE118" s="5">
        <f t="shared" si="26"/>
        <v>0.48</v>
      </c>
      <c r="AR118" s="5">
        <v>114</v>
      </c>
      <c r="AS118" s="5">
        <f t="shared" si="27"/>
        <v>0.52342920242925217</v>
      </c>
      <c r="AT118" s="5">
        <f t="shared" si="28"/>
        <v>0.7781171772339065</v>
      </c>
      <c r="AU118" s="5">
        <f t="shared" si="33"/>
        <v>3.1180446614889772</v>
      </c>
      <c r="AV118" s="5">
        <f t="shared" si="33"/>
        <v>3.1180446614889772</v>
      </c>
      <c r="AW118" s="5">
        <f t="shared" si="30"/>
        <v>4.2191617232039249</v>
      </c>
    </row>
    <row r="119" spans="26:49" x14ac:dyDescent="0.15">
      <c r="Z119" s="5">
        <v>115</v>
      </c>
      <c r="AA119" s="5">
        <f t="shared" si="22"/>
        <v>0.42451711399577829</v>
      </c>
      <c r="AB119" s="5">
        <f t="shared" si="23"/>
        <v>0.48</v>
      </c>
      <c r="AC119" s="5">
        <f t="shared" si="24"/>
        <v>0.48</v>
      </c>
      <c r="AD119" s="5">
        <f t="shared" si="25"/>
        <v>0.48</v>
      </c>
      <c r="AE119" s="5">
        <f t="shared" si="26"/>
        <v>0.48</v>
      </c>
      <c r="AR119" s="5">
        <v>115</v>
      </c>
      <c r="AS119" s="5">
        <f t="shared" si="27"/>
        <v>0.5703211915487032</v>
      </c>
      <c r="AT119" s="5">
        <f t="shared" si="28"/>
        <v>0.8542055295006219</v>
      </c>
      <c r="AU119" s="5">
        <f t="shared" si="33"/>
        <v>3.3630442071355331</v>
      </c>
      <c r="AV119" s="5">
        <f t="shared" si="33"/>
        <v>3.3630442071355331</v>
      </c>
      <c r="AW119" s="5">
        <f t="shared" si="30"/>
        <v>4.5416514338123575</v>
      </c>
    </row>
    <row r="120" spans="26:49" x14ac:dyDescent="0.15">
      <c r="Z120" s="5">
        <v>116</v>
      </c>
      <c r="AA120" s="5">
        <f t="shared" si="22"/>
        <v>0.43561369119662263</v>
      </c>
      <c r="AB120" s="5">
        <f t="shared" si="23"/>
        <v>0.48</v>
      </c>
      <c r="AC120" s="5">
        <f t="shared" si="24"/>
        <v>0.48</v>
      </c>
      <c r="AD120" s="5">
        <f t="shared" si="25"/>
        <v>0.48</v>
      </c>
      <c r="AE120" s="5">
        <f t="shared" si="26"/>
        <v>0.48</v>
      </c>
      <c r="AR120" s="5">
        <v>116</v>
      </c>
      <c r="AS120" s="5">
        <f t="shared" si="27"/>
        <v>0.61721318066815412</v>
      </c>
      <c r="AT120" s="5">
        <f t="shared" si="28"/>
        <v>0.93029388176733741</v>
      </c>
      <c r="AU120" s="5">
        <f t="shared" si="33"/>
        <v>3.6080437527820886</v>
      </c>
      <c r="AV120" s="5">
        <f t="shared" si="33"/>
        <v>3.6080437527820886</v>
      </c>
      <c r="AW120" s="5">
        <f t="shared" si="30"/>
        <v>4.8641411444207892</v>
      </c>
    </row>
    <row r="121" spans="26:49" x14ac:dyDescent="0.15">
      <c r="Z121" s="5">
        <v>117</v>
      </c>
      <c r="AA121" s="5">
        <f t="shared" si="22"/>
        <v>0.44671026839746697</v>
      </c>
      <c r="AB121" s="5">
        <f t="shared" si="23"/>
        <v>0.48</v>
      </c>
      <c r="AC121" s="5">
        <f t="shared" si="24"/>
        <v>0.48</v>
      </c>
      <c r="AD121" s="5">
        <f t="shared" si="25"/>
        <v>0.48</v>
      </c>
      <c r="AE121" s="5">
        <f t="shared" si="26"/>
        <v>0.48</v>
      </c>
      <c r="AR121" s="5">
        <v>117</v>
      </c>
      <c r="AS121" s="5">
        <f t="shared" si="27"/>
        <v>0.66410516978760503</v>
      </c>
      <c r="AT121" s="5">
        <f t="shared" si="28"/>
        <v>1.0063822340340529</v>
      </c>
      <c r="AU121" s="5">
        <f t="shared" si="33"/>
        <v>3.853043298428644</v>
      </c>
      <c r="AV121" s="5">
        <f t="shared" si="33"/>
        <v>3.853043298428644</v>
      </c>
      <c r="AW121" s="5">
        <f t="shared" si="30"/>
        <v>5.1866308550292217</v>
      </c>
    </row>
    <row r="122" spans="26:49" x14ac:dyDescent="0.15">
      <c r="Z122" s="5">
        <v>118</v>
      </c>
      <c r="AA122" s="5">
        <f t="shared" si="22"/>
        <v>0.45780684559831131</v>
      </c>
      <c r="AB122" s="5">
        <f t="shared" si="23"/>
        <v>0.48</v>
      </c>
      <c r="AC122" s="5">
        <f t="shared" si="24"/>
        <v>0.48</v>
      </c>
      <c r="AD122" s="5">
        <f t="shared" si="25"/>
        <v>0.48</v>
      </c>
      <c r="AE122" s="5">
        <f t="shared" si="26"/>
        <v>0.48</v>
      </c>
      <c r="AR122" s="5">
        <v>118</v>
      </c>
      <c r="AS122" s="5">
        <f t="shared" si="27"/>
        <v>0.71099715890705606</v>
      </c>
      <c r="AT122" s="5">
        <f t="shared" si="28"/>
        <v>1.0824705863007682</v>
      </c>
      <c r="AU122" s="5">
        <f t="shared" si="33"/>
        <v>4.0980428440752004</v>
      </c>
      <c r="AV122" s="5">
        <f t="shared" si="33"/>
        <v>4.0980428440752004</v>
      </c>
      <c r="AW122" s="5">
        <f t="shared" si="30"/>
        <v>5.5091205656376534</v>
      </c>
    </row>
    <row r="123" spans="26:49" x14ac:dyDescent="0.15">
      <c r="Z123" s="5">
        <v>119</v>
      </c>
      <c r="AA123" s="5">
        <f t="shared" si="22"/>
        <v>0.46890342279915564</v>
      </c>
      <c r="AB123" s="5">
        <f t="shared" si="23"/>
        <v>0.48</v>
      </c>
      <c r="AC123" s="5">
        <f t="shared" si="24"/>
        <v>0.48</v>
      </c>
      <c r="AD123" s="5">
        <f t="shared" si="25"/>
        <v>0.48</v>
      </c>
      <c r="AE123" s="5">
        <f t="shared" si="26"/>
        <v>0.48</v>
      </c>
      <c r="AR123" s="5">
        <v>119</v>
      </c>
      <c r="AS123" s="5">
        <f t="shared" si="27"/>
        <v>0.75788914802650698</v>
      </c>
      <c r="AT123" s="5">
        <f t="shared" si="28"/>
        <v>1.1585589385674837</v>
      </c>
      <c r="AU123" s="5">
        <f t="shared" si="33"/>
        <v>4.3430423897217558</v>
      </c>
      <c r="AV123" s="5">
        <f t="shared" si="33"/>
        <v>4.3430423897217558</v>
      </c>
      <c r="AW123" s="5">
        <f t="shared" si="30"/>
        <v>5.8316102762460851</v>
      </c>
    </row>
    <row r="124" spans="26:49" x14ac:dyDescent="0.15">
      <c r="Z124" s="5">
        <v>120</v>
      </c>
      <c r="AA124" s="5">
        <f t="shared" si="22"/>
        <v>0.48</v>
      </c>
      <c r="AB124" s="5">
        <f t="shared" si="23"/>
        <v>0.48</v>
      </c>
      <c r="AC124" s="5">
        <f t="shared" si="24"/>
        <v>0.48</v>
      </c>
      <c r="AD124" s="5">
        <f t="shared" si="25"/>
        <v>0.48</v>
      </c>
      <c r="AE124" s="5">
        <f t="shared" si="26"/>
        <v>0.48</v>
      </c>
      <c r="AR124" s="5">
        <v>120</v>
      </c>
      <c r="AS124" s="5">
        <f t="shared" si="27"/>
        <v>0.80478113714595789</v>
      </c>
      <c r="AT124" s="5">
        <f t="shared" si="28"/>
        <v>1.2346472908341992</v>
      </c>
      <c r="AU124" s="5">
        <f t="shared" si="33"/>
        <v>4.5880419353683113</v>
      </c>
      <c r="AV124" s="5">
        <f t="shared" si="33"/>
        <v>4.5880419353683113</v>
      </c>
      <c r="AW124" s="5">
        <f t="shared" si="30"/>
        <v>6.1540999868545168</v>
      </c>
    </row>
    <row r="125" spans="26:49" x14ac:dyDescent="0.15">
      <c r="Z125" s="5">
        <v>121</v>
      </c>
      <c r="AA125" s="5">
        <f t="shared" si="22"/>
        <v>0.48</v>
      </c>
      <c r="AB125" s="5">
        <f t="shared" si="23"/>
        <v>0.48</v>
      </c>
      <c r="AC125" s="5">
        <f t="shared" si="24"/>
        <v>0.48</v>
      </c>
      <c r="AD125" s="5">
        <f t="shared" si="25"/>
        <v>0.48</v>
      </c>
      <c r="AE125" s="5">
        <f t="shared" si="26"/>
        <v>0.48</v>
      </c>
      <c r="AR125" s="5">
        <v>121</v>
      </c>
      <c r="AS125" s="5">
        <f t="shared" si="27"/>
        <v>0.90947858669583137</v>
      </c>
      <c r="AT125" s="5">
        <f t="shared" si="28"/>
        <v>1.3816011158315502</v>
      </c>
      <c r="AU125" s="5">
        <f t="shared" si="33"/>
        <v>5.0719437115484398</v>
      </c>
      <c r="AV125" s="5">
        <f t="shared" si="33"/>
        <v>5.0719437115484398</v>
      </c>
      <c r="AW125" s="5">
        <f t="shared" si="30"/>
        <v>6.7995285304475566</v>
      </c>
    </row>
    <row r="126" spans="26:49" x14ac:dyDescent="0.15">
      <c r="Z126" s="5">
        <v>122</v>
      </c>
      <c r="AA126" s="5">
        <f t="shared" si="22"/>
        <v>0.48</v>
      </c>
      <c r="AB126" s="5">
        <f t="shared" si="23"/>
        <v>0.48</v>
      </c>
      <c r="AC126" s="5">
        <f t="shared" si="24"/>
        <v>0.48</v>
      </c>
      <c r="AD126" s="5">
        <f t="shared" si="25"/>
        <v>0.48</v>
      </c>
      <c r="AE126" s="5">
        <f t="shared" si="26"/>
        <v>0.48</v>
      </c>
      <c r="AR126" s="5">
        <v>122</v>
      </c>
      <c r="AS126" s="5">
        <f t="shared" si="27"/>
        <v>1.0141760362457048</v>
      </c>
      <c r="AT126" s="5">
        <f t="shared" si="28"/>
        <v>1.5285549408289012</v>
      </c>
      <c r="AU126" s="5">
        <f t="shared" si="33"/>
        <v>5.5558454877285692</v>
      </c>
      <c r="AV126" s="5">
        <f t="shared" si="33"/>
        <v>5.5558454877285692</v>
      </c>
      <c r="AW126" s="5">
        <f t="shared" si="30"/>
        <v>7.4449570740405955</v>
      </c>
    </row>
    <row r="127" spans="26:49" x14ac:dyDescent="0.15">
      <c r="Z127" s="5">
        <v>123</v>
      </c>
      <c r="AA127" s="5">
        <f t="shared" si="22"/>
        <v>0.48</v>
      </c>
      <c r="AB127" s="5">
        <f t="shared" si="23"/>
        <v>0.48</v>
      </c>
      <c r="AC127" s="5">
        <f t="shared" si="24"/>
        <v>0.48</v>
      </c>
      <c r="AD127" s="5">
        <f t="shared" si="25"/>
        <v>0.48</v>
      </c>
      <c r="AE127" s="5">
        <f t="shared" si="26"/>
        <v>0.48</v>
      </c>
      <c r="AR127" s="5">
        <v>123</v>
      </c>
      <c r="AS127" s="5">
        <f t="shared" si="27"/>
        <v>1.1188734857955784</v>
      </c>
      <c r="AT127" s="5">
        <f t="shared" si="28"/>
        <v>1.6755087658262522</v>
      </c>
      <c r="AU127" s="5">
        <f t="shared" si="33"/>
        <v>6.0397472639086978</v>
      </c>
      <c r="AV127" s="5">
        <f t="shared" si="33"/>
        <v>6.0397472639086978</v>
      </c>
      <c r="AW127" s="5">
        <f t="shared" si="30"/>
        <v>8.0903856176336362</v>
      </c>
    </row>
    <row r="128" spans="26:49" x14ac:dyDescent="0.15">
      <c r="Z128" s="5">
        <v>124</v>
      </c>
      <c r="AA128" s="5">
        <f t="shared" si="22"/>
        <v>0.48</v>
      </c>
      <c r="AB128" s="5">
        <f t="shared" si="23"/>
        <v>0.48</v>
      </c>
      <c r="AC128" s="5">
        <f t="shared" si="24"/>
        <v>0.48</v>
      </c>
      <c r="AD128" s="5">
        <f t="shared" si="25"/>
        <v>0.48</v>
      </c>
      <c r="AE128" s="5">
        <f t="shared" si="26"/>
        <v>0.48</v>
      </c>
      <c r="AR128" s="5">
        <v>124</v>
      </c>
      <c r="AS128" s="5">
        <f t="shared" si="27"/>
        <v>1.223570935345452</v>
      </c>
      <c r="AT128" s="5">
        <f t="shared" si="28"/>
        <v>1.8224625908236032</v>
      </c>
      <c r="AU128" s="5">
        <f t="shared" si="33"/>
        <v>6.5236490400888272</v>
      </c>
      <c r="AV128" s="5">
        <f t="shared" si="33"/>
        <v>6.5236490400888272</v>
      </c>
      <c r="AW128" s="5">
        <f t="shared" si="30"/>
        <v>8.7358141612266742</v>
      </c>
    </row>
    <row r="129" spans="26:49" x14ac:dyDescent="0.15">
      <c r="Z129" s="5">
        <v>125</v>
      </c>
      <c r="AA129" s="5">
        <f t="shared" si="22"/>
        <v>0.48</v>
      </c>
      <c r="AB129" s="5">
        <f t="shared" si="23"/>
        <v>0.48</v>
      </c>
      <c r="AC129" s="5">
        <f t="shared" si="24"/>
        <v>0.48</v>
      </c>
      <c r="AD129" s="5">
        <f t="shared" si="25"/>
        <v>0.48</v>
      </c>
      <c r="AE129" s="5">
        <f t="shared" si="26"/>
        <v>0.48</v>
      </c>
      <c r="AR129" s="5">
        <v>125</v>
      </c>
      <c r="AS129" s="5">
        <f t="shared" si="27"/>
        <v>1.3282683848953254</v>
      </c>
      <c r="AT129" s="5">
        <f t="shared" si="28"/>
        <v>1.9694164158209542</v>
      </c>
      <c r="AU129" s="5">
        <f t="shared" si="33"/>
        <v>7.0075508162689557</v>
      </c>
      <c r="AV129" s="5">
        <f t="shared" si="33"/>
        <v>7.0075508162689557</v>
      </c>
      <c r="AW129" s="5">
        <f t="shared" si="30"/>
        <v>9.381242704819714</v>
      </c>
    </row>
    <row r="130" spans="26:49" x14ac:dyDescent="0.15">
      <c r="Z130" s="5">
        <v>126</v>
      </c>
      <c r="AA130" s="5">
        <f t="shared" si="22"/>
        <v>0.48</v>
      </c>
      <c r="AB130" s="5">
        <f t="shared" si="23"/>
        <v>0.48</v>
      </c>
      <c r="AC130" s="5">
        <f t="shared" si="24"/>
        <v>0.48</v>
      </c>
      <c r="AD130" s="5">
        <f t="shared" si="25"/>
        <v>0.48</v>
      </c>
      <c r="AE130" s="5">
        <f t="shared" si="26"/>
        <v>0.48</v>
      </c>
      <c r="AR130" s="5">
        <v>126</v>
      </c>
      <c r="AS130" s="5">
        <f t="shared" si="27"/>
        <v>1.432965834445199</v>
      </c>
      <c r="AT130" s="5">
        <f t="shared" si="28"/>
        <v>2.1163702408183052</v>
      </c>
      <c r="AU130" s="5">
        <f t="shared" si="33"/>
        <v>7.4914525924490842</v>
      </c>
      <c r="AV130" s="5">
        <f t="shared" si="33"/>
        <v>7.4914525924490842</v>
      </c>
      <c r="AW130" s="5">
        <f t="shared" si="30"/>
        <v>10.026671248412754</v>
      </c>
    </row>
    <row r="131" spans="26:49" x14ac:dyDescent="0.15">
      <c r="Z131" s="5">
        <v>127</v>
      </c>
      <c r="AA131" s="5">
        <f t="shared" si="22"/>
        <v>0.48</v>
      </c>
      <c r="AB131" s="5">
        <f t="shared" si="23"/>
        <v>0.48</v>
      </c>
      <c r="AC131" s="5">
        <f t="shared" si="24"/>
        <v>0.48</v>
      </c>
      <c r="AD131" s="5">
        <f t="shared" si="25"/>
        <v>0.48</v>
      </c>
      <c r="AE131" s="5">
        <f t="shared" si="26"/>
        <v>0.48</v>
      </c>
      <c r="AR131" s="5">
        <v>127</v>
      </c>
      <c r="AS131" s="5">
        <f t="shared" si="27"/>
        <v>1.5376632839950726</v>
      </c>
      <c r="AT131" s="5">
        <f t="shared" si="28"/>
        <v>2.2633240658156559</v>
      </c>
      <c r="AU131" s="5">
        <f t="shared" si="33"/>
        <v>7.9753543686292137</v>
      </c>
      <c r="AV131" s="5">
        <f t="shared" si="33"/>
        <v>7.9753543686292137</v>
      </c>
      <c r="AW131" s="5">
        <f t="shared" si="30"/>
        <v>10.672099792005792</v>
      </c>
    </row>
    <row r="132" spans="26:49" x14ac:dyDescent="0.15">
      <c r="Z132" s="5">
        <v>128</v>
      </c>
      <c r="AA132" s="5">
        <f t="shared" si="22"/>
        <v>0.48</v>
      </c>
      <c r="AB132" s="5">
        <f t="shared" si="23"/>
        <v>0.48</v>
      </c>
      <c r="AC132" s="5">
        <f t="shared" si="24"/>
        <v>0.48</v>
      </c>
      <c r="AD132" s="5">
        <f t="shared" si="25"/>
        <v>0.48</v>
      </c>
      <c r="AE132" s="5">
        <f t="shared" si="26"/>
        <v>0.48</v>
      </c>
      <c r="AR132" s="5">
        <v>128</v>
      </c>
      <c r="AS132" s="5">
        <f t="shared" si="27"/>
        <v>1.6423607335449462</v>
      </c>
      <c r="AT132" s="5">
        <f t="shared" si="28"/>
        <v>2.4102778908130071</v>
      </c>
      <c r="AU132" s="5">
        <f t="shared" si="33"/>
        <v>8.4592561448093413</v>
      </c>
      <c r="AV132" s="5">
        <f t="shared" si="33"/>
        <v>8.4592561448093413</v>
      </c>
      <c r="AW132" s="5">
        <f t="shared" si="30"/>
        <v>11.317528335598833</v>
      </c>
    </row>
    <row r="133" spans="26:49" x14ac:dyDescent="0.15">
      <c r="Z133" s="5">
        <v>129</v>
      </c>
      <c r="AA133" s="5">
        <f t="shared" si="22"/>
        <v>0.48</v>
      </c>
      <c r="AB133" s="5">
        <f t="shared" si="23"/>
        <v>0.48</v>
      </c>
      <c r="AC133" s="5">
        <f t="shared" si="24"/>
        <v>0.48</v>
      </c>
      <c r="AD133" s="5">
        <f t="shared" si="25"/>
        <v>0.48</v>
      </c>
      <c r="AE133" s="5">
        <f t="shared" si="26"/>
        <v>0.48</v>
      </c>
      <c r="AR133" s="5">
        <v>129</v>
      </c>
      <c r="AS133" s="5">
        <f t="shared" si="27"/>
        <v>1.7470581830948195</v>
      </c>
      <c r="AT133" s="5">
        <f t="shared" si="28"/>
        <v>2.5572317158103584</v>
      </c>
      <c r="AU133" s="5">
        <f t="shared" si="33"/>
        <v>8.9431579209894707</v>
      </c>
      <c r="AV133" s="5">
        <f t="shared" si="33"/>
        <v>8.9431579209894707</v>
      </c>
      <c r="AW133" s="5">
        <f t="shared" si="30"/>
        <v>11.962956879191871</v>
      </c>
    </row>
    <row r="134" spans="26:49" x14ac:dyDescent="0.15">
      <c r="Z134" s="5">
        <v>130</v>
      </c>
      <c r="AA134" s="5">
        <f t="shared" ref="AA134:AA164" si="34">求节点($N$5:$N$20,$S$5:$S$20,$Z134)</f>
        <v>0.48</v>
      </c>
      <c r="AB134" s="5">
        <f t="shared" ref="AB134:AB164" si="35">求节点($N$24:$N$39,$S$24:$S$39,$Z134)</f>
        <v>0.48</v>
      </c>
      <c r="AC134" s="5">
        <f t="shared" ref="AC134:AC164" si="36">求节点($N$43:$N$58,$S$43:$S$58,$Z134)</f>
        <v>0.48</v>
      </c>
      <c r="AD134" s="5">
        <f t="shared" ref="AD134:AD164" si="37">求节点($N$62:$N$77,$S$62:$S$77,$Z134)</f>
        <v>0.48</v>
      </c>
      <c r="AE134" s="5">
        <f t="shared" ref="AE134:AE164" si="38">求节点($N$81:$N$96,$S$81:$S$96,$Z134)</f>
        <v>0.48</v>
      </c>
      <c r="AR134" s="5">
        <v>130</v>
      </c>
      <c r="AS134" s="5">
        <f t="shared" ref="AS134:AS164" si="39">求节点($AL$5:$AL$20,$AO$5:$AO$20,$AR134)</f>
        <v>1.8517556326446931</v>
      </c>
      <c r="AT134" s="5">
        <f t="shared" ref="AT134:AT164" si="40">求节点($AL$24:$AL$39,$AO$24:$AO$39,$AR134)</f>
        <v>2.7041855408077091</v>
      </c>
      <c r="AU134" s="5">
        <f t="shared" ref="AU134:AV164" si="41">求节点($AL$62:$AL$77,$AO$62:$AO$77,$AR134)</f>
        <v>9.4270596971696001</v>
      </c>
      <c r="AV134" s="5">
        <f t="shared" si="41"/>
        <v>9.4270596971696001</v>
      </c>
      <c r="AW134" s="5">
        <f t="shared" ref="AW134:AW164" si="42">求节点($AL$81:$AL$96,$AO$81:$AO$96,$AR134)</f>
        <v>12.608385422784911</v>
      </c>
    </row>
    <row r="135" spans="26:49" x14ac:dyDescent="0.15">
      <c r="Z135" s="5">
        <v>131</v>
      </c>
      <c r="AA135" s="5">
        <f t="shared" si="34"/>
        <v>0.48</v>
      </c>
      <c r="AB135" s="5">
        <f t="shared" si="35"/>
        <v>0.48</v>
      </c>
      <c r="AC135" s="5">
        <f t="shared" si="36"/>
        <v>0.48</v>
      </c>
      <c r="AD135" s="5">
        <f t="shared" si="37"/>
        <v>0.48</v>
      </c>
      <c r="AE135" s="5">
        <f t="shared" si="38"/>
        <v>0.48</v>
      </c>
      <c r="AR135" s="5">
        <v>131</v>
      </c>
      <c r="AS135" s="5">
        <f t="shared" si="39"/>
        <v>2.0554496583316508</v>
      </c>
      <c r="AT135" s="5">
        <f t="shared" si="40"/>
        <v>2.9935815028561348</v>
      </c>
      <c r="AU135" s="5">
        <f t="shared" si="41"/>
        <v>10.377949595000823</v>
      </c>
      <c r="AV135" s="5">
        <f t="shared" si="41"/>
        <v>10.377949595000823</v>
      </c>
      <c r="AW135" s="5">
        <f t="shared" si="42"/>
        <v>13.867575230242817</v>
      </c>
    </row>
    <row r="136" spans="26:49" x14ac:dyDescent="0.15">
      <c r="Z136" s="5">
        <v>132</v>
      </c>
      <c r="AA136" s="5">
        <f t="shared" si="34"/>
        <v>0.48</v>
      </c>
      <c r="AB136" s="5">
        <f t="shared" si="35"/>
        <v>0.48</v>
      </c>
      <c r="AC136" s="5">
        <f t="shared" si="36"/>
        <v>0.48</v>
      </c>
      <c r="AD136" s="5">
        <f t="shared" si="37"/>
        <v>0.48</v>
      </c>
      <c r="AE136" s="5">
        <f t="shared" si="38"/>
        <v>0.48</v>
      </c>
      <c r="AR136" s="5">
        <v>132</v>
      </c>
      <c r="AS136" s="5">
        <f t="shared" si="39"/>
        <v>2.2591436840186079</v>
      </c>
      <c r="AT136" s="5">
        <f t="shared" si="40"/>
        <v>3.2829774649045604</v>
      </c>
      <c r="AU136" s="5">
        <f t="shared" si="41"/>
        <v>11.328839492832047</v>
      </c>
      <c r="AV136" s="5">
        <f t="shared" si="41"/>
        <v>11.328839492832047</v>
      </c>
      <c r="AW136" s="5">
        <f t="shared" si="42"/>
        <v>15.126765037700723</v>
      </c>
    </row>
    <row r="137" spans="26:49" x14ac:dyDescent="0.15">
      <c r="Z137" s="5">
        <v>133</v>
      </c>
      <c r="AA137" s="5">
        <f t="shared" si="34"/>
        <v>0.48</v>
      </c>
      <c r="AB137" s="5">
        <f t="shared" si="35"/>
        <v>0.48</v>
      </c>
      <c r="AC137" s="5">
        <f t="shared" si="36"/>
        <v>0.48</v>
      </c>
      <c r="AD137" s="5">
        <f t="shared" si="37"/>
        <v>0.48</v>
      </c>
      <c r="AE137" s="5">
        <f t="shared" si="38"/>
        <v>0.48</v>
      </c>
      <c r="AR137" s="5">
        <v>133</v>
      </c>
      <c r="AS137" s="5">
        <f t="shared" si="39"/>
        <v>2.4628377097055658</v>
      </c>
      <c r="AT137" s="5">
        <f t="shared" si="40"/>
        <v>3.5723734269529857</v>
      </c>
      <c r="AU137" s="5">
        <f t="shared" si="41"/>
        <v>12.27972939066327</v>
      </c>
      <c r="AV137" s="5">
        <f t="shared" si="41"/>
        <v>12.27972939066327</v>
      </c>
      <c r="AW137" s="5">
        <f t="shared" si="42"/>
        <v>16.385954845158629</v>
      </c>
    </row>
    <row r="138" spans="26:49" x14ac:dyDescent="0.15">
      <c r="Z138" s="5">
        <v>134</v>
      </c>
      <c r="AA138" s="5">
        <f t="shared" si="34"/>
        <v>0.48</v>
      </c>
      <c r="AB138" s="5">
        <f t="shared" si="35"/>
        <v>0.48</v>
      </c>
      <c r="AC138" s="5">
        <f t="shared" si="36"/>
        <v>0.48</v>
      </c>
      <c r="AD138" s="5">
        <f t="shared" si="37"/>
        <v>0.48</v>
      </c>
      <c r="AE138" s="5">
        <f t="shared" si="38"/>
        <v>0.48</v>
      </c>
      <c r="AR138" s="5">
        <v>134</v>
      </c>
      <c r="AS138" s="5">
        <f t="shared" si="39"/>
        <v>2.6665317353925229</v>
      </c>
      <c r="AT138" s="5">
        <f t="shared" si="40"/>
        <v>3.8617693890014113</v>
      </c>
      <c r="AU138" s="5">
        <f t="shared" si="41"/>
        <v>13.230619288494495</v>
      </c>
      <c r="AV138" s="5">
        <f t="shared" si="41"/>
        <v>13.230619288494495</v>
      </c>
      <c r="AW138" s="5">
        <f t="shared" si="42"/>
        <v>17.645144652616537</v>
      </c>
    </row>
    <row r="139" spans="26:49" x14ac:dyDescent="0.15">
      <c r="Z139" s="5">
        <v>135</v>
      </c>
      <c r="AA139" s="5">
        <f t="shared" si="34"/>
        <v>0.48</v>
      </c>
      <c r="AB139" s="5">
        <f t="shared" si="35"/>
        <v>0.48</v>
      </c>
      <c r="AC139" s="5">
        <f t="shared" si="36"/>
        <v>0.48</v>
      </c>
      <c r="AD139" s="5">
        <f t="shared" si="37"/>
        <v>0.48</v>
      </c>
      <c r="AE139" s="5">
        <f t="shared" si="38"/>
        <v>0.48</v>
      </c>
      <c r="AR139" s="5">
        <v>135</v>
      </c>
      <c r="AS139" s="5">
        <f t="shared" si="39"/>
        <v>2.8702257610794808</v>
      </c>
      <c r="AT139" s="5">
        <f t="shared" si="40"/>
        <v>4.151165351049837</v>
      </c>
      <c r="AU139" s="5">
        <f t="shared" si="41"/>
        <v>14.181509186325718</v>
      </c>
      <c r="AV139" s="5">
        <f t="shared" si="41"/>
        <v>14.181509186325718</v>
      </c>
      <c r="AW139" s="5">
        <f t="shared" si="42"/>
        <v>18.904334460074441</v>
      </c>
    </row>
    <row r="140" spans="26:49" x14ac:dyDescent="0.15">
      <c r="Z140" s="5">
        <v>136</v>
      </c>
      <c r="AA140" s="5">
        <f t="shared" si="34"/>
        <v>0.48</v>
      </c>
      <c r="AB140" s="5">
        <f t="shared" si="35"/>
        <v>0.48</v>
      </c>
      <c r="AC140" s="5">
        <f t="shared" si="36"/>
        <v>0.48</v>
      </c>
      <c r="AD140" s="5">
        <f t="shared" si="37"/>
        <v>0.48</v>
      </c>
      <c r="AE140" s="5">
        <f t="shared" si="38"/>
        <v>0.48</v>
      </c>
      <c r="AR140" s="5">
        <v>136</v>
      </c>
      <c r="AS140" s="5">
        <f t="shared" si="39"/>
        <v>3.0739197867664378</v>
      </c>
      <c r="AT140" s="5">
        <f t="shared" si="40"/>
        <v>4.4405613130982626</v>
      </c>
      <c r="AU140" s="5">
        <f t="shared" si="41"/>
        <v>15.13239908415694</v>
      </c>
      <c r="AV140" s="5">
        <f t="shared" si="41"/>
        <v>15.13239908415694</v>
      </c>
      <c r="AW140" s="5">
        <f t="shared" si="42"/>
        <v>20.163524267532349</v>
      </c>
    </row>
    <row r="141" spans="26:49" x14ac:dyDescent="0.15">
      <c r="Z141" s="5">
        <v>137</v>
      </c>
      <c r="AA141" s="5">
        <f t="shared" si="34"/>
        <v>0.48</v>
      </c>
      <c r="AB141" s="5">
        <f t="shared" si="35"/>
        <v>0.48</v>
      </c>
      <c r="AC141" s="5">
        <f t="shared" si="36"/>
        <v>0.48</v>
      </c>
      <c r="AD141" s="5">
        <f t="shared" si="37"/>
        <v>0.48</v>
      </c>
      <c r="AE141" s="5">
        <f t="shared" si="38"/>
        <v>0.48</v>
      </c>
      <c r="AR141" s="5">
        <v>137</v>
      </c>
      <c r="AS141" s="5">
        <f t="shared" si="39"/>
        <v>3.2776138124533958</v>
      </c>
      <c r="AT141" s="5">
        <f t="shared" si="40"/>
        <v>4.7299572751466883</v>
      </c>
      <c r="AU141" s="5">
        <f t="shared" si="41"/>
        <v>16.083288981988165</v>
      </c>
      <c r="AV141" s="5">
        <f t="shared" si="41"/>
        <v>16.083288981988165</v>
      </c>
      <c r="AW141" s="5">
        <f t="shared" si="42"/>
        <v>21.422714074990253</v>
      </c>
    </row>
    <row r="142" spans="26:49" x14ac:dyDescent="0.15">
      <c r="Z142" s="5">
        <v>138</v>
      </c>
      <c r="AA142" s="5">
        <f t="shared" si="34"/>
        <v>0.48</v>
      </c>
      <c r="AB142" s="5">
        <f t="shared" si="35"/>
        <v>0.48</v>
      </c>
      <c r="AC142" s="5">
        <f t="shared" si="36"/>
        <v>0.48</v>
      </c>
      <c r="AD142" s="5">
        <f t="shared" si="37"/>
        <v>0.48</v>
      </c>
      <c r="AE142" s="5">
        <f t="shared" si="38"/>
        <v>0.48</v>
      </c>
      <c r="AR142" s="5">
        <v>138</v>
      </c>
      <c r="AS142" s="5">
        <f t="shared" si="39"/>
        <v>3.4813078381403528</v>
      </c>
      <c r="AT142" s="5">
        <f t="shared" si="40"/>
        <v>5.0193532371951139</v>
      </c>
      <c r="AU142" s="5">
        <f t="shared" si="41"/>
        <v>17.034178879819386</v>
      </c>
      <c r="AV142" s="5">
        <f t="shared" si="41"/>
        <v>17.034178879819386</v>
      </c>
      <c r="AW142" s="5">
        <f t="shared" si="42"/>
        <v>22.681903882448161</v>
      </c>
    </row>
    <row r="143" spans="26:49" x14ac:dyDescent="0.15">
      <c r="Z143" s="5">
        <v>139</v>
      </c>
      <c r="AA143" s="5">
        <f t="shared" si="34"/>
        <v>0.48</v>
      </c>
      <c r="AB143" s="5">
        <f t="shared" si="35"/>
        <v>0.48</v>
      </c>
      <c r="AC143" s="5">
        <f t="shared" si="36"/>
        <v>0.48</v>
      </c>
      <c r="AD143" s="5">
        <f t="shared" si="37"/>
        <v>0.48</v>
      </c>
      <c r="AE143" s="5">
        <f t="shared" si="38"/>
        <v>0.48</v>
      </c>
      <c r="AR143" s="5">
        <v>139</v>
      </c>
      <c r="AS143" s="5">
        <f t="shared" si="39"/>
        <v>3.6850018638273108</v>
      </c>
      <c r="AT143" s="5">
        <f t="shared" si="40"/>
        <v>5.3087491992435396</v>
      </c>
      <c r="AU143" s="5">
        <f t="shared" si="41"/>
        <v>17.985068777650611</v>
      </c>
      <c r="AV143" s="5">
        <f t="shared" si="41"/>
        <v>17.985068777650611</v>
      </c>
      <c r="AW143" s="5">
        <f t="shared" si="42"/>
        <v>23.941093689906069</v>
      </c>
    </row>
    <row r="144" spans="26:49" x14ac:dyDescent="0.15">
      <c r="Z144" s="5">
        <v>140</v>
      </c>
      <c r="AA144" s="5">
        <f t="shared" si="34"/>
        <v>0.48</v>
      </c>
      <c r="AB144" s="5">
        <f t="shared" si="35"/>
        <v>0.48</v>
      </c>
      <c r="AC144" s="5">
        <f t="shared" si="36"/>
        <v>0.48</v>
      </c>
      <c r="AD144" s="5">
        <f t="shared" si="37"/>
        <v>0.48</v>
      </c>
      <c r="AE144" s="5">
        <f t="shared" si="38"/>
        <v>0.48</v>
      </c>
      <c r="AR144" s="5">
        <v>140</v>
      </c>
      <c r="AS144" s="5">
        <f t="shared" si="39"/>
        <v>3.8886958895142683</v>
      </c>
      <c r="AT144" s="5">
        <f t="shared" si="40"/>
        <v>5.5981451612919653</v>
      </c>
      <c r="AU144" s="5">
        <f t="shared" si="41"/>
        <v>18.935958675481835</v>
      </c>
      <c r="AV144" s="5">
        <f t="shared" si="41"/>
        <v>18.935958675481835</v>
      </c>
      <c r="AW144" s="5">
        <f t="shared" si="42"/>
        <v>25.200283497363973</v>
      </c>
    </row>
    <row r="145" spans="26:49" x14ac:dyDescent="0.15">
      <c r="Z145" s="5">
        <v>141</v>
      </c>
      <c r="AA145" s="5">
        <f t="shared" si="34"/>
        <v>0.48</v>
      </c>
      <c r="AB145" s="5">
        <f t="shared" si="35"/>
        <v>0.48</v>
      </c>
      <c r="AC145" s="5">
        <f t="shared" si="36"/>
        <v>0.48</v>
      </c>
      <c r="AD145" s="5">
        <f t="shared" si="37"/>
        <v>0.48</v>
      </c>
      <c r="AE145" s="5">
        <f t="shared" si="38"/>
        <v>0.48</v>
      </c>
      <c r="AR145" s="5">
        <v>141</v>
      </c>
      <c r="AS145" s="5">
        <f t="shared" si="39"/>
        <v>4.287533829999326</v>
      </c>
      <c r="AT145" s="5">
        <f t="shared" si="40"/>
        <v>6.1647736344398298</v>
      </c>
      <c r="AU145" s="5">
        <f t="shared" si="41"/>
        <v>20.836086832995175</v>
      </c>
      <c r="AV145" s="5">
        <f t="shared" si="41"/>
        <v>20.836086832995175</v>
      </c>
      <c r="AW145" s="5">
        <f t="shared" si="42"/>
        <v>27.730096824944837</v>
      </c>
    </row>
    <row r="146" spans="26:49" x14ac:dyDescent="0.15">
      <c r="Z146" s="5">
        <v>142</v>
      </c>
      <c r="AA146" s="5">
        <f t="shared" si="34"/>
        <v>0.48</v>
      </c>
      <c r="AB146" s="5">
        <f t="shared" si="35"/>
        <v>0.48</v>
      </c>
      <c r="AC146" s="5">
        <f t="shared" si="36"/>
        <v>0.48</v>
      </c>
      <c r="AD146" s="5">
        <f t="shared" si="37"/>
        <v>0.48</v>
      </c>
      <c r="AE146" s="5">
        <f t="shared" si="38"/>
        <v>0.48</v>
      </c>
      <c r="AR146" s="5">
        <v>142</v>
      </c>
      <c r="AS146" s="5">
        <f t="shared" si="39"/>
        <v>4.6863717704843841</v>
      </c>
      <c r="AT146" s="5">
        <f t="shared" si="40"/>
        <v>6.7314021075876944</v>
      </c>
      <c r="AU146" s="5">
        <f t="shared" si="41"/>
        <v>22.736214990508518</v>
      </c>
      <c r="AV146" s="5">
        <f t="shared" si="41"/>
        <v>22.736214990508518</v>
      </c>
      <c r="AW146" s="5">
        <f t="shared" si="42"/>
        <v>30.259910152525698</v>
      </c>
    </row>
    <row r="147" spans="26:49" x14ac:dyDescent="0.15">
      <c r="Z147" s="5">
        <v>143</v>
      </c>
      <c r="AA147" s="5">
        <f t="shared" si="34"/>
        <v>0.48</v>
      </c>
      <c r="AB147" s="5">
        <f t="shared" si="35"/>
        <v>0.48</v>
      </c>
      <c r="AC147" s="5">
        <f t="shared" si="36"/>
        <v>0.48</v>
      </c>
      <c r="AD147" s="5">
        <f t="shared" si="37"/>
        <v>0.48</v>
      </c>
      <c r="AE147" s="5">
        <f t="shared" si="38"/>
        <v>0.48</v>
      </c>
      <c r="AR147" s="5">
        <v>143</v>
      </c>
      <c r="AS147" s="5">
        <f t="shared" si="39"/>
        <v>5.0852097109694423</v>
      </c>
      <c r="AT147" s="5">
        <f t="shared" si="40"/>
        <v>7.298030580735559</v>
      </c>
      <c r="AU147" s="5">
        <f t="shared" si="41"/>
        <v>24.636343148021858</v>
      </c>
      <c r="AV147" s="5">
        <f t="shared" si="41"/>
        <v>24.636343148021858</v>
      </c>
      <c r="AW147" s="5">
        <f t="shared" si="42"/>
        <v>32.789723480106559</v>
      </c>
    </row>
    <row r="148" spans="26:49" x14ac:dyDescent="0.15">
      <c r="Z148" s="5">
        <v>144</v>
      </c>
      <c r="AA148" s="5">
        <f t="shared" si="34"/>
        <v>0.48</v>
      </c>
      <c r="AB148" s="5">
        <f t="shared" si="35"/>
        <v>0.48</v>
      </c>
      <c r="AC148" s="5">
        <f t="shared" si="36"/>
        <v>0.48</v>
      </c>
      <c r="AD148" s="5">
        <f t="shared" si="37"/>
        <v>0.48</v>
      </c>
      <c r="AE148" s="5">
        <f t="shared" si="38"/>
        <v>0.48</v>
      </c>
      <c r="AR148" s="5">
        <v>144</v>
      </c>
      <c r="AS148" s="5">
        <f t="shared" si="39"/>
        <v>5.4840476514544996</v>
      </c>
      <c r="AT148" s="5">
        <f t="shared" si="40"/>
        <v>7.8646590538834236</v>
      </c>
      <c r="AU148" s="5">
        <f t="shared" si="41"/>
        <v>26.536471305535201</v>
      </c>
      <c r="AV148" s="5">
        <f t="shared" si="41"/>
        <v>26.536471305535201</v>
      </c>
      <c r="AW148" s="5">
        <f t="shared" si="42"/>
        <v>35.319536807687427</v>
      </c>
    </row>
    <row r="149" spans="26:49" x14ac:dyDescent="0.15">
      <c r="Z149" s="5">
        <v>145</v>
      </c>
      <c r="AA149" s="5">
        <f t="shared" si="34"/>
        <v>0.48</v>
      </c>
      <c r="AB149" s="5">
        <f t="shared" si="35"/>
        <v>0.48</v>
      </c>
      <c r="AC149" s="5">
        <f t="shared" si="36"/>
        <v>0.48</v>
      </c>
      <c r="AD149" s="5">
        <f t="shared" si="37"/>
        <v>0.48</v>
      </c>
      <c r="AE149" s="5">
        <f t="shared" si="38"/>
        <v>0.48</v>
      </c>
      <c r="AR149" s="5">
        <v>145</v>
      </c>
      <c r="AS149" s="5">
        <f t="shared" si="39"/>
        <v>5.8828855919395568</v>
      </c>
      <c r="AT149" s="5">
        <f t="shared" si="40"/>
        <v>8.4312875270312873</v>
      </c>
      <c r="AU149" s="5">
        <f t="shared" si="41"/>
        <v>28.436599463048541</v>
      </c>
      <c r="AV149" s="5">
        <f t="shared" si="41"/>
        <v>28.436599463048541</v>
      </c>
      <c r="AW149" s="5">
        <f t="shared" si="42"/>
        <v>37.849350135268288</v>
      </c>
    </row>
    <row r="150" spans="26:49" x14ac:dyDescent="0.15">
      <c r="Z150" s="5">
        <v>146</v>
      </c>
      <c r="AA150" s="5">
        <f t="shared" si="34"/>
        <v>0.48</v>
      </c>
      <c r="AB150" s="5">
        <f t="shared" si="35"/>
        <v>0.48</v>
      </c>
      <c r="AC150" s="5">
        <f t="shared" si="36"/>
        <v>0.48</v>
      </c>
      <c r="AD150" s="5">
        <f t="shared" si="37"/>
        <v>0.48</v>
      </c>
      <c r="AE150" s="5">
        <f t="shared" si="38"/>
        <v>0.48</v>
      </c>
      <c r="AR150" s="5">
        <v>146</v>
      </c>
      <c r="AS150" s="5">
        <f t="shared" si="39"/>
        <v>6.2817235324246159</v>
      </c>
      <c r="AT150" s="5">
        <f t="shared" si="40"/>
        <v>8.9979160001791527</v>
      </c>
      <c r="AU150" s="5">
        <f t="shared" si="41"/>
        <v>30.336727620561881</v>
      </c>
      <c r="AV150" s="5">
        <f t="shared" si="41"/>
        <v>30.336727620561881</v>
      </c>
      <c r="AW150" s="5">
        <f t="shared" si="42"/>
        <v>40.379163462849149</v>
      </c>
    </row>
    <row r="151" spans="26:49" x14ac:dyDescent="0.15">
      <c r="Z151" s="5">
        <v>147</v>
      </c>
      <c r="AA151" s="5">
        <f t="shared" si="34"/>
        <v>0.48</v>
      </c>
      <c r="AB151" s="5">
        <f t="shared" si="35"/>
        <v>0.48</v>
      </c>
      <c r="AC151" s="5">
        <f t="shared" si="36"/>
        <v>0.48</v>
      </c>
      <c r="AD151" s="5">
        <f t="shared" si="37"/>
        <v>0.48</v>
      </c>
      <c r="AE151" s="5">
        <f t="shared" si="38"/>
        <v>0.48</v>
      </c>
      <c r="AR151" s="5">
        <v>147</v>
      </c>
      <c r="AS151" s="5">
        <f t="shared" si="39"/>
        <v>6.6805614729096732</v>
      </c>
      <c r="AT151" s="5">
        <f t="shared" si="40"/>
        <v>9.5645444733270182</v>
      </c>
      <c r="AU151" s="5">
        <f t="shared" si="41"/>
        <v>32.236855778075224</v>
      </c>
      <c r="AV151" s="5">
        <f t="shared" si="41"/>
        <v>32.236855778075224</v>
      </c>
      <c r="AW151" s="5">
        <f t="shared" si="42"/>
        <v>42.908976790430017</v>
      </c>
    </row>
    <row r="152" spans="26:49" x14ac:dyDescent="0.15">
      <c r="Z152" s="5">
        <v>148</v>
      </c>
      <c r="AA152" s="5">
        <f t="shared" si="34"/>
        <v>0.48</v>
      </c>
      <c r="AB152" s="5">
        <f t="shared" si="35"/>
        <v>0.48</v>
      </c>
      <c r="AC152" s="5">
        <f t="shared" si="36"/>
        <v>0.48</v>
      </c>
      <c r="AD152" s="5">
        <f t="shared" si="37"/>
        <v>0.48</v>
      </c>
      <c r="AE152" s="5">
        <f t="shared" si="38"/>
        <v>0.48</v>
      </c>
      <c r="AR152" s="5">
        <v>148</v>
      </c>
      <c r="AS152" s="5">
        <f t="shared" si="39"/>
        <v>7.0793994133947304</v>
      </c>
      <c r="AT152" s="5">
        <f t="shared" si="40"/>
        <v>10.131172946474882</v>
      </c>
      <c r="AU152" s="5">
        <f t="shared" si="41"/>
        <v>34.13698393558856</v>
      </c>
      <c r="AV152" s="5">
        <f t="shared" si="41"/>
        <v>34.13698393558856</v>
      </c>
      <c r="AW152" s="5">
        <f t="shared" si="42"/>
        <v>45.438790118010871</v>
      </c>
    </row>
    <row r="153" spans="26:49" x14ac:dyDescent="0.15">
      <c r="Z153" s="5">
        <v>149</v>
      </c>
      <c r="AA153" s="5">
        <f t="shared" si="34"/>
        <v>0.48</v>
      </c>
      <c r="AB153" s="5">
        <f t="shared" si="35"/>
        <v>0.48</v>
      </c>
      <c r="AC153" s="5">
        <f t="shared" si="36"/>
        <v>0.48</v>
      </c>
      <c r="AD153" s="5">
        <f t="shared" si="37"/>
        <v>0.48</v>
      </c>
      <c r="AE153" s="5">
        <f t="shared" si="38"/>
        <v>0.48</v>
      </c>
      <c r="AR153" s="5">
        <v>149</v>
      </c>
      <c r="AS153" s="5">
        <f t="shared" si="39"/>
        <v>7.4782373538797886</v>
      </c>
      <c r="AT153" s="5">
        <f t="shared" si="40"/>
        <v>10.697801419622746</v>
      </c>
      <c r="AU153" s="5">
        <f t="shared" si="41"/>
        <v>36.037112093101904</v>
      </c>
      <c r="AV153" s="5">
        <f t="shared" si="41"/>
        <v>36.037112093101904</v>
      </c>
      <c r="AW153" s="5">
        <f t="shared" si="42"/>
        <v>47.968603445591739</v>
      </c>
    </row>
    <row r="154" spans="26:49" x14ac:dyDescent="0.15">
      <c r="Z154" s="5">
        <v>150</v>
      </c>
      <c r="AA154" s="5">
        <f t="shared" si="34"/>
        <v>0.48</v>
      </c>
      <c r="AB154" s="5">
        <f t="shared" si="35"/>
        <v>0.48</v>
      </c>
      <c r="AC154" s="5">
        <f t="shared" si="36"/>
        <v>0.48</v>
      </c>
      <c r="AD154" s="5">
        <f t="shared" si="37"/>
        <v>0.48</v>
      </c>
      <c r="AE154" s="5">
        <f t="shared" si="38"/>
        <v>0.48</v>
      </c>
      <c r="AR154" s="5">
        <v>150</v>
      </c>
      <c r="AS154" s="5">
        <f t="shared" si="39"/>
        <v>7.8770752943648468</v>
      </c>
      <c r="AT154" s="5">
        <f t="shared" si="40"/>
        <v>11.264429892770611</v>
      </c>
      <c r="AU154" s="5">
        <f t="shared" si="41"/>
        <v>37.937240250615247</v>
      </c>
      <c r="AV154" s="5">
        <f t="shared" si="41"/>
        <v>37.937240250615247</v>
      </c>
      <c r="AW154" s="5">
        <f t="shared" si="42"/>
        <v>50.4984167731726</v>
      </c>
    </row>
    <row r="155" spans="26:49" x14ac:dyDescent="0.15">
      <c r="Z155" s="5">
        <v>151</v>
      </c>
      <c r="AA155" s="5">
        <f t="shared" si="34"/>
        <v>0.48</v>
      </c>
      <c r="AB155" s="5">
        <f t="shared" si="35"/>
        <v>0.48</v>
      </c>
      <c r="AC155" s="5">
        <f t="shared" si="36"/>
        <v>0.48</v>
      </c>
      <c r="AD155" s="5">
        <f t="shared" si="37"/>
        <v>0.48</v>
      </c>
      <c r="AE155" s="5">
        <f t="shared" si="38"/>
        <v>0.48</v>
      </c>
      <c r="AR155" s="5">
        <v>151</v>
      </c>
      <c r="AS155" s="5">
        <f t="shared" si="39"/>
        <v>8.6609105995292204</v>
      </c>
      <c r="AT155" s="5">
        <f t="shared" si="40"/>
        <v>12.79897130414782</v>
      </c>
      <c r="AU155" s="5">
        <f t="shared" si="41"/>
        <v>50.242140654219028</v>
      </c>
      <c r="AV155" s="5">
        <f t="shared" si="41"/>
        <v>50.242140654219028</v>
      </c>
      <c r="AW155" s="5">
        <f t="shared" si="42"/>
        <v>85.526722351310013</v>
      </c>
    </row>
    <row r="156" spans="26:49" x14ac:dyDescent="0.15">
      <c r="Z156" s="5">
        <v>152</v>
      </c>
      <c r="AA156" s="5">
        <f t="shared" si="34"/>
        <v>0.48</v>
      </c>
      <c r="AB156" s="5">
        <f t="shared" si="35"/>
        <v>0.48</v>
      </c>
      <c r="AC156" s="5">
        <f t="shared" si="36"/>
        <v>0.48</v>
      </c>
      <c r="AD156" s="5">
        <f t="shared" si="37"/>
        <v>0.48</v>
      </c>
      <c r="AE156" s="5">
        <f t="shared" si="38"/>
        <v>0.48</v>
      </c>
      <c r="AR156" s="5">
        <v>152</v>
      </c>
      <c r="AS156" s="5">
        <f t="shared" si="39"/>
        <v>9.444745904693594</v>
      </c>
      <c r="AT156" s="5">
        <f t="shared" si="40"/>
        <v>14.333512715525028</v>
      </c>
      <c r="AU156" s="5">
        <f t="shared" si="41"/>
        <v>62.54704105782281</v>
      </c>
      <c r="AV156" s="5">
        <f t="shared" si="41"/>
        <v>62.54704105782281</v>
      </c>
      <c r="AW156" s="5">
        <f t="shared" si="42"/>
        <v>120.55502792944742</v>
      </c>
    </row>
    <row r="157" spans="26:49" x14ac:dyDescent="0.15">
      <c r="Z157" s="5">
        <v>153</v>
      </c>
      <c r="AA157" s="5">
        <f t="shared" si="34"/>
        <v>0.48</v>
      </c>
      <c r="AB157" s="5">
        <f t="shared" si="35"/>
        <v>0.48</v>
      </c>
      <c r="AC157" s="5">
        <f t="shared" si="36"/>
        <v>0.48</v>
      </c>
      <c r="AD157" s="5">
        <f t="shared" si="37"/>
        <v>0.48</v>
      </c>
      <c r="AE157" s="5">
        <f t="shared" si="38"/>
        <v>0.48</v>
      </c>
      <c r="AR157" s="5">
        <v>153</v>
      </c>
      <c r="AS157" s="5">
        <f t="shared" si="39"/>
        <v>10.228581209857968</v>
      </c>
      <c r="AT157" s="5">
        <f t="shared" si="40"/>
        <v>15.868054126902239</v>
      </c>
      <c r="AU157" s="5">
        <f t="shared" si="41"/>
        <v>74.851941461426591</v>
      </c>
      <c r="AV157" s="5">
        <f t="shared" si="41"/>
        <v>74.851941461426591</v>
      </c>
      <c r="AW157" s="5">
        <f t="shared" si="42"/>
        <v>155.58333350758483</v>
      </c>
    </row>
    <row r="158" spans="26:49" x14ac:dyDescent="0.15">
      <c r="Z158" s="5">
        <v>154</v>
      </c>
      <c r="AA158" s="5">
        <f t="shared" si="34"/>
        <v>0.48</v>
      </c>
      <c r="AB158" s="5">
        <f t="shared" si="35"/>
        <v>0.48</v>
      </c>
      <c r="AC158" s="5">
        <f t="shared" si="36"/>
        <v>0.48</v>
      </c>
      <c r="AD158" s="5">
        <f t="shared" si="37"/>
        <v>0.48</v>
      </c>
      <c r="AE158" s="5">
        <f t="shared" si="38"/>
        <v>0.48</v>
      </c>
      <c r="AR158" s="5">
        <v>154</v>
      </c>
      <c r="AS158" s="5">
        <f t="shared" si="39"/>
        <v>11.012416515022343</v>
      </c>
      <c r="AT158" s="5">
        <f t="shared" si="40"/>
        <v>17.402595538279449</v>
      </c>
      <c r="AU158" s="5">
        <f t="shared" si="41"/>
        <v>87.156841865030373</v>
      </c>
      <c r="AV158" s="5">
        <f t="shared" si="41"/>
        <v>87.156841865030373</v>
      </c>
      <c r="AW158" s="5">
        <f t="shared" si="42"/>
        <v>190.61163908572223</v>
      </c>
    </row>
    <row r="159" spans="26:49" x14ac:dyDescent="0.15">
      <c r="Z159" s="5">
        <v>155</v>
      </c>
      <c r="AA159" s="5">
        <f t="shared" si="34"/>
        <v>0.48</v>
      </c>
      <c r="AB159" s="5">
        <f t="shared" si="35"/>
        <v>0.48</v>
      </c>
      <c r="AC159" s="5">
        <f t="shared" si="36"/>
        <v>0.48</v>
      </c>
      <c r="AD159" s="5">
        <f t="shared" si="37"/>
        <v>0.48</v>
      </c>
      <c r="AE159" s="5">
        <f t="shared" si="38"/>
        <v>0.48</v>
      </c>
      <c r="AR159" s="5">
        <v>155</v>
      </c>
      <c r="AS159" s="5">
        <f t="shared" si="39"/>
        <v>11.796251820186717</v>
      </c>
      <c r="AT159" s="5">
        <f t="shared" si="40"/>
        <v>18.937136949656654</v>
      </c>
      <c r="AU159" s="5">
        <f t="shared" si="41"/>
        <v>99.461742268634154</v>
      </c>
      <c r="AV159" s="5">
        <f t="shared" si="41"/>
        <v>99.461742268634154</v>
      </c>
      <c r="AW159" s="5">
        <f t="shared" si="42"/>
        <v>225.63994466385964</v>
      </c>
    </row>
    <row r="160" spans="26:49" x14ac:dyDescent="0.15">
      <c r="Z160" s="5">
        <v>156</v>
      </c>
      <c r="AA160" s="5">
        <f t="shared" si="34"/>
        <v>0.48</v>
      </c>
      <c r="AB160" s="5">
        <f t="shared" si="35"/>
        <v>0.48</v>
      </c>
      <c r="AC160" s="5">
        <f t="shared" si="36"/>
        <v>0.48</v>
      </c>
      <c r="AD160" s="5">
        <f t="shared" si="37"/>
        <v>0.48</v>
      </c>
      <c r="AE160" s="5">
        <f t="shared" si="38"/>
        <v>0.48</v>
      </c>
      <c r="AR160" s="5">
        <v>156</v>
      </c>
      <c r="AS160" s="5">
        <f t="shared" si="39"/>
        <v>12.58008712535109</v>
      </c>
      <c r="AT160" s="5">
        <f t="shared" si="40"/>
        <v>20.471678361033867</v>
      </c>
      <c r="AU160" s="5">
        <f t="shared" si="41"/>
        <v>111.76664267223794</v>
      </c>
      <c r="AV160" s="5">
        <f t="shared" si="41"/>
        <v>111.76664267223794</v>
      </c>
      <c r="AW160" s="5">
        <f t="shared" si="42"/>
        <v>260.66825024199704</v>
      </c>
    </row>
    <row r="161" spans="26:49" x14ac:dyDescent="0.15">
      <c r="Z161" s="5">
        <v>157</v>
      </c>
      <c r="AA161" s="5">
        <f t="shared" si="34"/>
        <v>0.48</v>
      </c>
      <c r="AB161" s="5">
        <f t="shared" si="35"/>
        <v>0.48</v>
      </c>
      <c r="AC161" s="5">
        <f t="shared" si="36"/>
        <v>0.48</v>
      </c>
      <c r="AD161" s="5">
        <f t="shared" si="37"/>
        <v>0.48</v>
      </c>
      <c r="AE161" s="5">
        <f t="shared" si="38"/>
        <v>0.48</v>
      </c>
      <c r="AR161" s="5">
        <v>157</v>
      </c>
      <c r="AS161" s="5">
        <f t="shared" si="39"/>
        <v>13.363922430515466</v>
      </c>
      <c r="AT161" s="5">
        <f t="shared" si="40"/>
        <v>22.006219772411075</v>
      </c>
      <c r="AU161" s="5">
        <f t="shared" si="41"/>
        <v>124.07154307584172</v>
      </c>
      <c r="AV161" s="5">
        <f t="shared" si="41"/>
        <v>124.07154307584172</v>
      </c>
      <c r="AW161" s="5">
        <f t="shared" si="42"/>
        <v>295.69655582013445</v>
      </c>
    </row>
    <row r="162" spans="26:49" x14ac:dyDescent="0.15">
      <c r="Z162" s="5">
        <v>158</v>
      </c>
      <c r="AA162" s="5">
        <f t="shared" si="34"/>
        <v>0.48</v>
      </c>
      <c r="AB162" s="5">
        <f t="shared" si="35"/>
        <v>0.48</v>
      </c>
      <c r="AC162" s="5">
        <f t="shared" si="36"/>
        <v>0.48</v>
      </c>
      <c r="AD162" s="5">
        <f t="shared" si="37"/>
        <v>0.48</v>
      </c>
      <c r="AE162" s="5">
        <f t="shared" si="38"/>
        <v>0.48</v>
      </c>
      <c r="AR162" s="5">
        <v>158</v>
      </c>
      <c r="AS162" s="5">
        <f t="shared" si="39"/>
        <v>14.147757735679839</v>
      </c>
      <c r="AT162" s="5">
        <f t="shared" si="40"/>
        <v>23.540761183788284</v>
      </c>
      <c r="AU162" s="5">
        <f t="shared" si="41"/>
        <v>136.3764434794455</v>
      </c>
      <c r="AV162" s="5">
        <f t="shared" si="41"/>
        <v>136.3764434794455</v>
      </c>
      <c r="AW162" s="5">
        <f t="shared" si="42"/>
        <v>330.72486139827186</v>
      </c>
    </row>
    <row r="163" spans="26:49" x14ac:dyDescent="0.15">
      <c r="Z163" s="5">
        <v>159</v>
      </c>
      <c r="AA163" s="5">
        <f t="shared" si="34"/>
        <v>0.48</v>
      </c>
      <c r="AB163" s="5">
        <f t="shared" si="35"/>
        <v>0.48</v>
      </c>
      <c r="AC163" s="5">
        <f t="shared" si="36"/>
        <v>0.48</v>
      </c>
      <c r="AD163" s="5">
        <f t="shared" si="37"/>
        <v>0.48</v>
      </c>
      <c r="AE163" s="5">
        <f t="shared" si="38"/>
        <v>0.48</v>
      </c>
      <c r="AR163" s="5">
        <v>159</v>
      </c>
      <c r="AS163" s="5">
        <f t="shared" si="39"/>
        <v>14.931593040844213</v>
      </c>
      <c r="AT163" s="5">
        <f t="shared" si="40"/>
        <v>25.075302595165493</v>
      </c>
      <c r="AU163" s="5">
        <f t="shared" si="41"/>
        <v>148.68134388304929</v>
      </c>
      <c r="AV163" s="5">
        <f t="shared" si="41"/>
        <v>148.68134388304929</v>
      </c>
      <c r="AW163" s="5">
        <f t="shared" si="42"/>
        <v>365.75316697640926</v>
      </c>
    </row>
    <row r="164" spans="26:49" x14ac:dyDescent="0.15">
      <c r="Z164" s="5">
        <v>160</v>
      </c>
      <c r="AA164" s="5">
        <f t="shared" si="34"/>
        <v>0.48</v>
      </c>
      <c r="AB164" s="5">
        <f t="shared" si="35"/>
        <v>0.48</v>
      </c>
      <c r="AC164" s="5">
        <f t="shared" si="36"/>
        <v>0.48</v>
      </c>
      <c r="AD164" s="5">
        <f t="shared" si="37"/>
        <v>0.48</v>
      </c>
      <c r="AE164" s="5">
        <f t="shared" si="38"/>
        <v>0.48</v>
      </c>
      <c r="AR164" s="5">
        <v>160</v>
      </c>
      <c r="AS164" s="5">
        <f t="shared" si="39"/>
        <v>15.715428346008586</v>
      </c>
      <c r="AT164" s="5">
        <f t="shared" si="40"/>
        <v>26.609844006542701</v>
      </c>
      <c r="AU164" s="5">
        <f t="shared" si="41"/>
        <v>160.98624428665306</v>
      </c>
      <c r="AV164" s="5">
        <f t="shared" si="41"/>
        <v>160.98624428665306</v>
      </c>
      <c r="AW164" s="5">
        <f t="shared" si="42"/>
        <v>400.78147255454667</v>
      </c>
    </row>
  </sheetData>
  <mergeCells count="14">
    <mergeCell ref="AS3:AW3"/>
    <mergeCell ref="AA3:AE3"/>
    <mergeCell ref="O79:R79"/>
    <mergeCell ref="B53:B61"/>
    <mergeCell ref="O3:R3"/>
    <mergeCell ref="O22:R22"/>
    <mergeCell ref="O41:R41"/>
    <mergeCell ref="O60:R60"/>
    <mergeCell ref="B4:B12"/>
    <mergeCell ref="B27:B35"/>
    <mergeCell ref="B49:C50"/>
    <mergeCell ref="B38:B46"/>
    <mergeCell ref="B16:B24"/>
    <mergeCell ref="B64:C65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CCC71-0E8C-486D-B948-441C76E3624B}">
  <sheetPr codeName="Sheet4"/>
  <dimension ref="B3:BA164"/>
  <sheetViews>
    <sheetView tabSelected="1" workbookViewId="0">
      <selection activeCell="G15" sqref="G15"/>
    </sheetView>
  </sheetViews>
  <sheetFormatPr defaultRowHeight="11.25" x14ac:dyDescent="0.15"/>
  <cols>
    <col min="1" max="1" width="9" style="5"/>
    <col min="2" max="2" width="9" style="5" customWidth="1"/>
    <col min="3" max="3" width="9" style="5"/>
    <col min="4" max="5" width="17.25" style="5" bestFit="1" customWidth="1"/>
    <col min="6" max="6" width="9.75" style="5" bestFit="1" customWidth="1"/>
    <col min="7" max="7" width="13.875" style="5" bestFit="1" customWidth="1"/>
    <col min="8" max="8" width="10.5" style="5" bestFit="1" customWidth="1"/>
    <col min="9" max="9" width="9" style="5"/>
    <col min="10" max="10" width="3.75" style="11" customWidth="1"/>
    <col min="11" max="15" width="9" style="5"/>
    <col min="16" max="16" width="10.5" style="5" bestFit="1" customWidth="1"/>
    <col min="17" max="17" width="9" style="5"/>
    <col min="18" max="18" width="9.75" style="5" bestFit="1" customWidth="1"/>
    <col min="19" max="19" width="10.5" style="5" bestFit="1" customWidth="1"/>
    <col min="20" max="20" width="14.75" style="5" bestFit="1" customWidth="1"/>
    <col min="21" max="22" width="9" style="5"/>
    <col min="23" max="23" width="3.75" style="11" customWidth="1"/>
    <col min="24" max="26" width="9" style="5"/>
    <col min="27" max="27" width="10.5" style="5" bestFit="1" customWidth="1"/>
    <col min="28" max="33" width="9" style="5"/>
    <col min="34" max="34" width="3.75" style="11" customWidth="1"/>
    <col min="35" max="44" width="9" style="5"/>
    <col min="45" max="45" width="3.75" style="11" customWidth="1"/>
    <col min="46" max="16384" width="9" style="5"/>
  </cols>
  <sheetData>
    <row r="3" spans="2:53" x14ac:dyDescent="0.15">
      <c r="AA3" s="16"/>
      <c r="AB3" s="16"/>
      <c r="AC3" s="16"/>
      <c r="AD3" s="16"/>
      <c r="AE3" s="16"/>
      <c r="AL3" s="52" t="s">
        <v>215</v>
      </c>
      <c r="AM3" s="52"/>
      <c r="AN3" s="52"/>
      <c r="AO3" s="52"/>
      <c r="AP3" s="52"/>
      <c r="AW3" s="52" t="s">
        <v>166</v>
      </c>
      <c r="AX3" s="52"/>
      <c r="AY3" s="52"/>
      <c r="AZ3" s="52"/>
      <c r="BA3" s="52"/>
    </row>
    <row r="4" spans="2:53" ht="11.25" customHeight="1" x14ac:dyDescent="0.15">
      <c r="B4" s="54" t="s">
        <v>167</v>
      </c>
      <c r="C4" s="8" t="s">
        <v>98</v>
      </c>
      <c r="D4" s="8" t="s">
        <v>203</v>
      </c>
      <c r="E4" s="8" t="s">
        <v>204</v>
      </c>
      <c r="F4" s="8" t="s">
        <v>168</v>
      </c>
      <c r="G4" s="8" t="s">
        <v>313</v>
      </c>
      <c r="H4" s="8" t="s">
        <v>305</v>
      </c>
      <c r="M4" s="5" t="s">
        <v>127</v>
      </c>
      <c r="N4" s="8" t="s">
        <v>141</v>
      </c>
      <c r="O4" s="8" t="s">
        <v>183</v>
      </c>
      <c r="P4" s="8" t="s">
        <v>212</v>
      </c>
      <c r="Q4" s="8" t="s">
        <v>184</v>
      </c>
      <c r="R4" s="8" t="s">
        <v>213</v>
      </c>
      <c r="S4" s="8" t="s">
        <v>185</v>
      </c>
      <c r="T4" s="8" t="s">
        <v>214</v>
      </c>
      <c r="Z4" s="5" t="s">
        <v>141</v>
      </c>
      <c r="AA4" s="16" t="s">
        <v>285</v>
      </c>
      <c r="AK4" s="5" t="s">
        <v>141</v>
      </c>
      <c r="AL4" s="5" t="s">
        <v>127</v>
      </c>
      <c r="AM4" s="5" t="s">
        <v>128</v>
      </c>
      <c r="AN4" s="5" t="s">
        <v>129</v>
      </c>
      <c r="AO4" s="5" t="s">
        <v>130</v>
      </c>
      <c r="AP4" s="5" t="s">
        <v>131</v>
      </c>
      <c r="AV4" s="5" t="s">
        <v>141</v>
      </c>
      <c r="AW4" s="5" t="s">
        <v>127</v>
      </c>
      <c r="AX4" s="5" t="s">
        <v>128</v>
      </c>
      <c r="AY4" s="5" t="s">
        <v>129</v>
      </c>
      <c r="AZ4" s="5" t="s">
        <v>130</v>
      </c>
      <c r="BA4" s="5" t="s">
        <v>131</v>
      </c>
    </row>
    <row r="5" spans="2:53" x14ac:dyDescent="0.15">
      <c r="B5" s="54"/>
      <c r="C5" s="8">
        <v>1</v>
      </c>
      <c r="D5" s="8">
        <v>12</v>
      </c>
      <c r="E5" s="8">
        <v>0</v>
      </c>
      <c r="F5" s="8">
        <f>E5+1</f>
        <v>1</v>
      </c>
      <c r="G5" s="8"/>
      <c r="H5" s="8">
        <f>INDEX($AA$5:$AA$164,MATCH(求节点($O$5:$O$20,$N$5:$N$20,C5),$Z$5:$Z$164,1))*F5/E28</f>
        <v>2750</v>
      </c>
      <c r="N5" s="8">
        <v>10</v>
      </c>
      <c r="O5" s="8">
        <f>节奏预期!N20</f>
        <v>0</v>
      </c>
      <c r="P5" s="8">
        <f>节奏预期!O20</f>
        <v>0</v>
      </c>
      <c r="Q5" s="8">
        <f>IF(N5&lt;=节奏预期!$B$1,0,求节点(洗练相关资料!$M$5:$M$105,INDEX(洗练相关资料!$O$5:$AD$105,,MATCH(MAX(INT(O5),5),洗练相关资料!$O$4:$AD$4,0)),P5/节奏预期!M20/求节点($C$51:$C$70,$D$51:$D$70,O5)))</f>
        <v>0</v>
      </c>
      <c r="R5" s="8">
        <f>IF(N5&lt;=节奏预期!$B$1,0,节奏预期!M20*求节点($C$51:$C$70,$D$51:$D$70,O5)*INDEX(洗练相关资料!$M$5:$M$105,MATCH(0.9,INDEX(洗练相关资料!$O$5:$AD$105,,MATCH(MAX(INT(O5),5),洗练相关资料!$O$4:$AD$4,0)))))</f>
        <v>0</v>
      </c>
      <c r="S5" s="8">
        <f>IF(N5&lt;=节奏预期!$B$1,0,((求节点($C$28:$C$47,$E$28:$E$47,O5)-求节点($C$28:$C$47,$D$28:$D$47,O5))*Q5+求节点($C$28:$C$47,$D$28:$D$47,O5))*求节点($C$28:$C$47,$F$28:$F$47,O5))*节奏预期!M20</f>
        <v>0</v>
      </c>
      <c r="T5" s="8">
        <f>IF(P5=0,0,P5/R5)</f>
        <v>0</v>
      </c>
      <c r="Z5" s="5">
        <v>1</v>
      </c>
      <c r="AA5" s="5">
        <f>IFERROR(75*精英野怪!$Z5/精英野怪!$K$19/精英野怪!$Y5,AA6)</f>
        <v>11</v>
      </c>
      <c r="AK5" s="5">
        <v>1</v>
      </c>
      <c r="AL5" s="5">
        <f>求节点($N$5:$N$20,$T$5:$T$20,$AK5)</f>
        <v>0</v>
      </c>
      <c r="AM5" s="5">
        <f>求节点($N$24:$N$39,$T$24:$T$39,$AK5)</f>
        <v>0</v>
      </c>
      <c r="AN5" s="5">
        <f>求节点($N$43:$N$58,$T$43:$T$58,$AK5)</f>
        <v>0</v>
      </c>
      <c r="AO5" s="5">
        <f>求节点($N$62:$N$77,$T$62:$T$77,$AK5)</f>
        <v>0</v>
      </c>
      <c r="AP5" s="5">
        <f>求节点($N$81:$N$96,$T$81:$T$96,$AK5)</f>
        <v>0</v>
      </c>
      <c r="AV5" s="5">
        <v>1</v>
      </c>
      <c r="AW5" s="5">
        <f>求节点($N$5:$N$20,$S$5:$S$20,$AV5)</f>
        <v>0</v>
      </c>
      <c r="AX5" s="5">
        <f>求节点($N$24:$N$39,$S$24:$S$39,$AV5)</f>
        <v>0</v>
      </c>
      <c r="AY5" s="5">
        <f>求节点($N$43:$N$58,$S$43:$S$58,$AV5)</f>
        <v>0</v>
      </c>
      <c r="AZ5" s="5">
        <f>求节点($N$62:$N$77,$S$62:$S$77,$AV5)</f>
        <v>0</v>
      </c>
      <c r="BA5" s="5">
        <f>求节点($N$81:$N$96,$S$81:$S$96,$AV5)</f>
        <v>0</v>
      </c>
    </row>
    <row r="6" spans="2:53" x14ac:dyDescent="0.15">
      <c r="B6" s="54"/>
      <c r="C6" s="8">
        <v>2</v>
      </c>
      <c r="D6" s="8">
        <f>ROUND(D5*G6,2-LEN(ROUND(D5*G6,0)))</f>
        <v>72</v>
      </c>
      <c r="E6" s="8">
        <f>SUM($D$5:D5)</f>
        <v>12</v>
      </c>
      <c r="F6" s="8">
        <f t="shared" ref="F6:F24" si="0">E6+1</f>
        <v>13</v>
      </c>
      <c r="G6" s="8">
        <v>6</v>
      </c>
      <c r="H6" s="8">
        <f t="shared" ref="H6:H24" si="1">INDEX($AA$5:$AA$164,MATCH(求节点($O$5:$O$20,$N$5:$N$20,C6),$Z$5:$Z$164,1))*F6/E29</f>
        <v>23833.333333333332</v>
      </c>
      <c r="I6" s="5">
        <f>D6-D5</f>
        <v>60</v>
      </c>
      <c r="N6" s="8">
        <v>20</v>
      </c>
      <c r="O6" s="8">
        <f>节奏预期!N21</f>
        <v>0</v>
      </c>
      <c r="P6" s="8">
        <f>节奏预期!O21</f>
        <v>0</v>
      </c>
      <c r="Q6" s="8">
        <f>IF(N6&lt;=节奏预期!$B$1,0,求节点(洗练相关资料!$M$5:$M$105,INDEX(洗练相关资料!$O$5:$AD$105,,MATCH(MAX(INT(O6),5),洗练相关资料!$O$4:$AD$4,0)),P6/节奏预期!M21/求节点($C$51:$C$70,$D$51:$D$70,O6)))</f>
        <v>0</v>
      </c>
      <c r="R6" s="8">
        <f>IF(N6&lt;=节奏预期!$B$1,0,节奏预期!M21*求节点($C$51:$C$70,$D$51:$D$70,O6)*INDEX(洗练相关资料!$M$5:$M$105,MATCH(0.9,INDEX(洗练相关资料!$O$5:$AD$105,,MATCH(MAX(INT(O6),5),洗练相关资料!$O$4:$AD$4,0)))))</f>
        <v>0</v>
      </c>
      <c r="S6" s="8">
        <f>IF(N6&lt;=节奏预期!$B$1,0,((求节点($C$28:$C$47,$E$28:$E$47,O6)-求节点($C$28:$C$47,$D$28:$D$47,O6))*Q6+求节点($C$28:$C$47,$D$28:$D$47,O6))*求节点($C$28:$C$47,$F$28:$F$47,O6))*节奏预期!M21</f>
        <v>0</v>
      </c>
      <c r="T6" s="8">
        <f t="shared" ref="T6:T20" si="2">IF(P6=0,0,P6/R6)</f>
        <v>0</v>
      </c>
      <c r="Z6" s="5">
        <v>2</v>
      </c>
      <c r="AA6" s="5">
        <f>IFERROR(75*精英野怪!$Z6/精英野怪!$K$19/精英野怪!$Y6,AA7)</f>
        <v>11</v>
      </c>
      <c r="AK6" s="5">
        <v>2</v>
      </c>
      <c r="AL6" s="5">
        <f t="shared" ref="AL6:AL69" si="3">求节点($N$5:$N$20,$T$5:$T$20,$AK6)</f>
        <v>0</v>
      </c>
      <c r="AM6" s="5">
        <f t="shared" ref="AM6:AM69" si="4">求节点($N$24:$N$39,$T$24:$T$39,$AK6)</f>
        <v>0</v>
      </c>
      <c r="AN6" s="5">
        <f t="shared" ref="AN6:AN69" si="5">求节点($N$43:$N$58,$T$43:$T$58,$AK6)</f>
        <v>0</v>
      </c>
      <c r="AO6" s="5">
        <f t="shared" ref="AO6:AO69" si="6">求节点($N$62:$N$77,$T$62:$T$77,$AK6)</f>
        <v>0</v>
      </c>
      <c r="AP6" s="5">
        <f t="shared" ref="AP6:AP69" si="7">求节点($N$81:$N$96,$T$81:$T$96,$AK6)</f>
        <v>0</v>
      </c>
      <c r="AV6" s="5">
        <v>2</v>
      </c>
      <c r="AW6" s="5">
        <f t="shared" ref="AW6:AW69" si="8">求节点($N$5:$N$20,$S$5:$S$20,$AV6)</f>
        <v>0</v>
      </c>
      <c r="AX6" s="5">
        <f t="shared" ref="AX6:AX69" si="9">求节点($N$24:$N$39,$S$24:$S$39,$AV6)</f>
        <v>0</v>
      </c>
      <c r="AY6" s="5">
        <f t="shared" ref="AY6:AY69" si="10">求节点($N$43:$N$58,$S$43:$S$58,$AV6)</f>
        <v>0</v>
      </c>
      <c r="AZ6" s="5">
        <f t="shared" ref="AZ6:AZ69" si="11">求节点($N$62:$N$77,$S$62:$S$77,$AV6)</f>
        <v>0</v>
      </c>
      <c r="BA6" s="5">
        <f t="shared" ref="BA6:BA69" si="12">求节点($N$81:$N$96,$S$81:$S$96,$AV6)</f>
        <v>0</v>
      </c>
    </row>
    <row r="7" spans="2:53" x14ac:dyDescent="0.15">
      <c r="B7" s="54"/>
      <c r="C7" s="8">
        <v>3</v>
      </c>
      <c r="D7" s="8">
        <f t="shared" ref="D7:D24" si="13">ROUND(D6*G7,2-LEN(ROUND(D6*G7,0)))</f>
        <v>360</v>
      </c>
      <c r="E7" s="8">
        <f>SUM($D$5:D6)</f>
        <v>84</v>
      </c>
      <c r="F7" s="8">
        <f t="shared" si="0"/>
        <v>85</v>
      </c>
      <c r="G7" s="8">
        <v>5</v>
      </c>
      <c r="H7" s="8">
        <f t="shared" si="1"/>
        <v>77916.666666666672</v>
      </c>
      <c r="I7" s="5">
        <f t="shared" ref="I7:I24" si="14">D7-D6</f>
        <v>288</v>
      </c>
      <c r="N7" s="8">
        <v>30</v>
      </c>
      <c r="O7" s="8">
        <f>节奏预期!N22</f>
        <v>0</v>
      </c>
      <c r="P7" s="8">
        <f>节奏预期!O22</f>
        <v>0</v>
      </c>
      <c r="Q7" s="8">
        <f>IF(N7&lt;=节奏预期!$B$1,0,求节点(洗练相关资料!$M$5:$M$105,INDEX(洗练相关资料!$O$5:$AD$105,,MATCH(MAX(INT(O7),5),洗练相关资料!$O$4:$AD$4,0)),P7/节奏预期!M22/求节点($C$51:$C$70,$D$51:$D$70,O7)))</f>
        <v>0</v>
      </c>
      <c r="R7" s="8">
        <f>IF(N7&lt;=节奏预期!$B$1,0,节奏预期!M22*求节点($C$51:$C$70,$D$51:$D$70,O7)*INDEX(洗练相关资料!$M$5:$M$105,MATCH(0.9,INDEX(洗练相关资料!$O$5:$AD$105,,MATCH(MAX(INT(O7),5),洗练相关资料!$O$4:$AD$4,0)))))</f>
        <v>0</v>
      </c>
      <c r="S7" s="8">
        <f>IF(N7&lt;=节奏预期!$B$1,0,((求节点($C$28:$C$47,$E$28:$E$47,O7)-求节点($C$28:$C$47,$D$28:$D$47,O7))*Q7+求节点($C$28:$C$47,$D$28:$D$47,O7))*求节点($C$28:$C$47,$F$28:$F$47,O7))*节奏预期!M22</f>
        <v>0</v>
      </c>
      <c r="T7" s="8">
        <f t="shared" si="2"/>
        <v>0</v>
      </c>
      <c r="Z7" s="5">
        <v>3</v>
      </c>
      <c r="AA7" s="5">
        <f>IFERROR(75*精英野怪!$Z7/精英野怪!$K$19/精英野怪!$Y7,AA8)</f>
        <v>11</v>
      </c>
      <c r="AK7" s="5">
        <v>3</v>
      </c>
      <c r="AL7" s="5">
        <f t="shared" si="3"/>
        <v>0</v>
      </c>
      <c r="AM7" s="5">
        <f t="shared" si="4"/>
        <v>0</v>
      </c>
      <c r="AN7" s="5">
        <f t="shared" si="5"/>
        <v>0</v>
      </c>
      <c r="AO7" s="5">
        <f t="shared" si="6"/>
        <v>0</v>
      </c>
      <c r="AP7" s="5">
        <f t="shared" si="7"/>
        <v>0</v>
      </c>
      <c r="AV7" s="5">
        <v>3</v>
      </c>
      <c r="AW7" s="5">
        <f t="shared" si="8"/>
        <v>0</v>
      </c>
      <c r="AX7" s="5">
        <f t="shared" si="9"/>
        <v>0</v>
      </c>
      <c r="AY7" s="5">
        <f t="shared" si="10"/>
        <v>0</v>
      </c>
      <c r="AZ7" s="5">
        <f t="shared" si="11"/>
        <v>0</v>
      </c>
      <c r="BA7" s="5">
        <f t="shared" si="12"/>
        <v>0</v>
      </c>
    </row>
    <row r="8" spans="2:53" x14ac:dyDescent="0.15">
      <c r="B8" s="54"/>
      <c r="C8" s="8">
        <v>4</v>
      </c>
      <c r="D8" s="8">
        <f t="shared" si="13"/>
        <v>1600</v>
      </c>
      <c r="E8" s="8">
        <f>SUM($D$5:D7)</f>
        <v>444</v>
      </c>
      <c r="F8" s="8">
        <f t="shared" si="0"/>
        <v>445</v>
      </c>
      <c r="G8" s="8">
        <v>4.5</v>
      </c>
      <c r="H8" s="8">
        <f t="shared" si="1"/>
        <v>271944.44444444444</v>
      </c>
      <c r="I8" s="5">
        <f t="shared" si="14"/>
        <v>1240</v>
      </c>
      <c r="N8" s="8">
        <v>40</v>
      </c>
      <c r="O8" s="8">
        <f>节奏预期!N23</f>
        <v>0</v>
      </c>
      <c r="P8" s="8">
        <f>节奏预期!O23</f>
        <v>0</v>
      </c>
      <c r="Q8" s="8">
        <f>IF(N8&lt;=节奏预期!$B$1,0,求节点(洗练相关资料!$M$5:$M$105,INDEX(洗练相关资料!$O$5:$AD$105,,MATCH(MAX(INT(O8),5),洗练相关资料!$O$4:$AD$4,0)),P8/节奏预期!M23/求节点($C$51:$C$70,$D$51:$D$70,O8)))</f>
        <v>0</v>
      </c>
      <c r="R8" s="8">
        <f>IF(N8&lt;=节奏预期!$B$1,0,节奏预期!M23*求节点($C$51:$C$70,$D$51:$D$70,O8)*INDEX(洗练相关资料!$M$5:$M$105,MATCH(0.9,INDEX(洗练相关资料!$O$5:$AD$105,,MATCH(MAX(INT(O8),5),洗练相关资料!$O$4:$AD$4,0)))))</f>
        <v>0</v>
      </c>
      <c r="S8" s="8">
        <f>IF(N8&lt;=节奏预期!$B$1,0,((求节点($C$28:$C$47,$E$28:$E$47,O8)-求节点($C$28:$C$47,$D$28:$D$47,O8))*Q8+求节点($C$28:$C$47,$D$28:$D$47,O8))*求节点($C$28:$C$47,$F$28:$F$47,O8))*节奏预期!M23</f>
        <v>0</v>
      </c>
      <c r="T8" s="8">
        <f t="shared" si="2"/>
        <v>0</v>
      </c>
      <c r="Z8" s="5">
        <v>4</v>
      </c>
      <c r="AA8" s="5">
        <f>IFERROR(75*精英野怪!$Z8/精英野怪!$K$19/精英野怪!$Y8,AA9)</f>
        <v>11</v>
      </c>
      <c r="AK8" s="5">
        <v>4</v>
      </c>
      <c r="AL8" s="5">
        <f t="shared" si="3"/>
        <v>0</v>
      </c>
      <c r="AM8" s="5">
        <f t="shared" si="4"/>
        <v>0</v>
      </c>
      <c r="AN8" s="5">
        <f t="shared" si="5"/>
        <v>0</v>
      </c>
      <c r="AO8" s="5">
        <f t="shared" si="6"/>
        <v>0</v>
      </c>
      <c r="AP8" s="5">
        <f t="shared" si="7"/>
        <v>0</v>
      </c>
      <c r="AV8" s="5">
        <v>4</v>
      </c>
      <c r="AW8" s="5">
        <f t="shared" si="8"/>
        <v>0</v>
      </c>
      <c r="AX8" s="5">
        <f t="shared" si="9"/>
        <v>0</v>
      </c>
      <c r="AY8" s="5">
        <f t="shared" si="10"/>
        <v>0</v>
      </c>
      <c r="AZ8" s="5">
        <f t="shared" si="11"/>
        <v>0</v>
      </c>
      <c r="BA8" s="5">
        <f t="shared" si="12"/>
        <v>0</v>
      </c>
    </row>
    <row r="9" spans="2:53" x14ac:dyDescent="0.15">
      <c r="B9" s="54"/>
      <c r="C9" s="8">
        <v>5</v>
      </c>
      <c r="D9" s="8">
        <f t="shared" si="13"/>
        <v>3200</v>
      </c>
      <c r="E9" s="8">
        <f>SUM($D$5:D8)</f>
        <v>2044</v>
      </c>
      <c r="F9" s="8">
        <f t="shared" si="0"/>
        <v>2045</v>
      </c>
      <c r="G9" s="8">
        <v>2</v>
      </c>
      <c r="H9" s="8">
        <f t="shared" si="1"/>
        <v>694290.12345679011</v>
      </c>
      <c r="I9" s="5">
        <f t="shared" si="14"/>
        <v>1600</v>
      </c>
      <c r="N9" s="8">
        <v>50</v>
      </c>
      <c r="O9" s="8">
        <f>节奏预期!N24</f>
        <v>0</v>
      </c>
      <c r="P9" s="8">
        <f>节奏预期!O24</f>
        <v>0</v>
      </c>
      <c r="Q9" s="8">
        <f>IF(N9&lt;=节奏预期!$B$1,0,求节点(洗练相关资料!$M$5:$M$105,INDEX(洗练相关资料!$O$5:$AD$105,,MATCH(MAX(INT(O9),5),洗练相关资料!$O$4:$AD$4,0)),P9/节奏预期!M24/求节点($C$51:$C$70,$D$51:$D$70,O9)))</f>
        <v>0</v>
      </c>
      <c r="R9" s="8">
        <f>IF(N9&lt;=节奏预期!$B$1,0,节奏预期!M24*求节点($C$51:$C$70,$D$51:$D$70,O9)*INDEX(洗练相关资料!$M$5:$M$105,MATCH(0.9,INDEX(洗练相关资料!$O$5:$AD$105,,MATCH(MAX(INT(O9),5),洗练相关资料!$O$4:$AD$4,0)))))</f>
        <v>0</v>
      </c>
      <c r="S9" s="8">
        <f>IF(N9&lt;=节奏预期!$B$1,0,((求节点($C$28:$C$47,$E$28:$E$47,O9)-求节点($C$28:$C$47,$D$28:$D$47,O9))*Q9+求节点($C$28:$C$47,$D$28:$D$47,O9))*求节点($C$28:$C$47,$F$28:$F$47,O9))*节奏预期!M24</f>
        <v>0</v>
      </c>
      <c r="T9" s="8">
        <f t="shared" si="2"/>
        <v>0</v>
      </c>
      <c r="Z9" s="5">
        <v>5</v>
      </c>
      <c r="AA9" s="5">
        <f>IFERROR(75*精英野怪!$Z9/精英野怪!$K$19/精英野怪!$Y9,AA10)</f>
        <v>11</v>
      </c>
      <c r="AK9" s="5">
        <v>5</v>
      </c>
      <c r="AL9" s="5">
        <f t="shared" si="3"/>
        <v>0</v>
      </c>
      <c r="AM9" s="5">
        <f t="shared" si="4"/>
        <v>0</v>
      </c>
      <c r="AN9" s="5">
        <f t="shared" si="5"/>
        <v>0</v>
      </c>
      <c r="AO9" s="5">
        <f t="shared" si="6"/>
        <v>0</v>
      </c>
      <c r="AP9" s="5">
        <f t="shared" si="7"/>
        <v>0</v>
      </c>
      <c r="AV9" s="5">
        <v>5</v>
      </c>
      <c r="AW9" s="5">
        <f t="shared" si="8"/>
        <v>0</v>
      </c>
      <c r="AX9" s="5">
        <f t="shared" si="9"/>
        <v>0</v>
      </c>
      <c r="AY9" s="5">
        <f t="shared" si="10"/>
        <v>0</v>
      </c>
      <c r="AZ9" s="5">
        <f t="shared" si="11"/>
        <v>0</v>
      </c>
      <c r="BA9" s="5">
        <f t="shared" si="12"/>
        <v>0</v>
      </c>
    </row>
    <row r="10" spans="2:53" x14ac:dyDescent="0.15">
      <c r="B10" s="54"/>
      <c r="C10" s="8">
        <v>6</v>
      </c>
      <c r="D10" s="8">
        <f t="shared" si="13"/>
        <v>5200</v>
      </c>
      <c r="E10" s="8">
        <f>SUM($D$5:D9)</f>
        <v>5244</v>
      </c>
      <c r="F10" s="8">
        <f t="shared" si="0"/>
        <v>5245</v>
      </c>
      <c r="G10" s="8">
        <v>1.62</v>
      </c>
      <c r="H10" s="8">
        <f t="shared" si="1"/>
        <v>1098952.3809523811</v>
      </c>
      <c r="I10" s="5">
        <f t="shared" si="14"/>
        <v>2000</v>
      </c>
      <c r="N10" s="8">
        <v>60</v>
      </c>
      <c r="O10" s="8">
        <f>节奏预期!N25</f>
        <v>0</v>
      </c>
      <c r="P10" s="8">
        <f>节奏预期!O25</f>
        <v>0</v>
      </c>
      <c r="Q10" s="8">
        <f>IF(N10&lt;=节奏预期!$B$1,0,求节点(洗练相关资料!$M$5:$M$105,INDEX(洗练相关资料!$O$5:$AD$105,,MATCH(MAX(INT(O10),5),洗练相关资料!$O$4:$AD$4,0)),P10/节奏预期!M25/求节点($C$51:$C$70,$D$51:$D$70,O10)))</f>
        <v>0</v>
      </c>
      <c r="R10" s="8">
        <f>IF(N10&lt;=节奏预期!$B$1,0,节奏预期!M25*求节点($C$51:$C$70,$D$51:$D$70,O10)*INDEX(洗练相关资料!$M$5:$M$105,MATCH(0.9,INDEX(洗练相关资料!$O$5:$AD$105,,MATCH(MAX(INT(O10),5),洗练相关资料!$O$4:$AD$4,0)))))</f>
        <v>0</v>
      </c>
      <c r="S10" s="8">
        <f>IF(N10&lt;=节奏预期!$B$1,0,((求节点($C$28:$C$47,$E$28:$E$47,O10)-求节点($C$28:$C$47,$D$28:$D$47,O10))*Q10+求节点($C$28:$C$47,$D$28:$D$47,O10))*求节点($C$28:$C$47,$F$28:$F$47,O10))*节奏预期!M25</f>
        <v>0</v>
      </c>
      <c r="T10" s="8">
        <f t="shared" si="2"/>
        <v>0</v>
      </c>
      <c r="Z10" s="5">
        <v>6</v>
      </c>
      <c r="AA10" s="5">
        <f>IFERROR(75*精英野怪!$Z10/精英野怪!$K$19/精英野怪!$Y10,AA11)</f>
        <v>11</v>
      </c>
      <c r="AK10" s="5">
        <v>6</v>
      </c>
      <c r="AL10" s="5">
        <f t="shared" si="3"/>
        <v>0</v>
      </c>
      <c r="AM10" s="5">
        <f t="shared" si="4"/>
        <v>0</v>
      </c>
      <c r="AN10" s="5">
        <f t="shared" si="5"/>
        <v>0</v>
      </c>
      <c r="AO10" s="5">
        <f t="shared" si="6"/>
        <v>0</v>
      </c>
      <c r="AP10" s="5">
        <f t="shared" si="7"/>
        <v>0</v>
      </c>
      <c r="AV10" s="5">
        <v>6</v>
      </c>
      <c r="AW10" s="5">
        <f t="shared" si="8"/>
        <v>0</v>
      </c>
      <c r="AX10" s="5">
        <f t="shared" si="9"/>
        <v>0</v>
      </c>
      <c r="AY10" s="5">
        <f t="shared" si="10"/>
        <v>0</v>
      </c>
      <c r="AZ10" s="5">
        <f t="shared" si="11"/>
        <v>0</v>
      </c>
      <c r="BA10" s="5">
        <f t="shared" si="12"/>
        <v>0</v>
      </c>
    </row>
    <row r="11" spans="2:53" x14ac:dyDescent="0.15">
      <c r="B11" s="54"/>
      <c r="C11" s="8">
        <v>7</v>
      </c>
      <c r="D11" s="8">
        <f t="shared" si="13"/>
        <v>7800</v>
      </c>
      <c r="E11" s="8">
        <f>SUM($D$5:D10)</f>
        <v>10444</v>
      </c>
      <c r="F11" s="8">
        <f t="shared" si="0"/>
        <v>10445</v>
      </c>
      <c r="G11" s="8">
        <v>1.5</v>
      </c>
      <c r="H11" s="8">
        <f t="shared" si="1"/>
        <v>1450694.4444444445</v>
      </c>
      <c r="I11" s="5">
        <f t="shared" si="14"/>
        <v>2600</v>
      </c>
      <c r="N11" s="8">
        <v>70</v>
      </c>
      <c r="O11" s="8">
        <f>节奏预期!N26</f>
        <v>4.2472363048392925</v>
      </c>
      <c r="P11" s="8">
        <f>节奏预期!O26</f>
        <v>325.89515754790676</v>
      </c>
      <c r="Q11" s="8">
        <f>IF(N11&lt;=节奏预期!$B$1,0,求节点(洗练相关资料!$M$5:$M$105,INDEX(洗练相关资料!$O$5:$AD$105,,MATCH(MAX(INT(O11),5),洗练相关资料!$O$4:$AD$4,0)),P11/节奏预期!M26/求节点($C$51:$C$70,$D$51:$D$70,O11)))</f>
        <v>0.58480623569413459</v>
      </c>
      <c r="R11" s="8">
        <f>IF(N11&lt;=节奏预期!$B$1,0,节奏预期!M26*求节点($C$51:$C$70,$D$51:$D$70,O11)*INDEX(洗练相关资料!$M$5:$M$105,MATCH(0.9,INDEX(洗练相关资料!$O$5:$AD$105,,MATCH(MAX(INT(O11),5),洗练相关资料!$O$4:$AD$4,0)))))</f>
        <v>1540</v>
      </c>
      <c r="S11" s="8">
        <f>IF(N11&lt;=节奏预期!$B$1,0,((求节点($C$28:$C$47,$E$28:$E$47,O11)-求节点($C$28:$C$47,$D$28:$D$47,O11))*Q11+求节点($C$28:$C$47,$D$28:$D$47,O11))*求节点($C$28:$C$47,$F$28:$F$47,O11))*节奏预期!M26</f>
        <v>0.12301918401981039</v>
      </c>
      <c r="T11" s="8">
        <f t="shared" si="2"/>
        <v>0.21162023217396542</v>
      </c>
      <c r="Z11" s="5">
        <v>7</v>
      </c>
      <c r="AA11" s="5">
        <f>IFERROR(75*精英野怪!$Z11/精英野怪!$K$19/精英野怪!$Y11,AA12)</f>
        <v>11</v>
      </c>
      <c r="AK11" s="5">
        <v>7</v>
      </c>
      <c r="AL11" s="5">
        <f t="shared" si="3"/>
        <v>0</v>
      </c>
      <c r="AM11" s="5">
        <f t="shared" si="4"/>
        <v>0</v>
      </c>
      <c r="AN11" s="5">
        <f t="shared" si="5"/>
        <v>0</v>
      </c>
      <c r="AO11" s="5">
        <f t="shared" si="6"/>
        <v>0</v>
      </c>
      <c r="AP11" s="5">
        <f t="shared" si="7"/>
        <v>0</v>
      </c>
      <c r="AV11" s="5">
        <v>7</v>
      </c>
      <c r="AW11" s="5">
        <f t="shared" si="8"/>
        <v>0</v>
      </c>
      <c r="AX11" s="5">
        <f t="shared" si="9"/>
        <v>0</v>
      </c>
      <c r="AY11" s="5">
        <f t="shared" si="10"/>
        <v>0</v>
      </c>
      <c r="AZ11" s="5">
        <f t="shared" si="11"/>
        <v>0</v>
      </c>
      <c r="BA11" s="5">
        <f t="shared" si="12"/>
        <v>0</v>
      </c>
    </row>
    <row r="12" spans="2:53" x14ac:dyDescent="0.15">
      <c r="B12" s="54"/>
      <c r="C12" s="8">
        <v>8</v>
      </c>
      <c r="D12" s="8">
        <f t="shared" si="13"/>
        <v>11000</v>
      </c>
      <c r="E12" s="8">
        <f>SUM($D$5:D11)</f>
        <v>18244</v>
      </c>
      <c r="F12" s="8">
        <f t="shared" si="0"/>
        <v>18245</v>
      </c>
      <c r="G12" s="8">
        <v>1.4</v>
      </c>
      <c r="H12" s="8">
        <f t="shared" si="1"/>
        <v>1837866.3003663002</v>
      </c>
      <c r="I12" s="5">
        <f t="shared" si="14"/>
        <v>3200</v>
      </c>
      <c r="N12" s="8">
        <v>80</v>
      </c>
      <c r="O12" s="8">
        <f>节奏预期!N27</f>
        <v>5.3034940304662133</v>
      </c>
      <c r="P12" s="8">
        <f>节奏预期!O27</f>
        <v>929.5887245096992</v>
      </c>
      <c r="Q12" s="8">
        <f>IF(N12&lt;=节奏预期!$B$1,0,求节点(洗练相关资料!$M$5:$M$105,INDEX(洗练相关资料!$O$5:$AD$105,,MATCH(MAX(INT(O12),5),洗练相关资料!$O$4:$AD$4,0)),P12/节奏预期!M27/求节点($C$51:$C$70,$D$51:$D$70,O12)))</f>
        <v>0.76591071203145789</v>
      </c>
      <c r="R12" s="8">
        <f>IF(N12&lt;=节奏预期!$B$1,0,节奏预期!M27*求节点($C$51:$C$70,$D$51:$D$70,O12)*INDEX(洗练相关资料!$M$5:$M$105,MATCH(0.9,INDEX(洗练相关资料!$O$5:$AD$105,,MATCH(MAX(INT(O12),5),洗练相关资料!$O$4:$AD$4,0)))))</f>
        <v>1540</v>
      </c>
      <c r="S12" s="8">
        <f>IF(N12&lt;=节奏预期!$B$1,0,((求节点($C$28:$C$47,$E$28:$E$47,O12)-求节点($C$28:$C$47,$D$28:$D$47,O12))*Q12+求节点($C$28:$C$47,$D$28:$D$47,O12))*求节点($C$28:$C$47,$F$28:$F$47,O12))*节奏预期!M27</f>
        <v>0.30507899477051431</v>
      </c>
      <c r="T12" s="8">
        <f t="shared" si="2"/>
        <v>0.60362904188941502</v>
      </c>
      <c r="Z12" s="5">
        <v>8</v>
      </c>
      <c r="AA12" s="5">
        <f>IFERROR(75*精英野怪!$Z12/精英野怪!$K$19/精英野怪!$Y12,AA13)</f>
        <v>11</v>
      </c>
      <c r="AK12" s="5">
        <v>8</v>
      </c>
      <c r="AL12" s="5">
        <f t="shared" si="3"/>
        <v>0</v>
      </c>
      <c r="AM12" s="5">
        <f t="shared" si="4"/>
        <v>0</v>
      </c>
      <c r="AN12" s="5">
        <f t="shared" si="5"/>
        <v>0</v>
      </c>
      <c r="AO12" s="5">
        <f t="shared" si="6"/>
        <v>0</v>
      </c>
      <c r="AP12" s="5">
        <f t="shared" si="7"/>
        <v>0</v>
      </c>
      <c r="AV12" s="5">
        <v>8</v>
      </c>
      <c r="AW12" s="5">
        <f t="shared" si="8"/>
        <v>0</v>
      </c>
      <c r="AX12" s="5">
        <f t="shared" si="9"/>
        <v>0</v>
      </c>
      <c r="AY12" s="5">
        <f t="shared" si="10"/>
        <v>0</v>
      </c>
      <c r="AZ12" s="5">
        <f t="shared" si="11"/>
        <v>0</v>
      </c>
      <c r="BA12" s="5">
        <f t="shared" si="12"/>
        <v>0</v>
      </c>
    </row>
    <row r="13" spans="2:53" x14ac:dyDescent="0.15">
      <c r="B13" s="54"/>
      <c r="C13" s="8">
        <v>9</v>
      </c>
      <c r="D13" s="8">
        <f t="shared" si="13"/>
        <v>15000</v>
      </c>
      <c r="E13" s="8">
        <f>SUM($D$5:D12)</f>
        <v>29244</v>
      </c>
      <c r="F13" s="8">
        <f t="shared" si="0"/>
        <v>29245</v>
      </c>
      <c r="G13" s="8">
        <v>1.35</v>
      </c>
      <c r="H13" s="8">
        <f t="shared" si="1"/>
        <v>2311027.298850575</v>
      </c>
      <c r="I13" s="5">
        <f t="shared" si="14"/>
        <v>4000</v>
      </c>
      <c r="N13" s="8">
        <v>90</v>
      </c>
      <c r="O13" s="8">
        <f>节奏预期!N28</f>
        <v>6.5894692330362048</v>
      </c>
      <c r="P13" s="8">
        <f>节奏预期!O28</f>
        <v>2036.4709327010721</v>
      </c>
      <c r="Q13" s="8">
        <f>IF(N13&lt;=节奏预期!$B$1,0,求节点(洗练相关资料!$M$5:$M$105,INDEX(洗练相关资料!$O$5:$AD$105,,MATCH(MAX(INT(O13),5),洗练相关资料!$O$4:$AD$4,0)),P13/节奏预期!M28/求节点($C$51:$C$70,$D$51:$D$70,O13)))</f>
        <v>0.83276528502273495</v>
      </c>
      <c r="R13" s="8">
        <f>IF(N13&lt;=节奏预期!$B$1,0,节奏预期!M28*求节点($C$51:$C$70,$D$51:$D$70,O13)*INDEX(洗练相关资料!$M$5:$M$105,MATCH(0.9,INDEX(洗练相关资料!$O$5:$AD$105,,MATCH(MAX(INT(O13),5),洗练相关资料!$O$4:$AD$4,0)))))</f>
        <v>2380</v>
      </c>
      <c r="S13" s="8">
        <f>IF(N13&lt;=节奏预期!$B$1,0,((求节点($C$28:$C$47,$E$28:$E$47,O13)-求节点($C$28:$C$47,$D$28:$D$47,O13))*Q13+求节点($C$28:$C$47,$D$28:$D$47,O13))*求节点($C$28:$C$47,$F$28:$F$47,O13))*节奏预期!M28</f>
        <v>0.41716923110762505</v>
      </c>
      <c r="T13" s="8">
        <f t="shared" si="2"/>
        <v>0.85566005575675297</v>
      </c>
      <c r="Z13" s="5">
        <v>9</v>
      </c>
      <c r="AA13" s="5">
        <f>IFERROR(75*精英野怪!$Z13/精英野怪!$K$19/精英野怪!$Y13,AA14)</f>
        <v>11</v>
      </c>
      <c r="AK13" s="5">
        <v>9</v>
      </c>
      <c r="AL13" s="5">
        <f t="shared" si="3"/>
        <v>0</v>
      </c>
      <c r="AM13" s="5">
        <f t="shared" si="4"/>
        <v>0</v>
      </c>
      <c r="AN13" s="5">
        <f t="shared" si="5"/>
        <v>0</v>
      </c>
      <c r="AO13" s="5">
        <f t="shared" si="6"/>
        <v>0</v>
      </c>
      <c r="AP13" s="5">
        <f t="shared" si="7"/>
        <v>0</v>
      </c>
      <c r="AV13" s="5">
        <v>9</v>
      </c>
      <c r="AW13" s="5">
        <f t="shared" si="8"/>
        <v>0</v>
      </c>
      <c r="AX13" s="5">
        <f t="shared" si="9"/>
        <v>0</v>
      </c>
      <c r="AY13" s="5">
        <f t="shared" si="10"/>
        <v>0</v>
      </c>
      <c r="AZ13" s="5">
        <f t="shared" si="11"/>
        <v>0</v>
      </c>
      <c r="BA13" s="5">
        <f t="shared" si="12"/>
        <v>0</v>
      </c>
    </row>
    <row r="14" spans="2:53" x14ac:dyDescent="0.15">
      <c r="B14" s="54"/>
      <c r="C14" s="8">
        <v>10</v>
      </c>
      <c r="D14" s="8">
        <f t="shared" si="13"/>
        <v>30000</v>
      </c>
      <c r="E14" s="8">
        <f>SUM($D$5:D13)</f>
        <v>44244</v>
      </c>
      <c r="F14" s="8">
        <f t="shared" si="0"/>
        <v>44245</v>
      </c>
      <c r="G14" s="8">
        <v>2</v>
      </c>
      <c r="H14" s="8">
        <f t="shared" si="1"/>
        <v>2816521.9907407407</v>
      </c>
      <c r="I14" s="5">
        <f t="shared" si="14"/>
        <v>15000</v>
      </c>
      <c r="N14" s="8">
        <v>100</v>
      </c>
      <c r="O14" s="8">
        <f>节奏预期!N29</f>
        <v>7.5055664994210733</v>
      </c>
      <c r="P14" s="8">
        <f>节奏预期!O29</f>
        <v>4094.2695057951505</v>
      </c>
      <c r="Q14" s="8">
        <f>IF(N14&lt;=节奏预期!$B$1,0,求节点(洗练相关资料!$M$5:$M$105,INDEX(洗练相关资料!$O$5:$AD$105,,MATCH(MAX(INT(O14),5),洗练相关资料!$O$4:$AD$4,0)),P14/节奏预期!M29/求节点($C$51:$C$70,$D$51:$D$70,O14)))</f>
        <v>0.84146249701496956</v>
      </c>
      <c r="R14" s="8">
        <f>IF(N14&lt;=节奏预期!$B$1,0,节奏预期!M29*求节点($C$51:$C$70,$D$51:$D$70,O14)*INDEX(洗练相关资料!$M$5:$M$105,MATCH(0.9,INDEX(洗练相关资料!$O$5:$AD$105,,MATCH(MAX(INT(O14),5),洗练相关资料!$O$4:$AD$4,0)))))</f>
        <v>4600</v>
      </c>
      <c r="S14" s="8">
        <f>IF(N14&lt;=节奏预期!$B$1,0,((求节点($C$28:$C$47,$E$28:$E$47,O14)-求节点($C$28:$C$47,$D$28:$D$47,O14))*Q14+求节点($C$28:$C$47,$D$28:$D$47,O14))*求节点($C$28:$C$47,$F$28:$F$47,O14))*节奏预期!M29</f>
        <v>0.69815787846482624</v>
      </c>
      <c r="T14" s="8">
        <f t="shared" si="2"/>
        <v>0.8900585882163371</v>
      </c>
      <c r="Z14" s="5">
        <v>10</v>
      </c>
      <c r="AA14" s="5">
        <f>IFERROR(75*精英野怪!$Z14/精英野怪!$K$19/精英野怪!$Y14,AA15)</f>
        <v>11</v>
      </c>
      <c r="AK14" s="5">
        <v>10</v>
      </c>
      <c r="AL14" s="5">
        <f t="shared" si="3"/>
        <v>0</v>
      </c>
      <c r="AM14" s="5">
        <f t="shared" si="4"/>
        <v>0</v>
      </c>
      <c r="AN14" s="5">
        <f t="shared" si="5"/>
        <v>0</v>
      </c>
      <c r="AO14" s="5">
        <f t="shared" si="6"/>
        <v>0</v>
      </c>
      <c r="AP14" s="5">
        <f t="shared" si="7"/>
        <v>0</v>
      </c>
      <c r="AV14" s="5">
        <v>10</v>
      </c>
      <c r="AW14" s="5">
        <f t="shared" si="8"/>
        <v>0</v>
      </c>
      <c r="AX14" s="5">
        <f t="shared" si="9"/>
        <v>0</v>
      </c>
      <c r="AY14" s="5">
        <f t="shared" si="10"/>
        <v>0</v>
      </c>
      <c r="AZ14" s="5">
        <f t="shared" si="11"/>
        <v>0</v>
      </c>
      <c r="BA14" s="5">
        <f t="shared" si="12"/>
        <v>0</v>
      </c>
    </row>
    <row r="15" spans="2:53" x14ac:dyDescent="0.15">
      <c r="B15" s="54"/>
      <c r="C15" s="8">
        <v>11</v>
      </c>
      <c r="D15" s="8">
        <f t="shared" si="13"/>
        <v>90000</v>
      </c>
      <c r="E15" s="8">
        <f>SUM($D$5:D14)</f>
        <v>74244</v>
      </c>
      <c r="F15" s="8">
        <f t="shared" si="0"/>
        <v>74245</v>
      </c>
      <c r="G15" s="8">
        <v>3</v>
      </c>
      <c r="H15" s="8">
        <f t="shared" si="1"/>
        <v>3945386.4734299518</v>
      </c>
      <c r="I15" s="5">
        <f t="shared" si="14"/>
        <v>60000</v>
      </c>
      <c r="N15" s="8">
        <v>110</v>
      </c>
      <c r="O15" s="8">
        <f>节奏预期!N30</f>
        <v>9.2996187372541375</v>
      </c>
      <c r="P15" s="8">
        <f>节奏预期!O30</f>
        <v>7981.8234689100764</v>
      </c>
      <c r="Q15" s="8">
        <f>IF(N15&lt;=节奏预期!$B$1,0,求节点(洗练相关资料!$M$5:$M$105,INDEX(洗练相关资料!$O$5:$AD$105,,MATCH(MAX(INT(O15),5),洗练相关资料!$O$4:$AD$4,0)),P15/节奏预期!M30/求节点($C$51:$C$70,$D$51:$D$70,O15)))</f>
        <v>0.9907902654512456</v>
      </c>
      <c r="R15" s="8">
        <f>IF(N15&lt;=节奏预期!$B$1,0,节奏预期!M30*求节点($C$51:$C$70,$D$51:$D$70,O15)*INDEX(洗练相关资料!$M$5:$M$105,MATCH(0.9,INDEX(洗练相关资料!$O$5:$AD$105,,MATCH(MAX(INT(O15),5),洗练相关资料!$O$4:$AD$4,0)))))</f>
        <v>6400</v>
      </c>
      <c r="S15" s="8">
        <f>IF(N15&lt;=节奏预期!$B$1,0,((求节点($C$28:$C$47,$E$28:$E$47,O15)-求节点($C$28:$C$47,$D$28:$D$47,O15))*Q15+求节点($C$28:$C$47,$D$28:$D$47,O15))*求节点($C$28:$C$47,$F$28:$F$47,O15))*节奏预期!M30</f>
        <v>1.4847588984546274</v>
      </c>
      <c r="T15" s="8">
        <f t="shared" si="2"/>
        <v>1.2471599170171994</v>
      </c>
      <c r="Z15" s="5">
        <v>11</v>
      </c>
      <c r="AA15" s="5">
        <f>IFERROR(75*精英野怪!$Z15/精英野怪!$K$19/精英野怪!$Y15,AA16)</f>
        <v>11</v>
      </c>
      <c r="AK15" s="5">
        <v>11</v>
      </c>
      <c r="AL15" s="5">
        <f t="shared" si="3"/>
        <v>0</v>
      </c>
      <c r="AM15" s="5">
        <f t="shared" si="4"/>
        <v>0</v>
      </c>
      <c r="AN15" s="5">
        <f t="shared" si="5"/>
        <v>0</v>
      </c>
      <c r="AO15" s="5">
        <f t="shared" si="6"/>
        <v>0</v>
      </c>
      <c r="AP15" s="5">
        <f t="shared" si="7"/>
        <v>0</v>
      </c>
      <c r="AV15" s="5">
        <v>11</v>
      </c>
      <c r="AW15" s="5">
        <f t="shared" si="8"/>
        <v>0</v>
      </c>
      <c r="AX15" s="5">
        <f t="shared" si="9"/>
        <v>0</v>
      </c>
      <c r="AY15" s="5">
        <f t="shared" si="10"/>
        <v>0</v>
      </c>
      <c r="AZ15" s="5">
        <f t="shared" si="11"/>
        <v>0</v>
      </c>
      <c r="BA15" s="5">
        <f t="shared" si="12"/>
        <v>0</v>
      </c>
    </row>
    <row r="16" spans="2:53" x14ac:dyDescent="0.15">
      <c r="B16" s="54"/>
      <c r="C16" s="8">
        <v>12</v>
      </c>
      <c r="D16" s="8">
        <f t="shared" si="13"/>
        <v>360000</v>
      </c>
      <c r="E16" s="8">
        <f>SUM($D$5:D15)</f>
        <v>164244</v>
      </c>
      <c r="F16" s="8">
        <f t="shared" si="0"/>
        <v>164245</v>
      </c>
      <c r="G16" s="8">
        <v>4</v>
      </c>
      <c r="H16" s="8">
        <f t="shared" si="1"/>
        <v>6930168.7763713077</v>
      </c>
      <c r="I16" s="5">
        <f t="shared" si="14"/>
        <v>270000</v>
      </c>
      <c r="N16" s="8">
        <v>120</v>
      </c>
      <c r="O16" s="8">
        <f>节奏预期!N31</f>
        <v>11.028806253872473</v>
      </c>
      <c r="P16" s="8">
        <f>节奏预期!O31</f>
        <v>15427.798075587187</v>
      </c>
      <c r="Q16" s="8">
        <f>IF(N16&lt;=节奏预期!$B$1,0,求节点(洗练相关资料!$M$5:$M$105,INDEX(洗练相关资料!$O$5:$AD$105,,MATCH(MAX(INT(O16),5),洗练相关资料!$O$4:$AD$4,0)),P16/节奏预期!M31/求节点($C$51:$C$70,$D$51:$D$70,O16)))</f>
        <v>0.99985759973525989</v>
      </c>
      <c r="R16" s="8">
        <f>IF(N16&lt;=节奏预期!$B$1,0,节奏预期!M31*求节点($C$51:$C$70,$D$51:$D$70,O16)*INDEX(洗练相关资料!$M$5:$M$105,MATCH(0.9,INDEX(洗练相关资料!$O$5:$AD$105,,MATCH(MAX(INT(O16),5),洗练相关资料!$O$4:$AD$4,0)))))</f>
        <v>8000</v>
      </c>
      <c r="S16" s="8">
        <f>IF(N16&lt;=节奏预期!$B$1,0,((求节点($C$28:$C$47,$E$28:$E$47,O16)-求节点($C$28:$C$47,$D$28:$D$47,O16))*Q16+求节点($C$28:$C$47,$D$28:$D$47,O16))*求节点($C$28:$C$47,$F$28:$F$47,O16))*节奏预期!M31</f>
        <v>1.8050137531371757</v>
      </c>
      <c r="T16" s="8">
        <f t="shared" si="2"/>
        <v>1.9284747594483984</v>
      </c>
      <c r="Z16" s="5">
        <v>12</v>
      </c>
      <c r="AA16" s="5">
        <f>IFERROR(75*精英野怪!$Z16/精英野怪!$K$19/精英野怪!$Y16,AA17)</f>
        <v>11</v>
      </c>
      <c r="AK16" s="5">
        <v>12</v>
      </c>
      <c r="AL16" s="5">
        <f t="shared" si="3"/>
        <v>0</v>
      </c>
      <c r="AM16" s="5">
        <f t="shared" si="4"/>
        <v>0</v>
      </c>
      <c r="AN16" s="5">
        <f t="shared" si="5"/>
        <v>0</v>
      </c>
      <c r="AO16" s="5">
        <f t="shared" si="6"/>
        <v>0</v>
      </c>
      <c r="AP16" s="5">
        <f t="shared" si="7"/>
        <v>0</v>
      </c>
      <c r="AV16" s="5">
        <v>12</v>
      </c>
      <c r="AW16" s="5">
        <f t="shared" si="8"/>
        <v>0</v>
      </c>
      <c r="AX16" s="5">
        <f t="shared" si="9"/>
        <v>0</v>
      </c>
      <c r="AY16" s="5">
        <f t="shared" si="10"/>
        <v>0</v>
      </c>
      <c r="AZ16" s="5">
        <f t="shared" si="11"/>
        <v>0</v>
      </c>
      <c r="BA16" s="5">
        <f t="shared" si="12"/>
        <v>0</v>
      </c>
    </row>
    <row r="17" spans="2:53" x14ac:dyDescent="0.15">
      <c r="B17" s="54"/>
      <c r="C17" s="8">
        <v>13</v>
      </c>
      <c r="D17" s="8">
        <f t="shared" si="13"/>
        <v>1800000</v>
      </c>
      <c r="E17" s="8">
        <f>SUM($D$5:D16)</f>
        <v>524244</v>
      </c>
      <c r="F17" s="8">
        <f t="shared" si="0"/>
        <v>524245</v>
      </c>
      <c r="G17" s="8">
        <v>5</v>
      </c>
      <c r="H17" s="8">
        <f t="shared" si="1"/>
        <v>20023246.52777778</v>
      </c>
      <c r="I17" s="5">
        <f t="shared" si="14"/>
        <v>1440000</v>
      </c>
      <c r="N17" s="8">
        <v>130</v>
      </c>
      <c r="O17" s="8">
        <f>节奏预期!N32</f>
        <v>12.021103803835857</v>
      </c>
      <c r="P17" s="8">
        <f>节奏预期!O32</f>
        <v>29828.127523304815</v>
      </c>
      <c r="Q17" s="8">
        <f>IF(N17&lt;=节奏预期!$B$1,0,求节点(洗练相关资料!$M$5:$M$105,INDEX(洗练相关资料!$O$5:$AD$105,,MATCH(MAX(INT(O17),5),洗练相关资料!$O$4:$AD$4,0)),P17/节奏预期!M32/求节点($C$51:$C$70,$D$51:$D$70,O17)))</f>
        <v>0.99985759973525989</v>
      </c>
      <c r="R17" s="8">
        <f>IF(N17&lt;=节奏预期!$B$1,0,节奏预期!M32*求节点($C$51:$C$70,$D$51:$D$70,O17)*INDEX(洗练相关资料!$M$5:$M$105,MATCH(0.9,INDEX(洗练相关资料!$O$5:$AD$105,,MATCH(MAX(INT(O17),5),洗练相关资料!$O$4:$AD$4,0)))))</f>
        <v>8600</v>
      </c>
      <c r="S17" s="8">
        <f>IF(N17&lt;=节奏预期!$B$1,0,((求节点($C$28:$C$47,$E$28:$E$47,O17)-求节点($C$28:$C$47,$D$28:$D$47,O17))*Q17+求节点($C$28:$C$47,$D$28:$D$47,O17))*求节点($C$28:$C$47,$F$28:$F$47,O17))*节奏预期!M32</f>
        <v>1.983610355718527</v>
      </c>
      <c r="T17" s="8">
        <f t="shared" si="2"/>
        <v>3.4683869213145133</v>
      </c>
      <c r="Z17" s="5">
        <v>13</v>
      </c>
      <c r="AA17" s="5">
        <f>IFERROR(75*精英野怪!$Z17/精英野怪!$K$19/精英野怪!$Y17,AA18)</f>
        <v>11</v>
      </c>
      <c r="AK17" s="5">
        <v>13</v>
      </c>
      <c r="AL17" s="5">
        <f t="shared" si="3"/>
        <v>0</v>
      </c>
      <c r="AM17" s="5">
        <f t="shared" si="4"/>
        <v>0</v>
      </c>
      <c r="AN17" s="5">
        <f t="shared" si="5"/>
        <v>0</v>
      </c>
      <c r="AO17" s="5">
        <f t="shared" si="6"/>
        <v>0</v>
      </c>
      <c r="AP17" s="5">
        <f t="shared" si="7"/>
        <v>0</v>
      </c>
      <c r="AV17" s="5">
        <v>13</v>
      </c>
      <c r="AW17" s="5">
        <f t="shared" si="8"/>
        <v>0</v>
      </c>
      <c r="AX17" s="5">
        <f t="shared" si="9"/>
        <v>0</v>
      </c>
      <c r="AY17" s="5">
        <f t="shared" si="10"/>
        <v>0</v>
      </c>
      <c r="AZ17" s="5">
        <f t="shared" si="11"/>
        <v>0</v>
      </c>
      <c r="BA17" s="5">
        <f t="shared" si="12"/>
        <v>0</v>
      </c>
    </row>
    <row r="18" spans="2:53" x14ac:dyDescent="0.15">
      <c r="B18" s="54"/>
      <c r="C18" s="8">
        <v>14</v>
      </c>
      <c r="D18" s="8">
        <f t="shared" si="13"/>
        <v>11000000</v>
      </c>
      <c r="E18" s="8">
        <f>SUM($D$5:D17)</f>
        <v>2324244</v>
      </c>
      <c r="F18" s="8">
        <f t="shared" si="0"/>
        <v>2324245</v>
      </c>
      <c r="G18" s="8">
        <v>6</v>
      </c>
      <c r="H18" s="8">
        <f t="shared" si="1"/>
        <v>81944535.256410256</v>
      </c>
      <c r="I18" s="5">
        <f t="shared" si="14"/>
        <v>9200000</v>
      </c>
      <c r="N18" s="8">
        <v>140</v>
      </c>
      <c r="O18" s="8">
        <f>节奏预期!N33</f>
        <v>12.53671313971358</v>
      </c>
      <c r="P18" s="8">
        <f>节奏预期!O33</f>
        <v>57890.637329252073</v>
      </c>
      <c r="Q18" s="8">
        <f>IF(N18&lt;=节奏预期!$B$1,0,求节点(洗练相关资料!$M$5:$M$105,INDEX(洗练相关资料!$O$5:$AD$105,,MATCH(MAX(INT(O18),5),洗练相关资料!$O$4:$AD$4,0)),P18/节奏预期!M33/求节点($C$51:$C$70,$D$51:$D$70,O18)))</f>
        <v>0.99985759973525989</v>
      </c>
      <c r="R18" s="8">
        <f>IF(N18&lt;=节奏预期!$B$1,0,节奏预期!M33*求节点($C$51:$C$70,$D$51:$D$70,O18)*INDEX(洗练相关资料!$M$5:$M$105,MATCH(0.9,INDEX(洗练相关资料!$O$5:$AD$105,,MATCH(MAX(INT(O18),5),洗练相关资料!$O$4:$AD$4,0)))))</f>
        <v>8600</v>
      </c>
      <c r="S18" s="8">
        <f>IF(N18&lt;=节奏预期!$B$1,0,((求节点($C$28:$C$47,$E$28:$E$47,O18)-求节点($C$28:$C$47,$D$28:$D$47,O18))*Q18+求节点($C$28:$C$47,$D$28:$D$47,O18))*求节点($C$28:$C$47,$F$28:$F$47,O18))*节奏预期!M33</f>
        <v>2.0764112254278051</v>
      </c>
      <c r="T18" s="8">
        <f t="shared" si="2"/>
        <v>6.7314694568897755</v>
      </c>
      <c r="Z18" s="5">
        <v>14</v>
      </c>
      <c r="AA18" s="5">
        <f>IFERROR(75*精英野怪!$Z18/精英野怪!$K$19/精英野怪!$Y18,AA19)</f>
        <v>11</v>
      </c>
      <c r="AK18" s="5">
        <v>14</v>
      </c>
      <c r="AL18" s="5">
        <f t="shared" si="3"/>
        <v>0</v>
      </c>
      <c r="AM18" s="5">
        <f t="shared" si="4"/>
        <v>0</v>
      </c>
      <c r="AN18" s="5">
        <f t="shared" si="5"/>
        <v>0</v>
      </c>
      <c r="AO18" s="5">
        <f t="shared" si="6"/>
        <v>0</v>
      </c>
      <c r="AP18" s="5">
        <f t="shared" si="7"/>
        <v>0</v>
      </c>
      <c r="AV18" s="5">
        <v>14</v>
      </c>
      <c r="AW18" s="5">
        <f t="shared" si="8"/>
        <v>0</v>
      </c>
      <c r="AX18" s="5">
        <f t="shared" si="9"/>
        <v>0</v>
      </c>
      <c r="AY18" s="5">
        <f t="shared" si="10"/>
        <v>0</v>
      </c>
      <c r="AZ18" s="5">
        <f t="shared" si="11"/>
        <v>0</v>
      </c>
      <c r="BA18" s="5">
        <f t="shared" si="12"/>
        <v>0</v>
      </c>
    </row>
    <row r="19" spans="2:53" x14ac:dyDescent="0.15">
      <c r="B19" s="54"/>
      <c r="C19" s="8">
        <v>15</v>
      </c>
      <c r="D19" s="8">
        <f t="shared" si="13"/>
        <v>66000000</v>
      </c>
      <c r="E19" s="8">
        <f>SUM($D$5:D18)</f>
        <v>13324244</v>
      </c>
      <c r="F19" s="8">
        <f t="shared" si="0"/>
        <v>13324245</v>
      </c>
      <c r="G19" s="8">
        <v>6</v>
      </c>
      <c r="H19" s="8">
        <f t="shared" si="1"/>
        <v>436210401.78571427</v>
      </c>
      <c r="I19" s="5">
        <f t="shared" si="14"/>
        <v>55000000</v>
      </c>
      <c r="N19" s="8">
        <v>150</v>
      </c>
      <c r="O19" s="8">
        <f>节奏预期!N34</f>
        <v>13.109113358827585</v>
      </c>
      <c r="P19" s="8">
        <f>节奏预期!O34</f>
        <v>112908.58858325737</v>
      </c>
      <c r="Q19" s="8">
        <f>IF(N19&lt;=节奏预期!$B$1,0,求节点(洗练相关资料!$M$5:$M$105,INDEX(洗练相关资料!$O$5:$AD$105,,MATCH(MAX(INT(O19),5),洗练相关资料!$O$4:$AD$4,0)),P19/节奏预期!M34/求节点($C$51:$C$70,$D$51:$D$70,O19)))</f>
        <v>0.99985759973525989</v>
      </c>
      <c r="R19" s="8">
        <f>IF(N19&lt;=节奏预期!$B$1,0,节奏预期!M34*求节点($C$51:$C$70,$D$51:$D$70,O19)*INDEX(洗练相关资料!$M$5:$M$105,MATCH(0.9,INDEX(洗练相关资料!$O$5:$AD$105,,MATCH(MAX(INT(O19),5),洗练相关资料!$O$4:$AD$4,0)))))</f>
        <v>9400</v>
      </c>
      <c r="S19" s="8">
        <f>IF(N19&lt;=节奏预期!$B$1,0,((求节点($C$28:$C$47,$E$28:$E$47,O19)-求节点($C$28:$C$47,$D$28:$D$47,O19))*Q19+求节点($C$28:$C$47,$D$28:$D$47,O19))*求节点($C$28:$C$47,$F$28:$F$47,O19))*节奏预期!M34</f>
        <v>2.1794334836751976</v>
      </c>
      <c r="T19" s="8">
        <f t="shared" si="2"/>
        <v>12.011551976942274</v>
      </c>
      <c r="Z19" s="5">
        <v>15</v>
      </c>
      <c r="AA19" s="5">
        <f>IFERROR(75*精英野怪!$Z19/精英野怪!$K$19/精英野怪!$Y19,AA20)</f>
        <v>11</v>
      </c>
      <c r="AK19" s="5">
        <v>15</v>
      </c>
      <c r="AL19" s="5">
        <f t="shared" si="3"/>
        <v>0</v>
      </c>
      <c r="AM19" s="5">
        <f t="shared" si="4"/>
        <v>0</v>
      </c>
      <c r="AN19" s="5">
        <f t="shared" si="5"/>
        <v>0</v>
      </c>
      <c r="AO19" s="5">
        <f t="shared" si="6"/>
        <v>0</v>
      </c>
      <c r="AP19" s="5">
        <f t="shared" si="7"/>
        <v>0</v>
      </c>
      <c r="AV19" s="5">
        <v>15</v>
      </c>
      <c r="AW19" s="5">
        <f t="shared" si="8"/>
        <v>0</v>
      </c>
      <c r="AX19" s="5">
        <f t="shared" si="9"/>
        <v>0</v>
      </c>
      <c r="AY19" s="5">
        <f t="shared" si="10"/>
        <v>0</v>
      </c>
      <c r="AZ19" s="5">
        <f t="shared" si="11"/>
        <v>0</v>
      </c>
      <c r="BA19" s="5">
        <f t="shared" si="12"/>
        <v>0</v>
      </c>
    </row>
    <row r="20" spans="2:53" x14ac:dyDescent="0.15">
      <c r="B20" s="54"/>
      <c r="C20" s="8">
        <v>16</v>
      </c>
      <c r="D20" s="8">
        <f t="shared" si="13"/>
        <v>400000000</v>
      </c>
      <c r="E20" s="8">
        <f>SUM($D$5:D19)</f>
        <v>79324244</v>
      </c>
      <c r="F20" s="8">
        <f t="shared" si="0"/>
        <v>79324245</v>
      </c>
      <c r="G20" s="8">
        <v>6</v>
      </c>
      <c r="H20" s="8">
        <f t="shared" si="1"/>
        <v>2423796375</v>
      </c>
      <c r="I20" s="5">
        <f t="shared" si="14"/>
        <v>334000000</v>
      </c>
      <c r="N20" s="8">
        <v>160</v>
      </c>
      <c r="O20" s="8">
        <f>节奏预期!N35</f>
        <v>13.505414102393983</v>
      </c>
      <c r="P20" s="8">
        <f>节奏预期!O35</f>
        <v>221152.41333594048</v>
      </c>
      <c r="Q20" s="8">
        <f>IF(N20&lt;=节奏预期!$B$1,0,求节点(洗练相关资料!$M$5:$M$105,INDEX(洗练相关资料!$O$5:$AD$105,,MATCH(MAX(INT(O20),5),洗练相关资料!$O$4:$AD$4,0)),P20/节奏预期!M35/求节点($C$51:$C$70,$D$51:$D$70,O20)))</f>
        <v>0.99985759973525989</v>
      </c>
      <c r="R20" s="8">
        <f>IF(N20&lt;=节奏预期!$B$1,0,节奏预期!M35*求节点($C$51:$C$70,$D$51:$D$70,O20)*INDEX(洗练相关资料!$M$5:$M$105,MATCH(0.9,INDEX(洗练相关资料!$O$5:$AD$105,,MATCH(MAX(INT(O20),5),洗练相关资料!$O$4:$AD$4,0)))))</f>
        <v>9400</v>
      </c>
      <c r="S20" s="8">
        <f>IF(N20&lt;=节奏预期!$B$1,0,((求节点($C$28:$C$47,$E$28:$E$47,O20)-求节点($C$28:$C$47,$D$28:$D$47,O20))*Q20+求节点($C$28:$C$47,$D$28:$D$47,O20))*求节点($C$28:$C$47,$F$28:$F$47,O20))*节奏预期!M35</f>
        <v>2.250760845517453</v>
      </c>
      <c r="T20" s="8">
        <f t="shared" si="2"/>
        <v>23.526852482546861</v>
      </c>
      <c r="Z20" s="5">
        <v>16</v>
      </c>
      <c r="AA20" s="5">
        <f>IFERROR(75*精英野怪!$Z20/精英野怪!$K$19/精英野怪!$Y20,AA21)</f>
        <v>11</v>
      </c>
      <c r="AK20" s="5">
        <v>16</v>
      </c>
      <c r="AL20" s="5">
        <f t="shared" si="3"/>
        <v>0</v>
      </c>
      <c r="AM20" s="5">
        <f t="shared" si="4"/>
        <v>0</v>
      </c>
      <c r="AN20" s="5">
        <f t="shared" si="5"/>
        <v>0</v>
      </c>
      <c r="AO20" s="5">
        <f t="shared" si="6"/>
        <v>0</v>
      </c>
      <c r="AP20" s="5">
        <f t="shared" si="7"/>
        <v>0</v>
      </c>
      <c r="AV20" s="5">
        <v>16</v>
      </c>
      <c r="AW20" s="5">
        <f t="shared" si="8"/>
        <v>0</v>
      </c>
      <c r="AX20" s="5">
        <f t="shared" si="9"/>
        <v>0</v>
      </c>
      <c r="AY20" s="5">
        <f t="shared" si="10"/>
        <v>0</v>
      </c>
      <c r="AZ20" s="5">
        <f t="shared" si="11"/>
        <v>0</v>
      </c>
      <c r="BA20" s="5">
        <f t="shared" si="12"/>
        <v>0</v>
      </c>
    </row>
    <row r="21" spans="2:53" x14ac:dyDescent="0.15">
      <c r="B21" s="54"/>
      <c r="C21" s="8">
        <v>17</v>
      </c>
      <c r="D21" s="8">
        <f t="shared" si="13"/>
        <v>2400000000</v>
      </c>
      <c r="E21" s="8">
        <f>SUM($D$5:D20)</f>
        <v>479324244</v>
      </c>
      <c r="F21" s="8">
        <f t="shared" si="0"/>
        <v>479324245</v>
      </c>
      <c r="G21" s="8">
        <v>6</v>
      </c>
      <c r="H21" s="8">
        <f t="shared" si="1"/>
        <v>13730642434.895834</v>
      </c>
      <c r="I21" s="5">
        <f t="shared" si="14"/>
        <v>2000000000</v>
      </c>
      <c r="Z21" s="5">
        <v>17</v>
      </c>
      <c r="AA21" s="5">
        <f>IFERROR(75*精英野怪!$Z21/精英野怪!$K$19/精英野怪!$Y21,AA22)</f>
        <v>11</v>
      </c>
      <c r="AK21" s="5">
        <v>17</v>
      </c>
      <c r="AL21" s="5">
        <f t="shared" si="3"/>
        <v>0</v>
      </c>
      <c r="AM21" s="5">
        <f t="shared" si="4"/>
        <v>0</v>
      </c>
      <c r="AN21" s="5">
        <f t="shared" si="5"/>
        <v>0</v>
      </c>
      <c r="AO21" s="5">
        <f t="shared" si="6"/>
        <v>0</v>
      </c>
      <c r="AP21" s="5">
        <f t="shared" si="7"/>
        <v>0</v>
      </c>
      <c r="AV21" s="5">
        <v>17</v>
      </c>
      <c r="AW21" s="5">
        <f t="shared" si="8"/>
        <v>0</v>
      </c>
      <c r="AX21" s="5">
        <f t="shared" si="9"/>
        <v>0</v>
      </c>
      <c r="AY21" s="5">
        <f t="shared" si="10"/>
        <v>0</v>
      </c>
      <c r="AZ21" s="5">
        <f t="shared" si="11"/>
        <v>0</v>
      </c>
      <c r="BA21" s="5">
        <f t="shared" si="12"/>
        <v>0</v>
      </c>
    </row>
    <row r="22" spans="2:53" x14ac:dyDescent="0.15">
      <c r="B22" s="54"/>
      <c r="C22" s="8">
        <v>18</v>
      </c>
      <c r="D22" s="8">
        <f t="shared" si="13"/>
        <v>14000000000</v>
      </c>
      <c r="E22" s="8">
        <f>SUM($D$5:D21)</f>
        <v>2879324244</v>
      </c>
      <c r="F22" s="8">
        <f t="shared" si="0"/>
        <v>2879324245</v>
      </c>
      <c r="G22" s="8">
        <v>6</v>
      </c>
      <c r="H22" s="8">
        <f t="shared" si="1"/>
        <v>77628839938.725494</v>
      </c>
      <c r="I22" s="5">
        <f t="shared" si="14"/>
        <v>11600000000</v>
      </c>
      <c r="Z22" s="5">
        <v>18</v>
      </c>
      <c r="AA22" s="5">
        <f>IFERROR(75*精英野怪!$Z22/精英野怪!$K$19/精英野怪!$Y22,AA23)</f>
        <v>11</v>
      </c>
      <c r="AK22" s="5">
        <v>18</v>
      </c>
      <c r="AL22" s="5">
        <f t="shared" si="3"/>
        <v>0</v>
      </c>
      <c r="AM22" s="5">
        <f t="shared" si="4"/>
        <v>0</v>
      </c>
      <c r="AN22" s="5">
        <f t="shared" si="5"/>
        <v>0</v>
      </c>
      <c r="AO22" s="5">
        <f t="shared" si="6"/>
        <v>0</v>
      </c>
      <c r="AP22" s="5">
        <f t="shared" si="7"/>
        <v>0</v>
      </c>
      <c r="AV22" s="5">
        <v>18</v>
      </c>
      <c r="AW22" s="5">
        <f t="shared" si="8"/>
        <v>0</v>
      </c>
      <c r="AX22" s="5">
        <f t="shared" si="9"/>
        <v>0</v>
      </c>
      <c r="AY22" s="5">
        <f t="shared" si="10"/>
        <v>0</v>
      </c>
      <c r="AZ22" s="5">
        <f t="shared" si="11"/>
        <v>0</v>
      </c>
      <c r="BA22" s="5">
        <f t="shared" si="12"/>
        <v>0</v>
      </c>
    </row>
    <row r="23" spans="2:53" x14ac:dyDescent="0.15">
      <c r="B23" s="54"/>
      <c r="C23" s="8">
        <v>19</v>
      </c>
      <c r="D23" s="8">
        <f t="shared" si="13"/>
        <v>84000000000</v>
      </c>
      <c r="E23" s="8">
        <f>SUM($D$5:D22)</f>
        <v>16879324244</v>
      </c>
      <c r="F23" s="8">
        <f t="shared" si="0"/>
        <v>16879324245</v>
      </c>
      <c r="G23" s="8">
        <v>6</v>
      </c>
      <c r="H23" s="8">
        <f t="shared" si="1"/>
        <v>429797608090.27777</v>
      </c>
      <c r="I23" s="5">
        <f t="shared" si="14"/>
        <v>70000000000</v>
      </c>
      <c r="M23" s="5" t="s">
        <v>128</v>
      </c>
      <c r="N23" s="8" t="s">
        <v>141</v>
      </c>
      <c r="O23" s="8" t="s">
        <v>183</v>
      </c>
      <c r="P23" s="8" t="s">
        <v>212</v>
      </c>
      <c r="Q23" s="8" t="s">
        <v>180</v>
      </c>
      <c r="R23" s="8" t="s">
        <v>213</v>
      </c>
      <c r="S23" s="8" t="s">
        <v>185</v>
      </c>
      <c r="T23" s="8" t="s">
        <v>214</v>
      </c>
      <c r="Z23" s="5">
        <v>19</v>
      </c>
      <c r="AA23" s="5">
        <f>IFERROR(75*精英野怪!$Z23/精英野怪!$K$19/精英野怪!$Y23,AA24)</f>
        <v>11</v>
      </c>
      <c r="AK23" s="5">
        <v>19</v>
      </c>
      <c r="AL23" s="5">
        <f t="shared" si="3"/>
        <v>0</v>
      </c>
      <c r="AM23" s="5">
        <f t="shared" si="4"/>
        <v>0</v>
      </c>
      <c r="AN23" s="5">
        <f t="shared" si="5"/>
        <v>0</v>
      </c>
      <c r="AO23" s="5">
        <f t="shared" si="6"/>
        <v>0</v>
      </c>
      <c r="AP23" s="5">
        <f t="shared" si="7"/>
        <v>0</v>
      </c>
      <c r="AV23" s="5">
        <v>19</v>
      </c>
      <c r="AW23" s="5">
        <f t="shared" si="8"/>
        <v>0</v>
      </c>
      <c r="AX23" s="5">
        <f t="shared" si="9"/>
        <v>0</v>
      </c>
      <c r="AY23" s="5">
        <f t="shared" si="10"/>
        <v>0</v>
      </c>
      <c r="AZ23" s="5">
        <f t="shared" si="11"/>
        <v>0</v>
      </c>
      <c r="BA23" s="5">
        <f t="shared" si="12"/>
        <v>0</v>
      </c>
    </row>
    <row r="24" spans="2:53" x14ac:dyDescent="0.15">
      <c r="B24" s="54"/>
      <c r="C24" s="8">
        <v>20</v>
      </c>
      <c r="D24" s="8">
        <f t="shared" si="13"/>
        <v>500000000000</v>
      </c>
      <c r="E24" s="8">
        <f>SUM($D$5:D23)</f>
        <v>100879324244</v>
      </c>
      <c r="F24" s="8">
        <f t="shared" si="0"/>
        <v>100879324245</v>
      </c>
      <c r="G24" s="8">
        <v>6</v>
      </c>
      <c r="H24" s="8">
        <f t="shared" si="1"/>
        <v>2433492470822.3682</v>
      </c>
      <c r="I24" s="5">
        <f t="shared" si="14"/>
        <v>416000000000</v>
      </c>
      <c r="N24" s="8">
        <v>10</v>
      </c>
      <c r="O24" s="8">
        <f>节奏预期!N39</f>
        <v>0</v>
      </c>
      <c r="P24" s="8">
        <f>节奏预期!O39</f>
        <v>0</v>
      </c>
      <c r="Q24" s="8">
        <f>IF(N24&lt;=节奏预期!$B$1,0,求节点(洗练相关资料!$M$5:$M$105,INDEX(洗练相关资料!$O$5:$AD$105,,MATCH(MAX(INT(O24),5),洗练相关资料!$O$4:$AD$4,0)),P24/节奏预期!M39/求节点($C$51:$C$70,$D$51:$D$70,O24)))</f>
        <v>0</v>
      </c>
      <c r="R24" s="8">
        <f>IF(N24&lt;=节奏预期!$B$1,0,节奏预期!M39*求节点($C$51:$C$70,$D$51:$D$70,O24)*INDEX(洗练相关资料!$M$5:$M$105,MATCH(0.9,INDEX(洗练相关资料!$O$5:$AD$105,,MATCH(MAX(INT(O24),5),洗练相关资料!$O$4:$AD$4,0)))))</f>
        <v>0</v>
      </c>
      <c r="S24" s="8">
        <f>IF(N24&lt;=节奏预期!$B$1,0,((求节点($C$28:$C$47,$E$28:$E$47,O24)-求节点($C$28:$C$47,$D$28:$D$47,O24))*Q24+求节点($C$28:$C$47,$D$28:$D$47,O24))*求节点($C$28:$C$47,$F$28:$F$47,O24))*节奏预期!M39</f>
        <v>0</v>
      </c>
      <c r="T24" s="8">
        <f>IF(P24=0,0,P24/R24)</f>
        <v>0</v>
      </c>
      <c r="Z24" s="5">
        <v>20</v>
      </c>
      <c r="AA24" s="5">
        <f>IFERROR(75*精英野怪!$Z24/精英野怪!$K$19/精英野怪!$Y24,AA25)</f>
        <v>11</v>
      </c>
      <c r="AK24" s="5">
        <v>20</v>
      </c>
      <c r="AL24" s="5">
        <f t="shared" si="3"/>
        <v>0</v>
      </c>
      <c r="AM24" s="5">
        <f t="shared" si="4"/>
        <v>0</v>
      </c>
      <c r="AN24" s="5">
        <f t="shared" si="5"/>
        <v>0</v>
      </c>
      <c r="AO24" s="5">
        <f t="shared" si="6"/>
        <v>0</v>
      </c>
      <c r="AP24" s="5">
        <f t="shared" si="7"/>
        <v>0</v>
      </c>
      <c r="AV24" s="5">
        <v>20</v>
      </c>
      <c r="AW24" s="5">
        <f t="shared" si="8"/>
        <v>0</v>
      </c>
      <c r="AX24" s="5">
        <f t="shared" si="9"/>
        <v>0</v>
      </c>
      <c r="AY24" s="5">
        <f t="shared" si="10"/>
        <v>0</v>
      </c>
      <c r="AZ24" s="5">
        <f t="shared" si="11"/>
        <v>0</v>
      </c>
      <c r="BA24" s="5">
        <f t="shared" si="12"/>
        <v>0</v>
      </c>
    </row>
    <row r="25" spans="2:53" x14ac:dyDescent="0.15">
      <c r="N25" s="8">
        <v>20</v>
      </c>
      <c r="O25" s="8">
        <f>节奏预期!N40</f>
        <v>0</v>
      </c>
      <c r="P25" s="8">
        <f>节奏预期!O40</f>
        <v>0</v>
      </c>
      <c r="Q25" s="8">
        <f>IF(N25&lt;=节奏预期!$B$1,0,求节点(洗练相关资料!$M$5:$M$105,INDEX(洗练相关资料!$O$5:$AD$105,,MATCH(MAX(INT(O25),5),洗练相关资料!$O$4:$AD$4,0)),P25/节奏预期!M40/求节点($C$51:$C$70,$D$51:$D$70,O25)))</f>
        <v>0</v>
      </c>
      <c r="R25" s="8">
        <f>IF(N25&lt;=节奏预期!$B$1,0,节奏预期!M40*求节点($C$51:$C$70,$D$51:$D$70,O25)*INDEX(洗练相关资料!$M$5:$M$105,MATCH(0.9,INDEX(洗练相关资料!$O$5:$AD$105,,MATCH(MAX(INT(O25),5),洗练相关资料!$O$4:$AD$4,0)))))</f>
        <v>0</v>
      </c>
      <c r="S25" s="8">
        <f>IF(N25&lt;=节奏预期!$B$1,0,((求节点($C$28:$C$47,$E$28:$E$47,O25)-求节点($C$28:$C$47,$D$28:$D$47,O25))*Q25+求节点($C$28:$C$47,$D$28:$D$47,O25))*求节点($C$28:$C$47,$F$28:$F$47,O25))*节奏预期!M40</f>
        <v>0</v>
      </c>
      <c r="T25" s="8">
        <f t="shared" ref="T25:T39" si="15">IF(P25=0,0,P25/R25)</f>
        <v>0</v>
      </c>
      <c r="Z25" s="5">
        <v>21</v>
      </c>
      <c r="AA25" s="5">
        <f>IFERROR(75*精英野怪!$Z25/精英野怪!$K$19/精英野怪!$Y25,AA26)</f>
        <v>11</v>
      </c>
      <c r="AK25" s="5">
        <v>21</v>
      </c>
      <c r="AL25" s="5">
        <f t="shared" si="3"/>
        <v>0</v>
      </c>
      <c r="AM25" s="5">
        <f t="shared" si="4"/>
        <v>0</v>
      </c>
      <c r="AN25" s="5">
        <f t="shared" si="5"/>
        <v>0</v>
      </c>
      <c r="AO25" s="5">
        <f t="shared" si="6"/>
        <v>0</v>
      </c>
      <c r="AP25" s="5">
        <f t="shared" si="7"/>
        <v>0</v>
      </c>
      <c r="AV25" s="5">
        <v>21</v>
      </c>
      <c r="AW25" s="5">
        <f t="shared" si="8"/>
        <v>0</v>
      </c>
      <c r="AX25" s="5">
        <f t="shared" si="9"/>
        <v>0</v>
      </c>
      <c r="AY25" s="5">
        <f t="shared" si="10"/>
        <v>0</v>
      </c>
      <c r="AZ25" s="5">
        <f t="shared" si="11"/>
        <v>0</v>
      </c>
      <c r="BA25" s="5">
        <f t="shared" si="12"/>
        <v>0</v>
      </c>
    </row>
    <row r="26" spans="2:53" x14ac:dyDescent="0.15">
      <c r="N26" s="8">
        <v>30</v>
      </c>
      <c r="O26" s="8">
        <f>节奏预期!N41</f>
        <v>0</v>
      </c>
      <c r="P26" s="8">
        <f>节奏预期!O41</f>
        <v>0</v>
      </c>
      <c r="Q26" s="8">
        <f>IF(N26&lt;=节奏预期!$B$1,0,求节点(洗练相关资料!$M$5:$M$105,INDEX(洗练相关资料!$O$5:$AD$105,,MATCH(MAX(INT(O26),5),洗练相关资料!$O$4:$AD$4,0)),P26/节奏预期!M41/求节点($C$51:$C$70,$D$51:$D$70,O26)))</f>
        <v>0</v>
      </c>
      <c r="R26" s="8">
        <f>IF(N26&lt;=节奏预期!$B$1,0,节奏预期!M41*求节点($C$51:$C$70,$D$51:$D$70,O26)*INDEX(洗练相关资料!$M$5:$M$105,MATCH(0.9,INDEX(洗练相关资料!$O$5:$AD$105,,MATCH(MAX(INT(O26),5),洗练相关资料!$O$4:$AD$4,0)))))</f>
        <v>0</v>
      </c>
      <c r="S26" s="8">
        <f>IF(N26&lt;=节奏预期!$B$1,0,((求节点($C$28:$C$47,$E$28:$E$47,O26)-求节点($C$28:$C$47,$D$28:$D$47,O26))*Q26+求节点($C$28:$C$47,$D$28:$D$47,O26))*求节点($C$28:$C$47,$F$28:$F$47,O26))*节奏预期!M41</f>
        <v>0</v>
      </c>
      <c r="T26" s="8">
        <f t="shared" si="15"/>
        <v>0</v>
      </c>
      <c r="Z26" s="5">
        <v>22</v>
      </c>
      <c r="AA26" s="5">
        <f>IFERROR(75*精英野怪!$Z26/精英野怪!$K$19/精英野怪!$Y26,AA27)</f>
        <v>11</v>
      </c>
      <c r="AK26" s="5">
        <v>22</v>
      </c>
      <c r="AL26" s="5">
        <f t="shared" si="3"/>
        <v>0</v>
      </c>
      <c r="AM26" s="5">
        <f t="shared" si="4"/>
        <v>0</v>
      </c>
      <c r="AN26" s="5">
        <f t="shared" si="5"/>
        <v>0</v>
      </c>
      <c r="AO26" s="5">
        <f t="shared" si="6"/>
        <v>0</v>
      </c>
      <c r="AP26" s="5">
        <f t="shared" si="7"/>
        <v>0</v>
      </c>
      <c r="AV26" s="5">
        <v>22</v>
      </c>
      <c r="AW26" s="5">
        <f t="shared" si="8"/>
        <v>0</v>
      </c>
      <c r="AX26" s="5">
        <f t="shared" si="9"/>
        <v>0</v>
      </c>
      <c r="AY26" s="5">
        <f t="shared" si="10"/>
        <v>0</v>
      </c>
      <c r="AZ26" s="5">
        <f t="shared" si="11"/>
        <v>0</v>
      </c>
      <c r="BA26" s="5">
        <f t="shared" si="12"/>
        <v>0</v>
      </c>
    </row>
    <row r="27" spans="2:53" x14ac:dyDescent="0.15">
      <c r="B27" s="54" t="s">
        <v>176</v>
      </c>
      <c r="C27" s="8" t="s">
        <v>98</v>
      </c>
      <c r="D27" s="8" t="s">
        <v>172</v>
      </c>
      <c r="E27" s="8" t="s">
        <v>173</v>
      </c>
      <c r="F27" s="8" t="s">
        <v>177</v>
      </c>
      <c r="N27" s="8">
        <v>40</v>
      </c>
      <c r="O27" s="8">
        <f>节奏预期!N42</f>
        <v>0</v>
      </c>
      <c r="P27" s="8">
        <f>节奏预期!O42</f>
        <v>0</v>
      </c>
      <c r="Q27" s="8">
        <f>IF(N27&lt;=节奏预期!$B$1,0,求节点(洗练相关资料!$M$5:$M$105,INDEX(洗练相关资料!$O$5:$AD$105,,MATCH(MAX(INT(O27),5),洗练相关资料!$O$4:$AD$4,0)),P27/节奏预期!M42/求节点($C$51:$C$70,$D$51:$D$70,O27)))</f>
        <v>0</v>
      </c>
      <c r="R27" s="8">
        <f>IF(N27&lt;=节奏预期!$B$1,0,节奏预期!M42*求节点($C$51:$C$70,$D$51:$D$70,O27)*INDEX(洗练相关资料!$M$5:$M$105,MATCH(0.9,INDEX(洗练相关资料!$O$5:$AD$105,,MATCH(MAX(INT(O27),5),洗练相关资料!$O$4:$AD$4,0)))))</f>
        <v>0</v>
      </c>
      <c r="S27" s="8">
        <f>IF(N27&lt;=节奏预期!$B$1,0,((求节点($C$28:$C$47,$E$28:$E$47,O27)-求节点($C$28:$C$47,$D$28:$D$47,O27))*Q27+求节点($C$28:$C$47,$D$28:$D$47,O27))*求节点($C$28:$C$47,$F$28:$F$47,O27))*节奏预期!M42</f>
        <v>0</v>
      </c>
      <c r="T27" s="8">
        <f t="shared" si="15"/>
        <v>0</v>
      </c>
      <c r="Z27" s="5">
        <v>23</v>
      </c>
      <c r="AA27" s="5">
        <f>IFERROR(75*精英野怪!$Z27/精英野怪!$K$19/精英野怪!$Y27,AA28)</f>
        <v>11</v>
      </c>
      <c r="AK27" s="5">
        <v>23</v>
      </c>
      <c r="AL27" s="5">
        <f t="shared" si="3"/>
        <v>0</v>
      </c>
      <c r="AM27" s="5">
        <f t="shared" si="4"/>
        <v>0</v>
      </c>
      <c r="AN27" s="5">
        <f t="shared" si="5"/>
        <v>0</v>
      </c>
      <c r="AO27" s="5">
        <f t="shared" si="6"/>
        <v>0</v>
      </c>
      <c r="AP27" s="5">
        <f t="shared" si="7"/>
        <v>0</v>
      </c>
      <c r="AV27" s="5">
        <v>23</v>
      </c>
      <c r="AW27" s="5">
        <f t="shared" si="8"/>
        <v>0</v>
      </c>
      <c r="AX27" s="5">
        <f t="shared" si="9"/>
        <v>0</v>
      </c>
      <c r="AY27" s="5">
        <f t="shared" si="10"/>
        <v>0</v>
      </c>
      <c r="AZ27" s="5">
        <f t="shared" si="11"/>
        <v>0</v>
      </c>
      <c r="BA27" s="5">
        <f t="shared" si="12"/>
        <v>0</v>
      </c>
    </row>
    <row r="28" spans="2:53" x14ac:dyDescent="0.15">
      <c r="B28" s="54"/>
      <c r="C28" s="8">
        <v>1</v>
      </c>
      <c r="D28" s="12">
        <v>0</v>
      </c>
      <c r="E28" s="12">
        <v>4.0000000000000001E-3</v>
      </c>
      <c r="F28" s="8">
        <v>1</v>
      </c>
      <c r="N28" s="8">
        <v>50</v>
      </c>
      <c r="O28" s="8">
        <f>节奏预期!N43</f>
        <v>0</v>
      </c>
      <c r="P28" s="8">
        <f>节奏预期!O43</f>
        <v>0</v>
      </c>
      <c r="Q28" s="8">
        <f>IF(N28&lt;=节奏预期!$B$1,0,求节点(洗练相关资料!$M$5:$M$105,INDEX(洗练相关资料!$O$5:$AD$105,,MATCH(MAX(INT(O28),5),洗练相关资料!$O$4:$AD$4,0)),P28/节奏预期!M43/求节点($C$51:$C$70,$D$51:$D$70,O28)))</f>
        <v>0</v>
      </c>
      <c r="R28" s="8">
        <f>IF(N28&lt;=节奏预期!$B$1,0,节奏预期!M43*求节点($C$51:$C$70,$D$51:$D$70,O28)*INDEX(洗练相关资料!$M$5:$M$105,MATCH(0.9,INDEX(洗练相关资料!$O$5:$AD$105,,MATCH(MAX(INT(O28),5),洗练相关资料!$O$4:$AD$4,0)))))</f>
        <v>0</v>
      </c>
      <c r="S28" s="8">
        <f>IF(N28&lt;=节奏预期!$B$1,0,((求节点($C$28:$C$47,$E$28:$E$47,O28)-求节点($C$28:$C$47,$D$28:$D$47,O28))*Q28+求节点($C$28:$C$47,$D$28:$D$47,O28))*求节点($C$28:$C$47,$F$28:$F$47,O28))*节奏预期!M43</f>
        <v>0</v>
      </c>
      <c r="T28" s="8">
        <f t="shared" si="15"/>
        <v>0</v>
      </c>
      <c r="Z28" s="5">
        <v>24</v>
      </c>
      <c r="AA28" s="5">
        <f>IFERROR(75*精英野怪!$Z28/精英野怪!$K$19/精英野怪!$Y28,AA29)</f>
        <v>11</v>
      </c>
      <c r="AK28" s="5">
        <v>24</v>
      </c>
      <c r="AL28" s="5">
        <f t="shared" si="3"/>
        <v>0</v>
      </c>
      <c r="AM28" s="5">
        <f t="shared" si="4"/>
        <v>0</v>
      </c>
      <c r="AN28" s="5">
        <f t="shared" si="5"/>
        <v>0</v>
      </c>
      <c r="AO28" s="5">
        <f t="shared" si="6"/>
        <v>0</v>
      </c>
      <c r="AP28" s="5">
        <f t="shared" si="7"/>
        <v>0</v>
      </c>
      <c r="AV28" s="5">
        <v>24</v>
      </c>
      <c r="AW28" s="5">
        <f t="shared" si="8"/>
        <v>0</v>
      </c>
      <c r="AX28" s="5">
        <f t="shared" si="9"/>
        <v>0</v>
      </c>
      <c r="AY28" s="5">
        <f t="shared" si="10"/>
        <v>0</v>
      </c>
      <c r="AZ28" s="5">
        <f t="shared" si="11"/>
        <v>0</v>
      </c>
      <c r="BA28" s="5">
        <f t="shared" si="12"/>
        <v>0</v>
      </c>
    </row>
    <row r="29" spans="2:53" x14ac:dyDescent="0.15">
      <c r="B29" s="54"/>
      <c r="C29" s="8">
        <v>2</v>
      </c>
      <c r="D29" s="12">
        <v>2E-3</v>
      </c>
      <c r="E29" s="12">
        <v>6.0000000000000001E-3</v>
      </c>
      <c r="F29" s="8">
        <v>1</v>
      </c>
      <c r="N29" s="8">
        <v>60</v>
      </c>
      <c r="O29" s="8">
        <f>节奏预期!N44</f>
        <v>0</v>
      </c>
      <c r="P29" s="8">
        <f>节奏预期!O44</f>
        <v>0</v>
      </c>
      <c r="Q29" s="8">
        <f>IF(N29&lt;=节奏预期!$B$1,0,求节点(洗练相关资料!$M$5:$M$105,INDEX(洗练相关资料!$O$5:$AD$105,,MATCH(MAX(INT(O29),5),洗练相关资料!$O$4:$AD$4,0)),P29/节奏预期!M44/求节点($C$51:$C$70,$D$51:$D$70,O29)))</f>
        <v>0</v>
      </c>
      <c r="R29" s="8">
        <f>IF(N29&lt;=节奏预期!$B$1,0,节奏预期!M44*求节点($C$51:$C$70,$D$51:$D$70,O29)*INDEX(洗练相关资料!$M$5:$M$105,MATCH(0.9,INDEX(洗练相关资料!$O$5:$AD$105,,MATCH(MAX(INT(O29),5),洗练相关资料!$O$4:$AD$4,0)))))</f>
        <v>0</v>
      </c>
      <c r="S29" s="8">
        <f>IF(N29&lt;=节奏预期!$B$1,0,((求节点($C$28:$C$47,$E$28:$E$47,O29)-求节点($C$28:$C$47,$D$28:$D$47,O29))*Q29+求节点($C$28:$C$47,$D$28:$D$47,O29))*求节点($C$28:$C$47,$F$28:$F$47,O29))*节奏预期!M44</f>
        <v>0</v>
      </c>
      <c r="T29" s="8">
        <f t="shared" si="15"/>
        <v>0</v>
      </c>
      <c r="Z29" s="5">
        <v>25</v>
      </c>
      <c r="AA29" s="5">
        <f>IFERROR(75*精英野怪!$Z29/精英野怪!$K$19/精英野怪!$Y29,AA30)</f>
        <v>11</v>
      </c>
      <c r="AK29" s="5">
        <v>25</v>
      </c>
      <c r="AL29" s="5">
        <f t="shared" si="3"/>
        <v>0</v>
      </c>
      <c r="AM29" s="5">
        <f t="shared" si="4"/>
        <v>0</v>
      </c>
      <c r="AN29" s="5">
        <f t="shared" si="5"/>
        <v>0</v>
      </c>
      <c r="AO29" s="5">
        <f t="shared" si="6"/>
        <v>0</v>
      </c>
      <c r="AP29" s="5">
        <f t="shared" si="7"/>
        <v>0</v>
      </c>
      <c r="AV29" s="5">
        <v>25</v>
      </c>
      <c r="AW29" s="5">
        <f t="shared" si="8"/>
        <v>0</v>
      </c>
      <c r="AX29" s="5">
        <f t="shared" si="9"/>
        <v>0</v>
      </c>
      <c r="AY29" s="5">
        <f t="shared" si="10"/>
        <v>0</v>
      </c>
      <c r="AZ29" s="5">
        <f t="shared" si="11"/>
        <v>0</v>
      </c>
      <c r="BA29" s="5">
        <f t="shared" si="12"/>
        <v>0</v>
      </c>
    </row>
    <row r="30" spans="2:53" x14ac:dyDescent="0.15">
      <c r="B30" s="54"/>
      <c r="C30" s="8">
        <v>3</v>
      </c>
      <c r="D30" s="12">
        <v>4.0000000000000001E-3</v>
      </c>
      <c r="E30" s="12">
        <v>1.2E-2</v>
      </c>
      <c r="F30" s="8">
        <v>1</v>
      </c>
      <c r="N30" s="8">
        <v>70</v>
      </c>
      <c r="O30" s="8">
        <f>节奏预期!N45</f>
        <v>9.1631354986202602</v>
      </c>
      <c r="P30" s="8">
        <f>节奏预期!O45</f>
        <v>419.1083065460524</v>
      </c>
      <c r="Q30" s="8">
        <f>IF(N30&lt;=节奏预期!$B$1,0,求节点(洗练相关资料!$M$5:$M$105,INDEX(洗练相关资料!$O$5:$AD$105,,MATCH(MAX(INT(O30),5),洗练相关资料!$O$4:$AD$4,0)),P30/节奏预期!M45/求节点($C$51:$C$70,$D$51:$D$70,O30)))</f>
        <v>0.30995104912537236</v>
      </c>
      <c r="R30" s="8">
        <f>IF(N30&lt;=节奏预期!$B$1,0,节奏预期!M45*求节点($C$51:$C$70,$D$51:$D$70,O30)*INDEX(洗练相关资料!$M$5:$M$105,MATCH(0.9,INDEX(洗练相关资料!$O$5:$AD$105,,MATCH(MAX(INT(O30),5),洗练相关资料!$O$4:$AD$4,0)))))</f>
        <v>4480</v>
      </c>
      <c r="S30" s="8">
        <f>IF(N30&lt;=节奏预期!$B$1,0,((求节点($C$28:$C$47,$E$28:$E$47,O30)-求节点($C$28:$C$47,$D$28:$D$47,O30))*Q30+求节点($C$28:$C$47,$D$28:$D$47,O30))*求节点($C$28:$C$47,$F$28:$F$47,O30))*节奏预期!M45</f>
        <v>0.55538617354584419</v>
      </c>
      <c r="T30" s="8">
        <f t="shared" si="15"/>
        <v>9.3550961282600986E-2</v>
      </c>
      <c r="Z30" s="5">
        <v>26</v>
      </c>
      <c r="AA30" s="5">
        <f>IFERROR(75*精英野怪!$Z30/精英野怪!$K$19/精英野怪!$Y30,AA31)</f>
        <v>11</v>
      </c>
      <c r="AK30" s="5">
        <v>26</v>
      </c>
      <c r="AL30" s="5">
        <f t="shared" si="3"/>
        <v>0</v>
      </c>
      <c r="AM30" s="5">
        <f t="shared" si="4"/>
        <v>0</v>
      </c>
      <c r="AN30" s="5">
        <f t="shared" si="5"/>
        <v>0</v>
      </c>
      <c r="AO30" s="5">
        <f t="shared" si="6"/>
        <v>0</v>
      </c>
      <c r="AP30" s="5">
        <f t="shared" si="7"/>
        <v>0</v>
      </c>
      <c r="AV30" s="5">
        <v>26</v>
      </c>
      <c r="AW30" s="5">
        <f t="shared" si="8"/>
        <v>0</v>
      </c>
      <c r="AX30" s="5">
        <f t="shared" si="9"/>
        <v>0</v>
      </c>
      <c r="AY30" s="5">
        <f t="shared" si="10"/>
        <v>0</v>
      </c>
      <c r="AZ30" s="5">
        <f t="shared" si="11"/>
        <v>0</v>
      </c>
      <c r="BA30" s="5">
        <f t="shared" si="12"/>
        <v>0</v>
      </c>
    </row>
    <row r="31" spans="2:53" x14ac:dyDescent="0.15">
      <c r="B31" s="54"/>
      <c r="C31" s="8">
        <v>4</v>
      </c>
      <c r="D31" s="12">
        <v>6.0000000000000001E-3</v>
      </c>
      <c r="E31" s="12">
        <v>1.7999999999999999E-2</v>
      </c>
      <c r="F31" s="8">
        <v>1</v>
      </c>
      <c r="N31" s="8">
        <v>80</v>
      </c>
      <c r="O31" s="8">
        <f>节奏预期!N46</f>
        <v>11.154348646818326</v>
      </c>
      <c r="P31" s="8">
        <f>节奏预期!O46</f>
        <v>1115.306043541764</v>
      </c>
      <c r="Q31" s="8">
        <f>IF(N31&lt;=节奏预期!$B$1,0,求节点(洗练相关资料!$M$5:$M$105,INDEX(洗练相关资料!$O$5:$AD$105,,MATCH(MAX(INT(O31),5),洗练相关资料!$O$4:$AD$4,0)),P31/节奏预期!M46/求节点($C$51:$C$70,$D$51:$D$70,O31)))</f>
        <v>0.32750023010163282</v>
      </c>
      <c r="R31" s="8">
        <f>IF(N31&lt;=节奏预期!$B$1,0,节奏预期!M46*求节点($C$51:$C$70,$D$51:$D$70,O31)*INDEX(洗练相关资料!$M$5:$M$105,MATCH(0.9,INDEX(洗练相关资料!$O$5:$AD$105,,MATCH(MAX(INT(O31),5),洗练相关资料!$O$4:$AD$4,0)))))</f>
        <v>5600</v>
      </c>
      <c r="S31" s="8">
        <f>IF(N31&lt;=节奏预期!$B$1,0,((求节点($C$28:$C$47,$E$28:$E$47,O31)-求节点($C$28:$C$47,$D$28:$D$47,O31))*Q31+求节点($C$28:$C$47,$D$28:$D$47,O31))*求节点($C$28:$C$47,$F$28:$F$47,O31))*节奏预期!M46</f>
        <v>0.70582897070904693</v>
      </c>
      <c r="T31" s="8">
        <f t="shared" si="15"/>
        <v>0.19916179348960072</v>
      </c>
      <c r="Z31" s="5">
        <v>27</v>
      </c>
      <c r="AA31" s="5">
        <f>IFERROR(75*精英野怪!$Z31/精英野怪!$K$19/精英野怪!$Y31,AA32)</f>
        <v>11</v>
      </c>
      <c r="AK31" s="5">
        <v>27</v>
      </c>
      <c r="AL31" s="5">
        <f t="shared" si="3"/>
        <v>0</v>
      </c>
      <c r="AM31" s="5">
        <f t="shared" si="4"/>
        <v>0</v>
      </c>
      <c r="AN31" s="5">
        <f t="shared" si="5"/>
        <v>0</v>
      </c>
      <c r="AO31" s="5">
        <f t="shared" si="6"/>
        <v>0</v>
      </c>
      <c r="AP31" s="5">
        <f t="shared" si="7"/>
        <v>0</v>
      </c>
      <c r="AV31" s="5">
        <v>27</v>
      </c>
      <c r="AW31" s="5">
        <f t="shared" si="8"/>
        <v>0</v>
      </c>
      <c r="AX31" s="5">
        <f t="shared" si="9"/>
        <v>0</v>
      </c>
      <c r="AY31" s="5">
        <f t="shared" si="10"/>
        <v>0</v>
      </c>
      <c r="AZ31" s="5">
        <f t="shared" si="11"/>
        <v>0</v>
      </c>
      <c r="BA31" s="5">
        <f t="shared" si="12"/>
        <v>0</v>
      </c>
    </row>
    <row r="32" spans="2:53" x14ac:dyDescent="0.15">
      <c r="B32" s="54"/>
      <c r="C32" s="8">
        <v>5</v>
      </c>
      <c r="D32" s="12">
        <v>8.0000000000000002E-3</v>
      </c>
      <c r="E32" s="12">
        <v>2.4E-2</v>
      </c>
      <c r="F32" s="8">
        <v>2</v>
      </c>
      <c r="N32" s="8">
        <v>90</v>
      </c>
      <c r="O32" s="8">
        <f>节奏预期!N47</f>
        <v>11.706106845808883</v>
      </c>
      <c r="P32" s="8">
        <f>节奏预期!O47</f>
        <v>2377.8578165065396</v>
      </c>
      <c r="Q32" s="8">
        <f>IF(N32&lt;=节奏预期!$B$1,0,求节点(洗练相关资料!$M$5:$M$105,INDEX(洗练相关资料!$O$5:$AD$105,,MATCH(MAX(INT(O32),5),洗练相关资料!$O$4:$AD$4,0)),P32/节奏预期!M47/求节点($C$51:$C$70,$D$51:$D$70,O32)))</f>
        <v>0.37086173761192309</v>
      </c>
      <c r="R32" s="8">
        <f>IF(N32&lt;=节奏预期!$B$1,0,节奏预期!M47*求节点($C$51:$C$70,$D$51:$D$70,O32)*INDEX(洗练相关资料!$M$5:$M$105,MATCH(0.9,INDEX(洗练相关资料!$O$5:$AD$105,,MATCH(MAX(INT(O32),5),洗练相关资料!$O$4:$AD$4,0)))))</f>
        <v>8000</v>
      </c>
      <c r="S32" s="8">
        <f>IF(N32&lt;=节奏预期!$B$1,0,((求节点($C$28:$C$47,$E$28:$E$47,O32)-求节点($C$28:$C$47,$D$28:$D$47,O32))*Q32+求节点($C$28:$C$47,$D$28:$D$47,O32))*求节点($C$28:$C$47,$F$28:$F$47,O32))*节奏预期!M47</f>
        <v>1.1188246572960037</v>
      </c>
      <c r="T32" s="8">
        <f t="shared" si="15"/>
        <v>0.29723222706331748</v>
      </c>
      <c r="Z32" s="5">
        <v>28</v>
      </c>
      <c r="AA32" s="5">
        <f>IFERROR(75*精英野怪!$Z32/精英野怪!$K$19/精英野怪!$Y32,AA33)</f>
        <v>11</v>
      </c>
      <c r="AK32" s="5">
        <v>28</v>
      </c>
      <c r="AL32" s="5">
        <f t="shared" si="3"/>
        <v>0</v>
      </c>
      <c r="AM32" s="5">
        <f t="shared" si="4"/>
        <v>0</v>
      </c>
      <c r="AN32" s="5">
        <f t="shared" si="5"/>
        <v>0</v>
      </c>
      <c r="AO32" s="5">
        <f t="shared" si="6"/>
        <v>0</v>
      </c>
      <c r="AP32" s="5">
        <f t="shared" si="7"/>
        <v>0</v>
      </c>
      <c r="AV32" s="5">
        <v>28</v>
      </c>
      <c r="AW32" s="5">
        <f t="shared" si="8"/>
        <v>0</v>
      </c>
      <c r="AX32" s="5">
        <f t="shared" si="9"/>
        <v>0</v>
      </c>
      <c r="AY32" s="5">
        <f t="shared" si="10"/>
        <v>0</v>
      </c>
      <c r="AZ32" s="5">
        <f t="shared" si="11"/>
        <v>0</v>
      </c>
      <c r="BA32" s="5">
        <f t="shared" si="12"/>
        <v>0</v>
      </c>
    </row>
    <row r="33" spans="2:53" x14ac:dyDescent="0.15">
      <c r="B33" s="54"/>
      <c r="C33" s="8">
        <v>6</v>
      </c>
      <c r="D33" s="12">
        <v>0.01</v>
      </c>
      <c r="E33" s="12">
        <v>0.03</v>
      </c>
      <c r="F33" s="8">
        <v>2</v>
      </c>
      <c r="N33" s="8">
        <v>100</v>
      </c>
      <c r="O33" s="8">
        <f>节奏预期!N48</f>
        <v>12.348646765220623</v>
      </c>
      <c r="P33" s="8">
        <f>节奏预期!O48</f>
        <v>4766.5150952765935</v>
      </c>
      <c r="Q33" s="8">
        <f>IF(N33&lt;=节奏预期!$B$1,0,求节点(洗练相关资料!$M$5:$M$105,INDEX(洗练相关资料!$O$5:$AD$105,,MATCH(MAX(INT(O33),5),洗练相关资料!$O$4:$AD$4,0)),P33/节奏预期!M48/求节点($C$51:$C$70,$D$51:$D$70,O33)))</f>
        <v>0.50671719309661556</v>
      </c>
      <c r="R33" s="8">
        <f>IF(N33&lt;=节奏预期!$B$1,0,节奏预期!M48*求节点($C$51:$C$70,$D$51:$D$70,O33)*INDEX(洗练相关资料!$M$5:$M$105,MATCH(0.9,INDEX(洗练相关资料!$O$5:$AD$105,,MATCH(MAX(INT(O33),5),洗练相关资料!$O$4:$AD$4,0)))))</f>
        <v>8600</v>
      </c>
      <c r="S33" s="8">
        <f>IF(N33&lt;=节奏预期!$B$1,0,((求节点($C$28:$C$47,$E$28:$E$47,O33)-求节点($C$28:$C$47,$D$28:$D$47,O33))*Q33+求节点($C$28:$C$47,$D$28:$D$47,O33))*求节点($C$28:$C$47,$F$28:$F$47,O33))*节奏预期!M48</f>
        <v>1.370985338031347</v>
      </c>
      <c r="T33" s="8">
        <f t="shared" si="15"/>
        <v>0.55424594131123184</v>
      </c>
      <c r="Z33" s="5">
        <v>29</v>
      </c>
      <c r="AA33" s="5">
        <f>IFERROR(75*精英野怪!$Z33/精英野怪!$K$19/精英野怪!$Y33,AA34)</f>
        <v>11</v>
      </c>
      <c r="AK33" s="5">
        <v>29</v>
      </c>
      <c r="AL33" s="5">
        <f t="shared" si="3"/>
        <v>0</v>
      </c>
      <c r="AM33" s="5">
        <f t="shared" si="4"/>
        <v>0</v>
      </c>
      <c r="AN33" s="5">
        <f t="shared" si="5"/>
        <v>0</v>
      </c>
      <c r="AO33" s="5">
        <f t="shared" si="6"/>
        <v>0</v>
      </c>
      <c r="AP33" s="5">
        <f t="shared" si="7"/>
        <v>0</v>
      </c>
      <c r="AV33" s="5">
        <v>29</v>
      </c>
      <c r="AW33" s="5">
        <f t="shared" si="8"/>
        <v>0</v>
      </c>
      <c r="AX33" s="5">
        <f t="shared" si="9"/>
        <v>0</v>
      </c>
      <c r="AY33" s="5">
        <f t="shared" si="10"/>
        <v>0</v>
      </c>
      <c r="AZ33" s="5">
        <f t="shared" si="11"/>
        <v>0</v>
      </c>
      <c r="BA33" s="5">
        <f t="shared" si="12"/>
        <v>0</v>
      </c>
    </row>
    <row r="34" spans="2:53" x14ac:dyDescent="0.15">
      <c r="B34" s="54"/>
      <c r="C34" s="8">
        <v>7</v>
      </c>
      <c r="D34" s="12">
        <v>1.2E-2</v>
      </c>
      <c r="E34" s="12">
        <v>3.5999999999999997E-2</v>
      </c>
      <c r="F34" s="8">
        <v>2</v>
      </c>
      <c r="N34" s="8">
        <v>110</v>
      </c>
      <c r="O34" s="8">
        <f>节奏预期!N49</f>
        <v>13.036831415251692</v>
      </c>
      <c r="P34" s="8">
        <f>节奏预期!O49</f>
        <v>9268.6366114029061</v>
      </c>
      <c r="Q34" s="8">
        <f>IF(N34&lt;=节奏预期!$B$1,0,求节点(洗练相关资料!$M$5:$M$105,INDEX(洗练相关资料!$O$5:$AD$105,,MATCH(MAX(INT(O34),5),洗练相关资料!$O$4:$AD$4,0)),P34/节奏预期!M49/求节点($C$51:$C$70,$D$51:$D$70,O34)))</f>
        <v>0.88482578849515914</v>
      </c>
      <c r="R34" s="8">
        <f>IF(N34&lt;=节奏预期!$B$1,0,节奏预期!M49*求节点($C$51:$C$70,$D$51:$D$70,O34)*INDEX(洗练相关资料!$M$5:$M$105,MATCH(0.9,INDEX(洗练相关资料!$O$5:$AD$105,,MATCH(MAX(INT(O34),5),洗练相关资料!$O$4:$AD$4,0)))))</f>
        <v>9400</v>
      </c>
      <c r="S34" s="8">
        <f>IF(N34&lt;=节奏预期!$B$1,0,((求节点($C$28:$C$47,$E$28:$E$47,O34)-求节点($C$28:$C$47,$D$28:$D$47,O34))*Q34+求节点($C$28:$C$47,$D$28:$D$47,O34))*求节点($C$28:$C$47,$F$28:$F$47,O34))*节奏预期!M49</f>
        <v>2.0002697466731072</v>
      </c>
      <c r="T34" s="8">
        <f t="shared" si="15"/>
        <v>0.98602517142584112</v>
      </c>
      <c r="Z34" s="5">
        <v>30</v>
      </c>
      <c r="AA34" s="5">
        <f>IFERROR(75*精英野怪!$Z34/精英野怪!$K$19/精英野怪!$Y34,AA35)</f>
        <v>11</v>
      </c>
      <c r="AK34" s="5">
        <v>30</v>
      </c>
      <c r="AL34" s="5">
        <f t="shared" si="3"/>
        <v>0</v>
      </c>
      <c r="AM34" s="5">
        <f t="shared" si="4"/>
        <v>0</v>
      </c>
      <c r="AN34" s="5">
        <f t="shared" si="5"/>
        <v>0</v>
      </c>
      <c r="AO34" s="5">
        <f t="shared" si="6"/>
        <v>0</v>
      </c>
      <c r="AP34" s="5">
        <f t="shared" si="7"/>
        <v>0</v>
      </c>
      <c r="AV34" s="5">
        <v>30</v>
      </c>
      <c r="AW34" s="5">
        <f t="shared" si="8"/>
        <v>0</v>
      </c>
      <c r="AX34" s="5">
        <f t="shared" si="9"/>
        <v>0</v>
      </c>
      <c r="AY34" s="5">
        <f t="shared" si="10"/>
        <v>0</v>
      </c>
      <c r="AZ34" s="5">
        <f t="shared" si="11"/>
        <v>0</v>
      </c>
      <c r="BA34" s="5">
        <f t="shared" si="12"/>
        <v>0</v>
      </c>
    </row>
    <row r="35" spans="2:53" x14ac:dyDescent="0.15">
      <c r="B35" s="54"/>
      <c r="C35" s="8">
        <v>8</v>
      </c>
      <c r="D35" s="12">
        <v>1.4E-2</v>
      </c>
      <c r="E35" s="12">
        <v>4.2000000000000003E-2</v>
      </c>
      <c r="F35" s="8">
        <v>2</v>
      </c>
      <c r="N35" s="8">
        <v>120</v>
      </c>
      <c r="O35" s="8">
        <f>节奏预期!N50</f>
        <v>13.376030699739134</v>
      </c>
      <c r="P35" s="8">
        <f>节奏预期!O50</f>
        <v>18007.723010593221</v>
      </c>
      <c r="Q35" s="8">
        <f>IF(N35&lt;=节奏预期!$B$1,0,求节点(洗练相关资料!$M$5:$M$105,INDEX(洗练相关资料!$O$5:$AD$105,,MATCH(MAX(INT(O35),5),洗练相关资料!$O$4:$AD$4,0)),P35/节奏预期!M50/求节点($C$51:$C$70,$D$51:$D$70,O35)))</f>
        <v>0.99985759973525989</v>
      </c>
      <c r="R35" s="8">
        <f>IF(N35&lt;=节奏预期!$B$1,0,节奏预期!M50*求节点($C$51:$C$70,$D$51:$D$70,O35)*INDEX(洗练相关资料!$M$5:$M$105,MATCH(0.9,INDEX(洗练相关资料!$O$5:$AD$105,,MATCH(MAX(INT(O35),5),洗练相关资料!$O$4:$AD$4,0)))))</f>
        <v>9400</v>
      </c>
      <c r="S35" s="8">
        <f>IF(N35&lt;=节奏预期!$B$1,0,((求节点($C$28:$C$47,$E$28:$E$47,O35)-求节点($C$28:$C$47,$D$28:$D$47,O35))*Q35+求节点($C$28:$C$47,$D$28:$D$47,O35))*求节点($C$28:$C$47,$F$28:$F$47,O35))*节奏预期!M50</f>
        <v>2.2274740439472747</v>
      </c>
      <c r="T35" s="8">
        <f t="shared" si="15"/>
        <v>1.9157152138928959</v>
      </c>
      <c r="Z35" s="5">
        <v>31</v>
      </c>
      <c r="AA35" s="5">
        <f>IFERROR(75*精英野怪!$Z35/精英野怪!$K$19/精英野怪!$Y35,AA36)</f>
        <v>11</v>
      </c>
      <c r="AK35" s="5">
        <v>31</v>
      </c>
      <c r="AL35" s="5">
        <f t="shared" si="3"/>
        <v>0</v>
      </c>
      <c r="AM35" s="5">
        <f t="shared" si="4"/>
        <v>0</v>
      </c>
      <c r="AN35" s="5">
        <f t="shared" si="5"/>
        <v>0</v>
      </c>
      <c r="AO35" s="5">
        <f t="shared" si="6"/>
        <v>0</v>
      </c>
      <c r="AP35" s="5">
        <f t="shared" si="7"/>
        <v>0</v>
      </c>
      <c r="AV35" s="5">
        <v>31</v>
      </c>
      <c r="AW35" s="5">
        <f t="shared" si="8"/>
        <v>0</v>
      </c>
      <c r="AX35" s="5">
        <f t="shared" si="9"/>
        <v>0</v>
      </c>
      <c r="AY35" s="5">
        <f t="shared" si="10"/>
        <v>0</v>
      </c>
      <c r="AZ35" s="5">
        <f t="shared" si="11"/>
        <v>0</v>
      </c>
      <c r="BA35" s="5">
        <f t="shared" si="12"/>
        <v>0</v>
      </c>
    </row>
    <row r="36" spans="2:53" x14ac:dyDescent="0.15">
      <c r="B36" s="54"/>
      <c r="C36" s="8">
        <v>9</v>
      </c>
      <c r="D36" s="12">
        <v>1.6E-2</v>
      </c>
      <c r="E36" s="12">
        <v>4.8000000000000001E-2</v>
      </c>
      <c r="F36" s="8">
        <v>3</v>
      </c>
      <c r="N36" s="8">
        <v>130</v>
      </c>
      <c r="O36" s="8">
        <f>节奏预期!N51</f>
        <v>14.009238915960148</v>
      </c>
      <c r="P36" s="8">
        <f>节奏预期!O51</f>
        <v>34831.057437090225</v>
      </c>
      <c r="Q36" s="8">
        <f>IF(N36&lt;=节奏预期!$B$1,0,求节点(洗练相关资料!$M$5:$M$105,INDEX(洗练相关资料!$O$5:$AD$105,,MATCH(MAX(INT(O36),5),洗练相关资料!$O$4:$AD$4,0)),P36/节奏预期!M51/求节点($C$51:$C$70,$D$51:$D$70,O36)))</f>
        <v>0.99985759973525989</v>
      </c>
      <c r="R36" s="8">
        <f>IF(N36&lt;=节奏预期!$B$1,0,节奏预期!M51*求节点($C$51:$C$70,$D$51:$D$70,O36)*INDEX(洗练相关资料!$M$5:$M$105,MATCH(0.9,INDEX(洗练相关资料!$O$5:$AD$105,,MATCH(MAX(INT(O36),5),洗练相关资料!$O$4:$AD$4,0)))))</f>
        <v>10000</v>
      </c>
      <c r="S36" s="8">
        <f>IF(N36&lt;=节奏预期!$B$1,0,((求节点($C$28:$C$47,$E$28:$E$47,O36)-求节点($C$28:$C$47,$D$28:$D$47,O36))*Q36+求节点($C$28:$C$47,$D$28:$D$47,O36))*求节点($C$28:$C$47,$F$28:$F$47,O36))*节奏预期!M51</f>
        <v>2.3414407025849426</v>
      </c>
      <c r="T36" s="8">
        <f t="shared" si="15"/>
        <v>3.4831057437090225</v>
      </c>
      <c r="Z36" s="5">
        <v>32</v>
      </c>
      <c r="AA36" s="5">
        <f>IFERROR(75*精英野怪!$Z36/精英野怪!$K$19/精英野怪!$Y36,AA37)</f>
        <v>11</v>
      </c>
      <c r="AK36" s="5">
        <v>32</v>
      </c>
      <c r="AL36" s="5">
        <f t="shared" si="3"/>
        <v>0</v>
      </c>
      <c r="AM36" s="5">
        <f t="shared" si="4"/>
        <v>0</v>
      </c>
      <c r="AN36" s="5">
        <f t="shared" si="5"/>
        <v>0</v>
      </c>
      <c r="AO36" s="5">
        <f t="shared" si="6"/>
        <v>0</v>
      </c>
      <c r="AP36" s="5">
        <f t="shared" si="7"/>
        <v>0</v>
      </c>
      <c r="AV36" s="5">
        <v>32</v>
      </c>
      <c r="AW36" s="5">
        <f t="shared" si="8"/>
        <v>0</v>
      </c>
      <c r="AX36" s="5">
        <f t="shared" si="9"/>
        <v>0</v>
      </c>
      <c r="AY36" s="5">
        <f t="shared" si="10"/>
        <v>0</v>
      </c>
      <c r="AZ36" s="5">
        <f t="shared" si="11"/>
        <v>0</v>
      </c>
      <c r="BA36" s="5">
        <f t="shared" si="12"/>
        <v>0</v>
      </c>
    </row>
    <row r="37" spans="2:53" x14ac:dyDescent="0.15">
      <c r="B37" s="54"/>
      <c r="C37" s="8">
        <v>10</v>
      </c>
      <c r="D37" s="12">
        <v>1.7999999999999999E-2</v>
      </c>
      <c r="E37" s="12">
        <v>5.3999999999999999E-2</v>
      </c>
      <c r="F37" s="8">
        <v>3</v>
      </c>
      <c r="N37" s="8">
        <v>140</v>
      </c>
      <c r="O37" s="8">
        <f>节奏预期!N52</f>
        <v>14.236274414165461</v>
      </c>
      <c r="P37" s="8">
        <f>节奏预期!O52</f>
        <v>67875.792024864364</v>
      </c>
      <c r="Q37" s="8">
        <f>IF(N37&lt;=节奏预期!$B$1,0,求节点(洗练相关资料!$M$5:$M$105,INDEX(洗练相关资料!$O$5:$AD$105,,MATCH(MAX(INT(O37),5),洗练相关资料!$O$4:$AD$4,0)),P37/节奏预期!M52/求节点($C$51:$C$70,$D$51:$D$70,O37)))</f>
        <v>0.99985759973525989</v>
      </c>
      <c r="R37" s="8">
        <f>IF(N37&lt;=节奏预期!$B$1,0,节奏预期!M52*求节点($C$51:$C$70,$D$51:$D$70,O37)*INDEX(洗练相关资料!$M$5:$M$105,MATCH(0.9,INDEX(洗练相关资料!$O$5:$AD$105,,MATCH(MAX(INT(O37),5),洗练相关资料!$O$4:$AD$4,0)))))</f>
        <v>10000</v>
      </c>
      <c r="S37" s="8">
        <f>IF(N37&lt;=节奏预期!$B$1,0,((求节点($C$28:$C$47,$E$28:$E$47,O37)-求节点($C$28:$C$47,$D$28:$D$47,O37))*Q37+求节点($C$28:$C$47,$D$28:$D$47,O37))*求节点($C$28:$C$47,$F$28:$F$47,O37))*节奏预期!M52</f>
        <v>2.3823032126720936</v>
      </c>
      <c r="T37" s="8">
        <f t="shared" si="15"/>
        <v>6.7875792024864365</v>
      </c>
      <c r="Z37" s="5">
        <v>33</v>
      </c>
      <c r="AA37" s="5">
        <f>IFERROR(75*精英野怪!$Z37/精英野怪!$K$19/精英野怪!$Y37,AA38)</f>
        <v>11</v>
      </c>
      <c r="AK37" s="5">
        <v>33</v>
      </c>
      <c r="AL37" s="5">
        <f t="shared" si="3"/>
        <v>0</v>
      </c>
      <c r="AM37" s="5">
        <f t="shared" si="4"/>
        <v>0</v>
      </c>
      <c r="AN37" s="5">
        <f t="shared" si="5"/>
        <v>0</v>
      </c>
      <c r="AO37" s="5">
        <f t="shared" si="6"/>
        <v>0</v>
      </c>
      <c r="AP37" s="5">
        <f t="shared" si="7"/>
        <v>0</v>
      </c>
      <c r="AV37" s="5">
        <v>33</v>
      </c>
      <c r="AW37" s="5">
        <f t="shared" si="8"/>
        <v>0</v>
      </c>
      <c r="AX37" s="5">
        <f t="shared" si="9"/>
        <v>0</v>
      </c>
      <c r="AY37" s="5">
        <f t="shared" si="10"/>
        <v>0</v>
      </c>
      <c r="AZ37" s="5">
        <f t="shared" si="11"/>
        <v>0</v>
      </c>
      <c r="BA37" s="5">
        <f t="shared" si="12"/>
        <v>0</v>
      </c>
    </row>
    <row r="38" spans="2:53" x14ac:dyDescent="0.15">
      <c r="B38" s="54"/>
      <c r="C38" s="8">
        <v>11</v>
      </c>
      <c r="D38" s="12">
        <v>0.02</v>
      </c>
      <c r="E38" s="12">
        <v>0.06</v>
      </c>
      <c r="F38" s="8">
        <v>3</v>
      </c>
      <c r="N38" s="8">
        <v>150</v>
      </c>
      <c r="O38" s="8">
        <f>节奏预期!N53</f>
        <v>14.695404529571039</v>
      </c>
      <c r="P38" s="8">
        <f>节奏预期!O53</f>
        <v>132446.76804174588</v>
      </c>
      <c r="Q38" s="8">
        <f>IF(N38&lt;=节奏预期!$B$1,0,求节点(洗练相关资料!$M$5:$M$105,INDEX(洗练相关资料!$O$5:$AD$105,,MATCH(MAX(INT(O38),5),洗练相关资料!$O$4:$AD$4,0)),P38/节奏预期!M53/求节点($C$51:$C$70,$D$51:$D$70,O38)))</f>
        <v>0.99985759973525989</v>
      </c>
      <c r="R38" s="8">
        <f>IF(N38&lt;=节奏预期!$B$1,0,节奏预期!M53*求节点($C$51:$C$70,$D$51:$D$70,O38)*INDEX(洗练相关资料!$M$5:$M$105,MATCH(0.9,INDEX(洗练相关资料!$O$5:$AD$105,,MATCH(MAX(INT(O38),5),洗练相关资料!$O$4:$AD$4,0)))))</f>
        <v>10000</v>
      </c>
      <c r="S38" s="8">
        <f>IF(N38&lt;=节奏预期!$B$1,0,((求节点($C$28:$C$47,$E$28:$E$47,O38)-求节点($C$28:$C$47,$D$28:$D$47,O38))*Q38+求节点($C$28:$C$47,$D$28:$D$47,O38))*求节点($C$28:$C$47,$F$28:$F$47,O38))*节奏预期!M53</f>
        <v>2.4649387878150986</v>
      </c>
      <c r="T38" s="8">
        <f t="shared" si="15"/>
        <v>13.244676804174588</v>
      </c>
      <c r="Z38" s="5">
        <v>34</v>
      </c>
      <c r="AA38" s="5">
        <f>IFERROR(75*精英野怪!$Z38/精英野怪!$K$19/精英野怪!$Y38,AA39)</f>
        <v>11</v>
      </c>
      <c r="AK38" s="5">
        <v>34</v>
      </c>
      <c r="AL38" s="5">
        <f t="shared" si="3"/>
        <v>0</v>
      </c>
      <c r="AM38" s="5">
        <f t="shared" si="4"/>
        <v>0</v>
      </c>
      <c r="AN38" s="5">
        <f t="shared" si="5"/>
        <v>0</v>
      </c>
      <c r="AO38" s="5">
        <f t="shared" si="6"/>
        <v>0</v>
      </c>
      <c r="AP38" s="5">
        <f t="shared" si="7"/>
        <v>0</v>
      </c>
      <c r="AV38" s="5">
        <v>34</v>
      </c>
      <c r="AW38" s="5">
        <f t="shared" si="8"/>
        <v>0</v>
      </c>
      <c r="AX38" s="5">
        <f t="shared" si="9"/>
        <v>0</v>
      </c>
      <c r="AY38" s="5">
        <f t="shared" si="10"/>
        <v>0</v>
      </c>
      <c r="AZ38" s="5">
        <f t="shared" si="11"/>
        <v>0</v>
      </c>
      <c r="BA38" s="5">
        <f t="shared" si="12"/>
        <v>0</v>
      </c>
    </row>
    <row r="39" spans="2:53" x14ac:dyDescent="0.15">
      <c r="B39" s="54"/>
      <c r="C39" s="8">
        <v>12</v>
      </c>
      <c r="D39" s="12">
        <v>2.1999999999999999E-2</v>
      </c>
      <c r="E39" s="12">
        <v>6.6000000000000003E-2</v>
      </c>
      <c r="F39" s="8">
        <v>3</v>
      </c>
      <c r="N39" s="8">
        <v>160</v>
      </c>
      <c r="O39" s="8">
        <f>节奏预期!N54</f>
        <v>15.162829274320204</v>
      </c>
      <c r="P39" s="8">
        <f>节奏预期!O54</f>
        <v>306988.48280682694</v>
      </c>
      <c r="Q39" s="8">
        <f>IF(N39&lt;=节奏预期!$B$1,0,求节点(洗练相关资料!$M$5:$M$105,INDEX(洗练相关资料!$O$5:$AD$105,,MATCH(MAX(INT(O39),5),洗练相关资料!$O$4:$AD$4,0)),P39/节奏预期!M54/求节点($C$51:$C$70,$D$51:$D$70,O39)))</f>
        <v>0.99985759973525989</v>
      </c>
      <c r="R39" s="8">
        <f>IF(N39&lt;=节奏预期!$B$1,0,节奏预期!M54*求节点($C$51:$C$70,$D$51:$D$70,O39)*INDEX(洗练相关资料!$M$5:$M$105,MATCH(0.9,INDEX(洗练相关资料!$O$5:$AD$105,,MATCH(MAX(INT(O39),5),洗练相关资料!$O$4:$AD$4,0)))))</f>
        <v>10600</v>
      </c>
      <c r="S39" s="8">
        <f>IF(N39&lt;=节奏预期!$B$1,0,((求节点($C$28:$C$47,$E$28:$E$47,O39)-求节点($C$28:$C$47,$D$28:$D$47,O39))*Q39+求节点($C$28:$C$47,$D$28:$D$47,O39))*求节点($C$28:$C$47,$F$28:$F$47,O39))*节奏预期!M54</f>
        <v>2.5490672545010611</v>
      </c>
      <c r="T39" s="8">
        <f t="shared" si="15"/>
        <v>28.961177623285561</v>
      </c>
      <c r="Z39" s="5">
        <v>35</v>
      </c>
      <c r="AA39" s="5">
        <f>IFERROR(75*精英野怪!$Z39/精英野怪!$K$19/精英野怪!$Y39,AA40)</f>
        <v>11</v>
      </c>
      <c r="AK39" s="5">
        <v>35</v>
      </c>
      <c r="AL39" s="5">
        <f t="shared" si="3"/>
        <v>0</v>
      </c>
      <c r="AM39" s="5">
        <f t="shared" si="4"/>
        <v>0</v>
      </c>
      <c r="AN39" s="5">
        <f t="shared" si="5"/>
        <v>0</v>
      </c>
      <c r="AO39" s="5">
        <f t="shared" si="6"/>
        <v>0</v>
      </c>
      <c r="AP39" s="5">
        <f t="shared" si="7"/>
        <v>0</v>
      </c>
      <c r="AV39" s="5">
        <v>35</v>
      </c>
      <c r="AW39" s="5">
        <f t="shared" si="8"/>
        <v>0</v>
      </c>
      <c r="AX39" s="5">
        <f t="shared" si="9"/>
        <v>0</v>
      </c>
      <c r="AY39" s="5">
        <f t="shared" si="10"/>
        <v>0</v>
      </c>
      <c r="AZ39" s="5">
        <f t="shared" si="11"/>
        <v>0</v>
      </c>
      <c r="BA39" s="5">
        <f t="shared" si="12"/>
        <v>0</v>
      </c>
    </row>
    <row r="40" spans="2:53" x14ac:dyDescent="0.15">
      <c r="B40" s="54"/>
      <c r="C40" s="8">
        <v>13</v>
      </c>
      <c r="D40" s="12">
        <v>2.4E-2</v>
      </c>
      <c r="E40" s="12">
        <v>7.1999999999999995E-2</v>
      </c>
      <c r="F40" s="8">
        <v>3</v>
      </c>
      <c r="Z40" s="5">
        <v>36</v>
      </c>
      <c r="AA40" s="5">
        <f>IFERROR(75*精英野怪!$Z40/精英野怪!$K$19/精英野怪!$Y40,AA41)</f>
        <v>11</v>
      </c>
      <c r="AK40" s="5">
        <v>36</v>
      </c>
      <c r="AL40" s="5">
        <f t="shared" si="3"/>
        <v>0</v>
      </c>
      <c r="AM40" s="5">
        <f t="shared" si="4"/>
        <v>0</v>
      </c>
      <c r="AN40" s="5">
        <f t="shared" si="5"/>
        <v>0</v>
      </c>
      <c r="AO40" s="5">
        <f t="shared" si="6"/>
        <v>0</v>
      </c>
      <c r="AP40" s="5">
        <f t="shared" si="7"/>
        <v>0</v>
      </c>
      <c r="AV40" s="5">
        <v>36</v>
      </c>
      <c r="AW40" s="5">
        <f t="shared" si="8"/>
        <v>0</v>
      </c>
      <c r="AX40" s="5">
        <f t="shared" si="9"/>
        <v>0</v>
      </c>
      <c r="AY40" s="5">
        <f t="shared" si="10"/>
        <v>0</v>
      </c>
      <c r="AZ40" s="5">
        <f t="shared" si="11"/>
        <v>0</v>
      </c>
      <c r="BA40" s="5">
        <f t="shared" si="12"/>
        <v>0</v>
      </c>
    </row>
    <row r="41" spans="2:53" x14ac:dyDescent="0.15">
      <c r="B41" s="54"/>
      <c r="C41" s="8">
        <v>14</v>
      </c>
      <c r="D41" s="12">
        <v>2.5999999999999999E-2</v>
      </c>
      <c r="E41" s="12">
        <v>7.8E-2</v>
      </c>
      <c r="F41" s="8">
        <v>3</v>
      </c>
      <c r="Z41" s="5">
        <v>37</v>
      </c>
      <c r="AA41" s="5">
        <f>IFERROR(75*精英野怪!$Z41/精英野怪!$K$19/精英野怪!$Y41,AA42)</f>
        <v>11</v>
      </c>
      <c r="AK41" s="5">
        <v>37</v>
      </c>
      <c r="AL41" s="5">
        <f t="shared" si="3"/>
        <v>0</v>
      </c>
      <c r="AM41" s="5">
        <f t="shared" si="4"/>
        <v>0</v>
      </c>
      <c r="AN41" s="5">
        <f t="shared" si="5"/>
        <v>0</v>
      </c>
      <c r="AO41" s="5">
        <f t="shared" si="6"/>
        <v>0</v>
      </c>
      <c r="AP41" s="5">
        <f t="shared" si="7"/>
        <v>0</v>
      </c>
      <c r="AV41" s="5">
        <v>37</v>
      </c>
      <c r="AW41" s="5">
        <f t="shared" si="8"/>
        <v>0</v>
      </c>
      <c r="AX41" s="5">
        <f t="shared" si="9"/>
        <v>0</v>
      </c>
      <c r="AY41" s="5">
        <f t="shared" si="10"/>
        <v>0</v>
      </c>
      <c r="AZ41" s="5">
        <f t="shared" si="11"/>
        <v>0</v>
      </c>
      <c r="BA41" s="5">
        <f t="shared" si="12"/>
        <v>0</v>
      </c>
    </row>
    <row r="42" spans="2:53" x14ac:dyDescent="0.15">
      <c r="B42" s="54"/>
      <c r="C42" s="8">
        <v>15</v>
      </c>
      <c r="D42" s="12">
        <v>2.8000000000000001E-2</v>
      </c>
      <c r="E42" s="12">
        <v>8.4000000000000005E-2</v>
      </c>
      <c r="F42" s="8">
        <v>3</v>
      </c>
      <c r="M42" s="5" t="s">
        <v>129</v>
      </c>
      <c r="N42" s="8" t="s">
        <v>141</v>
      </c>
      <c r="O42" s="8" t="s">
        <v>183</v>
      </c>
      <c r="P42" s="8" t="s">
        <v>212</v>
      </c>
      <c r="Q42" s="8" t="s">
        <v>180</v>
      </c>
      <c r="R42" s="8" t="s">
        <v>213</v>
      </c>
      <c r="S42" s="8" t="s">
        <v>185</v>
      </c>
      <c r="T42" s="8" t="s">
        <v>214</v>
      </c>
      <c r="Z42" s="5">
        <v>38</v>
      </c>
      <c r="AA42" s="5">
        <f>IFERROR(75*精英野怪!$Z42/精英野怪!$K$19/精英野怪!$Y42,AA43)</f>
        <v>11</v>
      </c>
      <c r="AK42" s="5">
        <v>38</v>
      </c>
      <c r="AL42" s="5">
        <f t="shared" si="3"/>
        <v>0</v>
      </c>
      <c r="AM42" s="5">
        <f t="shared" si="4"/>
        <v>0</v>
      </c>
      <c r="AN42" s="5">
        <f t="shared" si="5"/>
        <v>0</v>
      </c>
      <c r="AO42" s="5">
        <f t="shared" si="6"/>
        <v>0</v>
      </c>
      <c r="AP42" s="5">
        <f t="shared" si="7"/>
        <v>0</v>
      </c>
      <c r="AV42" s="5">
        <v>38</v>
      </c>
      <c r="AW42" s="5">
        <f t="shared" si="8"/>
        <v>0</v>
      </c>
      <c r="AX42" s="5">
        <f t="shared" si="9"/>
        <v>0</v>
      </c>
      <c r="AY42" s="5">
        <f t="shared" si="10"/>
        <v>0</v>
      </c>
      <c r="AZ42" s="5">
        <f t="shared" si="11"/>
        <v>0</v>
      </c>
      <c r="BA42" s="5">
        <f t="shared" si="12"/>
        <v>0</v>
      </c>
    </row>
    <row r="43" spans="2:53" x14ac:dyDescent="0.15">
      <c r="B43" s="54"/>
      <c r="C43" s="8">
        <v>16</v>
      </c>
      <c r="D43" s="12">
        <v>0.03</v>
      </c>
      <c r="E43" s="12">
        <v>0.09</v>
      </c>
      <c r="F43" s="8">
        <v>3</v>
      </c>
      <c r="N43" s="8">
        <v>10</v>
      </c>
      <c r="O43" s="8">
        <f>节奏预期!N58</f>
        <v>0</v>
      </c>
      <c r="P43" s="8">
        <f>节奏预期!O58</f>
        <v>0</v>
      </c>
      <c r="Q43" s="8">
        <f>IF(N43&lt;=节奏预期!$B$1,0,求节点(洗练相关资料!$M$5:$M$105,INDEX(洗练相关资料!$O$5:$AD$105,,MATCH(MAX(INT(O43),5),洗练相关资料!$O$4:$AD$4,0)),P43/节奏预期!M58/求节点($C$51:$C$70,$D$51:$D$70,O43)))</f>
        <v>0</v>
      </c>
      <c r="R43" s="8">
        <f>IF(N43&lt;=节奏预期!$B$1,0,节奏预期!M58*求节点($C$51:$C$70,$D$51:$D$70,O43)*INDEX(洗练相关资料!$M$5:$M$105,MATCH(0.9,INDEX(洗练相关资料!$O$5:$AD$105,,MATCH(MAX(INT(O43),5),洗练相关资料!$O$4:$AD$4,0)))))</f>
        <v>0</v>
      </c>
      <c r="S43" s="8">
        <f>IF(N43&lt;=节奏预期!$B$1,0,((求节点($C$28:$C$47,$E$28:$E$47,O43)-求节点($C$28:$C$47,$D$28:$D$47,O43))*Q43+求节点($C$28:$C$47,$D$28:$D$47,O43))*求节点($C$28:$C$47,$F$28:$F$47,O43))*节奏预期!M58</f>
        <v>0</v>
      </c>
      <c r="T43" s="8">
        <f>IF(P43=0,0,P43/R43)</f>
        <v>0</v>
      </c>
      <c r="Z43" s="5">
        <v>39</v>
      </c>
      <c r="AA43" s="5">
        <f>IFERROR(75*精英野怪!$Z43/精英野怪!$K$19/精英野怪!$Y43,AA44)</f>
        <v>11</v>
      </c>
      <c r="AK43" s="5">
        <v>39</v>
      </c>
      <c r="AL43" s="5">
        <f t="shared" si="3"/>
        <v>0</v>
      </c>
      <c r="AM43" s="5">
        <f t="shared" si="4"/>
        <v>0</v>
      </c>
      <c r="AN43" s="5">
        <f t="shared" si="5"/>
        <v>0</v>
      </c>
      <c r="AO43" s="5">
        <f t="shared" si="6"/>
        <v>0</v>
      </c>
      <c r="AP43" s="5">
        <f t="shared" si="7"/>
        <v>0</v>
      </c>
      <c r="AV43" s="5">
        <v>39</v>
      </c>
      <c r="AW43" s="5">
        <f t="shared" si="8"/>
        <v>0</v>
      </c>
      <c r="AX43" s="5">
        <f t="shared" si="9"/>
        <v>0</v>
      </c>
      <c r="AY43" s="5">
        <f t="shared" si="10"/>
        <v>0</v>
      </c>
      <c r="AZ43" s="5">
        <f t="shared" si="11"/>
        <v>0</v>
      </c>
      <c r="BA43" s="5">
        <f t="shared" si="12"/>
        <v>0</v>
      </c>
    </row>
    <row r="44" spans="2:53" x14ac:dyDescent="0.15">
      <c r="B44" s="54"/>
      <c r="C44" s="8">
        <v>17</v>
      </c>
      <c r="D44" s="12">
        <v>3.2000000000000001E-2</v>
      </c>
      <c r="E44" s="12">
        <v>9.6000000000000002E-2</v>
      </c>
      <c r="F44" s="8">
        <v>3</v>
      </c>
      <c r="N44" s="8">
        <v>20</v>
      </c>
      <c r="O44" s="8">
        <f>节奏预期!N59</f>
        <v>0</v>
      </c>
      <c r="P44" s="8">
        <f>节奏预期!O59</f>
        <v>0</v>
      </c>
      <c r="Q44" s="8">
        <f>IF(N44&lt;=节奏预期!$B$1,0,求节点(洗练相关资料!$M$5:$M$105,INDEX(洗练相关资料!$O$5:$AD$105,,MATCH(MAX(INT(O44),5),洗练相关资料!$O$4:$AD$4,0)),P44/节奏预期!M59/求节点($C$51:$C$70,$D$51:$D$70,O44)))</f>
        <v>0</v>
      </c>
      <c r="R44" s="8">
        <f>IF(N44&lt;=节奏预期!$B$1,0,节奏预期!M59*求节点($C$51:$C$70,$D$51:$D$70,O44)*INDEX(洗练相关资料!$M$5:$M$105,MATCH(0.9,INDEX(洗练相关资料!$O$5:$AD$105,,MATCH(MAX(INT(O44),5),洗练相关资料!$O$4:$AD$4,0)))))</f>
        <v>0</v>
      </c>
      <c r="S44" s="8">
        <f>IF(N44&lt;=节奏预期!$B$1,0,((求节点($C$28:$C$47,$E$28:$E$47,O44)-求节点($C$28:$C$47,$D$28:$D$47,O44))*Q44+求节点($C$28:$C$47,$D$28:$D$47,O44))*求节点($C$28:$C$47,$F$28:$F$47,O44))*节奏预期!M59</f>
        <v>0</v>
      </c>
      <c r="T44" s="8">
        <f t="shared" ref="T44:T58" si="16">IF(P44=0,0,P44/R44)</f>
        <v>0</v>
      </c>
      <c r="Z44" s="5">
        <v>40</v>
      </c>
      <c r="AA44" s="5">
        <f>IFERROR(75*精英野怪!$Z44/精英野怪!$K$19/精英野怪!$Y44,AA45)</f>
        <v>11</v>
      </c>
      <c r="AK44" s="5">
        <v>40</v>
      </c>
      <c r="AL44" s="5">
        <f t="shared" si="3"/>
        <v>0</v>
      </c>
      <c r="AM44" s="5">
        <f t="shared" si="4"/>
        <v>0</v>
      </c>
      <c r="AN44" s="5">
        <f t="shared" si="5"/>
        <v>0</v>
      </c>
      <c r="AO44" s="5">
        <f t="shared" si="6"/>
        <v>0</v>
      </c>
      <c r="AP44" s="5">
        <f t="shared" si="7"/>
        <v>0</v>
      </c>
      <c r="AV44" s="5">
        <v>40</v>
      </c>
      <c r="AW44" s="5">
        <f t="shared" si="8"/>
        <v>0</v>
      </c>
      <c r="AX44" s="5">
        <f t="shared" si="9"/>
        <v>0</v>
      </c>
      <c r="AY44" s="5">
        <f t="shared" si="10"/>
        <v>0</v>
      </c>
      <c r="AZ44" s="5">
        <f t="shared" si="11"/>
        <v>0</v>
      </c>
      <c r="BA44" s="5">
        <f t="shared" si="12"/>
        <v>0</v>
      </c>
    </row>
    <row r="45" spans="2:53" x14ac:dyDescent="0.15">
      <c r="B45" s="54"/>
      <c r="C45" s="8">
        <v>18</v>
      </c>
      <c r="D45" s="12">
        <v>3.4000000000000002E-2</v>
      </c>
      <c r="E45" s="12">
        <v>0.10199999999999999</v>
      </c>
      <c r="F45" s="8">
        <v>3</v>
      </c>
      <c r="N45" s="8">
        <v>30</v>
      </c>
      <c r="O45" s="8">
        <f>节奏预期!N60</f>
        <v>0</v>
      </c>
      <c r="P45" s="8">
        <f>节奏预期!O60</f>
        <v>0</v>
      </c>
      <c r="Q45" s="8">
        <f>IF(N45&lt;=节奏预期!$B$1,0,求节点(洗练相关资料!$M$5:$M$105,INDEX(洗练相关资料!$O$5:$AD$105,,MATCH(MAX(INT(O45),5),洗练相关资料!$O$4:$AD$4,0)),P45/节奏预期!M60/求节点($C$51:$C$70,$D$51:$D$70,O45)))</f>
        <v>0</v>
      </c>
      <c r="R45" s="8">
        <f>IF(N45&lt;=节奏预期!$B$1,0,节奏预期!M60*求节点($C$51:$C$70,$D$51:$D$70,O45)*INDEX(洗练相关资料!$M$5:$M$105,MATCH(0.9,INDEX(洗练相关资料!$O$5:$AD$105,,MATCH(MAX(INT(O45),5),洗练相关资料!$O$4:$AD$4,0)))))</f>
        <v>0</v>
      </c>
      <c r="S45" s="8">
        <f>IF(N45&lt;=节奏预期!$B$1,0,((求节点($C$28:$C$47,$E$28:$E$47,O45)-求节点($C$28:$C$47,$D$28:$D$47,O45))*Q45+求节点($C$28:$C$47,$D$28:$D$47,O45))*求节点($C$28:$C$47,$F$28:$F$47,O45))*节奏预期!M60</f>
        <v>0</v>
      </c>
      <c r="T45" s="8">
        <f t="shared" si="16"/>
        <v>0</v>
      </c>
      <c r="Z45" s="5">
        <v>41</v>
      </c>
      <c r="AA45" s="5">
        <f>IFERROR(75*精英野怪!$Z45/精英野怪!$K$19/精英野怪!$Y45,AA46)</f>
        <v>11</v>
      </c>
      <c r="AK45" s="5">
        <v>41</v>
      </c>
      <c r="AL45" s="5">
        <f t="shared" si="3"/>
        <v>0</v>
      </c>
      <c r="AM45" s="5">
        <f t="shared" si="4"/>
        <v>0</v>
      </c>
      <c r="AN45" s="5">
        <f t="shared" si="5"/>
        <v>0</v>
      </c>
      <c r="AO45" s="5">
        <f t="shared" si="6"/>
        <v>0</v>
      </c>
      <c r="AP45" s="5">
        <f t="shared" si="7"/>
        <v>0</v>
      </c>
      <c r="AV45" s="5">
        <v>41</v>
      </c>
      <c r="AW45" s="5">
        <f t="shared" si="8"/>
        <v>0</v>
      </c>
      <c r="AX45" s="5">
        <f t="shared" si="9"/>
        <v>0</v>
      </c>
      <c r="AY45" s="5">
        <f t="shared" si="10"/>
        <v>0</v>
      </c>
      <c r="AZ45" s="5">
        <f t="shared" si="11"/>
        <v>0</v>
      </c>
      <c r="BA45" s="5">
        <f t="shared" si="12"/>
        <v>0</v>
      </c>
    </row>
    <row r="46" spans="2:53" x14ac:dyDescent="0.15">
      <c r="B46" s="54"/>
      <c r="C46" s="8">
        <v>19</v>
      </c>
      <c r="D46" s="12">
        <v>3.5999999999999997E-2</v>
      </c>
      <c r="E46" s="12">
        <v>0.108</v>
      </c>
      <c r="F46" s="8">
        <v>3</v>
      </c>
      <c r="N46" s="8">
        <v>40</v>
      </c>
      <c r="O46" s="8">
        <f>节奏预期!N61</f>
        <v>0</v>
      </c>
      <c r="P46" s="8">
        <f>节奏预期!O61</f>
        <v>0</v>
      </c>
      <c r="Q46" s="8">
        <f>IF(N46&lt;=节奏预期!$B$1,0,求节点(洗练相关资料!$M$5:$M$105,INDEX(洗练相关资料!$O$5:$AD$105,,MATCH(MAX(INT(O46),5),洗练相关资料!$O$4:$AD$4,0)),P46/节奏预期!M61/求节点($C$51:$C$70,$D$51:$D$70,O46)))</f>
        <v>0</v>
      </c>
      <c r="R46" s="8">
        <f>IF(N46&lt;=节奏预期!$B$1,0,节奏预期!M61*求节点($C$51:$C$70,$D$51:$D$70,O46)*INDEX(洗练相关资料!$M$5:$M$105,MATCH(0.9,INDEX(洗练相关资料!$O$5:$AD$105,,MATCH(MAX(INT(O46),5),洗练相关资料!$O$4:$AD$4,0)))))</f>
        <v>0</v>
      </c>
      <c r="S46" s="8">
        <f>IF(N46&lt;=节奏预期!$B$1,0,((求节点($C$28:$C$47,$E$28:$E$47,O46)-求节点($C$28:$C$47,$D$28:$D$47,O46))*Q46+求节点($C$28:$C$47,$D$28:$D$47,O46))*求节点($C$28:$C$47,$F$28:$F$47,O46))*节奏预期!M61</f>
        <v>0</v>
      </c>
      <c r="T46" s="8">
        <f t="shared" si="16"/>
        <v>0</v>
      </c>
      <c r="Z46" s="5">
        <v>42</v>
      </c>
      <c r="AA46" s="5">
        <f>IFERROR(75*精英野怪!$Z46/精英野怪!$K$19/精英野怪!$Y46,AA47)</f>
        <v>11</v>
      </c>
      <c r="AK46" s="5">
        <v>42</v>
      </c>
      <c r="AL46" s="5">
        <f t="shared" si="3"/>
        <v>0</v>
      </c>
      <c r="AM46" s="5">
        <f t="shared" si="4"/>
        <v>0</v>
      </c>
      <c r="AN46" s="5">
        <f t="shared" si="5"/>
        <v>0</v>
      </c>
      <c r="AO46" s="5">
        <f t="shared" si="6"/>
        <v>0</v>
      </c>
      <c r="AP46" s="5">
        <f t="shared" si="7"/>
        <v>0</v>
      </c>
      <c r="AV46" s="5">
        <v>42</v>
      </c>
      <c r="AW46" s="5">
        <f t="shared" si="8"/>
        <v>0</v>
      </c>
      <c r="AX46" s="5">
        <f t="shared" si="9"/>
        <v>0</v>
      </c>
      <c r="AY46" s="5">
        <f t="shared" si="10"/>
        <v>0</v>
      </c>
      <c r="AZ46" s="5">
        <f t="shared" si="11"/>
        <v>0</v>
      </c>
      <c r="BA46" s="5">
        <f t="shared" si="12"/>
        <v>0</v>
      </c>
    </row>
    <row r="47" spans="2:53" x14ac:dyDescent="0.15">
      <c r="B47" s="54"/>
      <c r="C47" s="8">
        <v>20</v>
      </c>
      <c r="D47" s="12">
        <v>3.7999999999999999E-2</v>
      </c>
      <c r="E47" s="12">
        <v>0.114</v>
      </c>
      <c r="F47" s="8">
        <v>3</v>
      </c>
      <c r="N47" s="8">
        <v>50</v>
      </c>
      <c r="O47" s="8">
        <f>节奏预期!N62</f>
        <v>0</v>
      </c>
      <c r="P47" s="8">
        <f>节奏预期!O62</f>
        <v>0</v>
      </c>
      <c r="Q47" s="8">
        <f>IF(N47&lt;=节奏预期!$B$1,0,求节点(洗练相关资料!$M$5:$M$105,INDEX(洗练相关资料!$O$5:$AD$105,,MATCH(MAX(INT(O47),5),洗练相关资料!$O$4:$AD$4,0)),P47/节奏预期!M62/求节点($C$51:$C$70,$D$51:$D$70,O47)))</f>
        <v>0</v>
      </c>
      <c r="R47" s="8">
        <f>IF(N47&lt;=节奏预期!$B$1,0,节奏预期!M62*求节点($C$51:$C$70,$D$51:$D$70,O47)*INDEX(洗练相关资料!$M$5:$M$105,MATCH(0.9,INDEX(洗练相关资料!$O$5:$AD$105,,MATCH(MAX(INT(O47),5),洗练相关资料!$O$4:$AD$4,0)))))</f>
        <v>0</v>
      </c>
      <c r="S47" s="8">
        <f>IF(N47&lt;=节奏预期!$B$1,0,((求节点($C$28:$C$47,$E$28:$E$47,O47)-求节点($C$28:$C$47,$D$28:$D$47,O47))*Q47+求节点($C$28:$C$47,$D$28:$D$47,O47))*求节点($C$28:$C$47,$F$28:$F$47,O47))*节奏预期!M62</f>
        <v>0</v>
      </c>
      <c r="T47" s="8">
        <f t="shared" si="16"/>
        <v>0</v>
      </c>
      <c r="Z47" s="5">
        <v>43</v>
      </c>
      <c r="AA47" s="5">
        <f>IFERROR(75*精英野怪!$Z47/精英野怪!$K$19/精英野怪!$Y47,AA48)</f>
        <v>11</v>
      </c>
      <c r="AK47" s="5">
        <v>43</v>
      </c>
      <c r="AL47" s="5">
        <f t="shared" si="3"/>
        <v>0</v>
      </c>
      <c r="AM47" s="5">
        <f t="shared" si="4"/>
        <v>0</v>
      </c>
      <c r="AN47" s="5">
        <f t="shared" si="5"/>
        <v>0</v>
      </c>
      <c r="AO47" s="5">
        <f t="shared" si="6"/>
        <v>0</v>
      </c>
      <c r="AP47" s="5">
        <f t="shared" si="7"/>
        <v>0</v>
      </c>
      <c r="AV47" s="5">
        <v>43</v>
      </c>
      <c r="AW47" s="5">
        <f t="shared" si="8"/>
        <v>0</v>
      </c>
      <c r="AX47" s="5">
        <f t="shared" si="9"/>
        <v>0</v>
      </c>
      <c r="AY47" s="5">
        <f t="shared" si="10"/>
        <v>0</v>
      </c>
      <c r="AZ47" s="5">
        <f t="shared" si="11"/>
        <v>0</v>
      </c>
      <c r="BA47" s="5">
        <f t="shared" si="12"/>
        <v>0</v>
      </c>
    </row>
    <row r="48" spans="2:53" x14ac:dyDescent="0.15">
      <c r="N48" s="8">
        <v>60</v>
      </c>
      <c r="O48" s="8">
        <f>节奏预期!N63</f>
        <v>0</v>
      </c>
      <c r="P48" s="8">
        <f>节奏预期!O63</f>
        <v>0</v>
      </c>
      <c r="Q48" s="8">
        <f>IF(N48&lt;=节奏预期!$B$1,0,求节点(洗练相关资料!$M$5:$M$105,INDEX(洗练相关资料!$O$5:$AD$105,,MATCH(MAX(INT(O48),5),洗练相关资料!$O$4:$AD$4,0)),P48/节奏预期!M63/求节点($C$51:$C$70,$D$51:$D$70,O48)))</f>
        <v>0</v>
      </c>
      <c r="R48" s="8">
        <f>IF(N48&lt;=节奏预期!$B$1,0,节奏预期!M63*求节点($C$51:$C$70,$D$51:$D$70,O48)*INDEX(洗练相关资料!$M$5:$M$105,MATCH(0.9,INDEX(洗练相关资料!$O$5:$AD$105,,MATCH(MAX(INT(O48),5),洗练相关资料!$O$4:$AD$4,0)))))</f>
        <v>0</v>
      </c>
      <c r="S48" s="8">
        <f>IF(N48&lt;=节奏预期!$B$1,0,((求节点($C$28:$C$47,$E$28:$E$47,O48)-求节点($C$28:$C$47,$D$28:$D$47,O48))*Q48+求节点($C$28:$C$47,$D$28:$D$47,O48))*求节点($C$28:$C$47,$F$28:$F$47,O48))*节奏预期!M63</f>
        <v>0</v>
      </c>
      <c r="T48" s="8">
        <f t="shared" si="16"/>
        <v>0</v>
      </c>
      <c r="Z48" s="5">
        <v>44</v>
      </c>
      <c r="AA48" s="5">
        <f>IFERROR(75*精英野怪!$Z48/精英野怪!$K$19/精英野怪!$Y48,AA49)</f>
        <v>11</v>
      </c>
      <c r="AK48" s="5">
        <v>44</v>
      </c>
      <c r="AL48" s="5">
        <f t="shared" si="3"/>
        <v>0</v>
      </c>
      <c r="AM48" s="5">
        <f t="shared" si="4"/>
        <v>0</v>
      </c>
      <c r="AN48" s="5">
        <f t="shared" si="5"/>
        <v>0</v>
      </c>
      <c r="AO48" s="5">
        <f t="shared" si="6"/>
        <v>0</v>
      </c>
      <c r="AP48" s="5">
        <f t="shared" si="7"/>
        <v>0</v>
      </c>
      <c r="AV48" s="5">
        <v>44</v>
      </c>
      <c r="AW48" s="5">
        <f t="shared" si="8"/>
        <v>0</v>
      </c>
      <c r="AX48" s="5">
        <f t="shared" si="9"/>
        <v>0</v>
      </c>
      <c r="AY48" s="5">
        <f t="shared" si="10"/>
        <v>0</v>
      </c>
      <c r="AZ48" s="5">
        <f t="shared" si="11"/>
        <v>0</v>
      </c>
      <c r="BA48" s="5">
        <f t="shared" si="12"/>
        <v>0</v>
      </c>
    </row>
    <row r="49" spans="2:53" x14ac:dyDescent="0.15">
      <c r="N49" s="8">
        <v>70</v>
      </c>
      <c r="O49" s="8">
        <f>节奏预期!N64</f>
        <v>10.065849612756482</v>
      </c>
      <c r="P49" s="8">
        <f>节奏预期!O64</f>
        <v>611.28534533866502</v>
      </c>
      <c r="Q49" s="8">
        <f>IF(N49&lt;=节奏预期!$B$1,0,求节点(洗练相关资料!$M$5:$M$105,INDEX(洗练相关资料!$O$5:$AD$105,,MATCH(MAX(INT(O49),5),洗练相关资料!$O$4:$AD$4,0)),P49/节奏预期!M64/求节点($C$51:$C$70,$D$51:$D$70,O49)))</f>
        <v>0.30082459165405084</v>
      </c>
      <c r="R49" s="8">
        <f>IF(N49&lt;=节奏预期!$B$1,0,节奏预期!M64*求节点($C$51:$C$70,$D$51:$D$70,O49)*INDEX(洗练相关资料!$M$5:$M$105,MATCH(0.9,INDEX(洗练相关资料!$O$5:$AD$105,,MATCH(MAX(INT(O49),5),洗练相关资料!$O$4:$AD$4,0)))))</f>
        <v>5040</v>
      </c>
      <c r="S49" s="8">
        <f>IF(N49&lt;=节奏预期!$B$1,0,((求节点($C$28:$C$47,$E$28:$E$47,O49)-求节点($C$28:$C$47,$D$28:$D$47,O49))*Q49+求节点($C$28:$C$47,$D$28:$D$47,O49))*求节点($C$28:$C$47,$F$28:$F$47,O49))*节奏预期!M64</f>
        <v>0.60985304638715054</v>
      </c>
      <c r="T49" s="8">
        <f t="shared" si="16"/>
        <v>0.12128677486878274</v>
      </c>
      <c r="Z49" s="5">
        <v>45</v>
      </c>
      <c r="AA49" s="5">
        <f>IFERROR(75*精英野怪!$Z49/精英野怪!$K$19/精英野怪!$Y49,AA50)</f>
        <v>11</v>
      </c>
      <c r="AK49" s="5">
        <v>45</v>
      </c>
      <c r="AL49" s="5">
        <f t="shared" si="3"/>
        <v>0</v>
      </c>
      <c r="AM49" s="5">
        <f t="shared" si="4"/>
        <v>0</v>
      </c>
      <c r="AN49" s="5">
        <f t="shared" si="5"/>
        <v>0</v>
      </c>
      <c r="AO49" s="5">
        <f t="shared" si="6"/>
        <v>0</v>
      </c>
      <c r="AP49" s="5">
        <f t="shared" si="7"/>
        <v>0</v>
      </c>
      <c r="AV49" s="5">
        <v>45</v>
      </c>
      <c r="AW49" s="5">
        <f t="shared" si="8"/>
        <v>0</v>
      </c>
      <c r="AX49" s="5">
        <f t="shared" si="9"/>
        <v>0</v>
      </c>
      <c r="AY49" s="5">
        <f t="shared" si="10"/>
        <v>0</v>
      </c>
      <c r="AZ49" s="5">
        <f t="shared" si="11"/>
        <v>0</v>
      </c>
      <c r="BA49" s="5">
        <f t="shared" si="12"/>
        <v>0</v>
      </c>
    </row>
    <row r="50" spans="2:53" x14ac:dyDescent="0.15">
      <c r="B50" s="54" t="s">
        <v>174</v>
      </c>
      <c r="C50" s="8" t="s">
        <v>98</v>
      </c>
      <c r="D50" s="8" t="s">
        <v>175</v>
      </c>
      <c r="N50" s="8">
        <v>80</v>
      </c>
      <c r="O50" s="8">
        <f>节奏预期!N65</f>
        <v>11.625919759333025</v>
      </c>
      <c r="P50" s="8">
        <f>节奏预期!O65</f>
        <v>1652.6561104523832</v>
      </c>
      <c r="Q50" s="8">
        <f>IF(N50&lt;=节奏预期!$B$1,0,求节点(洗练相关资料!$M$5:$M$105,INDEX(洗练相关资料!$O$5:$AD$105,,MATCH(MAX(INT(O50),5),洗练相关资料!$O$4:$AD$4,0)),P50/节奏预期!M65/求节点($C$51:$C$70,$D$51:$D$70,O50)))</f>
        <v>0.3693711456382458</v>
      </c>
      <c r="R50" s="8">
        <f>IF(N50&lt;=节奏预期!$B$1,0,节奏预期!M65*求节点($C$51:$C$70,$D$51:$D$70,O50)*INDEX(洗练相关资料!$M$5:$M$105,MATCH(0.9,INDEX(洗练相关资料!$O$5:$AD$105,,MATCH(MAX(INT(O50),5),洗练相关资料!$O$4:$AD$4,0)))))</f>
        <v>5600</v>
      </c>
      <c r="S50" s="8">
        <f>IF(N50&lt;=节奏预期!$B$1,0,((求节点($C$28:$C$47,$E$28:$E$47,O50)-求节点($C$28:$C$47,$D$28:$D$47,O50))*Q50+求节点($C$28:$C$47,$D$28:$D$47,O50))*求节点($C$28:$C$47,$F$28:$F$47,O50))*节奏预期!M65</f>
        <v>0.77598091490903975</v>
      </c>
      <c r="T50" s="8">
        <f t="shared" si="16"/>
        <v>0.29511716258078274</v>
      </c>
      <c r="Z50" s="5">
        <v>46</v>
      </c>
      <c r="AA50" s="5">
        <f>IFERROR(75*精英野怪!$Z50/精英野怪!$K$19/精英野怪!$Y50,AA51)</f>
        <v>11</v>
      </c>
      <c r="AK50" s="5">
        <v>46</v>
      </c>
      <c r="AL50" s="5">
        <f t="shared" si="3"/>
        <v>0</v>
      </c>
      <c r="AM50" s="5">
        <f t="shared" si="4"/>
        <v>0</v>
      </c>
      <c r="AN50" s="5">
        <f t="shared" si="5"/>
        <v>0</v>
      </c>
      <c r="AO50" s="5">
        <f t="shared" si="6"/>
        <v>0</v>
      </c>
      <c r="AP50" s="5">
        <f t="shared" si="7"/>
        <v>0</v>
      </c>
      <c r="AV50" s="5">
        <v>46</v>
      </c>
      <c r="AW50" s="5">
        <f t="shared" si="8"/>
        <v>0</v>
      </c>
      <c r="AX50" s="5">
        <f t="shared" si="9"/>
        <v>0</v>
      </c>
      <c r="AY50" s="5">
        <f t="shared" si="10"/>
        <v>0</v>
      </c>
      <c r="AZ50" s="5">
        <f t="shared" si="11"/>
        <v>0</v>
      </c>
      <c r="BA50" s="5">
        <f t="shared" si="12"/>
        <v>0</v>
      </c>
    </row>
    <row r="51" spans="2:53" x14ac:dyDescent="0.15">
      <c r="B51" s="54"/>
      <c r="C51" s="8">
        <v>1</v>
      </c>
      <c r="D51" s="8">
        <v>1</v>
      </c>
      <c r="N51" s="8">
        <v>90</v>
      </c>
      <c r="O51" s="8">
        <f>节奏预期!N66</f>
        <v>12.11744536629946</v>
      </c>
      <c r="P51" s="8">
        <f>节奏预期!O66</f>
        <v>3565.0737445220029</v>
      </c>
      <c r="Q51" s="8">
        <f>IF(N51&lt;=节奏预期!$B$1,0,求节点(洗练相关资料!$M$5:$M$105,INDEX(洗练相关资料!$O$5:$AD$105,,MATCH(MAX(INT(O51),5),洗练相关资料!$O$4:$AD$4,0)),P51/节奏预期!M66/求节点($C$51:$C$70,$D$51:$D$70,O51)))</f>
        <v>0.41166610945354304</v>
      </c>
      <c r="R51" s="8">
        <f>IF(N51&lt;=节奏预期!$B$1,0,节奏预期!M66*求节点($C$51:$C$70,$D$51:$D$70,O51)*INDEX(洗练相关资料!$M$5:$M$105,MATCH(0.9,INDEX(洗练相关资料!$O$5:$AD$105,,MATCH(MAX(INT(O51),5),洗练相关资料!$O$4:$AD$4,0)))))</f>
        <v>8600</v>
      </c>
      <c r="S51" s="8">
        <f>IF(N51&lt;=节奏预期!$B$1,0,((求节点($C$28:$C$47,$E$28:$E$47,O51)-求节点($C$28:$C$47,$D$28:$D$47,O51))*Q51+求节点($C$28:$C$47,$D$28:$D$47,O51))*求节点($C$28:$C$47,$F$28:$F$47,O51))*节奏预期!M66</f>
        <v>1.2162477796987858</v>
      </c>
      <c r="T51" s="8">
        <f t="shared" si="16"/>
        <v>0.4145434586653492</v>
      </c>
      <c r="Z51" s="5">
        <v>47</v>
      </c>
      <c r="AA51" s="5">
        <f>IFERROR(75*精英野怪!$Z51/精英野怪!$K$19/精英野怪!$Y51,AA52)</f>
        <v>11</v>
      </c>
      <c r="AK51" s="5">
        <v>47</v>
      </c>
      <c r="AL51" s="5">
        <f t="shared" si="3"/>
        <v>0</v>
      </c>
      <c r="AM51" s="5">
        <f t="shared" si="4"/>
        <v>0</v>
      </c>
      <c r="AN51" s="5">
        <f t="shared" si="5"/>
        <v>0</v>
      </c>
      <c r="AO51" s="5">
        <f t="shared" si="6"/>
        <v>0</v>
      </c>
      <c r="AP51" s="5">
        <f t="shared" si="7"/>
        <v>0</v>
      </c>
      <c r="AV51" s="5">
        <v>47</v>
      </c>
      <c r="AW51" s="5">
        <f t="shared" si="8"/>
        <v>0</v>
      </c>
      <c r="AX51" s="5">
        <f t="shared" si="9"/>
        <v>0</v>
      </c>
      <c r="AY51" s="5">
        <f t="shared" si="10"/>
        <v>0</v>
      </c>
      <c r="AZ51" s="5">
        <f t="shared" si="11"/>
        <v>0</v>
      </c>
      <c r="BA51" s="5">
        <f t="shared" si="12"/>
        <v>0</v>
      </c>
    </row>
    <row r="52" spans="2:53" x14ac:dyDescent="0.15">
      <c r="B52" s="54"/>
      <c r="C52" s="8">
        <v>2</v>
      </c>
      <c r="D52" s="8">
        <v>1</v>
      </c>
      <c r="N52" s="8">
        <v>100</v>
      </c>
      <c r="O52" s="8">
        <f>节奏预期!N67</f>
        <v>12.775756231563891</v>
      </c>
      <c r="P52" s="8">
        <f>节奏预期!O67</f>
        <v>7296.7970210754229</v>
      </c>
      <c r="Q52" s="8">
        <f>IF(N52&lt;=节奏预期!$B$1,0,求节点(洗练相关资料!$M$5:$M$105,INDEX(洗练相关资料!$O$5:$AD$105,,MATCH(MAX(INT(O52),5),洗练相关资料!$O$4:$AD$4,0)),P52/节奏预期!M67/求节点($C$51:$C$70,$D$51:$D$70,O52)))</f>
        <v>0.74487078237178606</v>
      </c>
      <c r="R52" s="8">
        <f>IF(N52&lt;=节奏预期!$B$1,0,节奏预期!M67*求节点($C$51:$C$70,$D$51:$D$70,O52)*INDEX(洗练相关资料!$M$5:$M$105,MATCH(0.9,INDEX(洗练相关资料!$O$5:$AD$105,,MATCH(MAX(INT(O52),5),洗练相关资料!$O$4:$AD$4,0)))))</f>
        <v>8600</v>
      </c>
      <c r="S52" s="8">
        <f>IF(N52&lt;=节奏预期!$B$1,0,((求节点($C$28:$C$47,$E$28:$E$47,O52)-求节点($C$28:$C$47,$D$28:$D$47,O52))*Q52+求节点($C$28:$C$47,$D$28:$D$47,O52))*求节点($C$28:$C$47,$F$28:$F$47,O52))*节奏预期!M67</f>
        <v>1.7591153847607652</v>
      </c>
      <c r="T52" s="8">
        <f t="shared" si="16"/>
        <v>0.84846476989249109</v>
      </c>
      <c r="Z52" s="5">
        <v>48</v>
      </c>
      <c r="AA52" s="5">
        <f>IFERROR(75*精英野怪!$Z52/精英野怪!$K$19/精英野怪!$Y52,AA53)</f>
        <v>11</v>
      </c>
      <c r="AK52" s="5">
        <v>48</v>
      </c>
      <c r="AL52" s="5">
        <f t="shared" si="3"/>
        <v>0</v>
      </c>
      <c r="AM52" s="5">
        <f t="shared" si="4"/>
        <v>0</v>
      </c>
      <c r="AN52" s="5">
        <f t="shared" si="5"/>
        <v>0</v>
      </c>
      <c r="AO52" s="5">
        <f t="shared" si="6"/>
        <v>0</v>
      </c>
      <c r="AP52" s="5">
        <f t="shared" si="7"/>
        <v>0</v>
      </c>
      <c r="AV52" s="5">
        <v>48</v>
      </c>
      <c r="AW52" s="5">
        <f t="shared" si="8"/>
        <v>0</v>
      </c>
      <c r="AX52" s="5">
        <f t="shared" si="9"/>
        <v>0</v>
      </c>
      <c r="AY52" s="5">
        <f t="shared" si="10"/>
        <v>0</v>
      </c>
      <c r="AZ52" s="5">
        <f t="shared" si="11"/>
        <v>0</v>
      </c>
      <c r="BA52" s="5">
        <f t="shared" si="12"/>
        <v>0</v>
      </c>
    </row>
    <row r="53" spans="2:53" x14ac:dyDescent="0.15">
      <c r="B53" s="54"/>
      <c r="C53" s="8">
        <v>3</v>
      </c>
      <c r="D53" s="8">
        <v>1</v>
      </c>
      <c r="N53" s="8">
        <v>110</v>
      </c>
      <c r="O53" s="8">
        <f>节奏预期!N68</f>
        <v>13.217471757519299</v>
      </c>
      <c r="P53" s="8">
        <f>节奏预期!O68</f>
        <v>14380.066757551347</v>
      </c>
      <c r="Q53" s="8">
        <f>IF(N53&lt;=节奏预期!$B$1,0,求节点(洗练相关资料!$M$5:$M$105,INDEX(洗练相关资料!$O$5:$AD$105,,MATCH(MAX(INT(O53),5),洗练相关资料!$O$4:$AD$4,0)),P53/节奏预期!M68/求节点($C$51:$C$70,$D$51:$D$70,O53)))</f>
        <v>0.99977975858302326</v>
      </c>
      <c r="R53" s="8">
        <f>IF(N53&lt;=节奏预期!$B$1,0,节奏预期!M68*求节点($C$51:$C$70,$D$51:$D$70,O53)*INDEX(洗练相关资料!$M$5:$M$105,MATCH(0.9,INDEX(洗练相关资料!$O$5:$AD$105,,MATCH(MAX(INT(O53),5),洗练相关资料!$O$4:$AD$4,0)))))</f>
        <v>9400</v>
      </c>
      <c r="S53" s="8">
        <f>IF(N53&lt;=节奏预期!$B$1,0,((求节点($C$28:$C$47,$E$28:$E$47,O53)-求节点($C$28:$C$47,$D$28:$D$47,O53))*Q53+求节点($C$28:$C$47,$D$28:$D$47,O53))*求节点($C$28:$C$47,$F$28:$F$47,O53))*节奏预期!M68</f>
        <v>2.1988220211584637</v>
      </c>
      <c r="T53" s="8">
        <f t="shared" si="16"/>
        <v>1.5297943359097177</v>
      </c>
      <c r="Z53" s="5">
        <v>49</v>
      </c>
      <c r="AA53" s="5">
        <f>IFERROR(75*精英野怪!$Z53/精英野怪!$K$19/精英野怪!$Y53,AA54)</f>
        <v>11</v>
      </c>
      <c r="AK53" s="5">
        <v>49</v>
      </c>
      <c r="AL53" s="5">
        <f t="shared" si="3"/>
        <v>0</v>
      </c>
      <c r="AM53" s="5">
        <f t="shared" si="4"/>
        <v>0</v>
      </c>
      <c r="AN53" s="5">
        <f t="shared" si="5"/>
        <v>0</v>
      </c>
      <c r="AO53" s="5">
        <f t="shared" si="6"/>
        <v>0</v>
      </c>
      <c r="AP53" s="5">
        <f t="shared" si="7"/>
        <v>0</v>
      </c>
      <c r="AV53" s="5">
        <v>49</v>
      </c>
      <c r="AW53" s="5">
        <f t="shared" si="8"/>
        <v>0</v>
      </c>
      <c r="AX53" s="5">
        <f t="shared" si="9"/>
        <v>0</v>
      </c>
      <c r="AY53" s="5">
        <f t="shared" si="10"/>
        <v>0</v>
      </c>
      <c r="AZ53" s="5">
        <f t="shared" si="11"/>
        <v>0</v>
      </c>
      <c r="BA53" s="5">
        <f t="shared" si="12"/>
        <v>0</v>
      </c>
    </row>
    <row r="54" spans="2:53" x14ac:dyDescent="0.15">
      <c r="B54" s="54"/>
      <c r="C54" s="8">
        <v>4</v>
      </c>
      <c r="D54" s="8">
        <v>1</v>
      </c>
      <c r="N54" s="8">
        <v>120</v>
      </c>
      <c r="O54" s="8">
        <f>节奏预期!N69</f>
        <v>13.758867138604417</v>
      </c>
      <c r="P54" s="8">
        <f>节奏预期!O69</f>
        <v>28366.048632496855</v>
      </c>
      <c r="Q54" s="8">
        <f>IF(N54&lt;=节奏预期!$B$1,0,求节点(洗练相关资料!$M$5:$M$105,INDEX(洗练相关资料!$O$5:$AD$105,,MATCH(MAX(INT(O54),5),洗练相关资料!$O$4:$AD$4,0)),P54/节奏预期!M69/求节点($C$51:$C$70,$D$51:$D$70,O54)))</f>
        <v>0.99985759973525989</v>
      </c>
      <c r="R54" s="8">
        <f>IF(N54&lt;=节奏预期!$B$1,0,节奏预期!M69*求节点($C$51:$C$70,$D$51:$D$70,O54)*INDEX(洗练相关资料!$M$5:$M$105,MATCH(0.9,INDEX(洗练相关资料!$O$5:$AD$105,,MATCH(MAX(INT(O54),5),洗练相关资料!$O$4:$AD$4,0)))))</f>
        <v>9400</v>
      </c>
      <c r="S54" s="8">
        <f>IF(N54&lt;=节奏预期!$B$1,0,((求节点($C$28:$C$47,$E$28:$E$47,O54)-求节点($C$28:$C$47,$D$28:$D$47,O54))*Q54+求节点($C$28:$C$47,$D$28:$D$47,O54))*求节点($C$28:$C$47,$F$28:$F$47,O54))*节奏预期!M69</f>
        <v>2.2963780610217963</v>
      </c>
      <c r="T54" s="8">
        <f t="shared" si="16"/>
        <v>3.0176647481379635</v>
      </c>
      <c r="Z54" s="5">
        <v>50</v>
      </c>
      <c r="AA54" s="5">
        <f>IFERROR(75*精英野怪!$Z54/精英野怪!$K$19/精英野怪!$Y54,AA55)</f>
        <v>11</v>
      </c>
      <c r="AK54" s="5">
        <v>50</v>
      </c>
      <c r="AL54" s="5">
        <f t="shared" si="3"/>
        <v>0</v>
      </c>
      <c r="AM54" s="5">
        <f t="shared" si="4"/>
        <v>0</v>
      </c>
      <c r="AN54" s="5">
        <f t="shared" si="5"/>
        <v>0</v>
      </c>
      <c r="AO54" s="5">
        <f t="shared" si="6"/>
        <v>0</v>
      </c>
      <c r="AP54" s="5">
        <f t="shared" si="7"/>
        <v>0</v>
      </c>
      <c r="AV54" s="5">
        <v>50</v>
      </c>
      <c r="AW54" s="5">
        <f t="shared" si="8"/>
        <v>0</v>
      </c>
      <c r="AX54" s="5">
        <f t="shared" si="9"/>
        <v>0</v>
      </c>
      <c r="AY54" s="5">
        <f t="shared" si="10"/>
        <v>0</v>
      </c>
      <c r="AZ54" s="5">
        <f t="shared" si="11"/>
        <v>0</v>
      </c>
      <c r="BA54" s="5">
        <f t="shared" si="12"/>
        <v>0</v>
      </c>
    </row>
    <row r="55" spans="2:53" x14ac:dyDescent="0.15">
      <c r="B55" s="54"/>
      <c r="C55" s="8">
        <v>5</v>
      </c>
      <c r="D55" s="8">
        <v>1</v>
      </c>
      <c r="N55" s="8">
        <v>130</v>
      </c>
      <c r="O55" s="8">
        <f>节奏预期!N70</f>
        <v>14.139373213459555</v>
      </c>
      <c r="P55" s="8">
        <f>节奏预期!O70</f>
        <v>55471.163343353466</v>
      </c>
      <c r="Q55" s="8">
        <f>IF(N55&lt;=节奏预期!$B$1,0,求节点(洗练相关资料!$M$5:$M$105,INDEX(洗练相关资料!$O$5:$AD$105,,MATCH(MAX(INT(O55),5),洗练相关资料!$O$4:$AD$4,0)),P55/节奏预期!M70/求节点($C$51:$C$70,$D$51:$D$70,O55)))</f>
        <v>0.99985759973525989</v>
      </c>
      <c r="R55" s="8">
        <f>IF(N55&lt;=节奏预期!$B$1,0,节奏预期!M70*求节点($C$51:$C$70,$D$51:$D$70,O55)*INDEX(洗练相关资料!$M$5:$M$105,MATCH(0.9,INDEX(洗练相关资料!$O$5:$AD$105,,MATCH(MAX(INT(O55),5),洗练相关资料!$O$4:$AD$4,0)))))</f>
        <v>10000</v>
      </c>
      <c r="S55" s="8">
        <f>IF(N55&lt;=节奏预期!$B$1,0,((求节点($C$28:$C$47,$E$28:$E$47,O55)-求节点($C$28:$C$47,$D$28:$D$47,O55))*Q55+求节点($C$28:$C$47,$D$28:$D$47,O55))*求节点($C$28:$C$47,$F$28:$F$47,O55))*节奏预期!M70</f>
        <v>2.3648626523958258</v>
      </c>
      <c r="T55" s="8">
        <f t="shared" si="16"/>
        <v>5.5471163343353469</v>
      </c>
      <c r="Z55" s="5">
        <v>51</v>
      </c>
      <c r="AA55" s="5">
        <f>IFERROR(75*精英野怪!$Z55/精英野怪!$K$19/精英野怪!$Y55,AA56)</f>
        <v>11</v>
      </c>
      <c r="AK55" s="5">
        <v>51</v>
      </c>
      <c r="AL55" s="5">
        <f t="shared" si="3"/>
        <v>0</v>
      </c>
      <c r="AM55" s="5">
        <f t="shared" si="4"/>
        <v>0</v>
      </c>
      <c r="AN55" s="5">
        <f t="shared" si="5"/>
        <v>0</v>
      </c>
      <c r="AO55" s="5">
        <f t="shared" si="6"/>
        <v>0</v>
      </c>
      <c r="AP55" s="5">
        <f t="shared" si="7"/>
        <v>0</v>
      </c>
      <c r="AV55" s="5">
        <v>51</v>
      </c>
      <c r="AW55" s="5">
        <f t="shared" si="8"/>
        <v>0</v>
      </c>
      <c r="AX55" s="5">
        <f t="shared" si="9"/>
        <v>0</v>
      </c>
      <c r="AY55" s="5">
        <f t="shared" si="10"/>
        <v>0</v>
      </c>
      <c r="AZ55" s="5">
        <f t="shared" si="11"/>
        <v>0</v>
      </c>
      <c r="BA55" s="5">
        <f t="shared" si="12"/>
        <v>0</v>
      </c>
    </row>
    <row r="56" spans="2:53" x14ac:dyDescent="0.15">
      <c r="B56" s="54"/>
      <c r="C56" s="8">
        <v>6</v>
      </c>
      <c r="D56" s="8">
        <v>1</v>
      </c>
      <c r="N56" s="8">
        <v>140</v>
      </c>
      <c r="O56" s="8">
        <f>节奏预期!N71</f>
        <v>14.505436712383808</v>
      </c>
      <c r="P56" s="8">
        <f>节奏预期!O71</f>
        <v>108927.35607446618</v>
      </c>
      <c r="Q56" s="8">
        <f>IF(N56&lt;=节奏预期!$B$1,0,求节点(洗练相关资料!$M$5:$M$105,INDEX(洗练相关资料!$O$5:$AD$105,,MATCH(MAX(INT(O56),5),洗练相关资料!$O$4:$AD$4,0)),P56/节奏预期!M71/求节点($C$51:$C$70,$D$51:$D$70,O56)))</f>
        <v>0.99985759973525989</v>
      </c>
      <c r="R56" s="8">
        <f>IF(N56&lt;=节奏预期!$B$1,0,节奏预期!M71*求节点($C$51:$C$70,$D$51:$D$70,O56)*INDEX(洗练相关资料!$M$5:$M$105,MATCH(0.9,INDEX(洗练相关资料!$O$5:$AD$105,,MATCH(MAX(INT(O56),5),洗练相关资料!$O$4:$AD$4,0)))))</f>
        <v>10000</v>
      </c>
      <c r="S56" s="8">
        <f>IF(N56&lt;=节奏预期!$B$1,0,((求节点($C$28:$C$47,$E$28:$E$47,O56)-求节点($C$28:$C$47,$D$28:$D$47,O56))*Q56+求节点($C$28:$C$47,$D$28:$D$47,O56))*求节点($C$28:$C$47,$F$28:$F$47,O56))*节奏预期!M71</f>
        <v>2.4307478268974929</v>
      </c>
      <c r="T56" s="8">
        <f t="shared" si="16"/>
        <v>10.892735607446618</v>
      </c>
      <c r="Z56" s="5">
        <v>52</v>
      </c>
      <c r="AA56" s="5">
        <f>IFERROR(75*精英野怪!$Z56/精英野怪!$K$19/精英野怪!$Y56,AA57)</f>
        <v>11</v>
      </c>
      <c r="AK56" s="5">
        <v>52</v>
      </c>
      <c r="AL56" s="5">
        <f t="shared" si="3"/>
        <v>0</v>
      </c>
      <c r="AM56" s="5">
        <f t="shared" si="4"/>
        <v>0</v>
      </c>
      <c r="AN56" s="5">
        <f t="shared" si="5"/>
        <v>0</v>
      </c>
      <c r="AO56" s="5">
        <f t="shared" si="6"/>
        <v>0</v>
      </c>
      <c r="AP56" s="5">
        <f t="shared" si="7"/>
        <v>0</v>
      </c>
      <c r="AV56" s="5">
        <v>52</v>
      </c>
      <c r="AW56" s="5">
        <f t="shared" si="8"/>
        <v>0</v>
      </c>
      <c r="AX56" s="5">
        <f t="shared" si="9"/>
        <v>0</v>
      </c>
      <c r="AY56" s="5">
        <f t="shared" si="10"/>
        <v>0</v>
      </c>
      <c r="AZ56" s="5">
        <f t="shared" si="11"/>
        <v>0</v>
      </c>
      <c r="BA56" s="5">
        <f t="shared" si="12"/>
        <v>0</v>
      </c>
    </row>
    <row r="57" spans="2:53" x14ac:dyDescent="0.15">
      <c r="B57" s="54"/>
      <c r="C57" s="8">
        <v>7</v>
      </c>
      <c r="D57" s="8">
        <v>1</v>
      </c>
      <c r="N57" s="8">
        <v>150</v>
      </c>
      <c r="O57" s="8">
        <f>节奏预期!N72</f>
        <v>15.042245170249512</v>
      </c>
      <c r="P57" s="8">
        <f>节奏预期!O72</f>
        <v>214475.45190870122</v>
      </c>
      <c r="Q57" s="8">
        <f>IF(N57&lt;=节奏预期!$B$1,0,求节点(洗练相关资料!$M$5:$M$105,INDEX(洗练相关资料!$O$5:$AD$105,,MATCH(MAX(INT(O57),5),洗练相关资料!$O$4:$AD$4,0)),P57/节奏预期!M72/求节点($C$51:$C$70,$D$51:$D$70,O57)))</f>
        <v>0.99985759973525989</v>
      </c>
      <c r="R57" s="8">
        <f>IF(N57&lt;=节奏预期!$B$1,0,节奏预期!M72*求节点($C$51:$C$70,$D$51:$D$70,O57)*INDEX(洗练相关资料!$M$5:$M$105,MATCH(0.9,INDEX(洗练相关资料!$O$5:$AD$105,,MATCH(MAX(INT(O57),5),洗练相关资料!$O$4:$AD$4,0)))))</f>
        <v>10600</v>
      </c>
      <c r="S57" s="8">
        <f>IF(N57&lt;=节奏预期!$B$1,0,((求节点($C$28:$C$47,$E$28:$E$47,O57)-求节点($C$28:$C$47,$D$28:$D$47,O57))*Q57+求节点($C$28:$C$47,$D$28:$D$47,O57))*求节点($C$28:$C$47,$F$28:$F$47,O57))*节奏预期!M72</f>
        <v>2.5273641763133381</v>
      </c>
      <c r="T57" s="8">
        <f t="shared" si="16"/>
        <v>20.233533198934076</v>
      </c>
      <c r="Z57" s="5">
        <v>53</v>
      </c>
      <c r="AA57" s="5">
        <f>IFERROR(75*精英野怪!$Z57/精英野怪!$K$19/精英野怪!$Y57,AA58)</f>
        <v>11</v>
      </c>
      <c r="AK57" s="5">
        <v>53</v>
      </c>
      <c r="AL57" s="5">
        <f t="shared" si="3"/>
        <v>0</v>
      </c>
      <c r="AM57" s="5">
        <f t="shared" si="4"/>
        <v>0</v>
      </c>
      <c r="AN57" s="5">
        <f t="shared" si="5"/>
        <v>0</v>
      </c>
      <c r="AO57" s="5">
        <f t="shared" si="6"/>
        <v>0</v>
      </c>
      <c r="AP57" s="5">
        <f t="shared" si="7"/>
        <v>0</v>
      </c>
      <c r="AV57" s="5">
        <v>53</v>
      </c>
      <c r="AW57" s="5">
        <f t="shared" si="8"/>
        <v>0</v>
      </c>
      <c r="AX57" s="5">
        <f t="shared" si="9"/>
        <v>0</v>
      </c>
      <c r="AY57" s="5">
        <f t="shared" si="10"/>
        <v>0</v>
      </c>
      <c r="AZ57" s="5">
        <f t="shared" si="11"/>
        <v>0</v>
      </c>
      <c r="BA57" s="5">
        <f t="shared" si="12"/>
        <v>0</v>
      </c>
    </row>
    <row r="58" spans="2:53" x14ac:dyDescent="0.15">
      <c r="B58" s="54"/>
      <c r="C58" s="8">
        <v>8</v>
      </c>
      <c r="D58" s="8">
        <v>1</v>
      </c>
      <c r="N58" s="8">
        <v>160</v>
      </c>
      <c r="O58" s="8">
        <f>节奏预期!N73</f>
        <v>15.555868058504434</v>
      </c>
      <c r="P58" s="8">
        <f>节奏预期!O73</f>
        <v>635560.05131323671</v>
      </c>
      <c r="Q58" s="8">
        <f>IF(N58&lt;=节奏预期!$B$1,0,求节点(洗练相关资料!$M$5:$M$105,INDEX(洗练相关资料!$O$5:$AD$105,,MATCH(MAX(INT(O58),5),洗练相关资料!$O$4:$AD$4,0)),P58/节奏预期!M73/求节点($C$51:$C$70,$D$51:$D$70,O58)))</f>
        <v>0.99985759973525989</v>
      </c>
      <c r="R58" s="8">
        <f>IF(N58&lt;=节奏预期!$B$1,0,节奏预期!M73*求节点($C$51:$C$70,$D$51:$D$70,O58)*INDEX(洗练相关资料!$M$5:$M$105,MATCH(0.9,INDEX(洗练相关资料!$O$5:$AD$105,,MATCH(MAX(INT(O58),5),洗练相关资料!$O$4:$AD$4,0)))))</f>
        <v>10600</v>
      </c>
      <c r="S58" s="8">
        <f>IF(N58&lt;=节奏预期!$B$1,0,((求节点($C$28:$C$47,$E$28:$E$47,O58)-求节点($C$28:$C$47,$D$28:$D$47,O58))*Q58+求节点($C$28:$C$47,$D$28:$D$47,O58))*求节点($C$28:$C$47,$F$28:$F$47,O58))*节奏预期!M73</f>
        <v>2.6198075193949917</v>
      </c>
      <c r="T58" s="8">
        <f t="shared" si="16"/>
        <v>59.958495406909122</v>
      </c>
      <c r="Z58" s="5">
        <v>54</v>
      </c>
      <c r="AA58" s="5">
        <f>IFERROR(75*精英野怪!$Z58/精英野怪!$K$19/精英野怪!$Y58,AA59)</f>
        <v>11</v>
      </c>
      <c r="AK58" s="5">
        <v>54</v>
      </c>
      <c r="AL58" s="5">
        <f t="shared" si="3"/>
        <v>0</v>
      </c>
      <c r="AM58" s="5">
        <f t="shared" si="4"/>
        <v>0</v>
      </c>
      <c r="AN58" s="5">
        <f t="shared" si="5"/>
        <v>0</v>
      </c>
      <c r="AO58" s="5">
        <f t="shared" si="6"/>
        <v>0</v>
      </c>
      <c r="AP58" s="5">
        <f t="shared" si="7"/>
        <v>0</v>
      </c>
      <c r="AV58" s="5">
        <v>54</v>
      </c>
      <c r="AW58" s="5">
        <f t="shared" si="8"/>
        <v>0</v>
      </c>
      <c r="AX58" s="5">
        <f t="shared" si="9"/>
        <v>0</v>
      </c>
      <c r="AY58" s="5">
        <f t="shared" si="10"/>
        <v>0</v>
      </c>
      <c r="AZ58" s="5">
        <f t="shared" si="11"/>
        <v>0</v>
      </c>
      <c r="BA58" s="5">
        <f t="shared" si="12"/>
        <v>0</v>
      </c>
    </row>
    <row r="59" spans="2:53" x14ac:dyDescent="0.15">
      <c r="B59" s="54"/>
      <c r="C59" s="8">
        <v>9</v>
      </c>
      <c r="D59" s="8">
        <v>1</v>
      </c>
      <c r="Z59" s="5">
        <v>55</v>
      </c>
      <c r="AA59" s="5">
        <f>IFERROR(75*精英野怪!$Z59/精英野怪!$K$19/精英野怪!$Y59,AA60)</f>
        <v>11</v>
      </c>
      <c r="AK59" s="5">
        <v>55</v>
      </c>
      <c r="AL59" s="5">
        <f t="shared" si="3"/>
        <v>0</v>
      </c>
      <c r="AM59" s="5">
        <f t="shared" si="4"/>
        <v>0</v>
      </c>
      <c r="AN59" s="5">
        <f t="shared" si="5"/>
        <v>0</v>
      </c>
      <c r="AO59" s="5">
        <f t="shared" si="6"/>
        <v>0</v>
      </c>
      <c r="AP59" s="5">
        <f t="shared" si="7"/>
        <v>0</v>
      </c>
      <c r="AV59" s="5">
        <v>55</v>
      </c>
      <c r="AW59" s="5">
        <f t="shared" si="8"/>
        <v>0</v>
      </c>
      <c r="AX59" s="5">
        <f t="shared" si="9"/>
        <v>0</v>
      </c>
      <c r="AY59" s="5">
        <f t="shared" si="10"/>
        <v>0</v>
      </c>
      <c r="AZ59" s="5">
        <f t="shared" si="11"/>
        <v>0</v>
      </c>
      <c r="BA59" s="5">
        <f t="shared" si="12"/>
        <v>0</v>
      </c>
    </row>
    <row r="60" spans="2:53" x14ac:dyDescent="0.15">
      <c r="B60" s="54"/>
      <c r="C60" s="8">
        <v>10</v>
      </c>
      <c r="D60" s="8">
        <v>1</v>
      </c>
      <c r="Z60" s="5">
        <v>56</v>
      </c>
      <c r="AA60" s="5">
        <f>IFERROR(75*精英野怪!$Z60/精英野怪!$K$19/精英野怪!$Y60,AA61)</f>
        <v>11</v>
      </c>
      <c r="AK60" s="5">
        <v>56</v>
      </c>
      <c r="AL60" s="5">
        <f t="shared" si="3"/>
        <v>0</v>
      </c>
      <c r="AM60" s="5">
        <f t="shared" si="4"/>
        <v>0</v>
      </c>
      <c r="AN60" s="5">
        <f t="shared" si="5"/>
        <v>0</v>
      </c>
      <c r="AO60" s="5">
        <f t="shared" si="6"/>
        <v>0</v>
      </c>
      <c r="AP60" s="5">
        <f t="shared" si="7"/>
        <v>0</v>
      </c>
      <c r="AV60" s="5">
        <v>56</v>
      </c>
      <c r="AW60" s="5">
        <f t="shared" si="8"/>
        <v>0</v>
      </c>
      <c r="AX60" s="5">
        <f t="shared" si="9"/>
        <v>0</v>
      </c>
      <c r="AY60" s="5">
        <f t="shared" si="10"/>
        <v>0</v>
      </c>
      <c r="AZ60" s="5">
        <f t="shared" si="11"/>
        <v>0</v>
      </c>
      <c r="BA60" s="5">
        <f t="shared" si="12"/>
        <v>0</v>
      </c>
    </row>
    <row r="61" spans="2:53" x14ac:dyDescent="0.15">
      <c r="B61" s="54"/>
      <c r="C61" s="8">
        <v>11</v>
      </c>
      <c r="D61" s="8">
        <v>1</v>
      </c>
      <c r="M61" s="5" t="s">
        <v>130</v>
      </c>
      <c r="N61" s="8" t="s">
        <v>141</v>
      </c>
      <c r="O61" s="8" t="s">
        <v>183</v>
      </c>
      <c r="P61" s="8" t="s">
        <v>212</v>
      </c>
      <c r="Q61" s="8" t="s">
        <v>180</v>
      </c>
      <c r="R61" s="8" t="s">
        <v>213</v>
      </c>
      <c r="S61" s="8" t="s">
        <v>185</v>
      </c>
      <c r="T61" s="8" t="s">
        <v>214</v>
      </c>
      <c r="Z61" s="5">
        <v>57</v>
      </c>
      <c r="AA61" s="5">
        <f>IFERROR(75*精英野怪!$Z61/精英野怪!$K$19/精英野怪!$Y61,AA62)</f>
        <v>11</v>
      </c>
      <c r="AK61" s="5">
        <v>57</v>
      </c>
      <c r="AL61" s="5">
        <f t="shared" si="3"/>
        <v>0</v>
      </c>
      <c r="AM61" s="5">
        <f t="shared" si="4"/>
        <v>0</v>
      </c>
      <c r="AN61" s="5">
        <f t="shared" si="5"/>
        <v>0</v>
      </c>
      <c r="AO61" s="5">
        <f t="shared" si="6"/>
        <v>0</v>
      </c>
      <c r="AP61" s="5">
        <f t="shared" si="7"/>
        <v>0</v>
      </c>
      <c r="AV61" s="5">
        <v>57</v>
      </c>
      <c r="AW61" s="5">
        <f t="shared" si="8"/>
        <v>0</v>
      </c>
      <c r="AX61" s="5">
        <f t="shared" si="9"/>
        <v>0</v>
      </c>
      <c r="AY61" s="5">
        <f t="shared" si="10"/>
        <v>0</v>
      </c>
      <c r="AZ61" s="5">
        <f t="shared" si="11"/>
        <v>0</v>
      </c>
      <c r="BA61" s="5">
        <f t="shared" si="12"/>
        <v>0</v>
      </c>
    </row>
    <row r="62" spans="2:53" x14ac:dyDescent="0.15">
      <c r="B62" s="54"/>
      <c r="C62" s="8">
        <v>12</v>
      </c>
      <c r="D62" s="8">
        <v>1</v>
      </c>
      <c r="N62" s="8">
        <v>10</v>
      </c>
      <c r="O62" s="8">
        <f>节奏预期!N77</f>
        <v>0</v>
      </c>
      <c r="P62" s="8">
        <f>节奏预期!O77</f>
        <v>0</v>
      </c>
      <c r="Q62" s="8">
        <f>IF(N62&lt;=节奏预期!$B$1,0,求节点(洗练相关资料!$M$5:$M$105,INDEX(洗练相关资料!$O$5:$AD$105,,MATCH(MAX(INT(O62),5),洗练相关资料!$O$4:$AD$4,0)),P62/节奏预期!M77/求节点($C$51:$C$70,$D$51:$D$70,O62)))</f>
        <v>0</v>
      </c>
      <c r="R62" s="8">
        <f>IF(N62&lt;=节奏预期!$B$1,0,节奏预期!M77*求节点($C$51:$C$70,$D$51:$D$70,O62)*INDEX(洗练相关资料!$M$5:$M$105,MATCH(0.9,INDEX(洗练相关资料!$O$5:$AD$105,,MATCH(MAX(INT(O62),5),洗练相关资料!$O$4:$AD$4,0)))))</f>
        <v>0</v>
      </c>
      <c r="S62" s="8">
        <f>IF(N62&lt;=节奏预期!$B$1,0,((求节点($C$28:$C$47,$E$28:$E$47,O62)-求节点($C$28:$C$47,$D$28:$D$47,O62))*Q62+求节点($C$28:$C$47,$D$28:$D$47,O62))*求节点($C$28:$C$47,$F$28:$F$47,O62))*节奏预期!M77</f>
        <v>0</v>
      </c>
      <c r="T62" s="8">
        <f>IF(P62=0,0,P62/R62)</f>
        <v>0</v>
      </c>
      <c r="Z62" s="5">
        <v>58</v>
      </c>
      <c r="AA62" s="5">
        <f>IFERROR(75*精英野怪!$Z62/精英野怪!$K$19/精英野怪!$Y62,AA63)</f>
        <v>11</v>
      </c>
      <c r="AK62" s="5">
        <v>58</v>
      </c>
      <c r="AL62" s="5">
        <f t="shared" si="3"/>
        <v>0</v>
      </c>
      <c r="AM62" s="5">
        <f t="shared" si="4"/>
        <v>0</v>
      </c>
      <c r="AN62" s="5">
        <f t="shared" si="5"/>
        <v>0</v>
      </c>
      <c r="AO62" s="5">
        <f t="shared" si="6"/>
        <v>0</v>
      </c>
      <c r="AP62" s="5">
        <f t="shared" si="7"/>
        <v>0</v>
      </c>
      <c r="AV62" s="5">
        <v>58</v>
      </c>
      <c r="AW62" s="5">
        <f t="shared" si="8"/>
        <v>0</v>
      </c>
      <c r="AX62" s="5">
        <f t="shared" si="9"/>
        <v>0</v>
      </c>
      <c r="AY62" s="5">
        <f t="shared" si="10"/>
        <v>0</v>
      </c>
      <c r="AZ62" s="5">
        <f t="shared" si="11"/>
        <v>0</v>
      </c>
      <c r="BA62" s="5">
        <f t="shared" si="12"/>
        <v>0</v>
      </c>
    </row>
    <row r="63" spans="2:53" x14ac:dyDescent="0.15">
      <c r="B63" s="54"/>
      <c r="C63" s="8">
        <v>13</v>
      </c>
      <c r="D63" s="8">
        <v>1</v>
      </c>
      <c r="N63" s="8">
        <v>20</v>
      </c>
      <c r="O63" s="8">
        <f>节奏预期!N78</f>
        <v>0</v>
      </c>
      <c r="P63" s="8">
        <f>节奏预期!O78</f>
        <v>0</v>
      </c>
      <c r="Q63" s="8">
        <f>IF(N63&lt;=节奏预期!$B$1,0,求节点(洗练相关资料!$M$5:$M$105,INDEX(洗练相关资料!$O$5:$AD$105,,MATCH(MAX(INT(O63),5),洗练相关资料!$O$4:$AD$4,0)),P63/节奏预期!M78/求节点($C$51:$C$70,$D$51:$D$70,O63)))</f>
        <v>0</v>
      </c>
      <c r="R63" s="8">
        <f>IF(N63&lt;=节奏预期!$B$1,0,节奏预期!M78*求节点($C$51:$C$70,$D$51:$D$70,O63)*INDEX(洗练相关资料!$M$5:$M$105,MATCH(0.9,INDEX(洗练相关资料!$O$5:$AD$105,,MATCH(MAX(INT(O63),5),洗练相关资料!$O$4:$AD$4,0)))))</f>
        <v>0</v>
      </c>
      <c r="S63" s="8">
        <f>IF(N63&lt;=节奏预期!$B$1,0,((求节点($C$28:$C$47,$E$28:$E$47,O63)-求节点($C$28:$C$47,$D$28:$D$47,O63))*Q63+求节点($C$28:$C$47,$D$28:$D$47,O63))*求节点($C$28:$C$47,$F$28:$F$47,O63))*节奏预期!M78</f>
        <v>0</v>
      </c>
      <c r="T63" s="8">
        <f t="shared" ref="T63:T77" si="17">IF(P63=0,0,P63/R63)</f>
        <v>0</v>
      </c>
      <c r="Z63" s="5">
        <v>59</v>
      </c>
      <c r="AA63" s="5">
        <f>IFERROR(75*精英野怪!$Z63/精英野怪!$K$19/精英野怪!$Y63,AA64)</f>
        <v>11</v>
      </c>
      <c r="AK63" s="5">
        <v>59</v>
      </c>
      <c r="AL63" s="5">
        <f t="shared" si="3"/>
        <v>0</v>
      </c>
      <c r="AM63" s="5">
        <f t="shared" si="4"/>
        <v>0</v>
      </c>
      <c r="AN63" s="5">
        <f t="shared" si="5"/>
        <v>0</v>
      </c>
      <c r="AO63" s="5">
        <f t="shared" si="6"/>
        <v>0</v>
      </c>
      <c r="AP63" s="5">
        <f t="shared" si="7"/>
        <v>0</v>
      </c>
      <c r="AV63" s="5">
        <v>59</v>
      </c>
      <c r="AW63" s="5">
        <f t="shared" si="8"/>
        <v>0</v>
      </c>
      <c r="AX63" s="5">
        <f t="shared" si="9"/>
        <v>0</v>
      </c>
      <c r="AY63" s="5">
        <f t="shared" si="10"/>
        <v>0</v>
      </c>
      <c r="AZ63" s="5">
        <f t="shared" si="11"/>
        <v>0</v>
      </c>
      <c r="BA63" s="5">
        <f t="shared" si="12"/>
        <v>0</v>
      </c>
    </row>
    <row r="64" spans="2:53" x14ac:dyDescent="0.15">
      <c r="B64" s="54"/>
      <c r="C64" s="8">
        <v>14</v>
      </c>
      <c r="D64" s="8">
        <v>1</v>
      </c>
      <c r="N64" s="8">
        <v>30</v>
      </c>
      <c r="O64" s="8">
        <f>节奏预期!N79</f>
        <v>0</v>
      </c>
      <c r="P64" s="8">
        <f>节奏预期!O79</f>
        <v>0</v>
      </c>
      <c r="Q64" s="8">
        <f>IF(N64&lt;=节奏预期!$B$1,0,求节点(洗练相关资料!$M$5:$M$105,INDEX(洗练相关资料!$O$5:$AD$105,,MATCH(MAX(INT(O64),5),洗练相关资料!$O$4:$AD$4,0)),P64/节奏预期!M79/求节点($C$51:$C$70,$D$51:$D$70,O64)))</f>
        <v>0</v>
      </c>
      <c r="R64" s="8">
        <f>IF(N64&lt;=节奏预期!$B$1,0,节奏预期!M79*求节点($C$51:$C$70,$D$51:$D$70,O64)*INDEX(洗练相关资料!$M$5:$M$105,MATCH(0.9,INDEX(洗练相关资料!$O$5:$AD$105,,MATCH(MAX(INT(O64),5),洗练相关资料!$O$4:$AD$4,0)))))</f>
        <v>0</v>
      </c>
      <c r="S64" s="8">
        <f>IF(N64&lt;=节奏预期!$B$1,0,((求节点($C$28:$C$47,$E$28:$E$47,O64)-求节点($C$28:$C$47,$D$28:$D$47,O64))*Q64+求节点($C$28:$C$47,$D$28:$D$47,O64))*求节点($C$28:$C$47,$F$28:$F$47,O64))*节奏预期!M79</f>
        <v>0</v>
      </c>
      <c r="T64" s="8">
        <f t="shared" si="17"/>
        <v>0</v>
      </c>
      <c r="Z64" s="5">
        <v>60</v>
      </c>
      <c r="AA64" s="5">
        <f>IFERROR(75*精英野怪!$Z64/精英野怪!$K$19/精英野怪!$Y64,AA65)</f>
        <v>11</v>
      </c>
      <c r="AK64" s="5">
        <v>60</v>
      </c>
      <c r="AL64" s="5">
        <f t="shared" si="3"/>
        <v>0</v>
      </c>
      <c r="AM64" s="5">
        <f t="shared" si="4"/>
        <v>0</v>
      </c>
      <c r="AN64" s="5">
        <f t="shared" si="5"/>
        <v>0</v>
      </c>
      <c r="AO64" s="5">
        <f t="shared" si="6"/>
        <v>0</v>
      </c>
      <c r="AP64" s="5">
        <f t="shared" si="7"/>
        <v>0</v>
      </c>
      <c r="AV64" s="5">
        <v>60</v>
      </c>
      <c r="AW64" s="5">
        <f t="shared" si="8"/>
        <v>0</v>
      </c>
      <c r="AX64" s="5">
        <f t="shared" si="9"/>
        <v>0</v>
      </c>
      <c r="AY64" s="5">
        <f t="shared" si="10"/>
        <v>0</v>
      </c>
      <c r="AZ64" s="5">
        <f t="shared" si="11"/>
        <v>0</v>
      </c>
      <c r="BA64" s="5">
        <f t="shared" si="12"/>
        <v>0</v>
      </c>
    </row>
    <row r="65" spans="2:53" x14ac:dyDescent="0.15">
      <c r="B65" s="54"/>
      <c r="C65" s="8">
        <v>15</v>
      </c>
      <c r="D65" s="8">
        <v>1</v>
      </c>
      <c r="N65" s="8">
        <v>40</v>
      </c>
      <c r="O65" s="8">
        <f>节奏预期!N80</f>
        <v>0</v>
      </c>
      <c r="P65" s="8">
        <f>节奏预期!O80</f>
        <v>0</v>
      </c>
      <c r="Q65" s="8">
        <f>IF(N65&lt;=节奏预期!$B$1,0,求节点(洗练相关资料!$M$5:$M$105,INDEX(洗练相关资料!$O$5:$AD$105,,MATCH(MAX(INT(O65),5),洗练相关资料!$O$4:$AD$4,0)),P65/节奏预期!M80/求节点($C$51:$C$70,$D$51:$D$70,O65)))</f>
        <v>0</v>
      </c>
      <c r="R65" s="8">
        <f>IF(N65&lt;=节奏预期!$B$1,0,节奏预期!M80*求节点($C$51:$C$70,$D$51:$D$70,O65)*INDEX(洗练相关资料!$M$5:$M$105,MATCH(0.9,INDEX(洗练相关资料!$O$5:$AD$105,,MATCH(MAX(INT(O65),5),洗练相关资料!$O$4:$AD$4,0)))))</f>
        <v>0</v>
      </c>
      <c r="S65" s="8">
        <f>IF(N65&lt;=节奏预期!$B$1,0,((求节点($C$28:$C$47,$E$28:$E$47,O65)-求节点($C$28:$C$47,$D$28:$D$47,O65))*Q65+求节点($C$28:$C$47,$D$28:$D$47,O65))*求节点($C$28:$C$47,$F$28:$F$47,O65))*节奏预期!M80</f>
        <v>0</v>
      </c>
      <c r="T65" s="8">
        <f t="shared" si="17"/>
        <v>0</v>
      </c>
      <c r="Z65" s="5">
        <v>61</v>
      </c>
      <c r="AA65" s="5">
        <f>IFERROR(75*精英野怪!$Z65/精英野怪!$K$19/精英野怪!$Y65,AA66)</f>
        <v>11</v>
      </c>
      <c r="AK65" s="5">
        <v>61</v>
      </c>
      <c r="AL65" s="5">
        <f t="shared" si="3"/>
        <v>2.116202321739654E-2</v>
      </c>
      <c r="AM65" s="5">
        <f t="shared" si="4"/>
        <v>9.355096128260099E-3</v>
      </c>
      <c r="AN65" s="5">
        <f t="shared" si="5"/>
        <v>1.2128677486878275E-2</v>
      </c>
      <c r="AO65" s="5">
        <f t="shared" si="6"/>
        <v>2.060210054854781E-2</v>
      </c>
      <c r="AP65" s="5">
        <f t="shared" si="7"/>
        <v>2.5707777455986864E-2</v>
      </c>
      <c r="AV65" s="5">
        <v>61</v>
      </c>
      <c r="AW65" s="5">
        <f t="shared" si="8"/>
        <v>1.2301918401981039E-2</v>
      </c>
      <c r="AX65" s="5">
        <f t="shared" si="9"/>
        <v>5.5538617354584416E-2</v>
      </c>
      <c r="AY65" s="5">
        <f t="shared" si="10"/>
        <v>6.0985304638715057E-2</v>
      </c>
      <c r="AZ65" s="5">
        <f t="shared" si="11"/>
        <v>7.0803162232676395E-2</v>
      </c>
      <c r="BA65" s="5">
        <f t="shared" si="12"/>
        <v>7.4157573316684294E-2</v>
      </c>
    </row>
    <row r="66" spans="2:53" x14ac:dyDescent="0.15">
      <c r="B66" s="54"/>
      <c r="C66" s="8">
        <v>16</v>
      </c>
      <c r="D66" s="8">
        <v>1</v>
      </c>
      <c r="N66" s="8">
        <v>50</v>
      </c>
      <c r="O66" s="8">
        <f>节奏预期!N81</f>
        <v>0</v>
      </c>
      <c r="P66" s="8">
        <f>节奏预期!O81</f>
        <v>0</v>
      </c>
      <c r="Q66" s="8">
        <f>IF(N66&lt;=节奏预期!$B$1,0,求节点(洗练相关资料!$M$5:$M$105,INDEX(洗练相关资料!$O$5:$AD$105,,MATCH(MAX(INT(O66),5),洗练相关资料!$O$4:$AD$4,0)),P66/节奏预期!M81/求节点($C$51:$C$70,$D$51:$D$70,O66)))</f>
        <v>0</v>
      </c>
      <c r="R66" s="8">
        <f>IF(N66&lt;=节奏预期!$B$1,0,节奏预期!M81*求节点($C$51:$C$70,$D$51:$D$70,O66)*INDEX(洗练相关资料!$M$5:$M$105,MATCH(0.9,INDEX(洗练相关资料!$O$5:$AD$105,,MATCH(MAX(INT(O66),5),洗练相关资料!$O$4:$AD$4,0)))))</f>
        <v>0</v>
      </c>
      <c r="S66" s="8">
        <f>IF(N66&lt;=节奏预期!$B$1,0,((求节点($C$28:$C$47,$E$28:$E$47,O66)-求节点($C$28:$C$47,$D$28:$D$47,O66))*Q66+求节点($C$28:$C$47,$D$28:$D$47,O66))*求节点($C$28:$C$47,$F$28:$F$47,O66))*节奏预期!M81</f>
        <v>0</v>
      </c>
      <c r="T66" s="8">
        <f t="shared" si="17"/>
        <v>0</v>
      </c>
      <c r="Z66" s="5">
        <v>62</v>
      </c>
      <c r="AA66" s="5">
        <f>IFERROR(75*精英野怪!$Z66/精英野怪!$K$19/精英野怪!$Y66,AA67)</f>
        <v>11</v>
      </c>
      <c r="AK66" s="5">
        <v>62</v>
      </c>
      <c r="AL66" s="5">
        <f t="shared" si="3"/>
        <v>4.2324046434793081E-2</v>
      </c>
      <c r="AM66" s="5">
        <f t="shared" si="4"/>
        <v>1.8710192256520198E-2</v>
      </c>
      <c r="AN66" s="5">
        <f t="shared" si="5"/>
        <v>2.4257354973756549E-2</v>
      </c>
      <c r="AO66" s="5">
        <f t="shared" si="6"/>
        <v>4.1204201097095619E-2</v>
      </c>
      <c r="AP66" s="5">
        <f t="shared" si="7"/>
        <v>5.1415554911973728E-2</v>
      </c>
      <c r="AV66" s="5">
        <v>62</v>
      </c>
      <c r="AW66" s="5">
        <f t="shared" si="8"/>
        <v>2.4603836803962078E-2</v>
      </c>
      <c r="AX66" s="5">
        <f t="shared" si="9"/>
        <v>0.11107723470916883</v>
      </c>
      <c r="AY66" s="5">
        <f t="shared" si="10"/>
        <v>0.12197060927743011</v>
      </c>
      <c r="AZ66" s="5">
        <f t="shared" si="11"/>
        <v>0.14160632446535279</v>
      </c>
      <c r="BA66" s="5">
        <f t="shared" si="12"/>
        <v>0.14831514663336859</v>
      </c>
    </row>
    <row r="67" spans="2:53" x14ac:dyDescent="0.15">
      <c r="B67" s="54"/>
      <c r="C67" s="8">
        <v>17</v>
      </c>
      <c r="D67" s="8">
        <v>1</v>
      </c>
      <c r="N67" s="8">
        <v>60</v>
      </c>
      <c r="O67" s="8">
        <f>节奏预期!N82</f>
        <v>0</v>
      </c>
      <c r="P67" s="8">
        <f>节奏预期!O82</f>
        <v>0</v>
      </c>
      <c r="Q67" s="8">
        <f>IF(N67&lt;=节奏预期!$B$1,0,求节点(洗练相关资料!$M$5:$M$105,INDEX(洗练相关资料!$O$5:$AD$105,,MATCH(MAX(INT(O67),5),洗练相关资料!$O$4:$AD$4,0)),P67/节奏预期!M82/求节点($C$51:$C$70,$D$51:$D$70,O67)))</f>
        <v>0</v>
      </c>
      <c r="R67" s="8">
        <f>IF(N67&lt;=节奏预期!$B$1,0,节奏预期!M82*求节点($C$51:$C$70,$D$51:$D$70,O67)*INDEX(洗练相关资料!$M$5:$M$105,MATCH(0.9,INDEX(洗练相关资料!$O$5:$AD$105,,MATCH(MAX(INT(O67),5),洗练相关资料!$O$4:$AD$4,0)))))</f>
        <v>0</v>
      </c>
      <c r="S67" s="8">
        <f>IF(N67&lt;=节奏预期!$B$1,0,((求节点($C$28:$C$47,$E$28:$E$47,O67)-求节点($C$28:$C$47,$D$28:$D$47,O67))*Q67+求节点($C$28:$C$47,$D$28:$D$47,O67))*求节点($C$28:$C$47,$F$28:$F$47,O67))*节奏预期!M82</f>
        <v>0</v>
      </c>
      <c r="T67" s="8">
        <f t="shared" si="17"/>
        <v>0</v>
      </c>
      <c r="Z67" s="5">
        <v>63</v>
      </c>
      <c r="AA67" s="5">
        <f>IFERROR(75*精英野怪!$Z67/精英野怪!$K$19/精英野怪!$Y67,AA68)</f>
        <v>11</v>
      </c>
      <c r="AK67" s="5">
        <v>63</v>
      </c>
      <c r="AL67" s="5">
        <f t="shared" si="3"/>
        <v>6.3486069652189614E-2</v>
      </c>
      <c r="AM67" s="5">
        <f t="shared" si="4"/>
        <v>2.8065288384780299E-2</v>
      </c>
      <c r="AN67" s="5">
        <f t="shared" si="5"/>
        <v>3.6386032460634821E-2</v>
      </c>
      <c r="AO67" s="5">
        <f t="shared" si="6"/>
        <v>6.1806301645643429E-2</v>
      </c>
      <c r="AP67" s="5">
        <f t="shared" si="7"/>
        <v>7.7123332367960595E-2</v>
      </c>
      <c r="AV67" s="5">
        <v>63</v>
      </c>
      <c r="AW67" s="5">
        <f t="shared" si="8"/>
        <v>3.6905755205943115E-2</v>
      </c>
      <c r="AX67" s="5">
        <f t="shared" si="9"/>
        <v>0.16661585206375323</v>
      </c>
      <c r="AY67" s="5">
        <f t="shared" si="10"/>
        <v>0.18295591391614519</v>
      </c>
      <c r="AZ67" s="5">
        <f t="shared" si="11"/>
        <v>0.21240948669802917</v>
      </c>
      <c r="BA67" s="5">
        <f t="shared" si="12"/>
        <v>0.22247271995005288</v>
      </c>
    </row>
    <row r="68" spans="2:53" x14ac:dyDescent="0.15">
      <c r="B68" s="54"/>
      <c r="C68" s="8">
        <v>18</v>
      </c>
      <c r="D68" s="8">
        <v>1</v>
      </c>
      <c r="N68" s="8">
        <v>70</v>
      </c>
      <c r="O68" s="8">
        <f>节奏预期!N83</f>
        <v>11.144193140682443</v>
      </c>
      <c r="P68" s="8">
        <f>节奏预期!O83</f>
        <v>1153.7176307186774</v>
      </c>
      <c r="Q68" s="8">
        <f>IF(N68&lt;=节奏预期!$B$1,0,求节点(洗练相关资料!$M$5:$M$105,INDEX(洗练相关资料!$O$5:$AD$105,,MATCH(MAX(INT(O68),5),洗练相关资料!$O$4:$AD$4,0)),P68/节奏预期!M83/求节点($C$51:$C$70,$D$51:$D$70,O68)))</f>
        <v>0.33091358454511599</v>
      </c>
      <c r="R68" s="8">
        <f>IF(N68&lt;=节奏预期!$B$1,0,节奏预期!M83*求节点($C$51:$C$70,$D$51:$D$70,O68)*INDEX(洗练相关资料!$M$5:$M$105,MATCH(0.9,INDEX(洗练相关资料!$O$5:$AD$105,,MATCH(MAX(INT(O68),5),洗练相关资料!$O$4:$AD$4,0)))))</f>
        <v>5600</v>
      </c>
      <c r="S68" s="8">
        <f>IF(N68&lt;=节奏预期!$B$1,0,((求节点($C$28:$C$47,$E$28:$E$47,O68)-求节点($C$28:$C$47,$D$28:$D$47,O68))*Q68+求节点($C$28:$C$47,$D$28:$D$47,O68))*求节点($C$28:$C$47,$F$28:$F$47,O68))*节奏预期!M83</f>
        <v>0.70803162232676398</v>
      </c>
      <c r="T68" s="8">
        <f t="shared" si="17"/>
        <v>0.20602100548547811</v>
      </c>
      <c r="Z68" s="5">
        <v>64</v>
      </c>
      <c r="AA68" s="5">
        <f>IFERROR(75*精英野怪!$Z68/精英野怪!$K$19/精英野怪!$Y68,AA69)</f>
        <v>11</v>
      </c>
      <c r="AK68" s="5">
        <v>64</v>
      </c>
      <c r="AL68" s="5">
        <f t="shared" si="3"/>
        <v>8.4648092869586161E-2</v>
      </c>
      <c r="AM68" s="5">
        <f t="shared" si="4"/>
        <v>3.7420384513040396E-2</v>
      </c>
      <c r="AN68" s="5">
        <f t="shared" si="5"/>
        <v>4.8514709947513099E-2</v>
      </c>
      <c r="AO68" s="5">
        <f t="shared" si="6"/>
        <v>8.2408402194191238E-2</v>
      </c>
      <c r="AP68" s="5">
        <f t="shared" si="7"/>
        <v>0.10283110982394746</v>
      </c>
      <c r="AV68" s="5">
        <v>64</v>
      </c>
      <c r="AW68" s="5">
        <f t="shared" si="8"/>
        <v>4.9207673607924156E-2</v>
      </c>
      <c r="AX68" s="5">
        <f t="shared" si="9"/>
        <v>0.22215446941833766</v>
      </c>
      <c r="AY68" s="5">
        <f t="shared" si="10"/>
        <v>0.24394121855486023</v>
      </c>
      <c r="AZ68" s="5">
        <f t="shared" si="11"/>
        <v>0.28321264893070558</v>
      </c>
      <c r="BA68" s="5">
        <f t="shared" si="12"/>
        <v>0.29663029326673718</v>
      </c>
    </row>
    <row r="69" spans="2:53" x14ac:dyDescent="0.15">
      <c r="B69" s="54"/>
      <c r="C69" s="8">
        <v>19</v>
      </c>
      <c r="D69" s="8">
        <v>1</v>
      </c>
      <c r="N69" s="8">
        <v>80</v>
      </c>
      <c r="O69" s="8">
        <f>节奏预期!N84</f>
        <v>12.0592476518975</v>
      </c>
      <c r="P69" s="8">
        <f>节奏预期!O84</f>
        <v>3352.8540569145403</v>
      </c>
      <c r="Q69" s="8">
        <f>IF(N69&lt;=节奏预期!$B$1,0,求节点(洗练相关资料!$M$5:$M$105,INDEX(洗练相关资料!$O$5:$AD$105,,MATCH(MAX(INT(O69),5),洗练相关资料!$O$4:$AD$4,0)),P69/节奏预期!M84/求节点($C$51:$C$70,$D$51:$D$70,O69)))</f>
        <v>0.40098042763608877</v>
      </c>
      <c r="R69" s="8">
        <f>IF(N69&lt;=节奏预期!$B$1,0,节奏预期!M84*求节点($C$51:$C$70,$D$51:$D$70,O69)*INDEX(洗练相关资料!$M$5:$M$105,MATCH(0.9,INDEX(洗练相关资料!$O$5:$AD$105,,MATCH(MAX(INT(O69),5),洗练相关资料!$O$4:$AD$4,0)))))</f>
        <v>8600</v>
      </c>
      <c r="S69" s="8">
        <f>IF(N69&lt;=节奏预期!$B$1,0,((求节点($C$28:$C$47,$E$28:$E$47,O69)-求节点($C$28:$C$47,$D$28:$D$47,O69))*Q69+求节点($C$28:$C$47,$D$28:$D$47,O69))*求节点($C$28:$C$47,$F$28:$F$47,O69))*节奏预期!M84</f>
        <v>1.1956998814488022</v>
      </c>
      <c r="T69" s="8">
        <f t="shared" si="17"/>
        <v>0.38986675080401628</v>
      </c>
      <c r="Z69" s="5">
        <v>65</v>
      </c>
      <c r="AA69" s="5">
        <f>IFERROR(75*精英野怪!$Z69/精英野怪!$K$19/精英野怪!$Y69,AA70)</f>
        <v>11</v>
      </c>
      <c r="AK69" s="5">
        <v>65</v>
      </c>
      <c r="AL69" s="5">
        <f t="shared" si="3"/>
        <v>0.10581011608698271</v>
      </c>
      <c r="AM69" s="5">
        <f t="shared" si="4"/>
        <v>4.6775480641300493E-2</v>
      </c>
      <c r="AN69" s="5">
        <f t="shared" si="5"/>
        <v>6.0643387434391377E-2</v>
      </c>
      <c r="AO69" s="5">
        <f t="shared" si="6"/>
        <v>0.10301050274273904</v>
      </c>
      <c r="AP69" s="5">
        <f t="shared" si="7"/>
        <v>0.12853888727993432</v>
      </c>
      <c r="AV69" s="5">
        <v>65</v>
      </c>
      <c r="AW69" s="5">
        <f t="shared" si="8"/>
        <v>6.1509592009905197E-2</v>
      </c>
      <c r="AX69" s="5">
        <f t="shared" si="9"/>
        <v>0.27769308677292209</v>
      </c>
      <c r="AY69" s="5">
        <f t="shared" si="10"/>
        <v>0.30492652319357527</v>
      </c>
      <c r="AZ69" s="5">
        <f t="shared" si="11"/>
        <v>0.35401581116338199</v>
      </c>
      <c r="BA69" s="5">
        <f t="shared" si="12"/>
        <v>0.37078786658342144</v>
      </c>
    </row>
    <row r="70" spans="2:53" x14ac:dyDescent="0.15">
      <c r="B70" s="54"/>
      <c r="C70" s="8">
        <v>20</v>
      </c>
      <c r="D70" s="8">
        <v>1</v>
      </c>
      <c r="N70" s="8">
        <v>90</v>
      </c>
      <c r="O70" s="8">
        <f>节奏预期!N85</f>
        <v>12.725069447403143</v>
      </c>
      <c r="P70" s="8">
        <f>节奏预期!O85</f>
        <v>7342.769611156541</v>
      </c>
      <c r="Q70" s="8">
        <f>IF(N70&lt;=节奏预期!$B$1,0,求节点(洗练相关资料!$M$5:$M$105,INDEX(洗练相关资料!$O$5:$AD$105,,MATCH(MAX(INT(O70),5),洗练相关资料!$O$4:$AD$4,0)),P70/节奏预期!M85/求节点($C$51:$C$70,$D$51:$D$70,O70)))</f>
        <v>0.75121978229839281</v>
      </c>
      <c r="R70" s="8">
        <f>IF(N70&lt;=节奏预期!$B$1,0,节奏预期!M85*求节点($C$51:$C$70,$D$51:$D$70,O70)*INDEX(洗练相关资料!$M$5:$M$105,MATCH(0.9,INDEX(洗练相关资料!$O$5:$AD$105,,MATCH(MAX(INT(O70),5),洗练相关资料!$O$4:$AD$4,0)))))</f>
        <v>8600</v>
      </c>
      <c r="S70" s="8">
        <f>IF(N70&lt;=节奏预期!$B$1,0,((求节点($C$28:$C$47,$E$28:$E$47,O70)-求节点($C$28:$C$47,$D$28:$D$47,O70))*Q70+求节点($C$28:$C$47,$D$28:$D$47,O70))*求节点($C$28:$C$47,$F$28:$F$47,O70))*节奏预期!M85</f>
        <v>1.7604766609695954</v>
      </c>
      <c r="T70" s="8">
        <f t="shared" si="17"/>
        <v>0.85381041990192341</v>
      </c>
      <c r="Z70" s="5">
        <v>66</v>
      </c>
      <c r="AA70" s="5">
        <f>IFERROR(75*精英野怪!$Z70/精英野怪!$K$19/精英野怪!$Y70,AA71)</f>
        <v>11</v>
      </c>
      <c r="AK70" s="5">
        <v>66</v>
      </c>
      <c r="AL70" s="5">
        <f t="shared" ref="AL70:AL133" si="18">求节点($N$5:$N$20,$T$5:$T$20,$AK70)</f>
        <v>0.12697213930437923</v>
      </c>
      <c r="AM70" s="5">
        <f t="shared" ref="AM70:AM133" si="19">求节点($N$24:$N$39,$T$24:$T$39,$AK70)</f>
        <v>5.6130576769560597E-2</v>
      </c>
      <c r="AN70" s="5">
        <f t="shared" ref="AN70:AN133" si="20">求节点($N$43:$N$58,$T$43:$T$58,$AK70)</f>
        <v>7.2772064921269641E-2</v>
      </c>
      <c r="AO70" s="5">
        <f t="shared" ref="AO70:AO133" si="21">求节点($N$62:$N$77,$T$62:$T$77,$AK70)</f>
        <v>0.12361260329128686</v>
      </c>
      <c r="AP70" s="5">
        <f t="shared" ref="AP70:AP133" si="22">求节点($N$81:$N$96,$T$81:$T$96,$AK70)</f>
        <v>0.15424666473592119</v>
      </c>
      <c r="AV70" s="5">
        <v>66</v>
      </c>
      <c r="AW70" s="5">
        <f t="shared" ref="AW70:AW133" si="23">求节点($N$5:$N$20,$S$5:$S$20,$AV70)</f>
        <v>7.381151041188623E-2</v>
      </c>
      <c r="AX70" s="5">
        <f t="shared" ref="AX70:AX133" si="24">求节点($N$24:$N$39,$S$24:$S$39,$AV70)</f>
        <v>0.33323170412750647</v>
      </c>
      <c r="AY70" s="5">
        <f t="shared" ref="AY70:AY133" si="25">求节点($N$43:$N$58,$S$43:$S$58,$AV70)</f>
        <v>0.36591182783229037</v>
      </c>
      <c r="AZ70" s="5">
        <f t="shared" ref="AZ70:AZ133" si="26">求节点($N$62:$N$77,$S$62:$S$77,$AV70)</f>
        <v>0.42481897339605834</v>
      </c>
      <c r="BA70" s="5">
        <f t="shared" ref="BA70:BA133" si="27">求节点($N$81:$N$96,$S$81:$S$96,$AV70)</f>
        <v>0.44494543990010577</v>
      </c>
    </row>
    <row r="71" spans="2:53" x14ac:dyDescent="0.15">
      <c r="N71" s="8">
        <v>100</v>
      </c>
      <c r="O71" s="8">
        <f>节奏预期!N86</f>
        <v>13.228966343678646</v>
      </c>
      <c r="P71" s="8">
        <f>节奏预期!O86</f>
        <v>15411.633778647829</v>
      </c>
      <c r="Q71" s="8">
        <f>IF(N71&lt;=节奏预期!$B$1,0,求节点(洗练相关资料!$M$5:$M$105,INDEX(洗练相关资料!$O$5:$AD$105,,MATCH(MAX(INT(O71),5),洗练相关资料!$O$4:$AD$4,0)),P71/节奏预期!M86/求节点($C$51:$C$70,$D$51:$D$70,O71)))</f>
        <v>0.99985759973525989</v>
      </c>
      <c r="R71" s="8">
        <f>IF(N71&lt;=节奏预期!$B$1,0,节奏预期!M86*求节点($C$51:$C$70,$D$51:$D$70,O71)*INDEX(洗练相关资料!$M$5:$M$105,MATCH(0.9,INDEX(洗练相关资料!$O$5:$AD$105,,MATCH(MAX(INT(O71),5),洗练相关资料!$O$4:$AD$4,0)))))</f>
        <v>9400</v>
      </c>
      <c r="S71" s="8">
        <f>IF(N71&lt;=节奏预期!$B$1,0,((求节点($C$28:$C$47,$E$28:$E$47,O71)-求节点($C$28:$C$47,$D$28:$D$47,O71))*Q71+求节点($C$28:$C$47,$D$28:$D$47,O71))*求节点($C$28:$C$47,$F$28:$F$47,O71))*节奏预期!M86</f>
        <v>2.2010049728967758</v>
      </c>
      <c r="T71" s="8">
        <f t="shared" si="17"/>
        <v>1.6395355083667904</v>
      </c>
      <c r="Z71" s="5">
        <v>67</v>
      </c>
      <c r="AA71" s="5">
        <f>IFERROR(75*精英野怪!$Z71/精英野怪!$K$19/精英野怪!$Y71,AA72)</f>
        <v>11</v>
      </c>
      <c r="AK71" s="5">
        <v>67</v>
      </c>
      <c r="AL71" s="5">
        <f t="shared" si="18"/>
        <v>0.14813416252177578</v>
      </c>
      <c r="AM71" s="5">
        <f t="shared" si="19"/>
        <v>6.5485672897820688E-2</v>
      </c>
      <c r="AN71" s="5">
        <f t="shared" si="20"/>
        <v>8.490074240814792E-2</v>
      </c>
      <c r="AO71" s="5">
        <f t="shared" si="21"/>
        <v>0.14421470383983467</v>
      </c>
      <c r="AP71" s="5">
        <f t="shared" si="22"/>
        <v>0.17995444219190804</v>
      </c>
      <c r="AV71" s="5">
        <v>67</v>
      </c>
      <c r="AW71" s="5">
        <f t="shared" si="23"/>
        <v>8.6113428813867271E-2</v>
      </c>
      <c r="AX71" s="5">
        <f t="shared" si="24"/>
        <v>0.3887703214820909</v>
      </c>
      <c r="AY71" s="5">
        <f t="shared" si="25"/>
        <v>0.42689713247100541</v>
      </c>
      <c r="AZ71" s="5">
        <f t="shared" si="26"/>
        <v>0.49562213562873475</v>
      </c>
      <c r="BA71" s="5">
        <f t="shared" si="27"/>
        <v>0.51910301321679009</v>
      </c>
    </row>
    <row r="72" spans="2:53" x14ac:dyDescent="0.15">
      <c r="N72" s="8">
        <v>110</v>
      </c>
      <c r="O72" s="8">
        <f>节奏预期!N87</f>
        <v>13.801577508614166</v>
      </c>
      <c r="P72" s="8">
        <f>节奏预期!O87</f>
        <v>30921.673042912862</v>
      </c>
      <c r="Q72" s="8">
        <f>IF(N72&lt;=节奏预期!$B$1,0,求节点(洗练相关资料!$M$5:$M$105,INDEX(洗练相关资料!$O$5:$AD$105,,MATCH(MAX(INT(O72),5),洗练相关资料!$O$4:$AD$4,0)),P72/节奏预期!M87/求节点($C$51:$C$70,$D$51:$D$70,O72)))</f>
        <v>0.99985759973525989</v>
      </c>
      <c r="R72" s="8">
        <f>IF(N72&lt;=节奏预期!$B$1,0,节奏预期!M87*求节点($C$51:$C$70,$D$51:$D$70,O72)*INDEX(洗练相关资料!$M$5:$M$105,MATCH(0.9,INDEX(洗练相关资料!$O$5:$AD$105,,MATCH(MAX(INT(O72),5),洗练相关资料!$O$4:$AD$4,0)))))</f>
        <v>9400</v>
      </c>
      <c r="S72" s="8">
        <f>IF(N72&lt;=节奏预期!$B$1,0,((求节点($C$28:$C$47,$E$28:$E$47,O72)-求节点($C$28:$C$47,$D$28:$D$47,O72))*Q72+求节点($C$28:$C$47,$D$28:$D$47,O72))*求节点($C$28:$C$47,$F$28:$F$47,O72))*节奏预期!M87</f>
        <v>2.3040651977873914</v>
      </c>
      <c r="T72" s="8">
        <f t="shared" si="17"/>
        <v>3.289539685416262</v>
      </c>
      <c r="Z72" s="5">
        <v>68</v>
      </c>
      <c r="AA72" s="5">
        <f>IFERROR(75*精英野怪!$Z72/精英野怪!$K$19/精英野怪!$Y72,AA73)</f>
        <v>11</v>
      </c>
      <c r="AK72" s="5">
        <v>68</v>
      </c>
      <c r="AL72" s="5">
        <f t="shared" si="18"/>
        <v>0.16929618573917232</v>
      </c>
      <c r="AM72" s="5">
        <f t="shared" si="19"/>
        <v>7.4840769026080792E-2</v>
      </c>
      <c r="AN72" s="5">
        <f t="shared" si="20"/>
        <v>9.7029419895026198E-2</v>
      </c>
      <c r="AO72" s="5">
        <f t="shared" si="21"/>
        <v>0.16481680438838248</v>
      </c>
      <c r="AP72" s="5">
        <f t="shared" si="22"/>
        <v>0.20566221964789491</v>
      </c>
      <c r="AV72" s="5">
        <v>68</v>
      </c>
      <c r="AW72" s="5">
        <f t="shared" si="23"/>
        <v>9.8415347215848312E-2</v>
      </c>
      <c r="AX72" s="5">
        <f t="shared" si="24"/>
        <v>0.44430893883667533</v>
      </c>
      <c r="AY72" s="5">
        <f t="shared" si="25"/>
        <v>0.48788243710972046</v>
      </c>
      <c r="AZ72" s="5">
        <f t="shared" si="26"/>
        <v>0.56642529786141116</v>
      </c>
      <c r="BA72" s="5">
        <f t="shared" si="27"/>
        <v>0.59326058653347435</v>
      </c>
    </row>
    <row r="73" spans="2:53" x14ac:dyDescent="0.15">
      <c r="B73" s="54" t="s">
        <v>314</v>
      </c>
      <c r="C73" s="8" t="s">
        <v>98</v>
      </c>
      <c r="D73" s="8" t="s">
        <v>315</v>
      </c>
      <c r="E73" s="8" t="s">
        <v>316</v>
      </c>
      <c r="F73" s="8" t="s">
        <v>317</v>
      </c>
      <c r="N73" s="8">
        <v>120</v>
      </c>
      <c r="O73" s="8">
        <f>节奏预期!N88</f>
        <v>14.161637431939695</v>
      </c>
      <c r="P73" s="8">
        <f>节奏预期!O88</f>
        <v>61676.264607052908</v>
      </c>
      <c r="Q73" s="8">
        <f>IF(N73&lt;=节奏预期!$B$1,0,求节点(洗练相关资料!$M$5:$M$105,INDEX(洗练相关资料!$O$5:$AD$105,,MATCH(MAX(INT(O73),5),洗练相关资料!$O$4:$AD$4,0)),P73/节奏预期!M88/求节点($C$51:$C$70,$D$51:$D$70,O73)))</f>
        <v>0.99985759973525989</v>
      </c>
      <c r="R73" s="8">
        <f>IF(N73&lt;=节奏预期!$B$1,0,节奏预期!M88*求节点($C$51:$C$70,$D$51:$D$70,O73)*INDEX(洗练相关资料!$M$5:$M$105,MATCH(0.9,INDEX(洗练相关资料!$O$5:$AD$105,,MATCH(MAX(INT(O73),5),洗练相关资料!$O$4:$AD$4,0)))))</f>
        <v>10000</v>
      </c>
      <c r="S73" s="8">
        <f>IF(N73&lt;=节奏预期!$B$1,0,((求节点($C$28:$C$47,$E$28:$E$47,O73)-求节点($C$28:$C$47,$D$28:$D$47,O73))*Q73+求节点($C$28:$C$47,$D$28:$D$47,O73))*求节点($C$28:$C$47,$F$28:$F$47,O73))*节奏预期!M88</f>
        <v>2.3688698312705787</v>
      </c>
      <c r="T73" s="8">
        <f t="shared" si="17"/>
        <v>6.1676264607052911</v>
      </c>
      <c r="Z73" s="5">
        <v>69</v>
      </c>
      <c r="AA73" s="5">
        <f>IFERROR(75*精英野怪!$Z73/精英野怪!$K$19/精英野怪!$Y73,AA74)</f>
        <v>11</v>
      </c>
      <c r="AK73" s="5">
        <v>69</v>
      </c>
      <c r="AL73" s="5">
        <f t="shared" si="18"/>
        <v>0.19045820895656887</v>
      </c>
      <c r="AM73" s="5">
        <f t="shared" si="19"/>
        <v>8.4195865154340896E-2</v>
      </c>
      <c r="AN73" s="5">
        <f t="shared" si="20"/>
        <v>0.10915809738190448</v>
      </c>
      <c r="AO73" s="5">
        <f t="shared" si="21"/>
        <v>0.18541890493693028</v>
      </c>
      <c r="AP73" s="5">
        <f t="shared" si="22"/>
        <v>0.23136999710388179</v>
      </c>
      <c r="AV73" s="5">
        <v>69</v>
      </c>
      <c r="AW73" s="5">
        <f t="shared" si="23"/>
        <v>0.11071726561782935</v>
      </c>
      <c r="AX73" s="5">
        <f t="shared" si="24"/>
        <v>0.49984755619125976</v>
      </c>
      <c r="AY73" s="5">
        <f t="shared" si="25"/>
        <v>0.54886774174843556</v>
      </c>
      <c r="AZ73" s="5">
        <f t="shared" si="26"/>
        <v>0.63722846009408751</v>
      </c>
      <c r="BA73" s="5">
        <f t="shared" si="27"/>
        <v>0.66741815985015862</v>
      </c>
    </row>
    <row r="74" spans="2:53" x14ac:dyDescent="0.15">
      <c r="B74" s="54"/>
      <c r="C74" s="8">
        <v>1</v>
      </c>
      <c r="D74" s="8">
        <v>12000</v>
      </c>
      <c r="E74" s="8"/>
      <c r="F74" s="8"/>
      <c r="N74" s="8">
        <v>130</v>
      </c>
      <c r="O74" s="8">
        <f>节奏预期!N89</f>
        <v>14.560685006061497</v>
      </c>
      <c r="P74" s="8">
        <f>节奏预期!O89</f>
        <v>122407.21714327199</v>
      </c>
      <c r="Q74" s="8">
        <f>IF(N74&lt;=节奏预期!$B$1,0,求节点(洗练相关资料!$M$5:$M$105,INDEX(洗练相关资料!$O$5:$AD$105,,MATCH(MAX(INT(O74),5),洗练相关资料!$O$4:$AD$4,0)),P74/节奏预期!M89/求节点($C$51:$C$70,$D$51:$D$70,O74)))</f>
        <v>0.99985759973525989</v>
      </c>
      <c r="R74" s="8">
        <f>IF(N74&lt;=节奏预期!$B$1,0,节奏预期!M89*求节点($C$51:$C$70,$D$51:$D$70,O74)*INDEX(洗练相关资料!$M$5:$M$105,MATCH(0.9,INDEX(洗练相关资料!$O$5:$AD$105,,MATCH(MAX(INT(O74),5),洗练相关资料!$O$4:$AD$4,0)))))</f>
        <v>10000</v>
      </c>
      <c r="S74" s="8">
        <f>IF(N74&lt;=节奏预期!$B$1,0,((求节点($C$28:$C$47,$E$28:$E$47,O74)-求节点($C$28:$C$47,$D$28:$D$47,O74))*Q74+求节点($C$28:$C$47,$D$28:$D$47,O74))*求节点($C$28:$C$47,$F$28:$F$47,O74))*节奏预期!M89</f>
        <v>2.440691575674879</v>
      </c>
      <c r="T74" s="8">
        <f t="shared" si="17"/>
        <v>12.240721714327199</v>
      </c>
      <c r="Z74" s="5">
        <v>70</v>
      </c>
      <c r="AA74" s="5">
        <f>IFERROR(75*精英野怪!$Z74/精英野怪!$K$19/精英野怪!$Y74,AA75)</f>
        <v>11</v>
      </c>
      <c r="AK74" s="5">
        <v>70</v>
      </c>
      <c r="AL74" s="5">
        <f t="shared" si="18"/>
        <v>0.21162023217396542</v>
      </c>
      <c r="AM74" s="5">
        <f t="shared" si="19"/>
        <v>9.3550961282600986E-2</v>
      </c>
      <c r="AN74" s="5">
        <f t="shared" si="20"/>
        <v>0.12128677486878274</v>
      </c>
      <c r="AO74" s="5">
        <f t="shared" si="21"/>
        <v>0.20602100548547811</v>
      </c>
      <c r="AP74" s="5">
        <f t="shared" si="22"/>
        <v>0.25707777455986863</v>
      </c>
      <c r="AV74" s="5">
        <v>70</v>
      </c>
      <c r="AW74" s="5">
        <f t="shared" si="23"/>
        <v>0.12301918401981039</v>
      </c>
      <c r="AX74" s="5">
        <f t="shared" si="24"/>
        <v>0.55538617354584419</v>
      </c>
      <c r="AY74" s="5">
        <f t="shared" si="25"/>
        <v>0.60985304638715054</v>
      </c>
      <c r="AZ74" s="5">
        <f t="shared" si="26"/>
        <v>0.70803162232676398</v>
      </c>
      <c r="BA74" s="5">
        <f t="shared" si="27"/>
        <v>0.741575733166843</v>
      </c>
    </row>
    <row r="75" spans="2:53" x14ac:dyDescent="0.15">
      <c r="B75" s="54"/>
      <c r="C75" s="8">
        <v>2</v>
      </c>
      <c r="D75" s="8">
        <v>120000</v>
      </c>
      <c r="E75" s="8">
        <f>F6/F5</f>
        <v>13</v>
      </c>
      <c r="F75" s="8">
        <f>D75/D74</f>
        <v>10</v>
      </c>
      <c r="N75" s="8">
        <v>140</v>
      </c>
      <c r="O75" s="8">
        <f>节奏预期!N90</f>
        <v>15.062389654826998</v>
      </c>
      <c r="P75" s="8">
        <f>节奏预期!O90</f>
        <v>241727.34047741882</v>
      </c>
      <c r="Q75" s="8">
        <f>IF(N75&lt;=节奏预期!$B$1,0,求节点(洗练相关资料!$M$5:$M$105,INDEX(洗练相关资料!$O$5:$AD$105,,MATCH(MAX(INT(O75),5),洗练相关资料!$O$4:$AD$4,0)),P75/节奏预期!M90/求节点($C$51:$C$70,$D$51:$D$70,O75)))</f>
        <v>0.99985759973525989</v>
      </c>
      <c r="R75" s="8">
        <f>IF(N75&lt;=节奏预期!$B$1,0,节奏预期!M90*求节点($C$51:$C$70,$D$51:$D$70,O75)*INDEX(洗练相关资料!$M$5:$M$105,MATCH(0.9,INDEX(洗练相关资料!$O$5:$AD$105,,MATCH(MAX(INT(O75),5),洗练相关资料!$O$4:$AD$4,0)))))</f>
        <v>10600</v>
      </c>
      <c r="S75" s="8">
        <f>IF(N75&lt;=节奏预期!$B$1,0,((求节点($C$28:$C$47,$E$28:$E$47,O75)-求节点($C$28:$C$47,$D$28:$D$47,O75))*Q75+求节点($C$28:$C$47,$D$28:$D$47,O75))*求节点($C$28:$C$47,$F$28:$F$47,O75))*节奏预期!M90</f>
        <v>2.5309898393076926</v>
      </c>
      <c r="T75" s="8">
        <f t="shared" si="17"/>
        <v>22.80446608277536</v>
      </c>
      <c r="Z75" s="5">
        <v>71</v>
      </c>
      <c r="AA75" s="5">
        <f>IFERROR(75*精英野怪!$Z75/精英野怪!$K$19/精英野怪!$Y75,AA76)</f>
        <v>10.476190476190476</v>
      </c>
      <c r="AK75" s="5">
        <v>71</v>
      </c>
      <c r="AL75" s="5">
        <f t="shared" si="18"/>
        <v>0.25082111314551037</v>
      </c>
      <c r="AM75" s="5">
        <f t="shared" si="19"/>
        <v>0.10411204450330096</v>
      </c>
      <c r="AN75" s="5">
        <f t="shared" si="20"/>
        <v>0.13866981363998274</v>
      </c>
      <c r="AO75" s="5">
        <f t="shared" si="21"/>
        <v>0.22440558001733193</v>
      </c>
      <c r="AP75" s="5">
        <f t="shared" si="22"/>
        <v>0.28277506865172447</v>
      </c>
      <c r="AV75" s="5">
        <v>71</v>
      </c>
      <c r="AW75" s="5">
        <f t="shared" si="23"/>
        <v>0.14122516509488078</v>
      </c>
      <c r="AX75" s="5">
        <f t="shared" si="24"/>
        <v>0.57043045326216446</v>
      </c>
      <c r="AY75" s="5">
        <f t="shared" si="25"/>
        <v>0.62646583323933946</v>
      </c>
      <c r="AZ75" s="5">
        <f t="shared" si="26"/>
        <v>0.7567984482389678</v>
      </c>
      <c r="BA75" s="5">
        <f t="shared" si="27"/>
        <v>0.79923166458877071</v>
      </c>
    </row>
    <row r="76" spans="2:53" x14ac:dyDescent="0.15">
      <c r="B76" s="54"/>
      <c r="C76" s="8">
        <v>3</v>
      </c>
      <c r="D76" s="8">
        <v>600000</v>
      </c>
      <c r="E76" s="8">
        <f t="shared" ref="E76:E93" si="28">F7/F6</f>
        <v>6.5384615384615383</v>
      </c>
      <c r="F76" s="8">
        <f t="shared" ref="F76:F93" si="29">D76/D75</f>
        <v>5</v>
      </c>
      <c r="N76" s="8">
        <v>150</v>
      </c>
      <c r="O76" s="8">
        <f>节奏预期!N91</f>
        <v>15.342828677609445</v>
      </c>
      <c r="P76" s="8">
        <f>节奏预期!O91</f>
        <v>480131.24879736622</v>
      </c>
      <c r="Q76" s="8">
        <f>IF(N76&lt;=节奏预期!$B$1,0,求节点(洗练相关资料!$M$5:$M$105,INDEX(洗练相关资料!$O$5:$AD$105,,MATCH(MAX(INT(O76),5),洗练相关资料!$O$4:$AD$4,0)),P76/节奏预期!M91/求节点($C$51:$C$70,$D$51:$D$70,O76)))</f>
        <v>0.99985759973525989</v>
      </c>
      <c r="R76" s="8">
        <f>IF(N76&lt;=节奏预期!$B$1,0,节奏预期!M91*求节点($C$51:$C$70,$D$51:$D$70,O76)*INDEX(洗练相关资料!$M$5:$M$105,MATCH(0.9,INDEX(洗练相关资料!$O$5:$AD$105,,MATCH(MAX(INT(O76),5),洗练相关资料!$O$4:$AD$4,0)))))</f>
        <v>10600</v>
      </c>
      <c r="S76" s="8">
        <f>IF(N76&lt;=节奏预期!$B$1,0,((求节点($C$28:$C$47,$E$28:$E$47,O76)-求节点($C$28:$C$47,$D$28:$D$47,O76))*Q76+求节点($C$28:$C$47,$D$28:$D$47,O76))*求节点($C$28:$C$47,$F$28:$F$47,O76))*节奏预期!M91</f>
        <v>2.5814640712576025</v>
      </c>
      <c r="T76" s="8">
        <f t="shared" si="17"/>
        <v>45.295400829940206</v>
      </c>
      <c r="Z76" s="5">
        <v>72</v>
      </c>
      <c r="AA76" s="5">
        <f>IFERROR(75*精英野怪!$Z76/精英野怪!$K$19/精英野怪!$Y76,AA77)</f>
        <v>10</v>
      </c>
      <c r="AK76" s="5">
        <v>72</v>
      </c>
      <c r="AL76" s="5">
        <f t="shared" si="18"/>
        <v>0.29002199411705532</v>
      </c>
      <c r="AM76" s="5">
        <f t="shared" si="19"/>
        <v>0.11467312772400093</v>
      </c>
      <c r="AN76" s="5">
        <f t="shared" si="20"/>
        <v>0.15605285241118275</v>
      </c>
      <c r="AO76" s="5">
        <f t="shared" si="21"/>
        <v>0.24279015454918573</v>
      </c>
      <c r="AP76" s="5">
        <f t="shared" si="22"/>
        <v>0.30847236274358031</v>
      </c>
      <c r="AV76" s="5">
        <v>72</v>
      </c>
      <c r="AW76" s="5">
        <f t="shared" si="23"/>
        <v>0.15943114616995119</v>
      </c>
      <c r="AX76" s="5">
        <f t="shared" si="24"/>
        <v>0.58547473297848474</v>
      </c>
      <c r="AY76" s="5">
        <f t="shared" si="25"/>
        <v>0.64307862009152839</v>
      </c>
      <c r="AZ76" s="5">
        <f t="shared" si="26"/>
        <v>0.80556527415117163</v>
      </c>
      <c r="BA76" s="5">
        <f t="shared" si="27"/>
        <v>0.85688759601069842</v>
      </c>
    </row>
    <row r="77" spans="2:53" x14ac:dyDescent="0.15">
      <c r="B77" s="54"/>
      <c r="C77" s="8">
        <v>4</v>
      </c>
      <c r="D77" s="8">
        <v>3000000</v>
      </c>
      <c r="E77" s="8">
        <f t="shared" si="28"/>
        <v>5.2352941176470589</v>
      </c>
      <c r="F77" s="8">
        <f t="shared" si="29"/>
        <v>5</v>
      </c>
      <c r="N77" s="8">
        <v>160</v>
      </c>
      <c r="O77" s="8">
        <f>节奏预期!N92</f>
        <v>16.20098154968051</v>
      </c>
      <c r="P77" s="8">
        <f>节奏预期!O92</f>
        <v>2023766.4539934078</v>
      </c>
      <c r="Q77" s="8">
        <f>IF(N77&lt;=节奏预期!$B$1,0,求节点(洗练相关资料!$M$5:$M$105,INDEX(洗练相关资料!$O$5:$AD$105,,MATCH(MAX(INT(O77),5),洗练相关资料!$O$4:$AD$4,0)),P77/节奏预期!M92/求节点($C$51:$C$70,$D$51:$D$70,O77)))</f>
        <v>0.99985759973525989</v>
      </c>
      <c r="R77" s="8">
        <f>IF(N77&lt;=节奏预期!$B$1,0,节奏预期!M92*求节点($C$51:$C$70,$D$51:$D$70,O77)*INDEX(洗练相关资料!$M$5:$M$105,MATCH(0.9,INDEX(洗练相关资料!$O$5:$AD$105,,MATCH(MAX(INT(O77),5),洗练相关资料!$O$4:$AD$4,0)))))</f>
        <v>11200</v>
      </c>
      <c r="S77" s="8">
        <f>IF(N77&lt;=节奏预期!$B$1,0,((求节点($C$28:$C$47,$E$28:$E$47,O77)-求节点($C$28:$C$47,$D$28:$D$47,O77))*Q77+求节点($C$28:$C$47,$D$28:$D$47,O77))*求节点($C$28:$C$47,$F$28:$F$47,O77))*节奏预期!M92</f>
        <v>2.7359169240868537</v>
      </c>
      <c r="T77" s="8">
        <f t="shared" si="17"/>
        <v>180.69343339226856</v>
      </c>
      <c r="Z77" s="5">
        <v>73</v>
      </c>
      <c r="AA77" s="5">
        <f>IFERROR(75*精英野怪!$Z77/精英野怪!$K$19/精英野怪!$Y77,AA78)</f>
        <v>9.5652173913043477</v>
      </c>
      <c r="AK77" s="5">
        <v>73</v>
      </c>
      <c r="AL77" s="5">
        <f t="shared" si="18"/>
        <v>0.32922287508860032</v>
      </c>
      <c r="AM77" s="5">
        <f t="shared" si="19"/>
        <v>0.12523421094470091</v>
      </c>
      <c r="AN77" s="5">
        <f t="shared" si="20"/>
        <v>0.17343589118238273</v>
      </c>
      <c r="AO77" s="5">
        <f t="shared" si="21"/>
        <v>0.26117472908103956</v>
      </c>
      <c r="AP77" s="5">
        <f t="shared" si="22"/>
        <v>0.33416965683543609</v>
      </c>
      <c r="AV77" s="5">
        <v>73</v>
      </c>
      <c r="AW77" s="5">
        <f t="shared" si="23"/>
        <v>0.17763712724502156</v>
      </c>
      <c r="AX77" s="5">
        <f t="shared" si="24"/>
        <v>0.60051901269480501</v>
      </c>
      <c r="AY77" s="5">
        <f t="shared" si="25"/>
        <v>0.65969140694371731</v>
      </c>
      <c r="AZ77" s="5">
        <f t="shared" si="26"/>
        <v>0.85433210006337545</v>
      </c>
      <c r="BA77" s="5">
        <f t="shared" si="27"/>
        <v>0.91454352743262612</v>
      </c>
    </row>
    <row r="78" spans="2:53" x14ac:dyDescent="0.15">
      <c r="B78" s="54"/>
      <c r="C78" s="8">
        <v>5</v>
      </c>
      <c r="D78" s="8">
        <v>10000000</v>
      </c>
      <c r="E78" s="8">
        <f t="shared" si="28"/>
        <v>4.595505617977528</v>
      </c>
      <c r="F78" s="8">
        <f t="shared" si="29"/>
        <v>3.3333333333333335</v>
      </c>
      <c r="Z78" s="5">
        <v>74</v>
      </c>
      <c r="AA78" s="5">
        <f>IFERROR(75*精英野怪!$Z78/精英野怪!$K$19/精英野怪!$Y78,AA79)</f>
        <v>9.1666666666666661</v>
      </c>
      <c r="AK78" s="5">
        <v>74</v>
      </c>
      <c r="AL78" s="5">
        <f t="shared" si="18"/>
        <v>0.36842375606014527</v>
      </c>
      <c r="AM78" s="5">
        <f t="shared" si="19"/>
        <v>0.13579529416540087</v>
      </c>
      <c r="AN78" s="5">
        <f t="shared" si="20"/>
        <v>0.19081892995358274</v>
      </c>
      <c r="AO78" s="5">
        <f t="shared" si="21"/>
        <v>0.27955930361289338</v>
      </c>
      <c r="AP78" s="5">
        <f t="shared" si="22"/>
        <v>0.35986695092729193</v>
      </c>
      <c r="AV78" s="5">
        <v>74</v>
      </c>
      <c r="AW78" s="5">
        <f t="shared" si="23"/>
        <v>0.19584310832009197</v>
      </c>
      <c r="AX78" s="5">
        <f t="shared" si="24"/>
        <v>0.61556329241112528</v>
      </c>
      <c r="AY78" s="5">
        <f t="shared" si="25"/>
        <v>0.67630419379590623</v>
      </c>
      <c r="AZ78" s="5">
        <f t="shared" si="26"/>
        <v>0.90309892597557928</v>
      </c>
      <c r="BA78" s="5">
        <f t="shared" si="27"/>
        <v>0.97219945885455394</v>
      </c>
    </row>
    <row r="79" spans="2:53" x14ac:dyDescent="0.15">
      <c r="B79" s="54"/>
      <c r="C79" s="8">
        <v>6</v>
      </c>
      <c r="D79" s="8">
        <v>20000000</v>
      </c>
      <c r="E79" s="8">
        <f t="shared" si="28"/>
        <v>2.5647921760391199</v>
      </c>
      <c r="F79" s="8">
        <f t="shared" si="29"/>
        <v>2</v>
      </c>
      <c r="Z79" s="5">
        <v>75</v>
      </c>
      <c r="AA79" s="5">
        <f>IFERROR(75*精英野怪!$Z79/精英野怪!$K$19/精英野怪!$Y79,AA80)</f>
        <v>8.8000000000000007</v>
      </c>
      <c r="AK79" s="5">
        <v>75</v>
      </c>
      <c r="AL79" s="5">
        <f t="shared" si="18"/>
        <v>0.40762463703169022</v>
      </c>
      <c r="AM79" s="5">
        <f t="shared" si="19"/>
        <v>0.14635637738610086</v>
      </c>
      <c r="AN79" s="5">
        <f t="shared" si="20"/>
        <v>0.20820196872478275</v>
      </c>
      <c r="AO79" s="5">
        <f t="shared" si="21"/>
        <v>0.29794387814474721</v>
      </c>
      <c r="AP79" s="5">
        <f t="shared" si="22"/>
        <v>0.38556424501914777</v>
      </c>
      <c r="AV79" s="5">
        <v>75</v>
      </c>
      <c r="AW79" s="5">
        <f t="shared" si="23"/>
        <v>0.21404908939516237</v>
      </c>
      <c r="AX79" s="5">
        <f t="shared" si="24"/>
        <v>0.63060757212744556</v>
      </c>
      <c r="AY79" s="5">
        <f t="shared" si="25"/>
        <v>0.69291698064809515</v>
      </c>
      <c r="AZ79" s="5">
        <f t="shared" si="26"/>
        <v>0.95186575188778311</v>
      </c>
      <c r="BA79" s="5">
        <f t="shared" si="27"/>
        <v>1.0298553902764815</v>
      </c>
    </row>
    <row r="80" spans="2:53" x14ac:dyDescent="0.15">
      <c r="B80" s="54"/>
      <c r="C80" s="8">
        <v>7</v>
      </c>
      <c r="D80" s="8">
        <v>30000000</v>
      </c>
      <c r="E80" s="8">
        <f t="shared" si="28"/>
        <v>1.9914204003813156</v>
      </c>
      <c r="F80" s="8">
        <f t="shared" si="29"/>
        <v>1.5</v>
      </c>
      <c r="M80" s="5" t="s">
        <v>131</v>
      </c>
      <c r="N80" s="8" t="s">
        <v>141</v>
      </c>
      <c r="O80" s="8" t="s">
        <v>183</v>
      </c>
      <c r="P80" s="8" t="s">
        <v>212</v>
      </c>
      <c r="Q80" s="8" t="s">
        <v>180</v>
      </c>
      <c r="R80" s="8" t="s">
        <v>213</v>
      </c>
      <c r="S80" s="8" t="s">
        <v>185</v>
      </c>
      <c r="T80" s="8" t="s">
        <v>214</v>
      </c>
      <c r="Z80" s="5">
        <v>76</v>
      </c>
      <c r="AA80" s="5">
        <f>IFERROR(75*精英野怪!$Z80/精英野怪!$K$19/精英野怪!$Y80,AA81)</f>
        <v>8.4615384615384617</v>
      </c>
      <c r="AK80" s="5">
        <v>76</v>
      </c>
      <c r="AL80" s="5">
        <f t="shared" si="18"/>
        <v>0.44682551800323522</v>
      </c>
      <c r="AM80" s="5">
        <f t="shared" si="19"/>
        <v>0.15691746060680084</v>
      </c>
      <c r="AN80" s="5">
        <f t="shared" si="20"/>
        <v>0.22558500749598276</v>
      </c>
      <c r="AO80" s="5">
        <f t="shared" si="21"/>
        <v>0.31632845267660104</v>
      </c>
      <c r="AP80" s="5">
        <f t="shared" si="22"/>
        <v>0.4112615391110036</v>
      </c>
      <c r="AV80" s="5">
        <v>76</v>
      </c>
      <c r="AW80" s="5">
        <f t="shared" si="23"/>
        <v>0.23225507047023275</v>
      </c>
      <c r="AX80" s="5">
        <f t="shared" si="24"/>
        <v>0.64565185184376583</v>
      </c>
      <c r="AY80" s="5">
        <f t="shared" si="25"/>
        <v>0.70952976750028407</v>
      </c>
      <c r="AZ80" s="5">
        <f t="shared" si="26"/>
        <v>1.0006325777999869</v>
      </c>
      <c r="BA80" s="5">
        <f t="shared" si="27"/>
        <v>1.0875113216984094</v>
      </c>
    </row>
    <row r="81" spans="2:53" x14ac:dyDescent="0.15">
      <c r="B81" s="54"/>
      <c r="C81" s="8">
        <v>8</v>
      </c>
      <c r="D81" s="8">
        <v>40000000</v>
      </c>
      <c r="E81" s="8">
        <f t="shared" si="28"/>
        <v>1.7467687888942078</v>
      </c>
      <c r="F81" s="8">
        <f t="shared" si="29"/>
        <v>1.3333333333333333</v>
      </c>
      <c r="N81" s="8">
        <v>10</v>
      </c>
      <c r="O81" s="8">
        <f>节奏预期!N96</f>
        <v>0</v>
      </c>
      <c r="P81" s="8">
        <f>节奏预期!O96</f>
        <v>0</v>
      </c>
      <c r="Q81" s="8">
        <f>IF(N81&lt;=节奏预期!$B$1,0,求节点(洗练相关资料!$M$5:$M$105,INDEX(洗练相关资料!$O$5:$AD$105,,MATCH(MAX(INT(O81),5),洗练相关资料!$O$4:$AD$4,0)),P81/节奏预期!M96/求节点($C$51:$C$70,$D$51:$D$70,O81)))</f>
        <v>0</v>
      </c>
      <c r="R81" s="8">
        <f>IF(N81&lt;=节奏预期!$B$1,0,节奏预期!M96*求节点($C$51:$C$70,$D$51:$D$70,O81)*INDEX(洗练相关资料!$M$5:$M$105,MATCH(0.9,INDEX(洗练相关资料!$O$5:$AD$105,,MATCH(MAX(INT(O81),5),洗练相关资料!$O$4:$AD$4,0)))))</f>
        <v>0</v>
      </c>
      <c r="S81" s="8">
        <f>IF(N81&lt;=节奏预期!$B$1,0,((求节点($C$28:$C$47,$E$28:$E$47,O81)-求节点($C$28:$C$47,$D$28:$D$47,O81))*Q81+求节点($C$28:$C$47,$D$28:$D$47,O81))*求节点($C$28:$C$47,$F$28:$F$47,O81))*节奏预期!M96</f>
        <v>0</v>
      </c>
      <c r="T81" s="8">
        <f>IF(P81=0,0,P81/R81)</f>
        <v>0</v>
      </c>
      <c r="Z81" s="5">
        <v>77</v>
      </c>
      <c r="AA81" s="5">
        <f>IFERROR(75*精英野怪!$Z81/精英野怪!$K$19/精英野怪!$Y81,AA82)</f>
        <v>8.1481481481481488</v>
      </c>
      <c r="AK81" s="5">
        <v>77</v>
      </c>
      <c r="AL81" s="5">
        <f t="shared" si="18"/>
        <v>0.48602639897478017</v>
      </c>
      <c r="AM81" s="5">
        <f t="shared" si="19"/>
        <v>0.16747854382750083</v>
      </c>
      <c r="AN81" s="5">
        <f t="shared" si="20"/>
        <v>0.24296804626718274</v>
      </c>
      <c r="AO81" s="5">
        <f t="shared" si="21"/>
        <v>0.33471302720845486</v>
      </c>
      <c r="AP81" s="5">
        <f t="shared" si="22"/>
        <v>0.43695883320285944</v>
      </c>
      <c r="AV81" s="5">
        <v>77</v>
      </c>
      <c r="AW81" s="5">
        <f t="shared" si="23"/>
        <v>0.25046105154530313</v>
      </c>
      <c r="AX81" s="5">
        <f t="shared" si="24"/>
        <v>0.66069613156008611</v>
      </c>
      <c r="AY81" s="5">
        <f t="shared" si="25"/>
        <v>0.72614255435247299</v>
      </c>
      <c r="AZ81" s="5">
        <f t="shared" si="26"/>
        <v>1.0493994037121908</v>
      </c>
      <c r="BA81" s="5">
        <f t="shared" si="27"/>
        <v>1.145167253120337</v>
      </c>
    </row>
    <row r="82" spans="2:53" x14ac:dyDescent="0.15">
      <c r="B82" s="54"/>
      <c r="C82" s="8">
        <v>9</v>
      </c>
      <c r="D82" s="8">
        <v>50000000</v>
      </c>
      <c r="E82" s="8">
        <f t="shared" si="28"/>
        <v>1.6029049054535489</v>
      </c>
      <c r="F82" s="8">
        <f t="shared" si="29"/>
        <v>1.25</v>
      </c>
      <c r="N82" s="8">
        <v>20</v>
      </c>
      <c r="O82" s="8">
        <f>节奏预期!N97</f>
        <v>0</v>
      </c>
      <c r="P82" s="8">
        <f>节奏预期!O97</f>
        <v>0</v>
      </c>
      <c r="Q82" s="8">
        <f>IF(N82&lt;=节奏预期!$B$1,0,求节点(洗练相关资料!$M$5:$M$105,INDEX(洗练相关资料!$O$5:$AD$105,,MATCH(MAX(INT(O82),5),洗练相关资料!$O$4:$AD$4,0)),P82/节奏预期!M97/求节点($C$51:$C$70,$D$51:$D$70,O82)))</f>
        <v>0</v>
      </c>
      <c r="R82" s="8">
        <f>IF(N82&lt;=节奏预期!$B$1,0,节奏预期!M97*求节点($C$51:$C$70,$D$51:$D$70,O82)*INDEX(洗练相关资料!$M$5:$M$105,MATCH(0.9,INDEX(洗练相关资料!$O$5:$AD$105,,MATCH(MAX(INT(O82),5),洗练相关资料!$O$4:$AD$4,0)))))</f>
        <v>0</v>
      </c>
      <c r="S82" s="8">
        <f>IF(N82&lt;=节奏预期!$B$1,0,((求节点($C$28:$C$47,$E$28:$E$47,O82)-求节点($C$28:$C$47,$D$28:$D$47,O82))*Q82+求节点($C$28:$C$47,$D$28:$D$47,O82))*求节点($C$28:$C$47,$F$28:$F$47,O82))*节奏预期!M97</f>
        <v>0</v>
      </c>
      <c r="T82" s="8">
        <f t="shared" ref="T82:T96" si="30">IF(P82=0,0,P82/R82)</f>
        <v>0</v>
      </c>
      <c r="Z82" s="5">
        <v>78</v>
      </c>
      <c r="AA82" s="5">
        <f>IFERROR(75*精英野怪!$Z82/精英野怪!$K$19/精英野怪!$Y82,AA83)</f>
        <v>7.8571428571428568</v>
      </c>
      <c r="AK82" s="5">
        <v>78</v>
      </c>
      <c r="AL82" s="5">
        <f t="shared" si="18"/>
        <v>0.52522727994632512</v>
      </c>
      <c r="AM82" s="5">
        <f t="shared" si="19"/>
        <v>0.17803962704820078</v>
      </c>
      <c r="AN82" s="5">
        <f t="shared" si="20"/>
        <v>0.26035108503838272</v>
      </c>
      <c r="AO82" s="5">
        <f t="shared" si="21"/>
        <v>0.35309760174030869</v>
      </c>
      <c r="AP82" s="5">
        <f t="shared" si="22"/>
        <v>0.46265612729471528</v>
      </c>
      <c r="AV82" s="5">
        <v>78</v>
      </c>
      <c r="AW82" s="5">
        <f t="shared" si="23"/>
        <v>0.26866703262037356</v>
      </c>
      <c r="AX82" s="5">
        <f t="shared" si="24"/>
        <v>0.67574041127640638</v>
      </c>
      <c r="AY82" s="5">
        <f t="shared" si="25"/>
        <v>0.74275534120466191</v>
      </c>
      <c r="AZ82" s="5">
        <f t="shared" si="26"/>
        <v>1.0981662296243946</v>
      </c>
      <c r="BA82" s="5">
        <f t="shared" si="27"/>
        <v>1.2028231845422648</v>
      </c>
    </row>
    <row r="83" spans="2:53" x14ac:dyDescent="0.15">
      <c r="B83" s="54"/>
      <c r="C83" s="8">
        <v>10</v>
      </c>
      <c r="D83" s="8">
        <v>60000000</v>
      </c>
      <c r="E83" s="8">
        <f t="shared" si="28"/>
        <v>1.5129081894340912</v>
      </c>
      <c r="F83" s="8">
        <f t="shared" si="29"/>
        <v>1.2</v>
      </c>
      <c r="N83" s="8">
        <v>30</v>
      </c>
      <c r="O83" s="8">
        <f>节奏预期!N98</f>
        <v>0</v>
      </c>
      <c r="P83" s="8">
        <f>节奏预期!O98</f>
        <v>0</v>
      </c>
      <c r="Q83" s="8">
        <f>IF(N83&lt;=节奏预期!$B$1,0,求节点(洗练相关资料!$M$5:$M$105,INDEX(洗练相关资料!$O$5:$AD$105,,MATCH(MAX(INT(O83),5),洗练相关资料!$O$4:$AD$4,0)),P83/节奏预期!M98/求节点($C$51:$C$70,$D$51:$D$70,O83)))</f>
        <v>0</v>
      </c>
      <c r="R83" s="8">
        <f>IF(N83&lt;=节奏预期!$B$1,0,节奏预期!M98*求节点($C$51:$C$70,$D$51:$D$70,O83)*INDEX(洗练相关资料!$M$5:$M$105,MATCH(0.9,INDEX(洗练相关资料!$O$5:$AD$105,,MATCH(MAX(INT(O83),5),洗练相关资料!$O$4:$AD$4,0)))))</f>
        <v>0</v>
      </c>
      <c r="S83" s="8">
        <f>IF(N83&lt;=节奏预期!$B$1,0,((求节点($C$28:$C$47,$E$28:$E$47,O83)-求节点($C$28:$C$47,$D$28:$D$47,O83))*Q83+求节点($C$28:$C$47,$D$28:$D$47,O83))*求节点($C$28:$C$47,$F$28:$F$47,O83))*节奏预期!M98</f>
        <v>0</v>
      </c>
      <c r="T83" s="8">
        <f t="shared" si="30"/>
        <v>0</v>
      </c>
      <c r="Z83" s="5">
        <v>79</v>
      </c>
      <c r="AA83" s="5">
        <f>IFERROR(75*精英野怪!$Z83/精英野怪!$K$19/精英野怪!$Y83,AA84)</f>
        <v>7.5862068965517251</v>
      </c>
      <c r="AK83" s="5">
        <v>79</v>
      </c>
      <c r="AL83" s="5">
        <f t="shared" si="18"/>
        <v>0.56442816091787007</v>
      </c>
      <c r="AM83" s="5">
        <f t="shared" si="19"/>
        <v>0.18860071026890074</v>
      </c>
      <c r="AN83" s="5">
        <f t="shared" si="20"/>
        <v>0.27773412380958273</v>
      </c>
      <c r="AO83" s="5">
        <f t="shared" si="21"/>
        <v>0.37148217627216251</v>
      </c>
      <c r="AP83" s="5">
        <f t="shared" si="22"/>
        <v>0.48835342138657112</v>
      </c>
      <c r="AV83" s="5">
        <v>79</v>
      </c>
      <c r="AW83" s="5">
        <f t="shared" si="23"/>
        <v>0.28687301369544393</v>
      </c>
      <c r="AX83" s="5">
        <f t="shared" si="24"/>
        <v>0.69078469099272666</v>
      </c>
      <c r="AY83" s="5">
        <f t="shared" si="25"/>
        <v>0.75936812805685083</v>
      </c>
      <c r="AZ83" s="5">
        <f t="shared" si="26"/>
        <v>1.1469330555365984</v>
      </c>
      <c r="BA83" s="5">
        <f t="shared" si="27"/>
        <v>1.2604791159641926</v>
      </c>
    </row>
    <row r="84" spans="2:53" x14ac:dyDescent="0.15">
      <c r="B84" s="54"/>
      <c r="C84" s="8">
        <v>11</v>
      </c>
      <c r="D84" s="8">
        <v>70000000</v>
      </c>
      <c r="E84" s="8">
        <f t="shared" si="28"/>
        <v>1.6780427166911516</v>
      </c>
      <c r="F84" s="8">
        <f t="shared" si="29"/>
        <v>1.1666666666666667</v>
      </c>
      <c r="N84" s="8">
        <v>40</v>
      </c>
      <c r="O84" s="8">
        <f>节奏预期!N99</f>
        <v>0</v>
      </c>
      <c r="P84" s="8">
        <f>节奏预期!O99</f>
        <v>0</v>
      </c>
      <c r="Q84" s="8">
        <f>IF(N84&lt;=节奏预期!$B$1,0,求节点(洗练相关资料!$M$5:$M$105,INDEX(洗练相关资料!$O$5:$AD$105,,MATCH(MAX(INT(O84),5),洗练相关资料!$O$4:$AD$4,0)),P84/节奏预期!M99/求节点($C$51:$C$70,$D$51:$D$70,O84)))</f>
        <v>0</v>
      </c>
      <c r="R84" s="8">
        <f>IF(N84&lt;=节奏预期!$B$1,0,节奏预期!M99*求节点($C$51:$C$70,$D$51:$D$70,O84)*INDEX(洗练相关资料!$M$5:$M$105,MATCH(0.9,INDEX(洗练相关资料!$O$5:$AD$105,,MATCH(MAX(INT(O84),5),洗练相关资料!$O$4:$AD$4,0)))))</f>
        <v>0</v>
      </c>
      <c r="S84" s="8">
        <f>IF(N84&lt;=节奏预期!$B$1,0,((求节点($C$28:$C$47,$E$28:$E$47,O84)-求节点($C$28:$C$47,$D$28:$D$47,O84))*Q84+求节点($C$28:$C$47,$D$28:$D$47,O84))*求节点($C$28:$C$47,$F$28:$F$47,O84))*节奏预期!M99</f>
        <v>0</v>
      </c>
      <c r="T84" s="8">
        <f t="shared" si="30"/>
        <v>0</v>
      </c>
      <c r="Z84" s="5">
        <v>80</v>
      </c>
      <c r="AA84" s="5">
        <f>IFERROR(75*精英野怪!$Z84/精英野怪!$K$19/精英野怪!$Y84,AA85)</f>
        <v>7.333333333333333</v>
      </c>
      <c r="AK84" s="5">
        <v>80</v>
      </c>
      <c r="AL84" s="5">
        <f t="shared" si="18"/>
        <v>0.60362904188941502</v>
      </c>
      <c r="AM84" s="5">
        <f t="shared" si="19"/>
        <v>0.19916179348960072</v>
      </c>
      <c r="AN84" s="5">
        <f t="shared" si="20"/>
        <v>0.29511716258078274</v>
      </c>
      <c r="AO84" s="5">
        <f t="shared" si="21"/>
        <v>0.38986675080401628</v>
      </c>
      <c r="AP84" s="5">
        <f t="shared" si="22"/>
        <v>0.51405071547842696</v>
      </c>
      <c r="AV84" s="5">
        <v>80</v>
      </c>
      <c r="AW84" s="5">
        <f t="shared" si="23"/>
        <v>0.30507899477051431</v>
      </c>
      <c r="AX84" s="5">
        <f t="shared" si="24"/>
        <v>0.70582897070904693</v>
      </c>
      <c r="AY84" s="5">
        <f t="shared" si="25"/>
        <v>0.77598091490903975</v>
      </c>
      <c r="AZ84" s="5">
        <f t="shared" si="26"/>
        <v>1.1956998814488022</v>
      </c>
      <c r="BA84" s="5">
        <f t="shared" si="27"/>
        <v>1.3181350473861202</v>
      </c>
    </row>
    <row r="85" spans="2:53" x14ac:dyDescent="0.15">
      <c r="B85" s="54"/>
      <c r="C85" s="8">
        <v>12</v>
      </c>
      <c r="D85" s="8">
        <v>80000000</v>
      </c>
      <c r="E85" s="8">
        <f t="shared" si="28"/>
        <v>2.2122028419422182</v>
      </c>
      <c r="F85" s="8">
        <f t="shared" si="29"/>
        <v>1.1428571428571428</v>
      </c>
      <c r="N85" s="8">
        <v>50</v>
      </c>
      <c r="O85" s="8">
        <f>节奏预期!N100</f>
        <v>0</v>
      </c>
      <c r="P85" s="8">
        <f>节奏预期!O100</f>
        <v>0</v>
      </c>
      <c r="Q85" s="8">
        <f>IF(N85&lt;=节奏预期!$B$1,0,求节点(洗练相关资料!$M$5:$M$105,INDEX(洗练相关资料!$O$5:$AD$105,,MATCH(MAX(INT(O85),5),洗练相关资料!$O$4:$AD$4,0)),P85/节奏预期!M100/求节点($C$51:$C$70,$D$51:$D$70,O85)))</f>
        <v>0</v>
      </c>
      <c r="R85" s="8">
        <f>IF(N85&lt;=节奏预期!$B$1,0,节奏预期!M100*求节点($C$51:$C$70,$D$51:$D$70,O85)*INDEX(洗练相关资料!$M$5:$M$105,MATCH(0.9,INDEX(洗练相关资料!$O$5:$AD$105,,MATCH(MAX(INT(O85),5),洗练相关资料!$O$4:$AD$4,0)))))</f>
        <v>0</v>
      </c>
      <c r="S85" s="8">
        <f>IF(N85&lt;=节奏预期!$B$1,0,((求节点($C$28:$C$47,$E$28:$E$47,O85)-求节点($C$28:$C$47,$D$28:$D$47,O85))*Q85+求节点($C$28:$C$47,$D$28:$D$47,O85))*求节点($C$28:$C$47,$F$28:$F$47,O85))*节奏预期!M100</f>
        <v>0</v>
      </c>
      <c r="T85" s="8">
        <f t="shared" si="30"/>
        <v>0</v>
      </c>
      <c r="Z85" s="5">
        <v>81</v>
      </c>
      <c r="AA85" s="5">
        <f>IFERROR(75*精英野怪!$Z85/精英野怪!$K$19/精英野怪!$Y85,AA86)</f>
        <v>7.0967741935483861</v>
      </c>
      <c r="AK85" s="5">
        <v>81</v>
      </c>
      <c r="AL85" s="5">
        <f t="shared" si="18"/>
        <v>0.62883214327614878</v>
      </c>
      <c r="AM85" s="5">
        <f t="shared" si="19"/>
        <v>0.2089688368469724</v>
      </c>
      <c r="AN85" s="5">
        <f t="shared" si="20"/>
        <v>0.3070597921892394</v>
      </c>
      <c r="AO85" s="5">
        <f t="shared" si="21"/>
        <v>0.43626111771380699</v>
      </c>
      <c r="AP85" s="5">
        <f t="shared" si="22"/>
        <v>0.56591302336812788</v>
      </c>
      <c r="AV85" s="5">
        <v>81</v>
      </c>
      <c r="AW85" s="5">
        <f t="shared" si="23"/>
        <v>0.31628801840422538</v>
      </c>
      <c r="AX85" s="5">
        <f t="shared" si="24"/>
        <v>0.74712853936774259</v>
      </c>
      <c r="AY85" s="5">
        <f t="shared" si="25"/>
        <v>0.82000760138801432</v>
      </c>
      <c r="AZ85" s="5">
        <f t="shared" si="26"/>
        <v>1.2521775594008815</v>
      </c>
      <c r="BA85" s="5">
        <f t="shared" si="27"/>
        <v>1.3925638952535793</v>
      </c>
    </row>
    <row r="86" spans="2:53" x14ac:dyDescent="0.15">
      <c r="B86" s="54"/>
      <c r="C86" s="8">
        <v>13</v>
      </c>
      <c r="D86" s="8">
        <v>90000000</v>
      </c>
      <c r="E86" s="8">
        <f t="shared" si="28"/>
        <v>3.1918475448263264</v>
      </c>
      <c r="F86" s="8">
        <f t="shared" si="29"/>
        <v>1.125</v>
      </c>
      <c r="N86" s="8">
        <v>60</v>
      </c>
      <c r="O86" s="8">
        <f>节奏预期!N101</f>
        <v>0</v>
      </c>
      <c r="P86" s="8">
        <f>节奏预期!O101</f>
        <v>0</v>
      </c>
      <c r="Q86" s="8">
        <f>IF(N86&lt;=节奏预期!$B$1,0,求节点(洗练相关资料!$M$5:$M$105,INDEX(洗练相关资料!$O$5:$AD$105,,MATCH(MAX(INT(O86),5),洗练相关资料!$O$4:$AD$4,0)),P86/节奏预期!M101/求节点($C$51:$C$70,$D$51:$D$70,O86)))</f>
        <v>0</v>
      </c>
      <c r="R86" s="8">
        <f>IF(N86&lt;=节奏预期!$B$1,0,节奏预期!M101*求节点($C$51:$C$70,$D$51:$D$70,O86)*INDEX(洗练相关资料!$M$5:$M$105,MATCH(0.9,INDEX(洗练相关资料!$O$5:$AD$105,,MATCH(MAX(INT(O86),5),洗练相关资料!$O$4:$AD$4,0)))))</f>
        <v>0</v>
      </c>
      <c r="S86" s="8">
        <f>IF(N86&lt;=节奏预期!$B$1,0,((求节点($C$28:$C$47,$E$28:$E$47,O86)-求节点($C$28:$C$47,$D$28:$D$47,O86))*Q86+求节点($C$28:$C$47,$D$28:$D$47,O86))*求节点($C$28:$C$47,$F$28:$F$47,O86))*节奏预期!M101</f>
        <v>0</v>
      </c>
      <c r="T86" s="8">
        <f t="shared" si="30"/>
        <v>0</v>
      </c>
      <c r="Z86" s="5">
        <v>82</v>
      </c>
      <c r="AA86" s="5">
        <f>IFERROR(75*精英野怪!$Z86/精英野怪!$K$19/精英野怪!$Y86,AA87)</f>
        <v>6.875</v>
      </c>
      <c r="AK86" s="5">
        <v>82</v>
      </c>
      <c r="AL86" s="5">
        <f t="shared" si="18"/>
        <v>0.65403524466288265</v>
      </c>
      <c r="AM86" s="5">
        <f t="shared" si="19"/>
        <v>0.21877588020434408</v>
      </c>
      <c r="AN86" s="5">
        <f t="shared" si="20"/>
        <v>0.31900242179769606</v>
      </c>
      <c r="AO86" s="5">
        <f t="shared" si="21"/>
        <v>0.4826554846235977</v>
      </c>
      <c r="AP86" s="5">
        <f t="shared" si="22"/>
        <v>0.6177753312578288</v>
      </c>
      <c r="AV86" s="5">
        <v>82</v>
      </c>
      <c r="AW86" s="5">
        <f t="shared" si="23"/>
        <v>0.32749704203793645</v>
      </c>
      <c r="AX86" s="5">
        <f t="shared" si="24"/>
        <v>0.78842810802643826</v>
      </c>
      <c r="AY86" s="5">
        <f t="shared" si="25"/>
        <v>0.86403428786698899</v>
      </c>
      <c r="AZ86" s="5">
        <f t="shared" si="26"/>
        <v>1.308655237352961</v>
      </c>
      <c r="BA86" s="5">
        <f t="shared" si="27"/>
        <v>1.4669927431210381</v>
      </c>
    </row>
    <row r="87" spans="2:53" x14ac:dyDescent="0.15">
      <c r="B87" s="54"/>
      <c r="C87" s="8">
        <v>14</v>
      </c>
      <c r="D87" s="8">
        <v>100000000</v>
      </c>
      <c r="E87" s="8">
        <f t="shared" si="28"/>
        <v>4.4335091417180896</v>
      </c>
      <c r="F87" s="8">
        <f t="shared" si="29"/>
        <v>1.1111111111111112</v>
      </c>
      <c r="N87" s="8">
        <v>70</v>
      </c>
      <c r="O87" s="8">
        <f>节奏预期!N102</f>
        <v>11.38429951473724</v>
      </c>
      <c r="P87" s="8">
        <f>节奏预期!O102</f>
        <v>1439.6355375352643</v>
      </c>
      <c r="Q87" s="8">
        <f>IF(N87&lt;=节奏预期!$B$1,0,求节点(洗练相关资料!$M$5:$M$105,INDEX(洗练相关资料!$O$5:$AD$105,,MATCH(MAX(INT(O87),5),洗练相关资料!$O$4:$AD$4,0)),P87/节奏预期!M102/求节点($C$51:$C$70,$D$51:$D$70,O87)))</f>
        <v>0.35015677034079645</v>
      </c>
      <c r="R87" s="8">
        <f>IF(N87&lt;=节奏预期!$B$1,0,节奏预期!M102*求节点($C$51:$C$70,$D$51:$D$70,O87)*INDEX(洗练相关资料!$M$5:$M$105,MATCH(0.9,INDEX(洗练相关资料!$O$5:$AD$105,,MATCH(MAX(INT(O87),5),洗练相关资料!$O$4:$AD$4,0)))))</f>
        <v>5600</v>
      </c>
      <c r="S87" s="8">
        <f>IF(N87&lt;=节奏预期!$B$1,0,((求节点($C$28:$C$47,$E$28:$E$47,O87)-求节点($C$28:$C$47,$D$28:$D$47,O87))*Q87+求节点($C$28:$C$47,$D$28:$D$47,O87))*求节点($C$28:$C$47,$F$28:$F$47,O87))*节奏预期!M102</f>
        <v>0.741575733166843</v>
      </c>
      <c r="T87" s="8">
        <f t="shared" si="30"/>
        <v>0.25707777455986863</v>
      </c>
      <c r="Z87" s="5">
        <v>83</v>
      </c>
      <c r="AA87" s="5">
        <f>IFERROR(75*精英野怪!$Z87/精英野怪!$K$19/精英野怪!$Y87,AA88)</f>
        <v>6.6666666666666661</v>
      </c>
      <c r="AK87" s="5">
        <v>83</v>
      </c>
      <c r="AL87" s="5">
        <f t="shared" si="18"/>
        <v>0.67923834604961641</v>
      </c>
      <c r="AM87" s="5">
        <f t="shared" si="19"/>
        <v>0.22858292356171575</v>
      </c>
      <c r="AN87" s="5">
        <f t="shared" si="20"/>
        <v>0.33094505140615271</v>
      </c>
      <c r="AO87" s="5">
        <f t="shared" si="21"/>
        <v>0.52904985153338846</v>
      </c>
      <c r="AP87" s="15">
        <f t="shared" si="22"/>
        <v>0.66963763914752983</v>
      </c>
      <c r="AV87" s="5">
        <v>83</v>
      </c>
      <c r="AW87" s="5">
        <f t="shared" si="23"/>
        <v>0.33870606567164752</v>
      </c>
      <c r="AX87" s="5">
        <f t="shared" si="24"/>
        <v>0.82972767668513392</v>
      </c>
      <c r="AY87" s="5">
        <f t="shared" si="25"/>
        <v>0.90806097434596356</v>
      </c>
      <c r="AZ87" s="5">
        <f t="shared" si="26"/>
        <v>1.3651329153050402</v>
      </c>
      <c r="BA87" s="5">
        <f t="shared" si="27"/>
        <v>1.5414215909884972</v>
      </c>
    </row>
    <row r="88" spans="2:53" x14ac:dyDescent="0.15">
      <c r="B88" s="54"/>
      <c r="C88" s="8">
        <v>15</v>
      </c>
      <c r="D88" s="8">
        <v>110000000</v>
      </c>
      <c r="E88" s="8">
        <f t="shared" si="28"/>
        <v>5.7327196573510966</v>
      </c>
      <c r="F88" s="8">
        <f t="shared" si="29"/>
        <v>1.1000000000000001</v>
      </c>
      <c r="N88" s="8">
        <v>80</v>
      </c>
      <c r="O88" s="8">
        <f>节奏预期!N103</f>
        <v>12.224011158829486</v>
      </c>
      <c r="P88" s="8">
        <f>节奏预期!O103</f>
        <v>4420.8361531144719</v>
      </c>
      <c r="Q88" s="8">
        <f>IF(N88&lt;=节奏预期!$B$1,0,求节点(洗练相关资料!$M$5:$M$105,INDEX(洗练相关资料!$O$5:$AD$105,,MATCH(MAX(INT(O88),5),洗练相关资料!$O$4:$AD$4,0)),P88/节奏预期!M103/求节点($C$51:$C$70,$D$51:$D$70,O88)))</f>
        <v>0.47865714607532533</v>
      </c>
      <c r="R88" s="8">
        <f>IF(N88&lt;=节奏预期!$B$1,0,节奏预期!M103*求节点($C$51:$C$70,$D$51:$D$70,O88)*INDEX(洗练相关资料!$M$5:$M$105,MATCH(0.9,INDEX(洗练相关资料!$O$5:$AD$105,,MATCH(MAX(INT(O88),5),洗练相关资料!$O$4:$AD$4,0)))))</f>
        <v>8600</v>
      </c>
      <c r="S88" s="8">
        <f>IF(N88&lt;=节奏预期!$B$1,0,((求节点($C$28:$C$47,$E$28:$E$47,O88)-求节点($C$28:$C$47,$D$28:$D$47,O88))*Q88+求节点($C$28:$C$47,$D$28:$D$47,O88))*求节点($C$28:$C$47,$F$28:$F$47,O88))*节奏预期!M103</f>
        <v>1.3181350473861202</v>
      </c>
      <c r="T88" s="8">
        <f t="shared" si="30"/>
        <v>0.51405071547842696</v>
      </c>
      <c r="Z88" s="5">
        <v>84</v>
      </c>
      <c r="AA88" s="5">
        <f>IFERROR(75*精英野怪!$Z88/精英野怪!$K$19/精英野怪!$Y88,AA89)</f>
        <v>6.4705882352941178</v>
      </c>
      <c r="AK88" s="5">
        <v>84</v>
      </c>
      <c r="AL88" s="5">
        <f t="shared" si="18"/>
        <v>0.70444144743635018</v>
      </c>
      <c r="AM88" s="5">
        <f t="shared" si="19"/>
        <v>0.23838996691908743</v>
      </c>
      <c r="AN88" s="5">
        <f t="shared" si="20"/>
        <v>0.34288768101460931</v>
      </c>
      <c r="AO88" s="5">
        <f t="shared" si="21"/>
        <v>0.57544421844317917</v>
      </c>
      <c r="AP88" s="5">
        <f t="shared" si="22"/>
        <v>0.72149994703723075</v>
      </c>
      <c r="AV88" s="5">
        <v>84</v>
      </c>
      <c r="AW88" s="5">
        <f t="shared" si="23"/>
        <v>0.34991508930535858</v>
      </c>
      <c r="AX88" s="5">
        <f t="shared" si="24"/>
        <v>0.87102724534382969</v>
      </c>
      <c r="AY88" s="5">
        <f t="shared" si="25"/>
        <v>0.95208766082493823</v>
      </c>
      <c r="AZ88" s="5">
        <f t="shared" si="26"/>
        <v>1.4216105932571195</v>
      </c>
      <c r="BA88" s="5">
        <f t="shared" si="27"/>
        <v>1.615850438855956</v>
      </c>
    </row>
    <row r="89" spans="2:53" x14ac:dyDescent="0.15">
      <c r="B89" s="54"/>
      <c r="C89" s="8">
        <v>16</v>
      </c>
      <c r="D89" s="8">
        <v>120000000</v>
      </c>
      <c r="E89" s="8">
        <f t="shared" si="28"/>
        <v>5.9533763451512636</v>
      </c>
      <c r="F89" s="8">
        <f t="shared" si="29"/>
        <v>1.0909090909090908</v>
      </c>
      <c r="N89" s="8">
        <v>90</v>
      </c>
      <c r="O89" s="8">
        <f>节奏预期!N104</f>
        <v>13.021101134073957</v>
      </c>
      <c r="P89" s="8">
        <f>节奏预期!O104</f>
        <v>9707.133667129101</v>
      </c>
      <c r="Q89" s="8">
        <f>IF(N89&lt;=节奏预期!$B$1,0,求节点(洗练相关资料!$M$5:$M$105,INDEX(洗练相关资料!$O$5:$AD$105,,MATCH(MAX(INT(O89),5),洗练相关资料!$O$4:$AD$4,0)),P89/节奏预期!M104/求节点($C$51:$C$70,$D$51:$D$70,O89)))</f>
        <v>0.92972449241411104</v>
      </c>
      <c r="R89" s="8">
        <f>IF(N89&lt;=节奏预期!$B$1,0,节奏预期!M104*求节点($C$51:$C$70,$D$51:$D$70,O89)*INDEX(洗练相关资料!$M$5:$M$105,MATCH(0.9,INDEX(洗练相关资料!$O$5:$AD$105,,MATCH(MAX(INT(O89),5),洗练相关资料!$O$4:$AD$4,0)))))</f>
        <v>9400</v>
      </c>
      <c r="S89" s="8">
        <f>IF(N89&lt;=节奏预期!$B$1,0,((求节点($C$28:$C$47,$E$28:$E$47,O89)-求节点($C$28:$C$47,$D$28:$D$47,O89))*Q89+求节点($C$28:$C$47,$D$28:$D$47,O89))*求节点($C$28:$C$47,$F$28:$F$47,O89))*节奏预期!M104</f>
        <v>2.06242352606071</v>
      </c>
      <c r="T89" s="8">
        <f t="shared" si="30"/>
        <v>1.0326737943754363</v>
      </c>
      <c r="Z89" s="5">
        <v>85</v>
      </c>
      <c r="AA89" s="5">
        <f>IFERROR(75*精英野怪!$Z89/精英野怪!$K$19/精英野怪!$Y89,AA90)</f>
        <v>6.2857142857142856</v>
      </c>
      <c r="AK89" s="5">
        <v>85</v>
      </c>
      <c r="AL89" s="5">
        <f t="shared" si="18"/>
        <v>0.72964454882308405</v>
      </c>
      <c r="AM89" s="5">
        <f t="shared" si="19"/>
        <v>0.2481970102764591</v>
      </c>
      <c r="AN89" s="5">
        <f t="shared" si="20"/>
        <v>0.35483031062306597</v>
      </c>
      <c r="AO89" s="5">
        <f t="shared" si="21"/>
        <v>0.62183858535296987</v>
      </c>
      <c r="AP89" s="5">
        <f t="shared" si="22"/>
        <v>0.77336225492693167</v>
      </c>
      <c r="AV89" s="5">
        <v>85</v>
      </c>
      <c r="AW89" s="5">
        <f t="shared" si="23"/>
        <v>0.36112411293906965</v>
      </c>
      <c r="AX89" s="5">
        <f t="shared" si="24"/>
        <v>0.91232681400252535</v>
      </c>
      <c r="AY89" s="5">
        <f t="shared" si="25"/>
        <v>0.99611434730391279</v>
      </c>
      <c r="AZ89" s="5">
        <f t="shared" si="26"/>
        <v>1.4780882712091987</v>
      </c>
      <c r="BA89" s="5">
        <f t="shared" si="27"/>
        <v>1.6902792867234151</v>
      </c>
    </row>
    <row r="90" spans="2:53" x14ac:dyDescent="0.15">
      <c r="B90" s="54"/>
      <c r="C90" s="8">
        <v>17</v>
      </c>
      <c r="D90" s="8">
        <v>130000000</v>
      </c>
      <c r="E90" s="8">
        <f t="shared" si="28"/>
        <v>6.0425944804139009</v>
      </c>
      <c r="F90" s="8">
        <f t="shared" si="29"/>
        <v>1.0833333333333333</v>
      </c>
      <c r="N90" s="8">
        <v>100</v>
      </c>
      <c r="O90" s="8">
        <f>节奏预期!N105</f>
        <v>13.401540386197489</v>
      </c>
      <c r="P90" s="8">
        <f>节奏预期!O105</f>
        <v>20527.867768057717</v>
      </c>
      <c r="Q90" s="8">
        <f>IF(N90&lt;=节奏预期!$B$1,0,求节点(洗练相关资料!$M$5:$M$105,INDEX(洗练相关资料!$O$5:$AD$105,,MATCH(MAX(INT(O90),5),洗练相关资料!$O$4:$AD$4,0)),P90/节奏预期!M105/求节点($C$51:$C$70,$D$51:$D$70,O90)))</f>
        <v>0.99985759973525989</v>
      </c>
      <c r="R90" s="8">
        <f>IF(N90&lt;=节奏预期!$B$1,0,节奏预期!M105*求节点($C$51:$C$70,$D$51:$D$70,O90)*INDEX(洗练相关资料!$M$5:$M$105,MATCH(0.9,INDEX(洗练相关资料!$O$5:$AD$105,,MATCH(MAX(INT(O90),5),洗练相关资料!$O$4:$AD$4,0)))))</f>
        <v>9400</v>
      </c>
      <c r="S90" s="8">
        <f>IF(N90&lt;=节奏预期!$B$1,0,((求节点($C$28:$C$47,$E$28:$E$47,O90)-求节点($C$28:$C$47,$D$28:$D$47,O90))*Q90+求节点($C$28:$C$47,$D$28:$D$47,O90))*求节点($C$28:$C$47,$F$28:$F$47,O90))*节奏预期!M105</f>
        <v>2.2320653515994464</v>
      </c>
      <c r="T90" s="8">
        <f t="shared" si="30"/>
        <v>2.1838157200061401</v>
      </c>
      <c r="Z90" s="5">
        <v>86</v>
      </c>
      <c r="AA90" s="5">
        <f>IFERROR(75*精英野怪!$Z90/精英野怪!$K$19/精英野怪!$Y90,AA91)</f>
        <v>6.1111111111111107</v>
      </c>
      <c r="AK90" s="5">
        <v>86</v>
      </c>
      <c r="AL90" s="5">
        <f t="shared" si="18"/>
        <v>0.75484765020981781</v>
      </c>
      <c r="AM90" s="5">
        <f t="shared" si="19"/>
        <v>0.25800405363383078</v>
      </c>
      <c r="AN90" s="5">
        <f t="shared" si="20"/>
        <v>0.36677294023152263</v>
      </c>
      <c r="AO90" s="5">
        <f t="shared" si="21"/>
        <v>0.66823295226276058</v>
      </c>
      <c r="AP90" s="5">
        <f t="shared" si="22"/>
        <v>0.82522456281663259</v>
      </c>
      <c r="AV90" s="5">
        <v>86</v>
      </c>
      <c r="AW90" s="5">
        <f t="shared" si="23"/>
        <v>0.37233313657278078</v>
      </c>
      <c r="AX90" s="5">
        <f t="shared" si="24"/>
        <v>0.95362638266122102</v>
      </c>
      <c r="AY90" s="5">
        <f t="shared" si="25"/>
        <v>1.0401410337828874</v>
      </c>
      <c r="AZ90" s="5">
        <f t="shared" si="26"/>
        <v>1.5345659491612782</v>
      </c>
      <c r="BA90" s="5">
        <f t="shared" si="27"/>
        <v>1.7647081345908742</v>
      </c>
    </row>
    <row r="91" spans="2:53" x14ac:dyDescent="0.15">
      <c r="B91" s="54"/>
      <c r="C91" s="8">
        <v>18</v>
      </c>
      <c r="D91" s="8">
        <v>140000000</v>
      </c>
      <c r="E91" s="8">
        <f t="shared" si="28"/>
        <v>6.0070490383811066</v>
      </c>
      <c r="F91" s="8">
        <f t="shared" si="29"/>
        <v>1.0769230769230769</v>
      </c>
      <c r="N91" s="8">
        <v>110</v>
      </c>
      <c r="O91" s="8">
        <f>节奏预期!N106</f>
        <v>14.029228760768641</v>
      </c>
      <c r="P91" s="8">
        <f>节奏预期!O106</f>
        <v>41599.358892202166</v>
      </c>
      <c r="Q91" s="8">
        <f>IF(N91&lt;=节奏预期!$B$1,0,求节点(洗练相关资料!$M$5:$M$105,INDEX(洗练相关资料!$O$5:$AD$105,,MATCH(MAX(INT(O91),5),洗练相关资料!$O$4:$AD$4,0)),P91/节奏预期!M106/求节点($C$51:$C$70,$D$51:$D$70,O91)))</f>
        <v>0.99985759973525989</v>
      </c>
      <c r="R91" s="8">
        <f>IF(N91&lt;=节奏预期!$B$1,0,节奏预期!M106*求节点($C$51:$C$70,$D$51:$D$70,O91)*INDEX(洗练相关资料!$M$5:$M$105,MATCH(0.9,INDEX(洗练相关资料!$O$5:$AD$105,,MATCH(MAX(INT(O91),5),洗练相关资料!$O$4:$AD$4,0)))))</f>
        <v>10000</v>
      </c>
      <c r="S91" s="8">
        <f>IF(N91&lt;=节奏预期!$B$1,0,((求节点($C$28:$C$47,$E$28:$E$47,O91)-求节点($C$28:$C$47,$D$28:$D$47,O91))*Q91+求节点($C$28:$C$47,$D$28:$D$47,O91))*求节点($C$28:$C$47,$F$28:$F$47,O91))*节奏预期!M106</f>
        <v>2.3450385330633683</v>
      </c>
      <c r="T91" s="8">
        <f t="shared" si="30"/>
        <v>4.1599358892202165</v>
      </c>
      <c r="Z91" s="5">
        <v>87</v>
      </c>
      <c r="AA91" s="5">
        <f>IFERROR(75*精英野怪!$Z91/精英野怪!$K$19/精英野怪!$Y91,AA92)</f>
        <v>5.9459459459459465</v>
      </c>
      <c r="AK91" s="5">
        <v>87</v>
      </c>
      <c r="AL91" s="5">
        <f t="shared" si="18"/>
        <v>0.78005075159655157</v>
      </c>
      <c r="AM91" s="5">
        <f t="shared" si="19"/>
        <v>0.26781109699120242</v>
      </c>
      <c r="AN91" s="5">
        <f t="shared" si="20"/>
        <v>0.37871556983997928</v>
      </c>
      <c r="AO91" s="5">
        <f t="shared" si="21"/>
        <v>0.71462731917255129</v>
      </c>
      <c r="AP91" s="5">
        <f t="shared" si="22"/>
        <v>0.87708687070633351</v>
      </c>
      <c r="AV91" s="5">
        <v>87</v>
      </c>
      <c r="AW91" s="5">
        <f t="shared" si="23"/>
        <v>0.38354216020649184</v>
      </c>
      <c r="AX91" s="5">
        <f t="shared" si="24"/>
        <v>0.99492595131991668</v>
      </c>
      <c r="AY91" s="5">
        <f t="shared" si="25"/>
        <v>1.084167720261862</v>
      </c>
      <c r="AZ91" s="5">
        <f t="shared" si="26"/>
        <v>1.5910436271133575</v>
      </c>
      <c r="BA91" s="5">
        <f t="shared" si="27"/>
        <v>1.8391369824583332</v>
      </c>
    </row>
    <row r="92" spans="2:53" x14ac:dyDescent="0.15">
      <c r="B92" s="54"/>
      <c r="C92" s="8">
        <v>19</v>
      </c>
      <c r="D92" s="8">
        <v>150000000</v>
      </c>
      <c r="E92" s="8">
        <f t="shared" si="28"/>
        <v>5.8622519760708647</v>
      </c>
      <c r="F92" s="8">
        <f t="shared" si="29"/>
        <v>1.0714285714285714</v>
      </c>
      <c r="N92" s="8">
        <v>120</v>
      </c>
      <c r="O92" s="8">
        <f>节奏预期!N107</f>
        <v>14.289189669598045</v>
      </c>
      <c r="P92" s="8">
        <f>节奏预期!O107</f>
        <v>82839.620308757934</v>
      </c>
      <c r="Q92" s="8">
        <f>IF(N92&lt;=节奏预期!$B$1,0,求节点(洗练相关资料!$M$5:$M$105,INDEX(洗练相关资料!$O$5:$AD$105,,MATCH(MAX(INT(O92),5),洗练相关资料!$O$4:$AD$4,0)),P92/节奏预期!M107/求节点($C$51:$C$70,$D$51:$D$70,O92)))</f>
        <v>0.99985759973525989</v>
      </c>
      <c r="R92" s="8">
        <f>IF(N92&lt;=节奏预期!$B$1,0,节奏预期!M107*求节点($C$51:$C$70,$D$51:$D$70,O92)*INDEX(洗练相关资料!$M$5:$M$105,MATCH(0.9,INDEX(洗练相关资料!$O$5:$AD$105,,MATCH(MAX(INT(O92),5),洗练相关资料!$O$4:$AD$4,0)))))</f>
        <v>10000</v>
      </c>
      <c r="S92" s="8">
        <f>IF(N92&lt;=节奏预期!$B$1,0,((求节点($C$28:$C$47,$E$28:$E$47,O92)-求节点($C$28:$C$47,$D$28:$D$47,O92))*Q92+求节点($C$28:$C$47,$D$28:$D$47,O92))*求节点($C$28:$C$47,$F$28:$F$47,O92))*节奏预期!M107</f>
        <v>2.3918270544323921</v>
      </c>
      <c r="T92" s="8">
        <f t="shared" si="30"/>
        <v>8.2839620308757933</v>
      </c>
      <c r="Z92" s="5">
        <v>88</v>
      </c>
      <c r="AA92" s="5">
        <f>IFERROR(75*精英野怪!$Z92/精英野怪!$K$19/精英野怪!$Y92,AA93)</f>
        <v>5.7894736842105274</v>
      </c>
      <c r="AK92" s="5">
        <v>88</v>
      </c>
      <c r="AL92" s="5">
        <f t="shared" si="18"/>
        <v>0.80525385298328533</v>
      </c>
      <c r="AM92" s="5">
        <f t="shared" si="19"/>
        <v>0.27761814034857413</v>
      </c>
      <c r="AN92" s="5">
        <f t="shared" si="20"/>
        <v>0.39065819944843594</v>
      </c>
      <c r="AO92" s="5">
        <f t="shared" si="21"/>
        <v>0.761021686082342</v>
      </c>
      <c r="AP92" s="5">
        <f t="shared" si="22"/>
        <v>0.92894917859603443</v>
      </c>
      <c r="AV92" s="5">
        <v>88</v>
      </c>
      <c r="AW92" s="5">
        <f t="shared" si="23"/>
        <v>0.39475118384020291</v>
      </c>
      <c r="AX92" s="5">
        <f t="shared" si="24"/>
        <v>1.0362255199786123</v>
      </c>
      <c r="AY92" s="5">
        <f t="shared" si="25"/>
        <v>1.1281944067408367</v>
      </c>
      <c r="AZ92" s="5">
        <f t="shared" si="26"/>
        <v>1.6475213050654367</v>
      </c>
      <c r="BA92" s="5">
        <f t="shared" si="27"/>
        <v>1.9135658303257921</v>
      </c>
    </row>
    <row r="93" spans="2:53" x14ac:dyDescent="0.15">
      <c r="B93" s="54"/>
      <c r="C93" s="8">
        <v>20</v>
      </c>
      <c r="D93" s="8">
        <v>160000000</v>
      </c>
      <c r="E93" s="8">
        <f t="shared" si="28"/>
        <v>5.9765025412603539</v>
      </c>
      <c r="F93" s="8">
        <f t="shared" si="29"/>
        <v>1.0666666666666667</v>
      </c>
      <c r="N93" s="8">
        <v>130</v>
      </c>
      <c r="O93" s="8">
        <f>节奏预期!N108</f>
        <v>14.830741213549432</v>
      </c>
      <c r="P93" s="8">
        <f>节奏预期!O108</f>
        <v>165373.48233032069</v>
      </c>
      <c r="Q93" s="8">
        <f>IF(N93&lt;=节奏预期!$B$1,0,求节点(洗练相关资料!$M$5:$M$105,INDEX(洗练相关资料!$O$5:$AD$105,,MATCH(MAX(INT(O93),5),洗练相关资料!$O$4:$AD$4,0)),P93/节奏预期!M108/求节点($C$51:$C$70,$D$51:$D$70,O93)))</f>
        <v>0.99985759973525989</v>
      </c>
      <c r="R93" s="8">
        <f>IF(N93&lt;=节奏预期!$B$1,0,节奏预期!M108*求节点($C$51:$C$70,$D$51:$D$70,O93)*INDEX(洗练相关资料!$M$5:$M$105,MATCH(0.9,INDEX(洗练相关资料!$O$5:$AD$105,,MATCH(MAX(INT(O93),5),洗练相关资料!$O$4:$AD$4,0)))))</f>
        <v>10000</v>
      </c>
      <c r="S93" s="8">
        <f>IF(N93&lt;=节奏预期!$B$1,0,((求节点($C$28:$C$47,$E$28:$E$47,O93)-求节点($C$28:$C$47,$D$28:$D$47,O93))*Q93+求节点($C$28:$C$47,$D$28:$D$47,O93))*求节点($C$28:$C$47,$F$28:$F$47,O93))*节奏预期!M108</f>
        <v>2.4892970782936548</v>
      </c>
      <c r="T93" s="8">
        <f t="shared" si="30"/>
        <v>16.53734823303207</v>
      </c>
      <c r="Z93" s="5">
        <v>89</v>
      </c>
      <c r="AA93" s="5">
        <f>IFERROR(75*精英野怪!$Z93/精英野怪!$K$19/精英野怪!$Y93,AA94)</f>
        <v>5.6410256410256414</v>
      </c>
      <c r="AK93" s="5">
        <v>89</v>
      </c>
      <c r="AL93" s="5">
        <f t="shared" si="18"/>
        <v>0.83045695437001921</v>
      </c>
      <c r="AM93" s="5">
        <f t="shared" si="19"/>
        <v>0.28742518370594583</v>
      </c>
      <c r="AN93" s="5">
        <f t="shared" si="20"/>
        <v>0.40260082905689254</v>
      </c>
      <c r="AO93" s="5">
        <f t="shared" si="21"/>
        <v>0.8074160529921327</v>
      </c>
      <c r="AP93" s="5">
        <f t="shared" si="22"/>
        <v>0.98081148648573535</v>
      </c>
      <c r="AV93" s="5">
        <v>89</v>
      </c>
      <c r="AW93" s="5">
        <f t="shared" si="23"/>
        <v>0.40596020747391398</v>
      </c>
      <c r="AX93" s="5">
        <f t="shared" si="24"/>
        <v>1.077525088637308</v>
      </c>
      <c r="AY93" s="5">
        <f t="shared" si="25"/>
        <v>1.1722210932198112</v>
      </c>
      <c r="AZ93" s="5">
        <f t="shared" si="26"/>
        <v>1.7039989830175162</v>
      </c>
      <c r="BA93" s="5">
        <f t="shared" si="27"/>
        <v>1.9879946781932509</v>
      </c>
    </row>
    <row r="94" spans="2:53" x14ac:dyDescent="0.15">
      <c r="N94" s="8">
        <v>140</v>
      </c>
      <c r="O94" s="8">
        <f>节奏预期!N109</f>
        <v>15.154522195435217</v>
      </c>
      <c r="P94" s="8">
        <f>节奏预期!O109</f>
        <v>326385.90969396243</v>
      </c>
      <c r="Q94" s="8">
        <f>IF(N94&lt;=节奏预期!$B$1,0,求节点(洗练相关资料!$M$5:$M$105,INDEX(洗练相关资料!$O$5:$AD$105,,MATCH(MAX(INT(O94),5),洗练相关资料!$O$4:$AD$4,0)),P94/节奏预期!M109/求节点($C$51:$C$70,$D$51:$D$70,O94)))</f>
        <v>0.99985759973525989</v>
      </c>
      <c r="R94" s="8">
        <f>IF(N94&lt;=节奏预期!$B$1,0,节奏预期!M109*求节点($C$51:$C$70,$D$51:$D$70,O94)*INDEX(洗练相关资料!$M$5:$M$105,MATCH(0.9,INDEX(洗练相关资料!$O$5:$AD$105,,MATCH(MAX(INT(O94),5),洗练相关资料!$O$4:$AD$4,0)))))</f>
        <v>10600</v>
      </c>
      <c r="S94" s="8">
        <f>IF(N94&lt;=节奏预期!$B$1,0,((求节点($C$28:$C$47,$E$28:$E$47,O94)-求节点($C$28:$C$47,$D$28:$D$47,O94))*Q94+求节点($C$28:$C$47,$D$28:$D$47,O94))*求节点($C$28:$C$47,$F$28:$F$47,O94))*节奏预期!M109</f>
        <v>2.5475721222533911</v>
      </c>
      <c r="T94" s="8">
        <f t="shared" si="30"/>
        <v>30.79112355603419</v>
      </c>
      <c r="Z94" s="5">
        <v>90</v>
      </c>
      <c r="AA94" s="5">
        <f>IFERROR(75*精英野怪!$Z94/精英野怪!$K$19/精英野怪!$Y94,AA95)</f>
        <v>5.5</v>
      </c>
      <c r="AK94" s="5">
        <v>90</v>
      </c>
      <c r="AL94" s="5">
        <f t="shared" si="18"/>
        <v>0.85566005575675297</v>
      </c>
      <c r="AM94" s="5">
        <f t="shared" si="19"/>
        <v>0.29723222706331748</v>
      </c>
      <c r="AN94" s="5">
        <f t="shared" si="20"/>
        <v>0.4145434586653492</v>
      </c>
      <c r="AO94" s="5">
        <f t="shared" si="21"/>
        <v>0.85381041990192341</v>
      </c>
      <c r="AP94" s="5">
        <f t="shared" si="22"/>
        <v>1.0326737943754363</v>
      </c>
      <c r="AV94" s="5">
        <v>90</v>
      </c>
      <c r="AW94" s="5">
        <f t="shared" si="23"/>
        <v>0.41716923110762505</v>
      </c>
      <c r="AX94" s="5">
        <f t="shared" si="24"/>
        <v>1.1188246572960037</v>
      </c>
      <c r="AY94" s="5">
        <f t="shared" si="25"/>
        <v>1.2162477796987858</v>
      </c>
      <c r="AZ94" s="5">
        <f t="shared" si="26"/>
        <v>1.7604766609695954</v>
      </c>
      <c r="BA94" s="5">
        <f t="shared" si="27"/>
        <v>2.06242352606071</v>
      </c>
    </row>
    <row r="95" spans="2:53" x14ac:dyDescent="0.15">
      <c r="N95" s="8">
        <v>150</v>
      </c>
      <c r="O95" s="8">
        <f>节奏预期!N110</f>
        <v>15.534509136387021</v>
      </c>
      <c r="P95" s="8">
        <f>节奏预期!O110</f>
        <v>649863.89617696451</v>
      </c>
      <c r="Q95" s="8">
        <f>IF(N95&lt;=节奏预期!$B$1,0,求节点(洗练相关资料!$M$5:$M$105,INDEX(洗练相关资料!$O$5:$AD$105,,MATCH(MAX(INT(O95),5),洗练相关资料!$O$4:$AD$4,0)),P95/节奏预期!M110/求节点($C$51:$C$70,$D$51:$D$70,O95)))</f>
        <v>0.99985759973525989</v>
      </c>
      <c r="R95" s="8">
        <f>IF(N95&lt;=节奏预期!$B$1,0,节奏预期!M110*求节点($C$51:$C$70,$D$51:$D$70,O95)*INDEX(洗练相关资料!$M$5:$M$105,MATCH(0.9,INDEX(洗练相关资料!$O$5:$AD$105,,MATCH(MAX(INT(O95),5),洗练相关资料!$O$4:$AD$4,0)))))</f>
        <v>10600</v>
      </c>
      <c r="S95" s="8">
        <f>IF(N95&lt;=节奏预期!$B$1,0,((求节点($C$28:$C$47,$E$28:$E$47,O95)-求节点($C$28:$C$47,$D$28:$D$47,O95))*Q95+求节点($C$28:$C$47,$D$28:$D$47,O95))*求节点($C$28:$C$47,$F$28:$F$47,O95))*节奏预期!M110</f>
        <v>2.6159632783957969</v>
      </c>
      <c r="T95" s="8">
        <f t="shared" si="30"/>
        <v>61.307914733675901</v>
      </c>
      <c r="Z95" s="5">
        <v>91</v>
      </c>
      <c r="AA95" s="5">
        <f>IFERROR(75*精英野怪!$Z95/精英野怪!$K$19/精英野怪!$Y95,AA96)</f>
        <v>5.3658536585365848</v>
      </c>
      <c r="AK95" s="5">
        <v>91</v>
      </c>
      <c r="AL95" s="5">
        <f t="shared" si="18"/>
        <v>0.85909990900271138</v>
      </c>
      <c r="AM95" s="5">
        <f t="shared" si="19"/>
        <v>0.32293359848810893</v>
      </c>
      <c r="AN95" s="5">
        <f t="shared" si="20"/>
        <v>0.45793558978806337</v>
      </c>
      <c r="AO95" s="5">
        <f t="shared" si="21"/>
        <v>0.93238292874841011</v>
      </c>
      <c r="AP95" s="5">
        <f t="shared" si="22"/>
        <v>1.1477879869385066</v>
      </c>
      <c r="AV95" s="5">
        <v>91</v>
      </c>
      <c r="AW95" s="5">
        <f t="shared" si="23"/>
        <v>0.44526809584334515</v>
      </c>
      <c r="AX95" s="5">
        <f t="shared" si="24"/>
        <v>1.1440407253695379</v>
      </c>
      <c r="AY95" s="5">
        <f t="shared" si="25"/>
        <v>1.2705345402049837</v>
      </c>
      <c r="AZ95" s="5">
        <f t="shared" si="26"/>
        <v>1.8045294921623134</v>
      </c>
      <c r="BA95" s="5">
        <f t="shared" si="27"/>
        <v>2.0793877086145836</v>
      </c>
    </row>
    <row r="96" spans="2:53" x14ac:dyDescent="0.15">
      <c r="N96" s="8">
        <v>160</v>
      </c>
      <c r="O96" s="8">
        <f>节奏预期!N111</f>
        <v>16.819731238786563</v>
      </c>
      <c r="P96" s="8">
        <f>节奏预期!O111</f>
        <v>5128618.445265796</v>
      </c>
      <c r="Q96" s="8">
        <f>IF(N96&lt;=节奏预期!$B$1,0,求节点(洗练相关资料!$M$5:$M$105,INDEX(洗练相关资料!$O$5:$AD$105,,MATCH(MAX(INT(O96),5),洗练相关资料!$O$4:$AD$4,0)),P96/节奏预期!M111/求节点($C$51:$C$70,$D$51:$D$70,O96)))</f>
        <v>0.99985759973525989</v>
      </c>
      <c r="R96" s="8">
        <f>IF(N96&lt;=节奏预期!$B$1,0,节奏预期!M111*求节点($C$51:$C$70,$D$51:$D$70,O96)*INDEX(洗练相关资料!$M$5:$M$105,MATCH(0.9,INDEX(洗练相关资料!$O$5:$AD$105,,MATCH(MAX(INT(O96),5),洗练相关资料!$O$4:$AD$4,0)))))</f>
        <v>11200</v>
      </c>
      <c r="S96" s="8">
        <f>IF(N96&lt;=节奏预期!$B$1,0,((求节点($C$28:$C$47,$E$28:$E$47,O96)-求节点($C$28:$C$47,$D$28:$D$47,O96))*Q96+求节点($C$28:$C$47,$D$28:$D$47,O96))*求节点($C$28:$C$47,$F$28:$F$47,O96))*节奏预期!M111</f>
        <v>2.8472812949115989</v>
      </c>
      <c r="T96" s="8">
        <f t="shared" si="30"/>
        <v>457.91236118444607</v>
      </c>
      <c r="Z96" s="5">
        <v>92</v>
      </c>
      <c r="AA96" s="5">
        <f>IFERROR(75*精英野怪!$Z96/精英野怪!$K$19/精英野怪!$Y96,AA97)</f>
        <v>5.2380952380952381</v>
      </c>
      <c r="AK96" s="5">
        <v>92</v>
      </c>
      <c r="AL96" s="5">
        <f t="shared" si="18"/>
        <v>0.86253976224866979</v>
      </c>
      <c r="AM96" s="5">
        <f t="shared" si="19"/>
        <v>0.34863496991290033</v>
      </c>
      <c r="AN96" s="5">
        <f t="shared" si="20"/>
        <v>0.5013277209107776</v>
      </c>
      <c r="AO96" s="5">
        <f t="shared" si="21"/>
        <v>1.0109554375948968</v>
      </c>
      <c r="AP96" s="5">
        <f t="shared" si="22"/>
        <v>1.2629021795015771</v>
      </c>
      <c r="AV96" s="5">
        <v>92</v>
      </c>
      <c r="AW96" s="5">
        <f t="shared" si="23"/>
        <v>0.4733669605790653</v>
      </c>
      <c r="AX96" s="5">
        <f t="shared" si="24"/>
        <v>1.1692567934430724</v>
      </c>
      <c r="AY96" s="5">
        <f t="shared" si="25"/>
        <v>1.3248213007111818</v>
      </c>
      <c r="AZ96" s="5">
        <f t="shared" si="26"/>
        <v>1.8485823233550316</v>
      </c>
      <c r="BA96" s="5">
        <f t="shared" si="27"/>
        <v>2.0963518911684571</v>
      </c>
    </row>
    <row r="97" spans="26:53" x14ac:dyDescent="0.15">
      <c r="Z97" s="5">
        <v>93</v>
      </c>
      <c r="AA97" s="5">
        <f>IFERROR(75*精英野怪!$Z97/精英野怪!$K$19/精英野怪!$Y97,AA98)</f>
        <v>5.1162790697674421</v>
      </c>
      <c r="AK97" s="5">
        <v>93</v>
      </c>
      <c r="AL97" s="5">
        <f t="shared" si="18"/>
        <v>0.86597961549462821</v>
      </c>
      <c r="AM97" s="5">
        <f t="shared" si="19"/>
        <v>0.37433634133769178</v>
      </c>
      <c r="AN97" s="5">
        <f t="shared" si="20"/>
        <v>0.54471985203349171</v>
      </c>
      <c r="AO97" s="15">
        <f t="shared" si="21"/>
        <v>1.0895279464413834</v>
      </c>
      <c r="AP97" s="5">
        <f t="shared" si="22"/>
        <v>1.3780163720646474</v>
      </c>
      <c r="AV97" s="5">
        <v>93</v>
      </c>
      <c r="AW97" s="5">
        <f t="shared" si="23"/>
        <v>0.50146582531478545</v>
      </c>
      <c r="AX97" s="5">
        <f t="shared" si="24"/>
        <v>1.1944728615166067</v>
      </c>
      <c r="AY97" s="5">
        <f t="shared" si="25"/>
        <v>1.3791080612173796</v>
      </c>
      <c r="AZ97" s="5">
        <f t="shared" si="26"/>
        <v>1.8926351545477496</v>
      </c>
      <c r="BA97" s="5">
        <f t="shared" si="27"/>
        <v>2.1133160737223311</v>
      </c>
    </row>
    <row r="98" spans="26:53" x14ac:dyDescent="0.15">
      <c r="Z98" s="5">
        <v>94</v>
      </c>
      <c r="AA98" s="5">
        <f>IFERROR(75*精英野怪!$Z98/精英野怪!$K$19/精英野怪!$Y98,AA99)</f>
        <v>5</v>
      </c>
      <c r="AK98" s="5">
        <v>94</v>
      </c>
      <c r="AL98" s="5">
        <f t="shared" si="18"/>
        <v>0.86941946874058662</v>
      </c>
      <c r="AM98" s="5">
        <f t="shared" si="19"/>
        <v>0.40003771276248323</v>
      </c>
      <c r="AN98" s="5">
        <f t="shared" si="20"/>
        <v>0.58811198315620594</v>
      </c>
      <c r="AO98" s="5">
        <f t="shared" si="21"/>
        <v>1.1681004552878702</v>
      </c>
      <c r="AP98" s="5">
        <f t="shared" si="22"/>
        <v>1.4931305646277178</v>
      </c>
      <c r="AV98" s="5">
        <v>94</v>
      </c>
      <c r="AW98" s="5">
        <f t="shared" si="23"/>
        <v>0.52956469005050555</v>
      </c>
      <c r="AX98" s="5">
        <f t="shared" si="24"/>
        <v>1.219688929590141</v>
      </c>
      <c r="AY98" s="5">
        <f t="shared" si="25"/>
        <v>1.4333948217235777</v>
      </c>
      <c r="AZ98" s="5">
        <f t="shared" si="26"/>
        <v>1.9366879857404675</v>
      </c>
      <c r="BA98" s="5">
        <f t="shared" si="27"/>
        <v>2.1302802562762047</v>
      </c>
    </row>
    <row r="99" spans="26:53" x14ac:dyDescent="0.15">
      <c r="Z99" s="5">
        <v>95</v>
      </c>
      <c r="AA99" s="5">
        <f>IFERROR(75*精英野怪!$Z99/精英野怪!$K$19/精英野怪!$Y99,AA100)</f>
        <v>4.8888888888888893</v>
      </c>
      <c r="AK99" s="5">
        <v>95</v>
      </c>
      <c r="AL99" s="5">
        <f t="shared" si="18"/>
        <v>0.87285932198654503</v>
      </c>
      <c r="AM99" s="5">
        <f t="shared" si="19"/>
        <v>0.42573908418727469</v>
      </c>
      <c r="AN99" s="5">
        <f t="shared" si="20"/>
        <v>0.63150411427892017</v>
      </c>
      <c r="AO99" s="5">
        <f t="shared" si="21"/>
        <v>1.246672964134357</v>
      </c>
      <c r="AP99" s="5">
        <f t="shared" si="22"/>
        <v>1.6082447571907883</v>
      </c>
      <c r="AV99" s="5">
        <v>95</v>
      </c>
      <c r="AW99" s="5">
        <f t="shared" si="23"/>
        <v>0.55766355478622565</v>
      </c>
      <c r="AX99" s="5">
        <f t="shared" si="24"/>
        <v>1.2449049976636752</v>
      </c>
      <c r="AY99" s="5">
        <f t="shared" si="25"/>
        <v>1.4876815822297755</v>
      </c>
      <c r="AZ99" s="5">
        <f t="shared" si="26"/>
        <v>1.9807408169331855</v>
      </c>
      <c r="BA99" s="5">
        <f t="shared" si="27"/>
        <v>2.1472444388300782</v>
      </c>
    </row>
    <row r="100" spans="26:53" x14ac:dyDescent="0.15">
      <c r="Z100" s="5">
        <v>96</v>
      </c>
      <c r="AA100" s="5">
        <f>IFERROR(75*精英野怪!$Z100/精英野怪!$K$19/精英野怪!$Y100,AA101)</f>
        <v>4.7826086956521738</v>
      </c>
      <c r="AK100" s="5">
        <v>96</v>
      </c>
      <c r="AL100" s="5">
        <f t="shared" si="18"/>
        <v>0.87629917523250345</v>
      </c>
      <c r="AM100" s="5">
        <f t="shared" si="19"/>
        <v>0.45144045561206608</v>
      </c>
      <c r="AN100" s="5">
        <f t="shared" si="20"/>
        <v>0.67489624540163429</v>
      </c>
      <c r="AO100" s="5">
        <f t="shared" si="21"/>
        <v>1.3252454729808436</v>
      </c>
      <c r="AP100" s="5">
        <f t="shared" si="22"/>
        <v>1.7233589497538586</v>
      </c>
      <c r="AV100" s="5">
        <v>96</v>
      </c>
      <c r="AW100" s="5">
        <f t="shared" si="23"/>
        <v>0.58576241952194574</v>
      </c>
      <c r="AX100" s="5">
        <f t="shared" si="24"/>
        <v>1.2701210657372097</v>
      </c>
      <c r="AY100" s="5">
        <f t="shared" si="25"/>
        <v>1.5419683427359736</v>
      </c>
      <c r="AZ100" s="5">
        <f t="shared" si="26"/>
        <v>2.0247936481259039</v>
      </c>
      <c r="BA100" s="5">
        <f t="shared" si="27"/>
        <v>2.1642086213839518</v>
      </c>
    </row>
    <row r="101" spans="26:53" x14ac:dyDescent="0.15">
      <c r="Z101" s="5">
        <v>97</v>
      </c>
      <c r="AA101" s="5">
        <f>IFERROR(75*精英野怪!$Z101/精英野怪!$K$19/精英野怪!$Y101,AA102)</f>
        <v>4.6808510638297873</v>
      </c>
      <c r="AK101" s="5">
        <v>97</v>
      </c>
      <c r="AL101" s="5">
        <f t="shared" si="18"/>
        <v>0.87973902847846186</v>
      </c>
      <c r="AM101" s="5">
        <f t="shared" si="19"/>
        <v>0.47714182703685754</v>
      </c>
      <c r="AN101" s="5">
        <f t="shared" si="20"/>
        <v>0.71828837652434852</v>
      </c>
      <c r="AO101" s="5">
        <f t="shared" si="21"/>
        <v>1.4038179818273302</v>
      </c>
      <c r="AP101" s="5">
        <f t="shared" si="22"/>
        <v>1.8384731423169289</v>
      </c>
      <c r="AV101" s="5">
        <v>97</v>
      </c>
      <c r="AW101" s="5">
        <f t="shared" si="23"/>
        <v>0.61386128425766584</v>
      </c>
      <c r="AX101" s="5">
        <f t="shared" si="24"/>
        <v>1.295337133810744</v>
      </c>
      <c r="AY101" s="5">
        <f t="shared" si="25"/>
        <v>1.5962551032421715</v>
      </c>
      <c r="AZ101" s="5">
        <f t="shared" si="26"/>
        <v>2.0688464793186219</v>
      </c>
      <c r="BA101" s="5">
        <f t="shared" si="27"/>
        <v>2.1811728039378253</v>
      </c>
    </row>
    <row r="102" spans="26:53" x14ac:dyDescent="0.15">
      <c r="Z102" s="5">
        <v>98</v>
      </c>
      <c r="AA102" s="5">
        <f>IFERROR(75*精英野怪!$Z102/精英野怪!$K$19/精英野怪!$Y102,AA103)</f>
        <v>4.583333333333333</v>
      </c>
      <c r="AK102" s="5">
        <v>98</v>
      </c>
      <c r="AL102" s="5">
        <f t="shared" si="18"/>
        <v>0.88317888172442027</v>
      </c>
      <c r="AM102" s="5">
        <f t="shared" si="19"/>
        <v>0.50284319846164893</v>
      </c>
      <c r="AN102" s="5">
        <f t="shared" si="20"/>
        <v>0.76168050764706274</v>
      </c>
      <c r="AO102" s="5">
        <f t="shared" si="21"/>
        <v>1.482390490673817</v>
      </c>
      <c r="AP102" s="5">
        <f t="shared" si="22"/>
        <v>1.9535873348799995</v>
      </c>
      <c r="AV102" s="5">
        <v>98</v>
      </c>
      <c r="AW102" s="5">
        <f t="shared" si="23"/>
        <v>0.64196014899338594</v>
      </c>
      <c r="AX102" s="5">
        <f t="shared" si="24"/>
        <v>1.3205532018842783</v>
      </c>
      <c r="AY102" s="5">
        <f t="shared" si="25"/>
        <v>1.6505418637483693</v>
      </c>
      <c r="AZ102" s="5">
        <f t="shared" si="26"/>
        <v>2.1128993105113398</v>
      </c>
      <c r="BA102" s="5">
        <f t="shared" si="27"/>
        <v>2.1981369864916993</v>
      </c>
    </row>
    <row r="103" spans="26:53" x14ac:dyDescent="0.15">
      <c r="Z103" s="5">
        <v>99</v>
      </c>
      <c r="AA103" s="5">
        <f>IFERROR(75*精英野怪!$Z103/精英野怪!$K$19/精英野怪!$Y103,AA104)</f>
        <v>4.4897959183673475</v>
      </c>
      <c r="AK103" s="5">
        <v>99</v>
      </c>
      <c r="AL103" s="5">
        <f t="shared" si="18"/>
        <v>0.88661873497037869</v>
      </c>
      <c r="AM103" s="5">
        <f t="shared" si="19"/>
        <v>0.52854456988644039</v>
      </c>
      <c r="AN103" s="5">
        <f t="shared" si="20"/>
        <v>0.80507263876977686</v>
      </c>
      <c r="AO103" s="5">
        <f t="shared" si="21"/>
        <v>1.5609629995203038</v>
      </c>
      <c r="AP103" s="5">
        <f t="shared" si="22"/>
        <v>2.0687015274430696</v>
      </c>
      <c r="AV103" s="5">
        <v>99</v>
      </c>
      <c r="AW103" s="5">
        <f t="shared" si="23"/>
        <v>0.67005901372910603</v>
      </c>
      <c r="AX103" s="5">
        <f t="shared" si="24"/>
        <v>1.3457692699578128</v>
      </c>
      <c r="AY103" s="5">
        <f t="shared" si="25"/>
        <v>1.7048286242545674</v>
      </c>
      <c r="AZ103" s="5">
        <f t="shared" si="26"/>
        <v>2.1569521417040578</v>
      </c>
      <c r="BA103" s="5">
        <f t="shared" si="27"/>
        <v>2.2151011690455729</v>
      </c>
    </row>
    <row r="104" spans="26:53" x14ac:dyDescent="0.15">
      <c r="Z104" s="5">
        <v>100</v>
      </c>
      <c r="AA104" s="5">
        <f>IFERROR(75*精英野怪!$Z104/精英野怪!$K$19/精英野怪!$Y104,AA105)</f>
        <v>4.4000000000000004</v>
      </c>
      <c r="AK104" s="5">
        <v>100</v>
      </c>
      <c r="AL104" s="5">
        <f t="shared" si="18"/>
        <v>0.8900585882163371</v>
      </c>
      <c r="AM104" s="5">
        <f t="shared" si="19"/>
        <v>0.55424594131123184</v>
      </c>
      <c r="AN104" s="5">
        <f t="shared" si="20"/>
        <v>0.84846476989249109</v>
      </c>
      <c r="AO104" s="5">
        <f t="shared" si="21"/>
        <v>1.6395355083667904</v>
      </c>
      <c r="AP104" s="5">
        <f t="shared" si="22"/>
        <v>2.1838157200061401</v>
      </c>
      <c r="AV104" s="5">
        <v>100</v>
      </c>
      <c r="AW104" s="5">
        <f t="shared" si="23"/>
        <v>0.69815787846482624</v>
      </c>
      <c r="AX104" s="5">
        <f t="shared" si="24"/>
        <v>1.370985338031347</v>
      </c>
      <c r="AY104" s="5">
        <f t="shared" si="25"/>
        <v>1.7591153847607652</v>
      </c>
      <c r="AZ104" s="5">
        <f t="shared" si="26"/>
        <v>2.2010049728967758</v>
      </c>
      <c r="BA104" s="5">
        <f t="shared" si="27"/>
        <v>2.2320653515994464</v>
      </c>
    </row>
    <row r="105" spans="26:53" x14ac:dyDescent="0.15">
      <c r="Z105" s="5">
        <v>101</v>
      </c>
      <c r="AA105" s="5">
        <f>IFERROR(75*精英野怪!$Z105/精英野怪!$K$19/精英野怪!$Y105,AA106)</f>
        <v>4.3137254901960782</v>
      </c>
      <c r="AK105" s="5">
        <v>101</v>
      </c>
      <c r="AL105" s="5">
        <f t="shared" si="18"/>
        <v>0.92576872109642339</v>
      </c>
      <c r="AM105" s="5">
        <f t="shared" si="19"/>
        <v>0.59742386432269279</v>
      </c>
      <c r="AN105" s="5">
        <f t="shared" si="20"/>
        <v>0.91659772649421378</v>
      </c>
      <c r="AO105" s="5">
        <f t="shared" si="21"/>
        <v>1.8045359260717375</v>
      </c>
      <c r="AP105" s="5">
        <f t="shared" si="22"/>
        <v>2.3814277369275478</v>
      </c>
      <c r="AV105" s="5">
        <v>101</v>
      </c>
      <c r="AW105" s="5">
        <f t="shared" si="23"/>
        <v>0.77681798046380635</v>
      </c>
      <c r="AX105" s="5">
        <f t="shared" si="24"/>
        <v>1.433913778895523</v>
      </c>
      <c r="AY105" s="5">
        <f t="shared" si="25"/>
        <v>1.8030860484005351</v>
      </c>
      <c r="AZ105" s="5">
        <f t="shared" si="26"/>
        <v>2.2113109953858374</v>
      </c>
      <c r="BA105" s="5">
        <f t="shared" si="27"/>
        <v>2.2433626697458386</v>
      </c>
    </row>
    <row r="106" spans="26:53" x14ac:dyDescent="0.15">
      <c r="Z106" s="5">
        <v>102</v>
      </c>
      <c r="AA106" s="5">
        <f>IFERROR(75*精英野怪!$Z106/精英野怪!$K$19/精英野怪!$Y106,AA107)</f>
        <v>4.2307692307692308</v>
      </c>
      <c r="AK106" s="5">
        <v>102</v>
      </c>
      <c r="AL106" s="5">
        <f t="shared" si="18"/>
        <v>0.96147885397650956</v>
      </c>
      <c r="AM106" s="5">
        <f t="shared" si="19"/>
        <v>0.64060178733415374</v>
      </c>
      <c r="AN106" s="5">
        <f t="shared" si="20"/>
        <v>0.98473068309593637</v>
      </c>
      <c r="AO106" s="5">
        <f t="shared" si="21"/>
        <v>1.9695363437766846</v>
      </c>
      <c r="AP106" s="5">
        <f t="shared" si="22"/>
        <v>2.5790397538489556</v>
      </c>
      <c r="AV106" s="5">
        <v>102</v>
      </c>
      <c r="AW106" s="5">
        <f t="shared" si="23"/>
        <v>0.85547808246278645</v>
      </c>
      <c r="AX106" s="5">
        <f t="shared" si="24"/>
        <v>1.4968422197596991</v>
      </c>
      <c r="AY106" s="5">
        <f t="shared" si="25"/>
        <v>1.847056712040305</v>
      </c>
      <c r="AZ106" s="5">
        <f t="shared" si="26"/>
        <v>2.2216170178748991</v>
      </c>
      <c r="BA106" s="5">
        <f t="shared" si="27"/>
        <v>2.2546599878922309</v>
      </c>
    </row>
    <row r="107" spans="26:53" x14ac:dyDescent="0.15">
      <c r="Z107" s="5">
        <v>103</v>
      </c>
      <c r="AA107" s="5">
        <f>IFERROR(75*精英野怪!$Z107/精英野怪!$K$19/精英野怪!$Y107,AA108)</f>
        <v>4.1509433962264151</v>
      </c>
      <c r="AK107" s="5">
        <v>103</v>
      </c>
      <c r="AL107" s="5">
        <f t="shared" si="18"/>
        <v>0.99718898685659574</v>
      </c>
      <c r="AM107" s="5">
        <f t="shared" si="19"/>
        <v>0.68377971034561469</v>
      </c>
      <c r="AN107" s="5">
        <f t="shared" si="20"/>
        <v>1.0528636396976592</v>
      </c>
      <c r="AO107" s="5">
        <f t="shared" si="21"/>
        <v>2.1345367614816317</v>
      </c>
      <c r="AP107" s="5">
        <f t="shared" si="22"/>
        <v>2.7766517707703633</v>
      </c>
      <c r="AV107" s="5">
        <v>103</v>
      </c>
      <c r="AW107" s="5">
        <f t="shared" si="23"/>
        <v>0.93413818446176666</v>
      </c>
      <c r="AX107" s="5">
        <f t="shared" si="24"/>
        <v>1.559770660623875</v>
      </c>
      <c r="AY107" s="5">
        <f t="shared" si="25"/>
        <v>1.8910273756800748</v>
      </c>
      <c r="AZ107" s="5">
        <f t="shared" si="26"/>
        <v>2.2319230403639603</v>
      </c>
      <c r="BA107" s="5">
        <f t="shared" si="27"/>
        <v>2.2659573060386231</v>
      </c>
    </row>
    <row r="108" spans="26:53" x14ac:dyDescent="0.15">
      <c r="Z108" s="5">
        <v>104</v>
      </c>
      <c r="AA108" s="5">
        <f>IFERROR(75*精英野怪!$Z108/精英野怪!$K$19/精英野怪!$Y108,AA109)</f>
        <v>4.0740740740740744</v>
      </c>
      <c r="AK108" s="5">
        <v>104</v>
      </c>
      <c r="AL108" s="5">
        <f t="shared" si="18"/>
        <v>1.0328991197366819</v>
      </c>
      <c r="AM108" s="5">
        <f t="shared" si="19"/>
        <v>0.72695763335707553</v>
      </c>
      <c r="AN108" s="5">
        <f t="shared" si="20"/>
        <v>1.1209965962993818</v>
      </c>
      <c r="AO108" s="5">
        <f t="shared" si="21"/>
        <v>2.2995371791865793</v>
      </c>
      <c r="AP108" s="5">
        <f t="shared" si="22"/>
        <v>2.9742637876917706</v>
      </c>
      <c r="AV108" s="5">
        <v>104</v>
      </c>
      <c r="AW108" s="5">
        <f t="shared" si="23"/>
        <v>1.0127982864607468</v>
      </c>
      <c r="AX108" s="5">
        <f t="shared" si="24"/>
        <v>1.6226991014880512</v>
      </c>
      <c r="AY108" s="5">
        <f t="shared" si="25"/>
        <v>1.9349980393198447</v>
      </c>
      <c r="AZ108" s="5">
        <f t="shared" si="26"/>
        <v>2.2422290628530219</v>
      </c>
      <c r="BA108" s="5">
        <f t="shared" si="27"/>
        <v>2.2772546241850153</v>
      </c>
    </row>
    <row r="109" spans="26:53" x14ac:dyDescent="0.15">
      <c r="Z109" s="5">
        <v>105</v>
      </c>
      <c r="AA109" s="5">
        <f>IFERROR(75*精英野怪!$Z109/精英野怪!$K$19/精英野怪!$Y109,AA110)</f>
        <v>4</v>
      </c>
      <c r="AK109" s="5">
        <v>105</v>
      </c>
      <c r="AL109" s="5">
        <f t="shared" si="18"/>
        <v>1.0686092526167683</v>
      </c>
      <c r="AM109" s="5">
        <f t="shared" si="19"/>
        <v>0.77013555636853648</v>
      </c>
      <c r="AN109" s="5">
        <f t="shared" si="20"/>
        <v>1.1891295529011043</v>
      </c>
      <c r="AO109" s="5">
        <f t="shared" si="21"/>
        <v>2.4645375968915264</v>
      </c>
      <c r="AP109" s="5">
        <f t="shared" si="22"/>
        <v>3.1718758046131783</v>
      </c>
      <c r="AV109" s="5">
        <v>105</v>
      </c>
      <c r="AW109" s="5">
        <f t="shared" si="23"/>
        <v>1.0914583884597269</v>
      </c>
      <c r="AX109" s="5">
        <f t="shared" si="24"/>
        <v>1.6856275423522271</v>
      </c>
      <c r="AY109" s="5">
        <f t="shared" si="25"/>
        <v>1.9789687029596146</v>
      </c>
      <c r="AZ109" s="5">
        <f t="shared" si="26"/>
        <v>2.2525350853420836</v>
      </c>
      <c r="BA109" s="5">
        <f t="shared" si="27"/>
        <v>2.2885519423314076</v>
      </c>
    </row>
    <row r="110" spans="26:53" x14ac:dyDescent="0.15">
      <c r="Z110" s="5">
        <v>106</v>
      </c>
      <c r="AA110" s="5">
        <f>IFERROR(75*精英野怪!$Z110/精英野怪!$K$19/精英野怪!$Y110,AA111)</f>
        <v>3.9285714285714284</v>
      </c>
      <c r="AK110" s="5">
        <v>106</v>
      </c>
      <c r="AL110" s="5">
        <f t="shared" si="18"/>
        <v>1.1043193854968545</v>
      </c>
      <c r="AM110" s="5">
        <f t="shared" si="19"/>
        <v>0.81331347937999743</v>
      </c>
      <c r="AN110" s="5">
        <f t="shared" si="20"/>
        <v>1.2572625095028271</v>
      </c>
      <c r="AO110" s="5">
        <f t="shared" si="21"/>
        <v>2.6295380145964735</v>
      </c>
      <c r="AP110" s="5">
        <f t="shared" si="22"/>
        <v>3.369487821534586</v>
      </c>
      <c r="AV110" s="5">
        <v>106</v>
      </c>
      <c r="AW110" s="5">
        <f t="shared" si="23"/>
        <v>1.170118490458707</v>
      </c>
      <c r="AX110" s="5">
        <f t="shared" si="24"/>
        <v>1.748555983216403</v>
      </c>
      <c r="AY110" s="5">
        <f t="shared" si="25"/>
        <v>2.0229393665993842</v>
      </c>
      <c r="AZ110" s="5">
        <f t="shared" si="26"/>
        <v>2.2628411078311452</v>
      </c>
      <c r="BA110" s="5">
        <f t="shared" si="27"/>
        <v>2.2998492604777994</v>
      </c>
    </row>
    <row r="111" spans="26:53" x14ac:dyDescent="0.15">
      <c r="Z111" s="5">
        <v>107</v>
      </c>
      <c r="AA111" s="5">
        <f>IFERROR(75*精英野怪!$Z111/精英野怪!$K$19/精英野怪!$Y111,AA112)</f>
        <v>3.8596491228070171</v>
      </c>
      <c r="AK111" s="5">
        <v>107</v>
      </c>
      <c r="AL111" s="5">
        <f t="shared" si="18"/>
        <v>1.1400295183769407</v>
      </c>
      <c r="AM111" s="5">
        <f t="shared" si="19"/>
        <v>0.85649140239145827</v>
      </c>
      <c r="AN111" s="15">
        <f t="shared" si="20"/>
        <v>1.3253954661045497</v>
      </c>
      <c r="AO111" s="5">
        <f t="shared" si="21"/>
        <v>2.7945384323014206</v>
      </c>
      <c r="AP111" s="5">
        <f t="shared" si="22"/>
        <v>3.5670998384559933</v>
      </c>
      <c r="AV111" s="5">
        <v>107</v>
      </c>
      <c r="AW111" s="5">
        <f t="shared" si="23"/>
        <v>1.2487785924576871</v>
      </c>
      <c r="AX111" s="5">
        <f t="shared" si="24"/>
        <v>1.8114844240805792</v>
      </c>
      <c r="AY111" s="5">
        <f t="shared" si="25"/>
        <v>2.0669100302391543</v>
      </c>
      <c r="AZ111" s="5">
        <f t="shared" si="26"/>
        <v>2.2731471303202069</v>
      </c>
      <c r="BA111" s="5">
        <f t="shared" si="27"/>
        <v>2.3111465786241916</v>
      </c>
    </row>
    <row r="112" spans="26:53" x14ac:dyDescent="0.15">
      <c r="Z112" s="5">
        <v>108</v>
      </c>
      <c r="AA112" s="5">
        <f>IFERROR(75*精英野怪!$Z112/精英野怪!$K$19/精英野怪!$Y112,AA113)</f>
        <v>3.7931034482758625</v>
      </c>
      <c r="AK112" s="5">
        <v>108</v>
      </c>
      <c r="AL112" s="5">
        <f t="shared" si="18"/>
        <v>1.1757396512570271</v>
      </c>
      <c r="AM112" s="5">
        <f t="shared" si="19"/>
        <v>0.89966932540291933</v>
      </c>
      <c r="AN112" s="5">
        <f t="shared" si="20"/>
        <v>1.3935284227062725</v>
      </c>
      <c r="AO112" s="5">
        <f t="shared" si="21"/>
        <v>2.9595388500063677</v>
      </c>
      <c r="AP112" s="5">
        <f t="shared" si="22"/>
        <v>3.7647118553774011</v>
      </c>
      <c r="AV112" s="5">
        <v>108</v>
      </c>
      <c r="AW112" s="5">
        <f t="shared" si="23"/>
        <v>1.3274386944566672</v>
      </c>
      <c r="AX112" s="5">
        <f t="shared" si="24"/>
        <v>1.8744128649447551</v>
      </c>
      <c r="AY112" s="5">
        <f t="shared" si="25"/>
        <v>2.110880693878924</v>
      </c>
      <c r="AZ112" s="5">
        <f t="shared" si="26"/>
        <v>2.2834531528092681</v>
      </c>
      <c r="BA112" s="5">
        <f t="shared" si="27"/>
        <v>2.3224438967705838</v>
      </c>
    </row>
    <row r="113" spans="26:53" x14ac:dyDescent="0.15">
      <c r="Z113" s="5">
        <v>109</v>
      </c>
      <c r="AA113" s="5">
        <f>IFERROR(75*精英野怪!$Z113/精英野怪!$K$19/精英野怪!$Y113,AA114)</f>
        <v>3.7288135593220342</v>
      </c>
      <c r="AK113" s="5">
        <v>109</v>
      </c>
      <c r="AL113" s="5">
        <f t="shared" si="18"/>
        <v>1.2114497841371132</v>
      </c>
      <c r="AM113" s="5">
        <f t="shared" si="19"/>
        <v>0.94284724841438017</v>
      </c>
      <c r="AN113" s="5">
        <f t="shared" si="20"/>
        <v>1.4616613793079951</v>
      </c>
      <c r="AO113" s="5">
        <f t="shared" si="21"/>
        <v>3.1245392677113148</v>
      </c>
      <c r="AP113" s="5">
        <f t="shared" si="22"/>
        <v>3.9623238722988088</v>
      </c>
      <c r="AV113" s="5">
        <v>109</v>
      </c>
      <c r="AW113" s="5">
        <f t="shared" si="23"/>
        <v>1.4060987964556473</v>
      </c>
      <c r="AX113" s="5">
        <f t="shared" si="24"/>
        <v>1.937341305808931</v>
      </c>
      <c r="AY113" s="5">
        <f t="shared" si="25"/>
        <v>2.1548513575186941</v>
      </c>
      <c r="AZ113" s="5">
        <f t="shared" si="26"/>
        <v>2.2937591752983297</v>
      </c>
      <c r="BA113" s="5">
        <f t="shared" si="27"/>
        <v>2.3337412149169761</v>
      </c>
    </row>
    <row r="114" spans="26:53" x14ac:dyDescent="0.15">
      <c r="Z114" s="5">
        <v>110</v>
      </c>
      <c r="AA114" s="5">
        <f>IFERROR(75*精英野怪!$Z114/精英野怪!$K$19/精英野怪!$Y114,AA115)</f>
        <v>3.6666666666666665</v>
      </c>
      <c r="AK114" s="5">
        <v>110</v>
      </c>
      <c r="AL114" s="5">
        <f t="shared" si="18"/>
        <v>1.2471599170171994</v>
      </c>
      <c r="AM114" s="5">
        <f t="shared" si="19"/>
        <v>0.98602517142584112</v>
      </c>
      <c r="AN114" s="5">
        <f t="shared" si="20"/>
        <v>1.5297943359097177</v>
      </c>
      <c r="AO114" s="5">
        <f t="shared" si="21"/>
        <v>3.289539685416262</v>
      </c>
      <c r="AP114" s="5">
        <f t="shared" si="22"/>
        <v>4.1599358892202165</v>
      </c>
      <c r="AV114" s="5">
        <v>110</v>
      </c>
      <c r="AW114" s="5">
        <f t="shared" si="23"/>
        <v>1.4847588984546274</v>
      </c>
      <c r="AX114" s="5">
        <f t="shared" si="24"/>
        <v>2.0002697466731072</v>
      </c>
      <c r="AY114" s="5">
        <f t="shared" si="25"/>
        <v>2.1988220211584637</v>
      </c>
      <c r="AZ114" s="5">
        <f t="shared" si="26"/>
        <v>2.3040651977873914</v>
      </c>
      <c r="BA114" s="5">
        <f t="shared" si="27"/>
        <v>2.3450385330633683</v>
      </c>
    </row>
    <row r="115" spans="26:53" x14ac:dyDescent="0.15">
      <c r="Z115" s="5">
        <v>111</v>
      </c>
      <c r="AA115" s="5">
        <f>IFERROR(75*精英野怪!$Z115/精英野怪!$K$19/精英野怪!$Y115,AA116)</f>
        <v>3.6065573770491803</v>
      </c>
      <c r="AK115" s="5">
        <v>111</v>
      </c>
      <c r="AL115" s="5">
        <f t="shared" si="18"/>
        <v>1.3152914012603194</v>
      </c>
      <c r="AM115" s="5">
        <f t="shared" si="19"/>
        <v>1.0789941756725465</v>
      </c>
      <c r="AN115" s="5">
        <f t="shared" si="20"/>
        <v>1.6785813771325422</v>
      </c>
      <c r="AO115" s="5">
        <f t="shared" si="21"/>
        <v>3.5773483629451648</v>
      </c>
      <c r="AP115" s="5">
        <f t="shared" si="22"/>
        <v>4.5723385033857742</v>
      </c>
      <c r="AV115" s="5">
        <v>111</v>
      </c>
      <c r="AW115" s="5">
        <f t="shared" si="23"/>
        <v>1.5167843839228823</v>
      </c>
      <c r="AX115" s="5">
        <f t="shared" si="24"/>
        <v>2.022990176400524</v>
      </c>
      <c r="AY115" s="5">
        <f t="shared" si="25"/>
        <v>2.2085776251447968</v>
      </c>
      <c r="AZ115" s="5">
        <f t="shared" si="26"/>
        <v>2.31054566113571</v>
      </c>
      <c r="BA115" s="5">
        <f t="shared" si="27"/>
        <v>2.3497173852002708</v>
      </c>
    </row>
    <row r="116" spans="26:53" x14ac:dyDescent="0.15">
      <c r="Z116" s="5">
        <v>112</v>
      </c>
      <c r="AA116" s="5">
        <f>IFERROR(75*精英野怪!$Z116/精英野怪!$K$19/精英野怪!$Y116,AA117)</f>
        <v>3.5483870967741931</v>
      </c>
      <c r="AK116" s="5">
        <v>112</v>
      </c>
      <c r="AL116" s="5">
        <f t="shared" si="18"/>
        <v>1.3834228855034392</v>
      </c>
      <c r="AM116" s="5">
        <f t="shared" si="19"/>
        <v>1.171963179919252</v>
      </c>
      <c r="AN116" s="5">
        <f t="shared" si="20"/>
        <v>1.8273684183553669</v>
      </c>
      <c r="AO116" s="5">
        <f t="shared" si="21"/>
        <v>3.8651570404740676</v>
      </c>
      <c r="AP116" s="5">
        <f t="shared" si="22"/>
        <v>4.9847411175513319</v>
      </c>
      <c r="AV116" s="5">
        <v>112</v>
      </c>
      <c r="AW116" s="5">
        <f t="shared" si="23"/>
        <v>1.548809869391137</v>
      </c>
      <c r="AX116" s="5">
        <f t="shared" si="24"/>
        <v>2.0457106061279409</v>
      </c>
      <c r="AY116" s="5">
        <f t="shared" si="25"/>
        <v>2.2183332291311304</v>
      </c>
      <c r="AZ116" s="5">
        <f t="shared" si="26"/>
        <v>2.3170261244840287</v>
      </c>
      <c r="BA116" s="5">
        <f t="shared" si="27"/>
        <v>2.354396237337173</v>
      </c>
    </row>
    <row r="117" spans="26:53" x14ac:dyDescent="0.15">
      <c r="Z117" s="5">
        <v>113</v>
      </c>
      <c r="AA117" s="5">
        <f>IFERROR(75*精英野怪!$Z117/精英野怪!$K$19/精英野怪!$Y117,AA118)</f>
        <v>3.4920634920634925</v>
      </c>
      <c r="AK117" s="5">
        <v>113</v>
      </c>
      <c r="AL117" s="5">
        <f t="shared" si="18"/>
        <v>1.4515543697465592</v>
      </c>
      <c r="AM117" s="5">
        <f t="shared" si="19"/>
        <v>1.2649321841659575</v>
      </c>
      <c r="AN117" s="5">
        <f t="shared" si="20"/>
        <v>1.9761554595781914</v>
      </c>
      <c r="AO117" s="5">
        <f t="shared" si="21"/>
        <v>4.1529657180029709</v>
      </c>
      <c r="AP117" s="5">
        <f t="shared" si="22"/>
        <v>5.3971437317168895</v>
      </c>
      <c r="AV117" s="5">
        <v>113</v>
      </c>
      <c r="AW117" s="5">
        <f t="shared" si="23"/>
        <v>1.5808353548593919</v>
      </c>
      <c r="AX117" s="5">
        <f t="shared" si="24"/>
        <v>2.0684310358553573</v>
      </c>
      <c r="AY117" s="5">
        <f t="shared" si="25"/>
        <v>2.2280888331174635</v>
      </c>
      <c r="AZ117" s="5">
        <f t="shared" si="26"/>
        <v>2.3235065878323478</v>
      </c>
      <c r="BA117" s="5">
        <f t="shared" si="27"/>
        <v>2.3590750894740755</v>
      </c>
    </row>
    <row r="118" spans="26:53" x14ac:dyDescent="0.15">
      <c r="Z118" s="5">
        <v>114</v>
      </c>
      <c r="AA118" s="5">
        <f>IFERROR(75*精英野怪!$Z118/精英野怪!$K$19/精英野怪!$Y118,AA119)</f>
        <v>3.4375</v>
      </c>
      <c r="AK118" s="5">
        <v>114</v>
      </c>
      <c r="AL118" s="5">
        <f t="shared" si="18"/>
        <v>1.5196858539896789</v>
      </c>
      <c r="AM118" s="5">
        <f t="shared" si="19"/>
        <v>1.3579011884126631</v>
      </c>
      <c r="AN118" s="5">
        <f t="shared" si="20"/>
        <v>2.1249425008010161</v>
      </c>
      <c r="AO118" s="5">
        <f t="shared" si="21"/>
        <v>4.4407743955318733</v>
      </c>
      <c r="AP118" s="5">
        <f t="shared" si="22"/>
        <v>5.8095463458824472</v>
      </c>
      <c r="AV118" s="5">
        <v>114</v>
      </c>
      <c r="AW118" s="5">
        <f t="shared" si="23"/>
        <v>1.6128608403276468</v>
      </c>
      <c r="AX118" s="5">
        <f t="shared" si="24"/>
        <v>2.0911514655827741</v>
      </c>
      <c r="AY118" s="5">
        <f t="shared" si="25"/>
        <v>2.2378444371037967</v>
      </c>
      <c r="AZ118" s="5">
        <f t="shared" si="26"/>
        <v>2.3299870511806664</v>
      </c>
      <c r="BA118" s="5">
        <f t="shared" si="27"/>
        <v>2.3637539416109776</v>
      </c>
    </row>
    <row r="119" spans="26:53" x14ac:dyDescent="0.15">
      <c r="Z119" s="5">
        <v>115</v>
      </c>
      <c r="AA119" s="5">
        <f>IFERROR(75*精英野怪!$Z119/精英野怪!$K$19/精英野怪!$Y119,AA120)</f>
        <v>3.3846153846153846</v>
      </c>
      <c r="AK119" s="5">
        <v>115</v>
      </c>
      <c r="AL119" s="5">
        <f t="shared" si="18"/>
        <v>1.5878173382327989</v>
      </c>
      <c r="AM119" s="5">
        <f t="shared" si="19"/>
        <v>1.4508701926593686</v>
      </c>
      <c r="AN119" s="5">
        <f t="shared" si="20"/>
        <v>2.2737295420238404</v>
      </c>
      <c r="AO119" s="5">
        <f t="shared" si="21"/>
        <v>4.7285830730607765</v>
      </c>
      <c r="AP119" s="5">
        <f t="shared" si="22"/>
        <v>6.2219489600480049</v>
      </c>
      <c r="AV119" s="5">
        <v>115</v>
      </c>
      <c r="AW119" s="5">
        <f t="shared" si="23"/>
        <v>1.6448863257959014</v>
      </c>
      <c r="AX119" s="5">
        <f t="shared" si="24"/>
        <v>2.1138718953101909</v>
      </c>
      <c r="AY119" s="5">
        <f t="shared" si="25"/>
        <v>2.2476000410901298</v>
      </c>
      <c r="AZ119" s="5">
        <f t="shared" si="26"/>
        <v>2.336467514528985</v>
      </c>
      <c r="BA119" s="5">
        <f t="shared" si="27"/>
        <v>2.3684327937478802</v>
      </c>
    </row>
    <row r="120" spans="26:53" x14ac:dyDescent="0.15">
      <c r="Z120" s="5">
        <v>116</v>
      </c>
      <c r="AA120" s="5">
        <f>IFERROR(75*精英野怪!$Z120/精英野怪!$K$19/精英野怪!$Y120,AA121)</f>
        <v>3.333333333333333</v>
      </c>
      <c r="AK120" s="5">
        <v>116</v>
      </c>
      <c r="AL120" s="5">
        <f t="shared" si="18"/>
        <v>1.6559488224759189</v>
      </c>
      <c r="AM120" s="5">
        <f t="shared" si="19"/>
        <v>1.5438391969060739</v>
      </c>
      <c r="AN120" s="5">
        <f t="shared" si="20"/>
        <v>2.4225165832466651</v>
      </c>
      <c r="AO120" s="5">
        <f t="shared" si="21"/>
        <v>5.0163917505896798</v>
      </c>
      <c r="AP120" s="5">
        <f t="shared" si="22"/>
        <v>6.6343515742135626</v>
      </c>
      <c r="AV120" s="5">
        <v>116</v>
      </c>
      <c r="AW120" s="5">
        <f t="shared" si="23"/>
        <v>1.6769118112641563</v>
      </c>
      <c r="AX120" s="5">
        <f t="shared" si="24"/>
        <v>2.1365923250376078</v>
      </c>
      <c r="AY120" s="5">
        <f t="shared" si="25"/>
        <v>2.2573556450764634</v>
      </c>
      <c r="AZ120" s="5">
        <f t="shared" si="26"/>
        <v>2.3429479778773037</v>
      </c>
      <c r="BA120" s="5">
        <f t="shared" si="27"/>
        <v>2.3731116458847827</v>
      </c>
    </row>
    <row r="121" spans="26:53" x14ac:dyDescent="0.15">
      <c r="Z121" s="5">
        <v>117</v>
      </c>
      <c r="AA121" s="5">
        <f>IFERROR(75*精英野怪!$Z121/精英野怪!$K$19/精英野怪!$Y121,AA122)</f>
        <v>3.2835820895522385</v>
      </c>
      <c r="AK121" s="5">
        <v>117</v>
      </c>
      <c r="AL121" s="5">
        <f t="shared" si="18"/>
        <v>1.7240803067190389</v>
      </c>
      <c r="AM121" s="5">
        <f t="shared" si="19"/>
        <v>1.6368082011527796</v>
      </c>
      <c r="AN121" s="5">
        <f t="shared" si="20"/>
        <v>2.5713036244694898</v>
      </c>
      <c r="AO121" s="5">
        <f t="shared" si="21"/>
        <v>5.3042004281185822</v>
      </c>
      <c r="AP121" s="5">
        <f t="shared" si="22"/>
        <v>7.0467541883791203</v>
      </c>
      <c r="AV121" s="5">
        <v>117</v>
      </c>
      <c r="AW121" s="5">
        <f t="shared" si="23"/>
        <v>1.7089372967324112</v>
      </c>
      <c r="AX121" s="5">
        <f t="shared" si="24"/>
        <v>2.1593127547650246</v>
      </c>
      <c r="AY121" s="5">
        <f t="shared" si="25"/>
        <v>2.2671112490627965</v>
      </c>
      <c r="AZ121" s="5">
        <f t="shared" si="26"/>
        <v>2.3494284412256223</v>
      </c>
      <c r="BA121" s="5">
        <f t="shared" si="27"/>
        <v>2.3777904980216849</v>
      </c>
    </row>
    <row r="122" spans="26:53" x14ac:dyDescent="0.15">
      <c r="Z122" s="5">
        <v>118</v>
      </c>
      <c r="AA122" s="5">
        <f>IFERROR(75*精英野怪!$Z122/精英野怪!$K$19/精英野怪!$Y122,AA123)</f>
        <v>3.2352941176470589</v>
      </c>
      <c r="AK122" s="5">
        <v>118</v>
      </c>
      <c r="AL122" s="5">
        <f t="shared" si="18"/>
        <v>1.7922117909621587</v>
      </c>
      <c r="AM122" s="5">
        <f t="shared" si="19"/>
        <v>1.7297772053994849</v>
      </c>
      <c r="AN122" s="5">
        <f t="shared" si="20"/>
        <v>2.7200906656923145</v>
      </c>
      <c r="AO122" s="5">
        <f t="shared" si="21"/>
        <v>5.5920091056474854</v>
      </c>
      <c r="AP122" s="5">
        <f t="shared" si="22"/>
        <v>7.4591568025446779</v>
      </c>
      <c r="AV122" s="5">
        <v>118</v>
      </c>
      <c r="AW122" s="5">
        <f t="shared" si="23"/>
        <v>1.7409627822006661</v>
      </c>
      <c r="AX122" s="5">
        <f t="shared" si="24"/>
        <v>2.182033184492441</v>
      </c>
      <c r="AY122" s="5">
        <f t="shared" si="25"/>
        <v>2.2768668530491296</v>
      </c>
      <c r="AZ122" s="5">
        <f t="shared" si="26"/>
        <v>2.3559089045739414</v>
      </c>
      <c r="BA122" s="5">
        <f t="shared" si="27"/>
        <v>2.3824693501585874</v>
      </c>
    </row>
    <row r="123" spans="26:53" x14ac:dyDescent="0.15">
      <c r="Z123" s="5">
        <v>119</v>
      </c>
      <c r="AA123" s="5">
        <f>IFERROR(75*精英野怪!$Z123/精英野怪!$K$19/精英野怪!$Y123,AA124)</f>
        <v>3.1884057971014492</v>
      </c>
      <c r="AK123" s="5">
        <v>119</v>
      </c>
      <c r="AL123" s="5">
        <f t="shared" si="18"/>
        <v>1.8603432752052784</v>
      </c>
      <c r="AM123" s="5">
        <f t="shared" si="19"/>
        <v>1.8227462096461906</v>
      </c>
      <c r="AN123" s="5">
        <f t="shared" si="20"/>
        <v>2.8688777069151388</v>
      </c>
      <c r="AO123" s="5">
        <f t="shared" si="21"/>
        <v>5.8798177831763887</v>
      </c>
      <c r="AP123" s="5">
        <f t="shared" si="22"/>
        <v>7.8715594167102356</v>
      </c>
      <c r="AV123" s="5">
        <v>119</v>
      </c>
      <c r="AW123" s="5">
        <f t="shared" si="23"/>
        <v>1.7729882676689208</v>
      </c>
      <c r="AX123" s="5">
        <f t="shared" si="24"/>
        <v>2.2047536142198578</v>
      </c>
      <c r="AY123" s="5">
        <f t="shared" si="25"/>
        <v>2.2866224570354632</v>
      </c>
      <c r="AZ123" s="5">
        <f t="shared" si="26"/>
        <v>2.3623893679222601</v>
      </c>
      <c r="BA123" s="5">
        <f t="shared" si="27"/>
        <v>2.3871482022954895</v>
      </c>
    </row>
    <row r="124" spans="26:53" x14ac:dyDescent="0.15">
      <c r="Z124" s="5">
        <v>120</v>
      </c>
      <c r="AA124" s="5">
        <f>IFERROR(75*精英野怪!$Z124/精英野怪!$K$19/精英野怪!$Y124,AA125)</f>
        <v>3.1428571428571428</v>
      </c>
      <c r="AK124" s="5">
        <v>120</v>
      </c>
      <c r="AL124" s="5">
        <f t="shared" si="18"/>
        <v>1.9284747594483984</v>
      </c>
      <c r="AM124" s="5">
        <f t="shared" si="19"/>
        <v>1.9157152138928959</v>
      </c>
      <c r="AN124" s="5">
        <f t="shared" si="20"/>
        <v>3.0176647481379635</v>
      </c>
      <c r="AO124" s="5">
        <f t="shared" si="21"/>
        <v>6.1676264607052911</v>
      </c>
      <c r="AP124" s="5">
        <f t="shared" si="22"/>
        <v>8.2839620308757933</v>
      </c>
      <c r="AV124" s="5">
        <v>120</v>
      </c>
      <c r="AW124" s="5">
        <f t="shared" si="23"/>
        <v>1.8050137531371757</v>
      </c>
      <c r="AX124" s="5">
        <f t="shared" si="24"/>
        <v>2.2274740439472747</v>
      </c>
      <c r="AY124" s="5">
        <f t="shared" si="25"/>
        <v>2.2963780610217963</v>
      </c>
      <c r="AZ124" s="5">
        <f t="shared" si="26"/>
        <v>2.3688698312705787</v>
      </c>
      <c r="BA124" s="5">
        <f t="shared" si="27"/>
        <v>2.3918270544323921</v>
      </c>
    </row>
    <row r="125" spans="26:53" x14ac:dyDescent="0.15">
      <c r="Z125" s="5">
        <v>121</v>
      </c>
      <c r="AA125" s="5">
        <f>IFERROR(75*精英野怪!$Z125/精英野怪!$K$19/精英野怪!$Y125,AA126)</f>
        <v>3.0985915492957745</v>
      </c>
      <c r="AK125" s="5">
        <v>121</v>
      </c>
      <c r="AL125" s="5">
        <f t="shared" si="18"/>
        <v>2.0824659756350101</v>
      </c>
      <c r="AM125" s="5">
        <f t="shared" si="19"/>
        <v>2.0724542668745087</v>
      </c>
      <c r="AN125" s="5">
        <f t="shared" si="20"/>
        <v>3.2706099067577017</v>
      </c>
      <c r="AO125" s="5">
        <f t="shared" si="21"/>
        <v>6.774935986067482</v>
      </c>
      <c r="AP125" s="5">
        <f t="shared" si="22"/>
        <v>9.1093006510914201</v>
      </c>
      <c r="AV125" s="5">
        <v>121</v>
      </c>
      <c r="AW125" s="5">
        <f t="shared" si="23"/>
        <v>1.8228734133953108</v>
      </c>
      <c r="AX125" s="5">
        <f t="shared" si="24"/>
        <v>2.2388707098110414</v>
      </c>
      <c r="AY125" s="5">
        <f t="shared" si="25"/>
        <v>2.3032265201591993</v>
      </c>
      <c r="AZ125" s="5">
        <f t="shared" si="26"/>
        <v>2.3760520057110086</v>
      </c>
      <c r="BA125" s="5">
        <f t="shared" si="27"/>
        <v>2.4015740568185184</v>
      </c>
    </row>
    <row r="126" spans="26:53" x14ac:dyDescent="0.15">
      <c r="Z126" s="5">
        <v>122</v>
      </c>
      <c r="AA126" s="5">
        <f>IFERROR(75*精英野怪!$Z126/精英野怪!$K$19/精英野怪!$Y126,AA127)</f>
        <v>3.0555555555555554</v>
      </c>
      <c r="AK126" s="5">
        <v>122</v>
      </c>
      <c r="AL126" s="5">
        <f t="shared" si="18"/>
        <v>2.2364571918216214</v>
      </c>
      <c r="AM126" s="5">
        <f t="shared" si="19"/>
        <v>2.2291933198561211</v>
      </c>
      <c r="AN126" s="5">
        <f t="shared" si="20"/>
        <v>3.5235550653774403</v>
      </c>
      <c r="AO126" s="5">
        <f t="shared" si="21"/>
        <v>7.382245511429673</v>
      </c>
      <c r="AP126" s="5">
        <f t="shared" si="22"/>
        <v>9.9346392713070486</v>
      </c>
      <c r="AV126" s="5">
        <v>122</v>
      </c>
      <c r="AW126" s="5">
        <f t="shared" si="23"/>
        <v>1.840733073653446</v>
      </c>
      <c r="AX126" s="5">
        <f t="shared" si="24"/>
        <v>2.2502673756748082</v>
      </c>
      <c r="AY126" s="5">
        <f t="shared" si="25"/>
        <v>2.3100749792966022</v>
      </c>
      <c r="AZ126" s="5">
        <f t="shared" si="26"/>
        <v>2.383234180151439</v>
      </c>
      <c r="BA126" s="5">
        <f t="shared" si="27"/>
        <v>2.4113210592046448</v>
      </c>
    </row>
    <row r="127" spans="26:53" x14ac:dyDescent="0.15">
      <c r="Z127" s="5">
        <v>123</v>
      </c>
      <c r="AA127" s="5">
        <f>IFERROR(75*精英野怪!$Z127/精英野怪!$K$19/精英野怪!$Y127,AA128)</f>
        <v>3.0136986301369864</v>
      </c>
      <c r="AK127" s="5">
        <v>123</v>
      </c>
      <c r="AL127" s="5">
        <f t="shared" si="18"/>
        <v>2.3904484080082327</v>
      </c>
      <c r="AM127" s="5">
        <f t="shared" si="19"/>
        <v>2.385932372837734</v>
      </c>
      <c r="AN127" s="5">
        <f t="shared" si="20"/>
        <v>3.7765002239971786</v>
      </c>
      <c r="AO127" s="5">
        <f t="shared" si="21"/>
        <v>7.9895550367918631</v>
      </c>
      <c r="AP127" s="5">
        <f t="shared" si="22"/>
        <v>10.759977891522677</v>
      </c>
      <c r="AV127" s="5">
        <v>123</v>
      </c>
      <c r="AW127" s="5">
        <f t="shared" si="23"/>
        <v>1.8585927339115811</v>
      </c>
      <c r="AX127" s="5">
        <f t="shared" si="24"/>
        <v>2.2616640415385749</v>
      </c>
      <c r="AY127" s="5">
        <f t="shared" si="25"/>
        <v>2.3169234384340052</v>
      </c>
      <c r="AZ127" s="5">
        <f t="shared" si="26"/>
        <v>2.3904163545918689</v>
      </c>
      <c r="BA127" s="5">
        <f t="shared" si="27"/>
        <v>2.4210680615907707</v>
      </c>
    </row>
    <row r="128" spans="26:53" x14ac:dyDescent="0.15">
      <c r="Z128" s="5">
        <v>124</v>
      </c>
      <c r="AA128" s="5">
        <f>IFERROR(75*精英野怪!$Z128/精英野怪!$K$19/精英野怪!$Y128,AA129)</f>
        <v>2.9729729729729732</v>
      </c>
      <c r="AK128" s="5">
        <v>124</v>
      </c>
      <c r="AL128" s="5">
        <f t="shared" si="18"/>
        <v>2.5444396241948444</v>
      </c>
      <c r="AM128" s="5">
        <f t="shared" si="19"/>
        <v>2.5426714258193464</v>
      </c>
      <c r="AN128" s="5">
        <f t="shared" si="20"/>
        <v>4.0294453826169168</v>
      </c>
      <c r="AO128" s="5">
        <f t="shared" si="21"/>
        <v>8.5968645621540531</v>
      </c>
      <c r="AP128" s="5">
        <f t="shared" si="22"/>
        <v>11.585316511738304</v>
      </c>
      <c r="AV128" s="5">
        <v>124</v>
      </c>
      <c r="AW128" s="5">
        <f t="shared" si="23"/>
        <v>1.8764523941697162</v>
      </c>
      <c r="AX128" s="5">
        <f t="shared" si="24"/>
        <v>2.2730607074023417</v>
      </c>
      <c r="AY128" s="5">
        <f t="shared" si="25"/>
        <v>2.3237718975714081</v>
      </c>
      <c r="AZ128" s="5">
        <f t="shared" si="26"/>
        <v>2.3975985290322988</v>
      </c>
      <c r="BA128" s="5">
        <f t="shared" si="27"/>
        <v>2.4308150639768971</v>
      </c>
    </row>
    <row r="129" spans="26:53" x14ac:dyDescent="0.15">
      <c r="Z129" s="5">
        <v>125</v>
      </c>
      <c r="AA129" s="5">
        <f>IFERROR(75*精英野怪!$Z129/精英野怪!$K$19/精英野怪!$Y129,AA130)</f>
        <v>2.9333333333333331</v>
      </c>
      <c r="AK129" s="5">
        <v>125</v>
      </c>
      <c r="AL129" s="5">
        <f t="shared" si="18"/>
        <v>2.6984308403814561</v>
      </c>
      <c r="AM129" s="5">
        <f t="shared" si="19"/>
        <v>2.6994104788009592</v>
      </c>
      <c r="AN129" s="5">
        <f t="shared" si="20"/>
        <v>4.282390541236655</v>
      </c>
      <c r="AO129" s="5">
        <f t="shared" si="21"/>
        <v>9.204174087516245</v>
      </c>
      <c r="AP129" s="5">
        <f t="shared" si="22"/>
        <v>12.410655131953931</v>
      </c>
      <c r="AV129" s="5">
        <v>125</v>
      </c>
      <c r="AW129" s="5">
        <f t="shared" si="23"/>
        <v>1.8943120544278513</v>
      </c>
      <c r="AX129" s="5">
        <f t="shared" si="24"/>
        <v>2.2844573732661084</v>
      </c>
      <c r="AY129" s="5">
        <f t="shared" si="25"/>
        <v>2.3306203567088111</v>
      </c>
      <c r="AZ129" s="5">
        <f t="shared" si="26"/>
        <v>2.4047807034727287</v>
      </c>
      <c r="BA129" s="5">
        <f t="shared" si="27"/>
        <v>2.4405620663630234</v>
      </c>
    </row>
    <row r="130" spans="26:53" x14ac:dyDescent="0.15">
      <c r="Z130" s="5">
        <v>126</v>
      </c>
      <c r="AA130" s="5">
        <f>IFERROR(75*精英野怪!$Z130/精英野怪!$K$19/精英野怪!$Y130,AA131)</f>
        <v>2.8947368421052633</v>
      </c>
      <c r="AK130" s="5">
        <v>126</v>
      </c>
      <c r="AL130" s="5">
        <f t="shared" si="18"/>
        <v>2.8524220565680674</v>
      </c>
      <c r="AM130" s="15">
        <f t="shared" si="19"/>
        <v>2.856149531782572</v>
      </c>
      <c r="AN130" s="5">
        <f t="shared" si="20"/>
        <v>4.5353356998563932</v>
      </c>
      <c r="AO130" s="5">
        <f t="shared" si="21"/>
        <v>9.8114836128784351</v>
      </c>
      <c r="AP130" s="5">
        <f t="shared" si="22"/>
        <v>13.235993752169559</v>
      </c>
      <c r="AV130" s="5">
        <v>126</v>
      </c>
      <c r="AW130" s="5">
        <f t="shared" si="23"/>
        <v>1.9121717146859865</v>
      </c>
      <c r="AX130" s="5">
        <f t="shared" si="24"/>
        <v>2.2958540391298756</v>
      </c>
      <c r="AY130" s="5">
        <f t="shared" si="25"/>
        <v>2.337468815846214</v>
      </c>
      <c r="AZ130" s="5">
        <f t="shared" si="26"/>
        <v>2.411962877913159</v>
      </c>
      <c r="BA130" s="5">
        <f t="shared" si="27"/>
        <v>2.4503090687491498</v>
      </c>
    </row>
    <row r="131" spans="26:53" x14ac:dyDescent="0.15">
      <c r="Z131" s="5">
        <v>127</v>
      </c>
      <c r="AA131" s="5">
        <f>IFERROR(75*精英野怪!$Z131/精英野怪!$K$19/精英野怪!$Y131,AA132)</f>
        <v>2.8571428571428568</v>
      </c>
      <c r="AK131" s="5">
        <v>127</v>
      </c>
      <c r="AL131" s="5">
        <f t="shared" si="18"/>
        <v>3.0064132727546786</v>
      </c>
      <c r="AM131" s="5">
        <f t="shared" si="19"/>
        <v>3.0128885847641849</v>
      </c>
      <c r="AN131" s="5">
        <f t="shared" si="20"/>
        <v>4.7882808584761314</v>
      </c>
      <c r="AO131" s="5">
        <f t="shared" si="21"/>
        <v>10.418793138240627</v>
      </c>
      <c r="AP131" s="5">
        <f t="shared" si="22"/>
        <v>14.061332372385188</v>
      </c>
      <c r="AV131" s="5">
        <v>127</v>
      </c>
      <c r="AW131" s="5">
        <f t="shared" si="23"/>
        <v>1.9300313749441216</v>
      </c>
      <c r="AX131" s="5">
        <f t="shared" si="24"/>
        <v>2.3072507049936424</v>
      </c>
      <c r="AY131" s="5">
        <f t="shared" si="25"/>
        <v>2.344317274983617</v>
      </c>
      <c r="AZ131" s="5">
        <f t="shared" si="26"/>
        <v>2.4191450523535889</v>
      </c>
      <c r="BA131" s="5">
        <f t="shared" si="27"/>
        <v>2.4600560711352761</v>
      </c>
    </row>
    <row r="132" spans="26:53" x14ac:dyDescent="0.15">
      <c r="Z132" s="5">
        <v>128</v>
      </c>
      <c r="AA132" s="5">
        <f>IFERROR(75*精英野怪!$Z132/精英野怪!$K$19/精英野怪!$Y132,AA133)</f>
        <v>2.8205128205128207</v>
      </c>
      <c r="AK132" s="5">
        <v>128</v>
      </c>
      <c r="AL132" s="5">
        <f t="shared" si="18"/>
        <v>3.1604044889412903</v>
      </c>
      <c r="AM132" s="5">
        <f t="shared" si="19"/>
        <v>3.1696276377457973</v>
      </c>
      <c r="AN132" s="5">
        <f t="shared" si="20"/>
        <v>5.0412260170958696</v>
      </c>
      <c r="AO132" s="5">
        <f t="shared" si="21"/>
        <v>11.026102663602817</v>
      </c>
      <c r="AP132" s="5">
        <f t="shared" si="22"/>
        <v>14.886670992600815</v>
      </c>
      <c r="AV132" s="5">
        <v>128</v>
      </c>
      <c r="AW132" s="5">
        <f t="shared" si="23"/>
        <v>1.9478910352022567</v>
      </c>
      <c r="AX132" s="5">
        <f t="shared" si="24"/>
        <v>2.3186473708574091</v>
      </c>
      <c r="AY132" s="5">
        <f t="shared" si="25"/>
        <v>2.3511657341210199</v>
      </c>
      <c r="AZ132" s="5">
        <f t="shared" si="26"/>
        <v>2.4263272267940188</v>
      </c>
      <c r="BA132" s="5">
        <f t="shared" si="27"/>
        <v>2.469803073521402</v>
      </c>
    </row>
    <row r="133" spans="26:53" x14ac:dyDescent="0.15">
      <c r="Z133" s="5">
        <v>129</v>
      </c>
      <c r="AA133" s="5">
        <f>IFERROR(75*精英野怪!$Z133/精英野怪!$K$19/精英野怪!$Y133,AA134)</f>
        <v>2.7848101265822787</v>
      </c>
      <c r="AK133" s="5">
        <v>129</v>
      </c>
      <c r="AL133" s="5">
        <f t="shared" si="18"/>
        <v>3.314395705127902</v>
      </c>
      <c r="AM133" s="5">
        <f t="shared" si="19"/>
        <v>3.3263666907274096</v>
      </c>
      <c r="AN133" s="5">
        <f t="shared" si="20"/>
        <v>5.2941711757156078</v>
      </c>
      <c r="AO133" s="5">
        <f t="shared" si="21"/>
        <v>11.633412188965007</v>
      </c>
      <c r="AP133" s="5">
        <f t="shared" si="22"/>
        <v>15.712009612816441</v>
      </c>
      <c r="AV133" s="5">
        <v>129</v>
      </c>
      <c r="AW133" s="5">
        <f t="shared" si="23"/>
        <v>1.9657506954603918</v>
      </c>
      <c r="AX133" s="5">
        <f t="shared" si="24"/>
        <v>2.3300440367211759</v>
      </c>
      <c r="AY133" s="5">
        <f t="shared" si="25"/>
        <v>2.3580141932584229</v>
      </c>
      <c r="AZ133" s="5">
        <f t="shared" si="26"/>
        <v>2.4335094012344491</v>
      </c>
      <c r="BA133" s="5">
        <f t="shared" si="27"/>
        <v>2.4795500759075284</v>
      </c>
    </row>
    <row r="134" spans="26:53" x14ac:dyDescent="0.15">
      <c r="Z134" s="5">
        <v>130</v>
      </c>
      <c r="AA134" s="5">
        <f>IFERROR(75*精英野怪!$Z134/精英野怪!$K$19/精英野怪!$Y134,AA135)</f>
        <v>2.75</v>
      </c>
      <c r="AK134" s="5">
        <v>130</v>
      </c>
      <c r="AL134" s="5">
        <f t="shared" ref="AL134:AL164" si="31">求节点($N$5:$N$20,$T$5:$T$20,$AK134)</f>
        <v>3.4683869213145133</v>
      </c>
      <c r="AM134" s="5">
        <f t="shared" ref="AM134:AM164" si="32">求节点($N$24:$N$39,$T$24:$T$39,$AK134)</f>
        <v>3.4831057437090225</v>
      </c>
      <c r="AN134" s="5">
        <f t="shared" ref="AN134:AN164" si="33">求节点($N$43:$N$58,$T$43:$T$58,$AK134)</f>
        <v>5.5471163343353469</v>
      </c>
      <c r="AO134" s="5">
        <f t="shared" ref="AO134:AO164" si="34">求节点($N$62:$N$77,$T$62:$T$77,$AK134)</f>
        <v>12.240721714327199</v>
      </c>
      <c r="AP134" s="5">
        <f t="shared" ref="AP134:AP164" si="35">求节点($N$81:$N$96,$T$81:$T$96,$AK134)</f>
        <v>16.53734823303207</v>
      </c>
      <c r="AV134" s="5">
        <v>130</v>
      </c>
      <c r="AW134" s="5">
        <f t="shared" ref="AW134:AW164" si="36">求节点($N$5:$N$20,$S$5:$S$20,$AV134)</f>
        <v>1.983610355718527</v>
      </c>
      <c r="AX134" s="5">
        <f t="shared" ref="AX134:AX164" si="37">求节点($N$24:$N$39,$S$24:$S$39,$AV134)</f>
        <v>2.3414407025849426</v>
      </c>
      <c r="AY134" s="5">
        <f t="shared" ref="AY134:AY164" si="38">求节点($N$43:$N$58,$S$43:$S$58,$AV134)</f>
        <v>2.3648626523958258</v>
      </c>
      <c r="AZ134" s="5">
        <f t="shared" ref="AZ134:AZ164" si="39">求节点($N$62:$N$77,$S$62:$S$77,$AV134)</f>
        <v>2.440691575674879</v>
      </c>
      <c r="BA134" s="5">
        <f t="shared" ref="BA134:BA164" si="40">求节点($N$81:$N$96,$S$81:$S$96,$AV134)</f>
        <v>2.4892970782936548</v>
      </c>
    </row>
    <row r="135" spans="26:53" x14ac:dyDescent="0.15">
      <c r="Z135" s="5">
        <v>131</v>
      </c>
      <c r="AA135" s="5">
        <f>IFERROR(75*精英野怪!$Z135/精英野怪!$K$19/精英野怪!$Y135,AA136)</f>
        <v>2.75</v>
      </c>
      <c r="AK135" s="5">
        <v>131</v>
      </c>
      <c r="AL135" s="5">
        <f t="shared" si="31"/>
        <v>3.7946951748720394</v>
      </c>
      <c r="AM135" s="5">
        <f t="shared" si="32"/>
        <v>3.813553089586764</v>
      </c>
      <c r="AN135" s="5">
        <f t="shared" si="33"/>
        <v>6.0816782616464735</v>
      </c>
      <c r="AO135" s="5">
        <f t="shared" si="34"/>
        <v>13.297096151172015</v>
      </c>
      <c r="AP135" s="5">
        <f t="shared" si="35"/>
        <v>17.96272576533228</v>
      </c>
      <c r="AV135" s="5">
        <v>131</v>
      </c>
      <c r="AW135" s="5">
        <f t="shared" si="36"/>
        <v>1.9928904426894547</v>
      </c>
      <c r="AX135" s="5">
        <f t="shared" si="37"/>
        <v>2.3455269535936578</v>
      </c>
      <c r="AY135" s="5">
        <f t="shared" si="38"/>
        <v>2.3714511698459924</v>
      </c>
      <c r="AZ135" s="5">
        <f t="shared" si="39"/>
        <v>2.4497214020381604</v>
      </c>
      <c r="BA135" s="5">
        <f t="shared" si="40"/>
        <v>2.4951245826896282</v>
      </c>
    </row>
    <row r="136" spans="26:53" x14ac:dyDescent="0.15">
      <c r="Z136" s="5">
        <v>132</v>
      </c>
      <c r="AA136" s="5">
        <f>IFERROR(75*精英野怪!$Z136/精英野怪!$K$19/精英野怪!$Y136,AA137)</f>
        <v>2.75</v>
      </c>
      <c r="AK136" s="5">
        <v>132</v>
      </c>
      <c r="AL136" s="5">
        <f t="shared" si="31"/>
        <v>4.1210034284295656</v>
      </c>
      <c r="AM136" s="5">
        <f t="shared" si="32"/>
        <v>4.1440004354645055</v>
      </c>
      <c r="AN136" s="5">
        <f t="shared" si="33"/>
        <v>6.616240188957601</v>
      </c>
      <c r="AO136" s="5">
        <f t="shared" si="34"/>
        <v>14.353470588016831</v>
      </c>
      <c r="AP136" s="5">
        <f t="shared" si="35"/>
        <v>19.388103297632494</v>
      </c>
      <c r="AV136" s="5">
        <v>132</v>
      </c>
      <c r="AW136" s="5">
        <f t="shared" si="36"/>
        <v>2.0021705296603827</v>
      </c>
      <c r="AX136" s="5">
        <f t="shared" si="37"/>
        <v>2.349613204602373</v>
      </c>
      <c r="AY136" s="5">
        <f t="shared" si="38"/>
        <v>2.3780396872961593</v>
      </c>
      <c r="AZ136" s="5">
        <f t="shared" si="39"/>
        <v>2.4587512284014417</v>
      </c>
      <c r="BA136" s="5">
        <f t="shared" si="40"/>
        <v>2.5009520870856021</v>
      </c>
    </row>
    <row r="137" spans="26:53" x14ac:dyDescent="0.15">
      <c r="Z137" s="5">
        <v>133</v>
      </c>
      <c r="AA137" s="5">
        <f>IFERROR(75*精英野怪!$Z137/精英野怪!$K$19/精英野怪!$Y137,AA138)</f>
        <v>2.75</v>
      </c>
      <c r="AK137" s="5">
        <v>133</v>
      </c>
      <c r="AL137" s="5">
        <f t="shared" si="31"/>
        <v>4.4473116819870917</v>
      </c>
      <c r="AM137" s="5">
        <f t="shared" si="32"/>
        <v>4.4744477813422465</v>
      </c>
      <c r="AN137" s="5">
        <f t="shared" si="33"/>
        <v>7.1508021162687285</v>
      </c>
      <c r="AO137" s="5">
        <f t="shared" si="34"/>
        <v>15.409845024861646</v>
      </c>
      <c r="AP137" s="5">
        <f t="shared" si="35"/>
        <v>20.813480829932708</v>
      </c>
      <c r="AV137" s="5">
        <v>133</v>
      </c>
      <c r="AW137" s="5">
        <f t="shared" si="36"/>
        <v>2.0114506166313104</v>
      </c>
      <c r="AX137" s="5">
        <f t="shared" si="37"/>
        <v>2.3536994556110877</v>
      </c>
      <c r="AY137" s="5">
        <f t="shared" si="38"/>
        <v>2.3846282047463259</v>
      </c>
      <c r="AZ137" s="5">
        <f t="shared" si="39"/>
        <v>2.467781054764723</v>
      </c>
      <c r="BA137" s="5">
        <f t="shared" si="40"/>
        <v>2.5067795914815756</v>
      </c>
    </row>
    <row r="138" spans="26:53" x14ac:dyDescent="0.15">
      <c r="Z138" s="5">
        <v>134</v>
      </c>
      <c r="AA138" s="5">
        <f>IFERROR(75*精英野怪!$Z138/精英野怪!$K$19/精英野怪!$Y138,AA139)</f>
        <v>2.75</v>
      </c>
      <c r="AK138" s="5">
        <v>134</v>
      </c>
      <c r="AL138" s="5">
        <f t="shared" si="31"/>
        <v>4.7736199355446178</v>
      </c>
      <c r="AM138" s="5">
        <f t="shared" si="32"/>
        <v>4.8048951272199876</v>
      </c>
      <c r="AN138" s="5">
        <f t="shared" si="33"/>
        <v>7.6853640435798551</v>
      </c>
      <c r="AO138" s="5">
        <f t="shared" si="34"/>
        <v>16.466219461706462</v>
      </c>
      <c r="AP138" s="5">
        <f t="shared" si="35"/>
        <v>22.238858362232918</v>
      </c>
      <c r="AV138" s="5">
        <v>134</v>
      </c>
      <c r="AW138" s="5">
        <f t="shared" si="36"/>
        <v>2.0207307036022382</v>
      </c>
      <c r="AX138" s="5">
        <f t="shared" si="37"/>
        <v>2.3577857066198029</v>
      </c>
      <c r="AY138" s="5">
        <f t="shared" si="38"/>
        <v>2.3912167221964928</v>
      </c>
      <c r="AZ138" s="5">
        <f t="shared" si="39"/>
        <v>2.4768108811280043</v>
      </c>
      <c r="BA138" s="5">
        <f t="shared" si="40"/>
        <v>2.5126070958775495</v>
      </c>
    </row>
    <row r="139" spans="26:53" x14ac:dyDescent="0.15">
      <c r="Z139" s="5">
        <v>135</v>
      </c>
      <c r="AA139" s="5">
        <f>IFERROR(75*精英野怪!$Z139/精英野怪!$K$19/精英野怪!$Y139,AA140)</f>
        <v>2.75</v>
      </c>
      <c r="AK139" s="5">
        <v>135</v>
      </c>
      <c r="AL139" s="5">
        <f t="shared" si="31"/>
        <v>5.099928189102144</v>
      </c>
      <c r="AM139" s="5">
        <f t="shared" si="32"/>
        <v>5.1353424730977295</v>
      </c>
      <c r="AN139" s="5">
        <f t="shared" si="33"/>
        <v>8.2199259708909818</v>
      </c>
      <c r="AO139" s="5">
        <f t="shared" si="34"/>
        <v>17.522593898551278</v>
      </c>
      <c r="AP139" s="5">
        <f t="shared" si="35"/>
        <v>23.664235894533128</v>
      </c>
      <c r="AV139" s="5">
        <v>135</v>
      </c>
      <c r="AW139" s="5">
        <f t="shared" si="36"/>
        <v>2.0300107905731659</v>
      </c>
      <c r="AX139" s="5">
        <f t="shared" si="37"/>
        <v>2.3618719576285181</v>
      </c>
      <c r="AY139" s="5">
        <f t="shared" si="38"/>
        <v>2.3978052396466594</v>
      </c>
      <c r="AZ139" s="5">
        <f t="shared" si="39"/>
        <v>2.4858407074912856</v>
      </c>
      <c r="BA139" s="5">
        <f t="shared" si="40"/>
        <v>2.5184346002735229</v>
      </c>
    </row>
    <row r="140" spans="26:53" x14ac:dyDescent="0.15">
      <c r="Z140" s="5">
        <v>136</v>
      </c>
      <c r="AA140" s="5">
        <f>IFERROR(75*精英野怪!$Z140/精英野怪!$K$19/精英野怪!$Y140,AA141)</f>
        <v>2.75</v>
      </c>
      <c r="AK140" s="5">
        <v>136</v>
      </c>
      <c r="AL140" s="5">
        <f t="shared" si="31"/>
        <v>5.426236442659671</v>
      </c>
      <c r="AM140" s="5">
        <f t="shared" si="32"/>
        <v>5.4657898189754706</v>
      </c>
      <c r="AN140" s="5">
        <f t="shared" si="33"/>
        <v>8.7544878982021093</v>
      </c>
      <c r="AO140" s="5">
        <f t="shared" si="34"/>
        <v>18.578968335396095</v>
      </c>
      <c r="AP140" s="5">
        <f t="shared" si="35"/>
        <v>25.089613426833342</v>
      </c>
      <c r="AV140" s="5">
        <v>136</v>
      </c>
      <c r="AW140" s="5">
        <f t="shared" si="36"/>
        <v>2.0392908775440937</v>
      </c>
      <c r="AX140" s="5">
        <f t="shared" si="37"/>
        <v>2.3659582086372333</v>
      </c>
      <c r="AY140" s="5">
        <f t="shared" si="38"/>
        <v>2.4043937570968259</v>
      </c>
      <c r="AZ140" s="5">
        <f t="shared" si="39"/>
        <v>2.4948705338545674</v>
      </c>
      <c r="BA140" s="5">
        <f t="shared" si="40"/>
        <v>2.5242621046694964</v>
      </c>
    </row>
    <row r="141" spans="26:53" x14ac:dyDescent="0.15">
      <c r="Z141" s="5">
        <v>137</v>
      </c>
      <c r="AA141" s="5">
        <f>IFERROR(75*精英野怪!$Z141/精英野怪!$K$19/精英野怪!$Y141,AA142)</f>
        <v>2.75</v>
      </c>
      <c r="AK141" s="5">
        <v>137</v>
      </c>
      <c r="AL141" s="5">
        <f t="shared" si="31"/>
        <v>5.7525446962171971</v>
      </c>
      <c r="AM141" s="5">
        <f t="shared" si="32"/>
        <v>5.7962371648532116</v>
      </c>
      <c r="AN141" s="5">
        <f t="shared" si="33"/>
        <v>9.2890498255132368</v>
      </c>
      <c r="AO141" s="5">
        <f t="shared" si="34"/>
        <v>19.635342772240911</v>
      </c>
      <c r="AP141" s="5">
        <f t="shared" si="35"/>
        <v>26.514990959133556</v>
      </c>
      <c r="AV141" s="5">
        <v>137</v>
      </c>
      <c r="AW141" s="5">
        <f t="shared" si="36"/>
        <v>2.0485709645150219</v>
      </c>
      <c r="AX141" s="5">
        <f t="shared" si="37"/>
        <v>2.3700444596459485</v>
      </c>
      <c r="AY141" s="5">
        <f t="shared" si="38"/>
        <v>2.4109822745469929</v>
      </c>
      <c r="AZ141" s="5">
        <f t="shared" si="39"/>
        <v>2.5039003602178487</v>
      </c>
      <c r="BA141" s="5">
        <f t="shared" si="40"/>
        <v>2.5300896090654703</v>
      </c>
    </row>
    <row r="142" spans="26:53" x14ac:dyDescent="0.15">
      <c r="Z142" s="5">
        <v>138</v>
      </c>
      <c r="AA142" s="5">
        <f>IFERROR(75*精英野怪!$Z142/精英野怪!$K$19/精英野怪!$Y142,AA143)</f>
        <v>2.75</v>
      </c>
      <c r="AK142" s="5">
        <v>138</v>
      </c>
      <c r="AL142" s="5">
        <f t="shared" si="31"/>
        <v>6.0788529497747232</v>
      </c>
      <c r="AM142" s="5">
        <f t="shared" si="32"/>
        <v>6.1266845107309535</v>
      </c>
      <c r="AN142" s="5">
        <f t="shared" si="33"/>
        <v>9.8236117528243625</v>
      </c>
      <c r="AO142" s="5">
        <f t="shared" si="34"/>
        <v>20.691717209085727</v>
      </c>
      <c r="AP142" s="5">
        <f t="shared" si="35"/>
        <v>27.940368491433766</v>
      </c>
      <c r="AV142" s="5">
        <v>138</v>
      </c>
      <c r="AW142" s="5">
        <f t="shared" si="36"/>
        <v>2.0578510514859496</v>
      </c>
      <c r="AX142" s="5">
        <f t="shared" si="37"/>
        <v>2.3741307106546632</v>
      </c>
      <c r="AY142" s="5">
        <f t="shared" si="38"/>
        <v>2.4175707919971594</v>
      </c>
      <c r="AZ142" s="5">
        <f t="shared" si="39"/>
        <v>2.51293018658113</v>
      </c>
      <c r="BA142" s="5">
        <f t="shared" si="40"/>
        <v>2.5359171134614438</v>
      </c>
    </row>
    <row r="143" spans="26:53" x14ac:dyDescent="0.15">
      <c r="Z143" s="5">
        <v>139</v>
      </c>
      <c r="AA143" s="5">
        <f>IFERROR(75*精英野怪!$Z143/精英野怪!$K$19/精英野怪!$Y143,AA144)</f>
        <v>2.75</v>
      </c>
      <c r="AK143" s="5">
        <v>139</v>
      </c>
      <c r="AL143" s="5">
        <f t="shared" si="31"/>
        <v>6.4051612033322494</v>
      </c>
      <c r="AM143" s="5">
        <f t="shared" si="32"/>
        <v>6.4571318566086955</v>
      </c>
      <c r="AN143" s="5">
        <f t="shared" si="33"/>
        <v>10.35817368013549</v>
      </c>
      <c r="AO143" s="5">
        <f t="shared" si="34"/>
        <v>21.748091645930543</v>
      </c>
      <c r="AP143" s="5">
        <f t="shared" si="35"/>
        <v>29.365746023733976</v>
      </c>
      <c r="AV143" s="5">
        <v>139</v>
      </c>
      <c r="AW143" s="5">
        <f t="shared" si="36"/>
        <v>2.0671311384568773</v>
      </c>
      <c r="AX143" s="5">
        <f t="shared" si="37"/>
        <v>2.3782169616633784</v>
      </c>
      <c r="AY143" s="5">
        <f t="shared" si="38"/>
        <v>2.4241593094473264</v>
      </c>
      <c r="AZ143" s="5">
        <f t="shared" si="39"/>
        <v>2.5219600129444113</v>
      </c>
      <c r="BA143" s="5">
        <f t="shared" si="40"/>
        <v>2.5417446178574177</v>
      </c>
    </row>
    <row r="144" spans="26:53" x14ac:dyDescent="0.15">
      <c r="Z144" s="5">
        <v>140</v>
      </c>
      <c r="AA144" s="5">
        <f>IFERROR(75*精英野怪!$Z144/精英野怪!$K$19/精英野怪!$Y144,AA145)</f>
        <v>2.75</v>
      </c>
      <c r="AK144" s="5">
        <v>140</v>
      </c>
      <c r="AL144" s="5">
        <f t="shared" si="31"/>
        <v>6.7314694568897755</v>
      </c>
      <c r="AM144" s="5">
        <f t="shared" si="32"/>
        <v>6.7875792024864365</v>
      </c>
      <c r="AN144" s="5">
        <f t="shared" si="33"/>
        <v>10.892735607446618</v>
      </c>
      <c r="AO144" s="5">
        <f t="shared" si="34"/>
        <v>22.80446608277536</v>
      </c>
      <c r="AP144" s="5">
        <f t="shared" si="35"/>
        <v>30.79112355603419</v>
      </c>
      <c r="AV144" s="5">
        <v>140</v>
      </c>
      <c r="AW144" s="5">
        <f t="shared" si="36"/>
        <v>2.0764112254278051</v>
      </c>
      <c r="AX144" s="5">
        <f t="shared" si="37"/>
        <v>2.3823032126720936</v>
      </c>
      <c r="AY144" s="5">
        <f t="shared" si="38"/>
        <v>2.4307478268974929</v>
      </c>
      <c r="AZ144" s="5">
        <f t="shared" si="39"/>
        <v>2.5309898393076926</v>
      </c>
      <c r="BA144" s="5">
        <f t="shared" si="40"/>
        <v>2.5475721222533911</v>
      </c>
    </row>
    <row r="145" spans="26:53" x14ac:dyDescent="0.15">
      <c r="Z145" s="5">
        <v>141</v>
      </c>
      <c r="AA145" s="5">
        <f>IFERROR(75*精英野怪!$Z145/精英野怪!$K$19/精英野怪!$Y145,AA146)</f>
        <v>2.75</v>
      </c>
      <c r="AK145" s="5">
        <v>141</v>
      </c>
      <c r="AL145" s="5">
        <f t="shared" si="31"/>
        <v>7.2594777088950249</v>
      </c>
      <c r="AM145" s="5">
        <f t="shared" si="32"/>
        <v>7.4332889626552516</v>
      </c>
      <c r="AN145" s="5">
        <f t="shared" si="33"/>
        <v>11.826815366595364</v>
      </c>
      <c r="AO145" s="5">
        <f t="shared" si="34"/>
        <v>25.053559557491845</v>
      </c>
      <c r="AP145" s="5">
        <f t="shared" si="35"/>
        <v>33.84280267379836</v>
      </c>
      <c r="AV145" s="5">
        <v>141</v>
      </c>
      <c r="AW145" s="5">
        <f t="shared" si="36"/>
        <v>2.0867134512525443</v>
      </c>
      <c r="AX145" s="5">
        <f t="shared" si="37"/>
        <v>2.390566770186394</v>
      </c>
      <c r="AY145" s="5">
        <f t="shared" si="38"/>
        <v>2.4404094618390775</v>
      </c>
      <c r="AZ145" s="5">
        <f t="shared" si="39"/>
        <v>2.5360372625026835</v>
      </c>
      <c r="BA145" s="5">
        <f t="shared" si="40"/>
        <v>2.5544112378676318</v>
      </c>
    </row>
    <row r="146" spans="26:53" x14ac:dyDescent="0.15">
      <c r="Z146" s="5">
        <v>142</v>
      </c>
      <c r="AA146" s="5">
        <f>IFERROR(75*精英野怪!$Z146/精英野怪!$K$19/精英野怪!$Y146,AA147)</f>
        <v>2.75</v>
      </c>
      <c r="AK146" s="5">
        <v>142</v>
      </c>
      <c r="AL146" s="5">
        <f t="shared" si="31"/>
        <v>7.7874859609002751</v>
      </c>
      <c r="AM146" s="5">
        <f t="shared" si="32"/>
        <v>8.0789987228240676</v>
      </c>
      <c r="AN146" s="5">
        <f t="shared" si="33"/>
        <v>12.76089512574411</v>
      </c>
      <c r="AO146" s="5">
        <f t="shared" si="34"/>
        <v>27.30265303220833</v>
      </c>
      <c r="AP146" s="5">
        <f t="shared" si="35"/>
        <v>36.894481791562534</v>
      </c>
      <c r="AV146" s="5">
        <v>142</v>
      </c>
      <c r="AW146" s="5">
        <f t="shared" si="36"/>
        <v>2.0970156770772834</v>
      </c>
      <c r="AX146" s="5">
        <f t="shared" si="37"/>
        <v>2.3988303277006944</v>
      </c>
      <c r="AY146" s="5">
        <f t="shared" si="38"/>
        <v>2.450071096780662</v>
      </c>
      <c r="AZ146" s="5">
        <f t="shared" si="39"/>
        <v>2.5410846856976748</v>
      </c>
      <c r="BA146" s="5">
        <f t="shared" si="40"/>
        <v>2.5612503534818725</v>
      </c>
    </row>
    <row r="147" spans="26:53" x14ac:dyDescent="0.15">
      <c r="Z147" s="5">
        <v>143</v>
      </c>
      <c r="AA147" s="5">
        <f>IFERROR(75*精英野怪!$Z147/精英野怪!$K$19/精英野怪!$Y147,AA148)</f>
        <v>2.75</v>
      </c>
      <c r="AK147" s="5">
        <v>143</v>
      </c>
      <c r="AL147" s="5">
        <f t="shared" si="31"/>
        <v>8.3154942129055254</v>
      </c>
      <c r="AM147" s="5">
        <f t="shared" si="32"/>
        <v>8.7247084829928827</v>
      </c>
      <c r="AN147" s="5">
        <f t="shared" si="33"/>
        <v>13.694974884892854</v>
      </c>
      <c r="AO147" s="5">
        <f t="shared" si="34"/>
        <v>29.551746506924815</v>
      </c>
      <c r="AP147" s="5">
        <f t="shared" si="35"/>
        <v>39.946160909326707</v>
      </c>
      <c r="AV147" s="5">
        <v>143</v>
      </c>
      <c r="AW147" s="5">
        <f t="shared" si="36"/>
        <v>2.107317902902023</v>
      </c>
      <c r="AX147" s="5">
        <f t="shared" si="37"/>
        <v>2.4070938852149952</v>
      </c>
      <c r="AY147" s="5">
        <f t="shared" si="38"/>
        <v>2.4597327317222466</v>
      </c>
      <c r="AZ147" s="5">
        <f t="shared" si="39"/>
        <v>2.5461321088926656</v>
      </c>
      <c r="BA147" s="5">
        <f t="shared" si="40"/>
        <v>2.5680894690961127</v>
      </c>
    </row>
    <row r="148" spans="26:53" x14ac:dyDescent="0.15">
      <c r="Z148" s="5">
        <v>144</v>
      </c>
      <c r="AA148" s="5">
        <f>IFERROR(75*精英野怪!$Z148/精英野怪!$K$19/精英野怪!$Y148,AA149)</f>
        <v>2.75</v>
      </c>
      <c r="AK148" s="5">
        <v>144</v>
      </c>
      <c r="AL148" s="15">
        <f t="shared" si="31"/>
        <v>8.8435024649107739</v>
      </c>
      <c r="AM148" s="5">
        <f t="shared" si="32"/>
        <v>9.3704182431616978</v>
      </c>
      <c r="AN148" s="5">
        <f t="shared" si="33"/>
        <v>14.6290546440416</v>
      </c>
      <c r="AO148" s="5">
        <f t="shared" si="34"/>
        <v>31.800839981641296</v>
      </c>
      <c r="AP148" s="5">
        <f t="shared" si="35"/>
        <v>42.997840027090874</v>
      </c>
      <c r="AV148" s="5">
        <v>144</v>
      </c>
      <c r="AW148" s="5">
        <f t="shared" si="36"/>
        <v>2.1176201287267622</v>
      </c>
      <c r="AX148" s="5">
        <f t="shared" si="37"/>
        <v>2.4153574427292956</v>
      </c>
      <c r="AY148" s="5">
        <f t="shared" si="38"/>
        <v>2.4693943666638312</v>
      </c>
      <c r="AZ148" s="5">
        <f t="shared" si="39"/>
        <v>2.5511795320876565</v>
      </c>
      <c r="BA148" s="5">
        <f t="shared" si="40"/>
        <v>2.5749285847103534</v>
      </c>
    </row>
    <row r="149" spans="26:53" x14ac:dyDescent="0.15">
      <c r="Z149" s="5">
        <v>145</v>
      </c>
      <c r="AA149" s="5">
        <f>IFERROR(75*精英野怪!$Z149/精英野怪!$K$19/精英野怪!$Y149,AA150)</f>
        <v>2.75</v>
      </c>
      <c r="AK149" s="5">
        <v>145</v>
      </c>
      <c r="AL149" s="5">
        <f t="shared" si="31"/>
        <v>9.3715107169160241</v>
      </c>
      <c r="AM149" s="5">
        <f t="shared" si="32"/>
        <v>10.016128003330513</v>
      </c>
      <c r="AN149" s="5">
        <f t="shared" si="33"/>
        <v>15.563134403190347</v>
      </c>
      <c r="AO149" s="5">
        <f t="shared" si="34"/>
        <v>34.049933456357785</v>
      </c>
      <c r="AP149" s="5">
        <f t="shared" si="35"/>
        <v>46.04951914485504</v>
      </c>
      <c r="AV149" s="5">
        <v>145</v>
      </c>
      <c r="AW149" s="5">
        <f t="shared" si="36"/>
        <v>2.1279223545515014</v>
      </c>
      <c r="AX149" s="5">
        <f t="shared" si="37"/>
        <v>2.4236210002435961</v>
      </c>
      <c r="AY149" s="5">
        <f t="shared" si="38"/>
        <v>2.4790560016054153</v>
      </c>
      <c r="AZ149" s="5">
        <f t="shared" si="39"/>
        <v>2.5562269552826473</v>
      </c>
      <c r="BA149" s="5">
        <f t="shared" si="40"/>
        <v>2.581767700324594</v>
      </c>
    </row>
    <row r="150" spans="26:53" x14ac:dyDescent="0.15">
      <c r="Z150" s="5">
        <v>146</v>
      </c>
      <c r="AA150" s="5">
        <f>IFERROR(75*精英野怪!$Z150/精英野怪!$K$19/精英野怪!$Y150,AA151)</f>
        <v>2.75</v>
      </c>
      <c r="AK150" s="5">
        <v>146</v>
      </c>
      <c r="AL150" s="5">
        <f t="shared" si="31"/>
        <v>9.8995189689212744</v>
      </c>
      <c r="AM150" s="5">
        <f t="shared" si="32"/>
        <v>10.661837763499328</v>
      </c>
      <c r="AN150" s="5">
        <f t="shared" si="33"/>
        <v>16.497214162339091</v>
      </c>
      <c r="AO150" s="5">
        <f t="shared" si="34"/>
        <v>36.299026931074266</v>
      </c>
      <c r="AP150" s="5">
        <f t="shared" si="35"/>
        <v>49.101198262619221</v>
      </c>
      <c r="AV150" s="5">
        <v>146</v>
      </c>
      <c r="AW150" s="5">
        <f t="shared" si="36"/>
        <v>2.1382245803762405</v>
      </c>
      <c r="AX150" s="5">
        <f t="shared" si="37"/>
        <v>2.4318845577578965</v>
      </c>
      <c r="AY150" s="5">
        <f t="shared" si="38"/>
        <v>2.4887176365469998</v>
      </c>
      <c r="AZ150" s="5">
        <f t="shared" si="39"/>
        <v>2.5612743784776386</v>
      </c>
      <c r="BA150" s="5">
        <f t="shared" si="40"/>
        <v>2.5886068159388347</v>
      </c>
    </row>
    <row r="151" spans="26:53" x14ac:dyDescent="0.15">
      <c r="Z151" s="5">
        <v>147</v>
      </c>
      <c r="AA151" s="5">
        <f>IFERROR(75*精英野怪!$Z151/精英野怪!$K$19/精英野怪!$Y151,AA152)</f>
        <v>2.75</v>
      </c>
      <c r="AK151" s="5">
        <v>147</v>
      </c>
      <c r="AL151" s="5">
        <f t="shared" si="31"/>
        <v>10.427527220926525</v>
      </c>
      <c r="AM151" s="5">
        <f t="shared" si="32"/>
        <v>11.307547523668143</v>
      </c>
      <c r="AN151" s="5">
        <f t="shared" si="33"/>
        <v>17.431293921487839</v>
      </c>
      <c r="AO151" s="5">
        <f t="shared" si="34"/>
        <v>38.548120405790755</v>
      </c>
      <c r="AP151" s="5">
        <f t="shared" si="35"/>
        <v>52.152877380383387</v>
      </c>
      <c r="AV151" s="5">
        <v>147</v>
      </c>
      <c r="AW151" s="5">
        <f t="shared" si="36"/>
        <v>2.1485268062009797</v>
      </c>
      <c r="AX151" s="5">
        <f t="shared" si="37"/>
        <v>2.4401481152721969</v>
      </c>
      <c r="AY151" s="5">
        <f t="shared" si="38"/>
        <v>2.4983792714885844</v>
      </c>
      <c r="AZ151" s="5">
        <f t="shared" si="39"/>
        <v>2.5663218016726295</v>
      </c>
      <c r="BA151" s="5">
        <f t="shared" si="40"/>
        <v>2.5954459315530753</v>
      </c>
    </row>
    <row r="152" spans="26:53" x14ac:dyDescent="0.15">
      <c r="Z152" s="5">
        <v>148</v>
      </c>
      <c r="AA152" s="5">
        <f>IFERROR(75*精英野怪!$Z152/精英野怪!$K$19/精英野怪!$Y152,AA153)</f>
        <v>2.75</v>
      </c>
      <c r="AK152" s="5">
        <v>148</v>
      </c>
      <c r="AL152" s="5">
        <f t="shared" si="31"/>
        <v>10.955535472931775</v>
      </c>
      <c r="AM152" s="5">
        <f t="shared" si="32"/>
        <v>11.953257283836958</v>
      </c>
      <c r="AN152" s="5">
        <f t="shared" si="33"/>
        <v>18.365373680636583</v>
      </c>
      <c r="AO152" s="5">
        <f t="shared" si="34"/>
        <v>40.797213880507236</v>
      </c>
      <c r="AP152" s="5">
        <f t="shared" si="35"/>
        <v>55.204556498147554</v>
      </c>
      <c r="AV152" s="5">
        <v>148</v>
      </c>
      <c r="AW152" s="5">
        <f t="shared" si="36"/>
        <v>2.1588290320257193</v>
      </c>
      <c r="AX152" s="5">
        <f t="shared" si="37"/>
        <v>2.4484116727864977</v>
      </c>
      <c r="AY152" s="5">
        <f t="shared" si="38"/>
        <v>2.508040906430169</v>
      </c>
      <c r="AZ152" s="5">
        <f t="shared" si="39"/>
        <v>2.5713692248676203</v>
      </c>
      <c r="BA152" s="5">
        <f t="shared" si="40"/>
        <v>2.6022850471673156</v>
      </c>
    </row>
    <row r="153" spans="26:53" x14ac:dyDescent="0.15">
      <c r="Z153" s="5">
        <v>149</v>
      </c>
      <c r="AA153" s="5">
        <f>IFERROR(75*精英野怪!$Z153/精英野怪!$K$19/精英野怪!$Y153,AA154)</f>
        <v>2.75</v>
      </c>
      <c r="AK153" s="5">
        <v>149</v>
      </c>
      <c r="AL153" s="5">
        <f t="shared" si="31"/>
        <v>11.483543724937025</v>
      </c>
      <c r="AM153" s="5">
        <f t="shared" si="32"/>
        <v>12.598967044005773</v>
      </c>
      <c r="AN153" s="5">
        <f t="shared" si="33"/>
        <v>19.299453439785331</v>
      </c>
      <c r="AO153" s="5">
        <f t="shared" si="34"/>
        <v>43.046307355223718</v>
      </c>
      <c r="AP153" s="5">
        <f t="shared" si="35"/>
        <v>58.256235615911727</v>
      </c>
      <c r="AV153" s="5">
        <v>149</v>
      </c>
      <c r="AW153" s="5">
        <f t="shared" si="36"/>
        <v>2.1691312578504585</v>
      </c>
      <c r="AX153" s="5">
        <f t="shared" si="37"/>
        <v>2.4566752303007982</v>
      </c>
      <c r="AY153" s="5">
        <f t="shared" si="38"/>
        <v>2.5177025413717535</v>
      </c>
      <c r="AZ153" s="5">
        <f t="shared" si="39"/>
        <v>2.5764166480626116</v>
      </c>
      <c r="BA153" s="5">
        <f t="shared" si="40"/>
        <v>2.6091241627815562</v>
      </c>
    </row>
    <row r="154" spans="26:53" x14ac:dyDescent="0.15">
      <c r="Z154" s="5">
        <v>150</v>
      </c>
      <c r="AA154" s="5">
        <f>IFERROR(75*精英野怪!$Z154/精英野怪!$K$19/精英野怪!$Y154,AA155)</f>
        <v>2.75</v>
      </c>
      <c r="AK154" s="5">
        <v>150</v>
      </c>
      <c r="AL154" s="5">
        <f t="shared" si="31"/>
        <v>12.011551976942274</v>
      </c>
      <c r="AM154" s="5">
        <f t="shared" si="32"/>
        <v>13.244676804174588</v>
      </c>
      <c r="AN154" s="5">
        <f t="shared" si="33"/>
        <v>20.233533198934076</v>
      </c>
      <c r="AO154" s="5">
        <f t="shared" si="34"/>
        <v>45.295400829940206</v>
      </c>
      <c r="AP154" s="5">
        <f t="shared" si="35"/>
        <v>61.307914733675901</v>
      </c>
      <c r="AV154" s="5">
        <v>150</v>
      </c>
      <c r="AW154" s="5">
        <f t="shared" si="36"/>
        <v>2.1794334836751976</v>
      </c>
      <c r="AX154" s="5">
        <f t="shared" si="37"/>
        <v>2.4649387878150986</v>
      </c>
      <c r="AY154" s="5">
        <f t="shared" si="38"/>
        <v>2.5273641763133381</v>
      </c>
      <c r="AZ154" s="5">
        <f t="shared" si="39"/>
        <v>2.5814640712576025</v>
      </c>
      <c r="BA154" s="5">
        <f t="shared" si="40"/>
        <v>2.6159632783957969</v>
      </c>
    </row>
    <row r="155" spans="26:53" x14ac:dyDescent="0.15">
      <c r="Z155" s="5">
        <v>151</v>
      </c>
      <c r="AA155" s="5">
        <f>IFERROR(75*精英野怪!$Z155/精英野怪!$K$19/精英野怪!$Y155,AA156)</f>
        <v>2.75</v>
      </c>
      <c r="AK155" s="5">
        <v>151</v>
      </c>
      <c r="AL155" s="5">
        <f t="shared" si="31"/>
        <v>13.163082027502732</v>
      </c>
      <c r="AM155" s="5">
        <f t="shared" si="32"/>
        <v>14.816326886085685</v>
      </c>
      <c r="AN155" s="5">
        <f t="shared" si="33"/>
        <v>24.206029419731582</v>
      </c>
      <c r="AO155" s="5">
        <f t="shared" si="34"/>
        <v>58.835204086173043</v>
      </c>
      <c r="AP155" s="5">
        <f t="shared" si="35"/>
        <v>100.96835937875292</v>
      </c>
      <c r="AV155" s="5">
        <v>151</v>
      </c>
      <c r="AW155" s="5">
        <f t="shared" si="36"/>
        <v>2.1865662198594231</v>
      </c>
      <c r="AX155" s="5">
        <f t="shared" si="37"/>
        <v>2.473351634483695</v>
      </c>
      <c r="AY155" s="5">
        <f t="shared" si="38"/>
        <v>2.5366085106215035</v>
      </c>
      <c r="AZ155" s="5">
        <f t="shared" si="39"/>
        <v>2.5969093565405275</v>
      </c>
      <c r="BA155" s="5">
        <f t="shared" si="40"/>
        <v>2.6390950800473769</v>
      </c>
    </row>
    <row r="156" spans="26:53" x14ac:dyDescent="0.15">
      <c r="Z156" s="5">
        <v>152</v>
      </c>
      <c r="AA156" s="5">
        <f>IFERROR(75*精英野怪!$Z156/精英野怪!$K$19/精英野怪!$Y156,AA157)</f>
        <v>2.75</v>
      </c>
      <c r="AK156" s="5">
        <v>152</v>
      </c>
      <c r="AL156" s="5">
        <f t="shared" si="31"/>
        <v>14.314612078063192</v>
      </c>
      <c r="AM156" s="5">
        <f t="shared" si="32"/>
        <v>16.387976967996781</v>
      </c>
      <c r="AN156" s="5">
        <f t="shared" si="33"/>
        <v>28.178525640529084</v>
      </c>
      <c r="AO156" s="5">
        <f t="shared" si="34"/>
        <v>72.37500734240588</v>
      </c>
      <c r="AP156" s="5">
        <f t="shared" si="35"/>
        <v>140.62880402382996</v>
      </c>
      <c r="AV156" s="5">
        <v>152</v>
      </c>
      <c r="AW156" s="5">
        <f t="shared" si="36"/>
        <v>2.1936989560436486</v>
      </c>
      <c r="AX156" s="5">
        <f t="shared" si="37"/>
        <v>2.481764481152291</v>
      </c>
      <c r="AY156" s="5">
        <f t="shared" si="38"/>
        <v>2.5458528449296689</v>
      </c>
      <c r="AZ156" s="5">
        <f t="shared" si="39"/>
        <v>2.6123546418234529</v>
      </c>
      <c r="BA156" s="5">
        <f t="shared" si="40"/>
        <v>2.6622268816989574</v>
      </c>
    </row>
    <row r="157" spans="26:53" x14ac:dyDescent="0.15">
      <c r="Z157" s="5">
        <v>153</v>
      </c>
      <c r="AA157" s="5">
        <f>IFERROR(75*精英野怪!$Z157/精英野怪!$K$19/精英野怪!$Y157,AA158)</f>
        <v>2.75</v>
      </c>
      <c r="AK157" s="5">
        <v>153</v>
      </c>
      <c r="AL157" s="5">
        <f t="shared" si="31"/>
        <v>15.46614212862365</v>
      </c>
      <c r="AM157" s="5">
        <f t="shared" si="32"/>
        <v>17.95962704990788</v>
      </c>
      <c r="AN157" s="5">
        <f t="shared" si="33"/>
        <v>32.151021861326591</v>
      </c>
      <c r="AO157" s="5">
        <f t="shared" si="34"/>
        <v>85.914810598638709</v>
      </c>
      <c r="AP157" s="5">
        <f t="shared" si="35"/>
        <v>180.28924866890696</v>
      </c>
      <c r="AV157" s="5">
        <v>153</v>
      </c>
      <c r="AW157" s="5">
        <f t="shared" si="36"/>
        <v>2.2008316922278741</v>
      </c>
      <c r="AX157" s="5">
        <f t="shared" si="37"/>
        <v>2.4901773278208874</v>
      </c>
      <c r="AY157" s="5">
        <f t="shared" si="38"/>
        <v>2.5550971792378343</v>
      </c>
      <c r="AZ157" s="5">
        <f t="shared" si="39"/>
        <v>2.6277999271063779</v>
      </c>
      <c r="BA157" s="5">
        <f t="shared" si="40"/>
        <v>2.6853586833505374</v>
      </c>
    </row>
    <row r="158" spans="26:53" x14ac:dyDescent="0.15">
      <c r="Z158" s="5">
        <v>154</v>
      </c>
      <c r="AA158" s="5">
        <f>IFERROR(75*精英野怪!$Z158/精英野怪!$K$19/精英野怪!$Y158,AA159)</f>
        <v>2.75</v>
      </c>
      <c r="AK158" s="5">
        <v>154</v>
      </c>
      <c r="AL158" s="5">
        <f t="shared" si="31"/>
        <v>16.617672179184108</v>
      </c>
      <c r="AM158" s="5">
        <f t="shared" si="32"/>
        <v>19.531277131818978</v>
      </c>
      <c r="AN158" s="5">
        <f t="shared" si="33"/>
        <v>36.123518082124093</v>
      </c>
      <c r="AO158" s="5">
        <f t="shared" si="34"/>
        <v>99.454613854871553</v>
      </c>
      <c r="AP158" s="5">
        <f t="shared" si="35"/>
        <v>219.94969331398397</v>
      </c>
      <c r="AV158" s="5">
        <v>154</v>
      </c>
      <c r="AW158" s="5">
        <f t="shared" si="36"/>
        <v>2.2079644284120996</v>
      </c>
      <c r="AX158" s="5">
        <f t="shared" si="37"/>
        <v>2.4985901744894834</v>
      </c>
      <c r="AY158" s="5">
        <f t="shared" si="38"/>
        <v>2.5643415135459997</v>
      </c>
      <c r="AZ158" s="5">
        <f t="shared" si="39"/>
        <v>2.6432452123893029</v>
      </c>
      <c r="BA158" s="5">
        <f t="shared" si="40"/>
        <v>2.7084904850021179</v>
      </c>
    </row>
    <row r="159" spans="26:53" x14ac:dyDescent="0.15">
      <c r="Z159" s="5">
        <v>155</v>
      </c>
      <c r="AA159" s="5">
        <f>IFERROR(75*精英野怪!$Z159/精英野怪!$K$19/精英野怪!$Y159,AA160)</f>
        <v>2.75</v>
      </c>
      <c r="AK159" s="5">
        <v>155</v>
      </c>
      <c r="AL159" s="5">
        <f t="shared" si="31"/>
        <v>17.769202229744565</v>
      </c>
      <c r="AM159" s="5">
        <f t="shared" si="32"/>
        <v>21.102927213730077</v>
      </c>
      <c r="AN159" s="5">
        <f t="shared" si="33"/>
        <v>40.096014302921603</v>
      </c>
      <c r="AO159" s="5">
        <f t="shared" si="34"/>
        <v>112.99441711110438</v>
      </c>
      <c r="AP159" s="5">
        <f t="shared" si="35"/>
        <v>259.61013795906098</v>
      </c>
      <c r="AV159" s="5">
        <v>155</v>
      </c>
      <c r="AW159" s="5">
        <f t="shared" si="36"/>
        <v>2.2150971645963251</v>
      </c>
      <c r="AX159" s="5">
        <f t="shared" si="37"/>
        <v>2.5070030211580798</v>
      </c>
      <c r="AY159" s="5">
        <f t="shared" si="38"/>
        <v>2.5735858478541651</v>
      </c>
      <c r="AZ159" s="5">
        <f t="shared" si="39"/>
        <v>2.6586904976722279</v>
      </c>
      <c r="BA159" s="5">
        <f t="shared" si="40"/>
        <v>2.7316222866536979</v>
      </c>
    </row>
    <row r="160" spans="26:53" x14ac:dyDescent="0.15">
      <c r="Z160" s="5">
        <v>156</v>
      </c>
      <c r="AA160" s="5">
        <f>IFERROR(75*精英野怪!$Z160/精英野怪!$K$19/精英野怪!$Y160,AA161)</f>
        <v>2.75</v>
      </c>
      <c r="AK160" s="5">
        <v>156</v>
      </c>
      <c r="AL160" s="5">
        <f t="shared" si="31"/>
        <v>18.920732280305025</v>
      </c>
      <c r="AM160" s="5">
        <f t="shared" si="32"/>
        <v>22.674577295641171</v>
      </c>
      <c r="AN160" s="5">
        <f t="shared" si="33"/>
        <v>44.068510523719105</v>
      </c>
      <c r="AO160" s="5">
        <f t="shared" si="34"/>
        <v>126.53422036733721</v>
      </c>
      <c r="AP160" s="5">
        <f t="shared" si="35"/>
        <v>299.27058260413804</v>
      </c>
      <c r="AV160" s="5">
        <v>156</v>
      </c>
      <c r="AW160" s="5">
        <f t="shared" si="36"/>
        <v>2.222229900780551</v>
      </c>
      <c r="AX160" s="5">
        <f t="shared" si="37"/>
        <v>2.5154158678266763</v>
      </c>
      <c r="AY160" s="5">
        <f t="shared" si="38"/>
        <v>2.5828301821623301</v>
      </c>
      <c r="AZ160" s="5">
        <f t="shared" si="39"/>
        <v>2.6741357829551533</v>
      </c>
      <c r="BA160" s="5">
        <f t="shared" si="40"/>
        <v>2.7547540883052779</v>
      </c>
    </row>
    <row r="161" spans="26:53" x14ac:dyDescent="0.15">
      <c r="Z161" s="5">
        <v>157</v>
      </c>
      <c r="AA161" s="5">
        <f>IFERROR(75*精英野怪!$Z161/精英野怪!$K$19/精英野怪!$Y161,AA162)</f>
        <v>2.75</v>
      </c>
      <c r="AK161" s="5">
        <v>157</v>
      </c>
      <c r="AL161" s="5">
        <f t="shared" si="31"/>
        <v>20.072262330865485</v>
      </c>
      <c r="AM161" s="5">
        <f t="shared" si="32"/>
        <v>24.24622737755227</v>
      </c>
      <c r="AN161" s="5">
        <f t="shared" si="33"/>
        <v>48.041006744516608</v>
      </c>
      <c r="AO161" s="5">
        <f t="shared" si="34"/>
        <v>140.07402362357004</v>
      </c>
      <c r="AP161" s="5">
        <f t="shared" si="35"/>
        <v>338.93102724921505</v>
      </c>
      <c r="AV161" s="5">
        <v>157</v>
      </c>
      <c r="AW161" s="5">
        <f t="shared" si="36"/>
        <v>2.2293626369647765</v>
      </c>
      <c r="AX161" s="5">
        <f t="shared" si="37"/>
        <v>2.5238287144952722</v>
      </c>
      <c r="AY161" s="5">
        <f t="shared" si="38"/>
        <v>2.5920745164704955</v>
      </c>
      <c r="AZ161" s="5">
        <f t="shared" si="39"/>
        <v>2.6895810682380783</v>
      </c>
      <c r="BA161" s="5">
        <f t="shared" si="40"/>
        <v>2.7778858899568584</v>
      </c>
    </row>
    <row r="162" spans="26:53" x14ac:dyDescent="0.15">
      <c r="Z162" s="5">
        <v>158</v>
      </c>
      <c r="AA162" s="5">
        <f>IFERROR(75*精英野怪!$Z162/精英野怪!$K$19/精英野怪!$Y162,AA163)</f>
        <v>2.75</v>
      </c>
      <c r="AK162" s="5">
        <v>158</v>
      </c>
      <c r="AL162" s="5">
        <f t="shared" si="31"/>
        <v>21.223792381425945</v>
      </c>
      <c r="AM162" s="5">
        <f t="shared" si="32"/>
        <v>25.817877459463368</v>
      </c>
      <c r="AN162" s="5">
        <f t="shared" si="33"/>
        <v>52.013502965314117</v>
      </c>
      <c r="AO162" s="5">
        <f t="shared" si="34"/>
        <v>153.6138268798029</v>
      </c>
      <c r="AP162" s="5">
        <f t="shared" si="35"/>
        <v>378.59147189429206</v>
      </c>
      <c r="AV162" s="5">
        <v>158</v>
      </c>
      <c r="AW162" s="5">
        <f t="shared" si="36"/>
        <v>2.236495373149002</v>
      </c>
      <c r="AX162" s="5">
        <f t="shared" si="37"/>
        <v>2.5322415611638687</v>
      </c>
      <c r="AY162" s="5">
        <f t="shared" si="38"/>
        <v>2.6013188507786609</v>
      </c>
      <c r="AZ162" s="5">
        <f t="shared" si="39"/>
        <v>2.7050263535210033</v>
      </c>
      <c r="BA162" s="5">
        <f t="shared" si="40"/>
        <v>2.8010176916084384</v>
      </c>
    </row>
    <row r="163" spans="26:53" x14ac:dyDescent="0.15">
      <c r="Z163" s="5">
        <v>159</v>
      </c>
      <c r="AA163" s="5">
        <f>IFERROR(75*精英野怪!$Z163/精英野怪!$K$19/精英野怪!$Y163,AA164)</f>
        <v>2.75</v>
      </c>
      <c r="AK163" s="5">
        <v>159</v>
      </c>
      <c r="AL163" s="5">
        <f t="shared" si="31"/>
        <v>22.375322431986401</v>
      </c>
      <c r="AM163" s="5">
        <f t="shared" si="32"/>
        <v>27.389527541374463</v>
      </c>
      <c r="AN163" s="5">
        <f t="shared" si="33"/>
        <v>55.98599918611162</v>
      </c>
      <c r="AO163" s="5">
        <f t="shared" si="34"/>
        <v>167.1536301360357</v>
      </c>
      <c r="AP163" s="5">
        <f t="shared" si="35"/>
        <v>418.25191653936906</v>
      </c>
      <c r="AV163" s="5">
        <v>159</v>
      </c>
      <c r="AW163" s="5">
        <f t="shared" si="36"/>
        <v>2.2436281093332275</v>
      </c>
      <c r="AX163" s="5">
        <f t="shared" si="37"/>
        <v>2.5406544078324647</v>
      </c>
      <c r="AY163" s="5">
        <f t="shared" si="38"/>
        <v>2.6105631850868263</v>
      </c>
      <c r="AZ163" s="5">
        <f t="shared" si="39"/>
        <v>2.7204716388039287</v>
      </c>
      <c r="BA163" s="5">
        <f t="shared" si="40"/>
        <v>2.8241494932600189</v>
      </c>
    </row>
    <row r="164" spans="26:53" x14ac:dyDescent="0.15">
      <c r="Z164" s="5">
        <v>160</v>
      </c>
      <c r="AA164" s="5">
        <f>IFERROR(75*精英野怪!$Z164/精英野怪!$K$19/精英野怪!$Y164,AA165)</f>
        <v>2.75</v>
      </c>
      <c r="AK164" s="5">
        <v>160</v>
      </c>
      <c r="AL164" s="5">
        <f t="shared" si="31"/>
        <v>23.526852482546861</v>
      </c>
      <c r="AM164" s="5">
        <f t="shared" si="32"/>
        <v>28.961177623285561</v>
      </c>
      <c r="AN164" s="5">
        <f t="shared" si="33"/>
        <v>59.958495406909122</v>
      </c>
      <c r="AO164" s="5">
        <f t="shared" si="34"/>
        <v>180.69343339226856</v>
      </c>
      <c r="AP164" s="5">
        <f t="shared" si="35"/>
        <v>457.91236118444607</v>
      </c>
      <c r="AV164" s="5">
        <v>160</v>
      </c>
      <c r="AW164" s="5">
        <f t="shared" si="36"/>
        <v>2.250760845517453</v>
      </c>
      <c r="AX164" s="5">
        <f t="shared" si="37"/>
        <v>2.5490672545010611</v>
      </c>
      <c r="AY164" s="5">
        <f t="shared" si="38"/>
        <v>2.6198075193949917</v>
      </c>
      <c r="AZ164" s="5">
        <f t="shared" si="39"/>
        <v>2.7359169240868537</v>
      </c>
      <c r="BA164" s="5">
        <f t="shared" si="40"/>
        <v>2.8472812949115989</v>
      </c>
    </row>
  </sheetData>
  <mergeCells count="6">
    <mergeCell ref="B73:B93"/>
    <mergeCell ref="B4:B24"/>
    <mergeCell ref="B27:B47"/>
    <mergeCell ref="B50:B70"/>
    <mergeCell ref="AW3:BA3"/>
    <mergeCell ref="AL3:AP3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8DAB9-B366-422F-AC5A-7DB5ED072711}">
  <sheetPr codeName="Sheet8"/>
  <dimension ref="A1:CC164"/>
  <sheetViews>
    <sheetView topLeftCell="A22" workbookViewId="0">
      <selection activeCell="P54" sqref="P54"/>
    </sheetView>
  </sheetViews>
  <sheetFormatPr defaultColWidth="6.625" defaultRowHeight="11.25" x14ac:dyDescent="0.15"/>
  <cols>
    <col min="1" max="1" width="6.625" style="10"/>
    <col min="2" max="2" width="6.625" style="5"/>
    <col min="3" max="3" width="9" style="5" bestFit="1" customWidth="1"/>
    <col min="4" max="4" width="9.75" style="5" bestFit="1" customWidth="1"/>
    <col min="5" max="5" width="9" style="5" bestFit="1" customWidth="1"/>
    <col min="6" max="15" width="6.625" style="5"/>
    <col min="16" max="16" width="14.125" style="5" customWidth="1"/>
    <col min="17" max="17" width="10.5" style="5" bestFit="1" customWidth="1"/>
    <col min="18" max="20" width="6.625" style="5"/>
    <col min="21" max="21" width="6.625" style="11"/>
    <col min="22" max="23" width="6.625" style="5"/>
    <col min="24" max="24" width="6.625" style="14"/>
    <col min="25" max="25" width="9.75" style="14" customWidth="1"/>
    <col min="26" max="39" width="6.625" style="14"/>
    <col min="40" max="40" width="6.625" style="5"/>
    <col min="41" max="41" width="6.625" style="11"/>
    <col min="42" max="43" width="6.625" style="5"/>
    <col min="44" max="58" width="6.625" style="14"/>
    <col min="59" max="60" width="6.625" style="5"/>
    <col min="61" max="81" width="6.625" style="14"/>
    <col min="82" max="16384" width="6.625" style="5"/>
  </cols>
  <sheetData>
    <row r="1" spans="1:81" x14ac:dyDescent="0.15">
      <c r="A1" s="10" t="s">
        <v>241</v>
      </c>
    </row>
    <row r="2" spans="1:81" x14ac:dyDescent="0.15">
      <c r="A2" s="10" t="s">
        <v>271</v>
      </c>
    </row>
    <row r="3" spans="1:81" ht="11.25" customHeight="1" x14ac:dyDescent="0.15">
      <c r="A3" s="10" t="s">
        <v>283</v>
      </c>
      <c r="X3" s="50" t="s">
        <v>136</v>
      </c>
      <c r="Y3" s="59" t="s">
        <v>286</v>
      </c>
      <c r="Z3" s="59" t="s">
        <v>242</v>
      </c>
      <c r="AA3" s="59" t="s">
        <v>287</v>
      </c>
      <c r="AB3" s="59"/>
      <c r="AC3" s="59"/>
      <c r="AD3" s="59"/>
      <c r="AE3" s="59"/>
      <c r="AF3" s="23"/>
      <c r="AG3" s="23"/>
      <c r="AH3" s="50" t="s">
        <v>136</v>
      </c>
      <c r="AI3" s="59" t="s">
        <v>289</v>
      </c>
      <c r="AJ3" s="59"/>
      <c r="AK3" s="59"/>
      <c r="AL3" s="59"/>
      <c r="AM3" s="59"/>
      <c r="AR3" s="50" t="s">
        <v>136</v>
      </c>
      <c r="AS3" s="59" t="s">
        <v>242</v>
      </c>
      <c r="AT3" s="59" t="s">
        <v>278</v>
      </c>
      <c r="AU3" s="59"/>
      <c r="AV3" s="59"/>
      <c r="AW3" s="59"/>
      <c r="AX3" s="59"/>
      <c r="AY3" s="23"/>
      <c r="AZ3" s="23"/>
      <c r="BA3" s="50" t="s">
        <v>136</v>
      </c>
      <c r="BB3" s="59" t="s">
        <v>279</v>
      </c>
      <c r="BC3" s="59"/>
      <c r="BD3" s="59"/>
      <c r="BE3" s="59"/>
      <c r="BF3" s="59"/>
      <c r="BI3" s="50" t="s">
        <v>136</v>
      </c>
      <c r="BJ3" s="59" t="s">
        <v>280</v>
      </c>
      <c r="BK3" s="59"/>
      <c r="BL3" s="59"/>
      <c r="BM3" s="59"/>
      <c r="BN3" s="59"/>
      <c r="BO3" s="59" t="s">
        <v>281</v>
      </c>
      <c r="BP3" s="59"/>
      <c r="BQ3" s="59"/>
      <c r="BR3" s="59"/>
      <c r="BS3" s="59"/>
      <c r="BT3" s="59" t="s">
        <v>282</v>
      </c>
      <c r="BU3" s="59"/>
      <c r="BV3" s="59"/>
      <c r="BW3" s="59"/>
      <c r="BX3" s="59"/>
      <c r="BY3" s="59" t="s">
        <v>345</v>
      </c>
      <c r="BZ3" s="59"/>
      <c r="CA3" s="59"/>
      <c r="CB3" s="59"/>
      <c r="CC3" s="59"/>
    </row>
    <row r="4" spans="1:81" x14ac:dyDescent="0.15">
      <c r="A4" s="10" t="s">
        <v>284</v>
      </c>
      <c r="D4" s="5" t="s">
        <v>243</v>
      </c>
      <c r="E4" s="24">
        <v>2</v>
      </c>
      <c r="X4" s="50"/>
      <c r="Y4" s="59"/>
      <c r="Z4" s="59"/>
      <c r="AA4" s="14" t="s">
        <v>127</v>
      </c>
      <c r="AB4" s="14" t="s">
        <v>128</v>
      </c>
      <c r="AC4" s="14" t="s">
        <v>129</v>
      </c>
      <c r="AD4" s="14" t="s">
        <v>130</v>
      </c>
      <c r="AE4" s="14" t="s">
        <v>131</v>
      </c>
      <c r="AH4" s="50"/>
      <c r="AI4" s="14" t="s">
        <v>127</v>
      </c>
      <c r="AJ4" s="14" t="s">
        <v>128</v>
      </c>
      <c r="AK4" s="14" t="s">
        <v>129</v>
      </c>
      <c r="AL4" s="14" t="s">
        <v>130</v>
      </c>
      <c r="AM4" s="14" t="s">
        <v>131</v>
      </c>
      <c r="AR4" s="50"/>
      <c r="AS4" s="59"/>
      <c r="AT4" s="14" t="s">
        <v>127</v>
      </c>
      <c r="AU4" s="14" t="s">
        <v>128</v>
      </c>
      <c r="AV4" s="14" t="s">
        <v>129</v>
      </c>
      <c r="AW4" s="14" t="s">
        <v>130</v>
      </c>
      <c r="AX4" s="14" t="s">
        <v>131</v>
      </c>
      <c r="BA4" s="50"/>
      <c r="BB4" s="14" t="s">
        <v>127</v>
      </c>
      <c r="BC4" s="14" t="s">
        <v>128</v>
      </c>
      <c r="BD4" s="14" t="s">
        <v>129</v>
      </c>
      <c r="BE4" s="14" t="s">
        <v>130</v>
      </c>
      <c r="BF4" s="14" t="s">
        <v>131</v>
      </c>
      <c r="BI4" s="50"/>
      <c r="BJ4" s="14" t="s">
        <v>127</v>
      </c>
      <c r="BK4" s="14" t="s">
        <v>128</v>
      </c>
      <c r="BL4" s="14" t="s">
        <v>129</v>
      </c>
      <c r="BM4" s="14" t="s">
        <v>130</v>
      </c>
      <c r="BN4" s="14" t="s">
        <v>131</v>
      </c>
      <c r="BO4" s="14" t="s">
        <v>127</v>
      </c>
      <c r="BP4" s="14" t="s">
        <v>128</v>
      </c>
      <c r="BQ4" s="14" t="s">
        <v>129</v>
      </c>
      <c r="BR4" s="14" t="s">
        <v>130</v>
      </c>
      <c r="BS4" s="14" t="s">
        <v>131</v>
      </c>
      <c r="BT4" s="14" t="s">
        <v>127</v>
      </c>
      <c r="BU4" s="14" t="s">
        <v>128</v>
      </c>
      <c r="BV4" s="14" t="s">
        <v>129</v>
      </c>
      <c r="BW4" s="14" t="s">
        <v>130</v>
      </c>
      <c r="BX4" s="14" t="s">
        <v>131</v>
      </c>
      <c r="BY4" s="14" t="s">
        <v>127</v>
      </c>
      <c r="BZ4" s="14" t="s">
        <v>128</v>
      </c>
      <c r="CA4" s="14" t="s">
        <v>129</v>
      </c>
      <c r="CB4" s="14" t="s">
        <v>130</v>
      </c>
      <c r="CC4" s="14" t="s">
        <v>131</v>
      </c>
    </row>
    <row r="5" spans="1:81" x14ac:dyDescent="0.15">
      <c r="A5" s="10" t="s">
        <v>275</v>
      </c>
      <c r="B5" s="24">
        <v>10</v>
      </c>
      <c r="C5" s="10" t="s">
        <v>276</v>
      </c>
      <c r="D5" s="26"/>
      <c r="E5" s="26"/>
      <c r="F5" s="26"/>
      <c r="G5" s="26"/>
      <c r="H5" s="26"/>
      <c r="X5" s="14">
        <v>1</v>
      </c>
      <c r="Y5" s="14">
        <v>0</v>
      </c>
      <c r="Z5" s="27">
        <f>$E$44</f>
        <v>8.8000000000000009E-2</v>
      </c>
      <c r="AA5" s="14">
        <f>$Y5*$Z5*其他调用!V4</f>
        <v>0</v>
      </c>
      <c r="AB5" s="14">
        <f>$Y5*$Z5*其他调用!W4</f>
        <v>0</v>
      </c>
      <c r="AC5" s="14">
        <f>$Y5*$Z5*其他调用!X4</f>
        <v>0</v>
      </c>
      <c r="AD5" s="14">
        <f>$Y5*$Z5*其他调用!Y4</f>
        <v>0</v>
      </c>
      <c r="AE5" s="14">
        <f>$Y5*$Z5*其他调用!Z4</f>
        <v>0</v>
      </c>
      <c r="AH5" s="14">
        <v>1</v>
      </c>
      <c r="AI5" s="14">
        <f>SUM(AA$5:AA5)</f>
        <v>0</v>
      </c>
      <c r="AJ5" s="14">
        <f>SUM(AB$5:AB5)</f>
        <v>0</v>
      </c>
      <c r="AK5" s="14">
        <f>SUM(AC$5:AC5)</f>
        <v>0</v>
      </c>
      <c r="AL5" s="14">
        <f>SUM(AD$5:AD5)</f>
        <v>0</v>
      </c>
      <c r="AM5" s="14">
        <f>SUM(AE$5:AE5)</f>
        <v>0</v>
      </c>
      <c r="AR5" s="14">
        <v>1</v>
      </c>
      <c r="AS5" s="27">
        <f>$E$43</f>
        <v>0.11200000000000002</v>
      </c>
      <c r="AT5" s="14">
        <f>求节点(E$28:E$32,$N$28:$N$32,$AR5)*$AS5*其他调用!V4/$E$4</f>
        <v>0</v>
      </c>
      <c r="AU5" s="14">
        <f>求节点(F$28:F$32,$N$28:$N$32,$AR5)*$AS5*其他调用!W4/$E$4</f>
        <v>0</v>
      </c>
      <c r="AV5" s="14">
        <f>求节点(G$28:G$32,$N$28:$N$32,$AR5)*$AS5*其他调用!X4/$E$4</f>
        <v>0</v>
      </c>
      <c r="AW5" s="14">
        <f>求节点(H$28:H$32,$N$28:$N$32,$AR5)*$AS5*其他调用!Y4/$E$4</f>
        <v>0</v>
      </c>
      <c r="AX5" s="14">
        <f>求节点(I$28:I$32,$N$28:$N$32,$AR5)*$AS5*其他调用!Z4/$E$4</f>
        <v>0</v>
      </c>
      <c r="BA5" s="14">
        <v>1</v>
      </c>
      <c r="BB5" s="14">
        <f>SUM(AT$5:AT5)</f>
        <v>0</v>
      </c>
      <c r="BC5" s="14">
        <f>SUM(AU$5:AU5)</f>
        <v>0</v>
      </c>
      <c r="BD5" s="14">
        <f>SUM(AV$5:AV5)</f>
        <v>0</v>
      </c>
      <c r="BE5" s="14">
        <f>SUM(AW$5:AW5)</f>
        <v>0</v>
      </c>
      <c r="BF5" s="14">
        <f>SUM(AX$5:AX5)</f>
        <v>0</v>
      </c>
      <c r="BI5" s="14">
        <v>1</v>
      </c>
      <c r="BJ5" s="14">
        <f>(BB5*$F$58)/$B$5</f>
        <v>0</v>
      </c>
      <c r="BK5" s="14">
        <f t="shared" ref="BK5:BN5" si="0">(BC5*$F$58)/$B$5</f>
        <v>0</v>
      </c>
      <c r="BL5" s="14">
        <f t="shared" si="0"/>
        <v>0</v>
      </c>
      <c r="BM5" s="14">
        <f t="shared" si="0"/>
        <v>0</v>
      </c>
      <c r="BN5" s="14">
        <f t="shared" si="0"/>
        <v>0</v>
      </c>
      <c r="BO5" s="14">
        <f>(BB5*$F$59)/$B$5</f>
        <v>0</v>
      </c>
      <c r="BP5" s="14">
        <f t="shared" ref="BP5:BS5" si="1">(BC5*$F$59)/$B$5</f>
        <v>0</v>
      </c>
      <c r="BQ5" s="14">
        <f t="shared" si="1"/>
        <v>0</v>
      </c>
      <c r="BR5" s="14">
        <f t="shared" si="1"/>
        <v>0</v>
      </c>
      <c r="BS5" s="14">
        <f t="shared" si="1"/>
        <v>0</v>
      </c>
      <c r="BT5" s="14">
        <f>(BB5*$F$60)/$B$5</f>
        <v>0</v>
      </c>
      <c r="BU5" s="14">
        <f t="shared" ref="BU5:BX5" si="2">(BC5*$F$60)/$B$5</f>
        <v>0</v>
      </c>
      <c r="BV5" s="14">
        <f t="shared" si="2"/>
        <v>0</v>
      </c>
      <c r="BW5" s="14">
        <f t="shared" si="2"/>
        <v>0</v>
      </c>
      <c r="BX5" s="14">
        <f t="shared" si="2"/>
        <v>0</v>
      </c>
      <c r="BY5" s="14">
        <f>(BB5*$F$62)/$B$5*$I$62</f>
        <v>0</v>
      </c>
      <c r="BZ5" s="14">
        <f t="shared" ref="BZ5:CC5" si="3">(BC5*$F$62)/$B$5*$I$62</f>
        <v>0</v>
      </c>
      <c r="CA5" s="14">
        <f t="shared" si="3"/>
        <v>0</v>
      </c>
      <c r="CB5" s="14">
        <f t="shared" si="3"/>
        <v>0</v>
      </c>
      <c r="CC5" s="14">
        <f t="shared" si="3"/>
        <v>0</v>
      </c>
    </row>
    <row r="6" spans="1:81" x14ac:dyDescent="0.15">
      <c r="A6" s="25"/>
      <c r="B6" s="26"/>
      <c r="C6" s="26"/>
      <c r="D6" s="29"/>
      <c r="E6" s="26"/>
      <c r="F6" s="26"/>
      <c r="G6" s="25"/>
      <c r="H6" s="26"/>
      <c r="X6" s="14">
        <v>2</v>
      </c>
      <c r="Y6" s="30">
        <f>IF($X6&lt;=$E$28,$J$28+$Y$5,求节点($E$28:$E$32,$J$28:$J$32,$X6)/$E$4)</f>
        <v>0</v>
      </c>
      <c r="Z6" s="27">
        <f t="shared" ref="Z6:Z69" si="4">$E$44</f>
        <v>8.8000000000000009E-2</v>
      </c>
      <c r="AA6" s="14">
        <f>$Y6*$Z6*其他调用!V5</f>
        <v>0</v>
      </c>
      <c r="AB6" s="14">
        <f>$Y6*$Z6*其他调用!W5</f>
        <v>0</v>
      </c>
      <c r="AC6" s="14">
        <f>$Y6*$Z6*其他调用!X5</f>
        <v>0</v>
      </c>
      <c r="AD6" s="14">
        <f>$Y6*$Z6*其他调用!Y5</f>
        <v>0</v>
      </c>
      <c r="AE6" s="14">
        <f>$Y6*$Z6*其他调用!Z5</f>
        <v>0</v>
      </c>
      <c r="AH6" s="14">
        <v>2</v>
      </c>
      <c r="AI6" s="14">
        <f>SUM(AA$5:AA6)</f>
        <v>0</v>
      </c>
      <c r="AJ6" s="14">
        <f>SUM(AB$5:AB6)</f>
        <v>0</v>
      </c>
      <c r="AK6" s="14">
        <f>SUM(AC$5:AC6)</f>
        <v>0</v>
      </c>
      <c r="AL6" s="14">
        <f>SUM(AD$5:AD6)</f>
        <v>0</v>
      </c>
      <c r="AM6" s="14">
        <f>SUM(AE$5:AE6)</f>
        <v>0</v>
      </c>
      <c r="AR6" s="14">
        <v>2</v>
      </c>
      <c r="AS6" s="27">
        <f t="shared" ref="AS6:AS69" si="5">$E$43</f>
        <v>0.11200000000000002</v>
      </c>
      <c r="AT6" s="14">
        <f>求节点(E$28:E$32,$N$28:$N$32,$AR6)*$AS6*其他调用!V5/$E$4</f>
        <v>0</v>
      </c>
      <c r="AU6" s="14">
        <f>求节点(F$28:F$32,$N$28:$N$32,$AR6)*$AS6*其他调用!W5/$E$4</f>
        <v>0</v>
      </c>
      <c r="AV6" s="14">
        <f>求节点(G$28:G$32,$N$28:$N$32,$AR6)*$AS6*其他调用!X5/$E$4</f>
        <v>0</v>
      </c>
      <c r="AW6" s="14">
        <f>求节点(H$28:H$32,$N$28:$N$32,$AR6)*$AS6*其他调用!Y5/$E$4</f>
        <v>0</v>
      </c>
      <c r="AX6" s="14">
        <f>求节点(I$28:I$32,$N$28:$N$32,$AR6)*$AS6*其他调用!Z5/$E$4</f>
        <v>0</v>
      </c>
      <c r="BA6" s="14">
        <v>2</v>
      </c>
      <c r="BB6" s="14">
        <f>SUM(AT$5:AT6)</f>
        <v>0</v>
      </c>
      <c r="BC6" s="14">
        <f>SUM(AU$5:AU6)</f>
        <v>0</v>
      </c>
      <c r="BD6" s="14">
        <f>SUM(AV$5:AV6)</f>
        <v>0</v>
      </c>
      <c r="BE6" s="14">
        <f>SUM(AW$5:AW6)</f>
        <v>0</v>
      </c>
      <c r="BF6" s="14">
        <f>SUM(AX$5:AX6)</f>
        <v>0</v>
      </c>
      <c r="BI6" s="14">
        <v>2</v>
      </c>
      <c r="BJ6" s="14">
        <f t="shared" ref="BJ6:BJ69" si="6">(BB6*$F$58)/$B$5</f>
        <v>0</v>
      </c>
      <c r="BK6" s="14">
        <f t="shared" ref="BK6:BK69" si="7">(BC6*$F$58)/$B$5</f>
        <v>0</v>
      </c>
      <c r="BL6" s="14">
        <f t="shared" ref="BL6:BL69" si="8">(BD6*$F$58)/$B$5</f>
        <v>0</v>
      </c>
      <c r="BM6" s="14">
        <f t="shared" ref="BM6:BM69" si="9">(BE6*$F$58)/$B$5</f>
        <v>0</v>
      </c>
      <c r="BN6" s="14">
        <f t="shared" ref="BN6:BN69" si="10">(BF6*$F$58)/$B$5</f>
        <v>0</v>
      </c>
      <c r="BO6" s="14">
        <f t="shared" ref="BO6:BO69" si="11">(BB6*$F$59)/$B$5</f>
        <v>0</v>
      </c>
      <c r="BP6" s="14">
        <f t="shared" ref="BP6:BP69" si="12">(BC6*$F$59)/$B$5</f>
        <v>0</v>
      </c>
      <c r="BQ6" s="14">
        <f t="shared" ref="BQ6:BQ69" si="13">(BD6*$F$59)/$B$5</f>
        <v>0</v>
      </c>
      <c r="BR6" s="14">
        <f t="shared" ref="BR6:BR69" si="14">(BE6*$F$59)/$B$5</f>
        <v>0</v>
      </c>
      <c r="BS6" s="14">
        <f t="shared" ref="BS6:BS69" si="15">(BF6*$F$59)/$B$5</f>
        <v>0</v>
      </c>
      <c r="BT6" s="14">
        <f t="shared" ref="BT6:BT69" si="16">(BB6*$F$60)/$B$5</f>
        <v>0</v>
      </c>
      <c r="BU6" s="14">
        <f t="shared" ref="BU6:BU69" si="17">(BC6*$F$60)/$B$5</f>
        <v>0</v>
      </c>
      <c r="BV6" s="14">
        <f t="shared" ref="BV6:BV69" si="18">(BD6*$F$60)/$B$5</f>
        <v>0</v>
      </c>
      <c r="BW6" s="14">
        <f t="shared" ref="BW6:BW69" si="19">(BE6*$F$60)/$B$5</f>
        <v>0</v>
      </c>
      <c r="BX6" s="14">
        <f t="shared" ref="BX6:BX69" si="20">(BF6*$F$60)/$B$5</f>
        <v>0</v>
      </c>
      <c r="BY6" s="14">
        <f t="shared" ref="BY6:BY69" si="21">(BB6*$F$62)/$B$5*$I$62</f>
        <v>0</v>
      </c>
      <c r="BZ6" s="14">
        <f t="shared" ref="BZ6:BZ69" si="22">(BC6*$F$62)/$B$5*$I$62</f>
        <v>0</v>
      </c>
      <c r="CA6" s="14">
        <f t="shared" ref="CA6:CA69" si="23">(BD6*$F$62)/$B$5*$I$62</f>
        <v>0</v>
      </c>
      <c r="CB6" s="14">
        <f t="shared" ref="CB6:CB69" si="24">(BE6*$F$62)/$B$5*$I$62</f>
        <v>0</v>
      </c>
      <c r="CC6" s="14">
        <f t="shared" ref="CC6:CC69" si="25">(BF6*$F$62)/$B$5*$I$62</f>
        <v>0</v>
      </c>
    </row>
    <row r="7" spans="1:81" x14ac:dyDescent="0.15">
      <c r="A7" s="25"/>
      <c r="B7" s="26"/>
      <c r="C7" s="26"/>
      <c r="D7" s="29"/>
      <c r="E7" s="26"/>
      <c r="F7" s="26"/>
      <c r="G7" s="25"/>
      <c r="H7" s="26"/>
      <c r="X7" s="14">
        <v>3</v>
      </c>
      <c r="Y7" s="30">
        <f t="shared" ref="Y7:Y70" si="26">IF($X7&lt;=$E$28,$J$28+$Y$5,求节点($E$28:$E$32,$J$28:$J$32,$X7)/$E$4)</f>
        <v>0</v>
      </c>
      <c r="Z7" s="27">
        <f t="shared" si="4"/>
        <v>8.8000000000000009E-2</v>
      </c>
      <c r="AA7" s="14">
        <f>$Y7*$Z7*其他调用!V6</f>
        <v>0</v>
      </c>
      <c r="AB7" s="14">
        <f>$Y7*$Z7*其他调用!W6</f>
        <v>0</v>
      </c>
      <c r="AC7" s="14">
        <f>$Y7*$Z7*其他调用!X6</f>
        <v>0</v>
      </c>
      <c r="AD7" s="14">
        <f>$Y7*$Z7*其他调用!Y6</f>
        <v>0</v>
      </c>
      <c r="AE7" s="14">
        <f>$Y7*$Z7*其他调用!Z6</f>
        <v>0</v>
      </c>
      <c r="AH7" s="14">
        <v>3</v>
      </c>
      <c r="AI7" s="14">
        <f>SUM(AA$5:AA7)</f>
        <v>0</v>
      </c>
      <c r="AJ7" s="14">
        <f>SUM(AB$5:AB7)</f>
        <v>0</v>
      </c>
      <c r="AK7" s="14">
        <f>SUM(AC$5:AC7)</f>
        <v>0</v>
      </c>
      <c r="AL7" s="14">
        <f>SUM(AD$5:AD7)</f>
        <v>0</v>
      </c>
      <c r="AM7" s="14">
        <f>SUM(AE$5:AE7)</f>
        <v>0</v>
      </c>
      <c r="AR7" s="14">
        <v>3</v>
      </c>
      <c r="AS7" s="27">
        <f t="shared" si="5"/>
        <v>0.11200000000000002</v>
      </c>
      <c r="AT7" s="14">
        <f>求节点(E$28:E$32,$N$28:$N$32,$AR7)*$AS7*其他调用!V6/$E$4</f>
        <v>0</v>
      </c>
      <c r="AU7" s="14">
        <f>求节点(F$28:F$32,$N$28:$N$32,$AR7)*$AS7*其他调用!W6/$E$4</f>
        <v>0</v>
      </c>
      <c r="AV7" s="14">
        <f>求节点(G$28:G$32,$N$28:$N$32,$AR7)*$AS7*其他调用!X6/$E$4</f>
        <v>0</v>
      </c>
      <c r="AW7" s="14">
        <f>求节点(H$28:H$32,$N$28:$N$32,$AR7)*$AS7*其他调用!Y6/$E$4</f>
        <v>0</v>
      </c>
      <c r="AX7" s="14">
        <f>求节点(I$28:I$32,$N$28:$N$32,$AR7)*$AS7*其他调用!Z6/$E$4</f>
        <v>0</v>
      </c>
      <c r="BA7" s="14">
        <v>3</v>
      </c>
      <c r="BB7" s="14">
        <f>SUM(AT$5:AT7)</f>
        <v>0</v>
      </c>
      <c r="BC7" s="14">
        <f>SUM(AU$5:AU7)</f>
        <v>0</v>
      </c>
      <c r="BD7" s="14">
        <f>SUM(AV$5:AV7)</f>
        <v>0</v>
      </c>
      <c r="BE7" s="14">
        <f>SUM(AW$5:AW7)</f>
        <v>0</v>
      </c>
      <c r="BF7" s="14">
        <f>SUM(AX$5:AX7)</f>
        <v>0</v>
      </c>
      <c r="BI7" s="14">
        <v>3</v>
      </c>
      <c r="BJ7" s="14">
        <f t="shared" si="6"/>
        <v>0</v>
      </c>
      <c r="BK7" s="14">
        <f t="shared" si="7"/>
        <v>0</v>
      </c>
      <c r="BL7" s="14">
        <f t="shared" si="8"/>
        <v>0</v>
      </c>
      <c r="BM7" s="14">
        <f t="shared" si="9"/>
        <v>0</v>
      </c>
      <c r="BN7" s="14">
        <f t="shared" si="10"/>
        <v>0</v>
      </c>
      <c r="BO7" s="14">
        <f t="shared" si="11"/>
        <v>0</v>
      </c>
      <c r="BP7" s="14">
        <f t="shared" si="12"/>
        <v>0</v>
      </c>
      <c r="BQ7" s="14">
        <f t="shared" si="13"/>
        <v>0</v>
      </c>
      <c r="BR7" s="14">
        <f t="shared" si="14"/>
        <v>0</v>
      </c>
      <c r="BS7" s="14">
        <f t="shared" si="15"/>
        <v>0</v>
      </c>
      <c r="BT7" s="14">
        <f t="shared" si="16"/>
        <v>0</v>
      </c>
      <c r="BU7" s="14">
        <f t="shared" si="17"/>
        <v>0</v>
      </c>
      <c r="BV7" s="14">
        <f t="shared" si="18"/>
        <v>0</v>
      </c>
      <c r="BW7" s="14">
        <f t="shared" si="19"/>
        <v>0</v>
      </c>
      <c r="BX7" s="14">
        <f t="shared" si="20"/>
        <v>0</v>
      </c>
      <c r="BY7" s="14">
        <f t="shared" si="21"/>
        <v>0</v>
      </c>
      <c r="BZ7" s="14">
        <f t="shared" si="22"/>
        <v>0</v>
      </c>
      <c r="CA7" s="14">
        <f t="shared" si="23"/>
        <v>0</v>
      </c>
      <c r="CB7" s="14">
        <f t="shared" si="24"/>
        <v>0</v>
      </c>
      <c r="CC7" s="14">
        <f t="shared" si="25"/>
        <v>0</v>
      </c>
    </row>
    <row r="8" spans="1:81" x14ac:dyDescent="0.15">
      <c r="A8" s="25"/>
      <c r="B8" s="26"/>
      <c r="C8" s="26"/>
      <c r="D8" s="29"/>
      <c r="E8" s="26"/>
      <c r="F8" s="26"/>
      <c r="G8" s="25"/>
      <c r="H8" s="26"/>
      <c r="X8" s="14">
        <v>4</v>
      </c>
      <c r="Y8" s="30">
        <f t="shared" si="26"/>
        <v>0</v>
      </c>
      <c r="Z8" s="27">
        <f t="shared" si="4"/>
        <v>8.8000000000000009E-2</v>
      </c>
      <c r="AA8" s="14">
        <f>$Y8*$Z8*其他调用!V7</f>
        <v>0</v>
      </c>
      <c r="AB8" s="14">
        <f>$Y8*$Z8*其他调用!W7</f>
        <v>0</v>
      </c>
      <c r="AC8" s="14">
        <f>$Y8*$Z8*其他调用!X7</f>
        <v>0</v>
      </c>
      <c r="AD8" s="14">
        <f>$Y8*$Z8*其他调用!Y7</f>
        <v>0</v>
      </c>
      <c r="AE8" s="14">
        <f>$Y8*$Z8*其他调用!Z7</f>
        <v>0</v>
      </c>
      <c r="AH8" s="14">
        <v>4</v>
      </c>
      <c r="AI8" s="14">
        <f>SUM(AA$5:AA8)</f>
        <v>0</v>
      </c>
      <c r="AJ8" s="14">
        <f>SUM(AB$5:AB8)</f>
        <v>0</v>
      </c>
      <c r="AK8" s="14">
        <f>SUM(AC$5:AC8)</f>
        <v>0</v>
      </c>
      <c r="AL8" s="14">
        <f>SUM(AD$5:AD8)</f>
        <v>0</v>
      </c>
      <c r="AM8" s="14">
        <f>SUM(AE$5:AE8)</f>
        <v>0</v>
      </c>
      <c r="AR8" s="14">
        <v>4</v>
      </c>
      <c r="AS8" s="27">
        <f t="shared" si="5"/>
        <v>0.11200000000000002</v>
      </c>
      <c r="AT8" s="14">
        <f>求节点(E$28:E$32,$N$28:$N$32,$AR8)*$AS8*其他调用!V7/$E$4</f>
        <v>0</v>
      </c>
      <c r="AU8" s="14">
        <f>求节点(F$28:F$32,$N$28:$N$32,$AR8)*$AS8*其他调用!W7/$E$4</f>
        <v>0</v>
      </c>
      <c r="AV8" s="14">
        <f>求节点(G$28:G$32,$N$28:$N$32,$AR8)*$AS8*其他调用!X7/$E$4</f>
        <v>0</v>
      </c>
      <c r="AW8" s="14">
        <f>求节点(H$28:H$32,$N$28:$N$32,$AR8)*$AS8*其他调用!Y7/$E$4</f>
        <v>0</v>
      </c>
      <c r="AX8" s="14">
        <f>求节点(I$28:I$32,$N$28:$N$32,$AR8)*$AS8*其他调用!Z7/$E$4</f>
        <v>0</v>
      </c>
      <c r="BA8" s="14">
        <v>4</v>
      </c>
      <c r="BB8" s="14">
        <f>SUM(AT$5:AT8)</f>
        <v>0</v>
      </c>
      <c r="BC8" s="14">
        <f>SUM(AU$5:AU8)</f>
        <v>0</v>
      </c>
      <c r="BD8" s="14">
        <f>SUM(AV$5:AV8)</f>
        <v>0</v>
      </c>
      <c r="BE8" s="14">
        <f>SUM(AW$5:AW8)</f>
        <v>0</v>
      </c>
      <c r="BF8" s="14">
        <f>SUM(AX$5:AX8)</f>
        <v>0</v>
      </c>
      <c r="BI8" s="14">
        <v>4</v>
      </c>
      <c r="BJ8" s="14">
        <f t="shared" si="6"/>
        <v>0</v>
      </c>
      <c r="BK8" s="14">
        <f t="shared" si="7"/>
        <v>0</v>
      </c>
      <c r="BL8" s="14">
        <f t="shared" si="8"/>
        <v>0</v>
      </c>
      <c r="BM8" s="14">
        <f t="shared" si="9"/>
        <v>0</v>
      </c>
      <c r="BN8" s="14">
        <f t="shared" si="10"/>
        <v>0</v>
      </c>
      <c r="BO8" s="14">
        <f t="shared" si="11"/>
        <v>0</v>
      </c>
      <c r="BP8" s="14">
        <f t="shared" si="12"/>
        <v>0</v>
      </c>
      <c r="BQ8" s="14">
        <f t="shared" si="13"/>
        <v>0</v>
      </c>
      <c r="BR8" s="14">
        <f t="shared" si="14"/>
        <v>0</v>
      </c>
      <c r="BS8" s="14">
        <f t="shared" si="15"/>
        <v>0</v>
      </c>
      <c r="BT8" s="14">
        <f t="shared" si="16"/>
        <v>0</v>
      </c>
      <c r="BU8" s="14">
        <f t="shared" si="17"/>
        <v>0</v>
      </c>
      <c r="BV8" s="14">
        <f t="shared" si="18"/>
        <v>0</v>
      </c>
      <c r="BW8" s="14">
        <f t="shared" si="19"/>
        <v>0</v>
      </c>
      <c r="BX8" s="14">
        <f t="shared" si="20"/>
        <v>0</v>
      </c>
      <c r="BY8" s="14">
        <f t="shared" si="21"/>
        <v>0</v>
      </c>
      <c r="BZ8" s="14">
        <f t="shared" si="22"/>
        <v>0</v>
      </c>
      <c r="CA8" s="14">
        <f t="shared" si="23"/>
        <v>0</v>
      </c>
      <c r="CB8" s="14">
        <f t="shared" si="24"/>
        <v>0</v>
      </c>
      <c r="CC8" s="14">
        <f t="shared" si="25"/>
        <v>0</v>
      </c>
    </row>
    <row r="9" spans="1:81" x14ac:dyDescent="0.15">
      <c r="A9" s="5"/>
      <c r="X9" s="14">
        <v>5</v>
      </c>
      <c r="Y9" s="30">
        <f t="shared" si="26"/>
        <v>0</v>
      </c>
      <c r="Z9" s="27">
        <f t="shared" si="4"/>
        <v>8.8000000000000009E-2</v>
      </c>
      <c r="AA9" s="14">
        <f>$Y9*$Z9*其他调用!V8</f>
        <v>0</v>
      </c>
      <c r="AB9" s="14">
        <f>$Y9*$Z9*其他调用!W8</f>
        <v>0</v>
      </c>
      <c r="AC9" s="14">
        <f>$Y9*$Z9*其他调用!X8</f>
        <v>0</v>
      </c>
      <c r="AD9" s="14">
        <f>$Y9*$Z9*其他调用!Y8</f>
        <v>0</v>
      </c>
      <c r="AE9" s="14">
        <f>$Y9*$Z9*其他调用!Z8</f>
        <v>0</v>
      </c>
      <c r="AH9" s="14">
        <v>5</v>
      </c>
      <c r="AI9" s="14">
        <f>SUM(AA$5:AA9)</f>
        <v>0</v>
      </c>
      <c r="AJ9" s="14">
        <f>SUM(AB$5:AB9)</f>
        <v>0</v>
      </c>
      <c r="AK9" s="14">
        <f>SUM(AC$5:AC9)</f>
        <v>0</v>
      </c>
      <c r="AL9" s="14">
        <f>SUM(AD$5:AD9)</f>
        <v>0</v>
      </c>
      <c r="AM9" s="14">
        <f>SUM(AE$5:AE9)</f>
        <v>0</v>
      </c>
      <c r="AR9" s="14">
        <v>5</v>
      </c>
      <c r="AS9" s="27">
        <f t="shared" si="5"/>
        <v>0.11200000000000002</v>
      </c>
      <c r="AT9" s="14">
        <f>求节点(E$28:E$32,$N$28:$N$32,$AR9)*$AS9*其他调用!V8/$E$4</f>
        <v>0</v>
      </c>
      <c r="AU9" s="14">
        <f>求节点(F$28:F$32,$N$28:$N$32,$AR9)*$AS9*其他调用!W8/$E$4</f>
        <v>0</v>
      </c>
      <c r="AV9" s="14">
        <f>求节点(G$28:G$32,$N$28:$N$32,$AR9)*$AS9*其他调用!X8/$E$4</f>
        <v>0</v>
      </c>
      <c r="AW9" s="14">
        <f>求节点(H$28:H$32,$N$28:$N$32,$AR9)*$AS9*其他调用!Y8/$E$4</f>
        <v>0</v>
      </c>
      <c r="AX9" s="14">
        <f>求节点(I$28:I$32,$N$28:$N$32,$AR9)*$AS9*其他调用!Z8/$E$4</f>
        <v>0</v>
      </c>
      <c r="BA9" s="14">
        <v>5</v>
      </c>
      <c r="BB9" s="14">
        <f>SUM(AT$5:AT9)</f>
        <v>0</v>
      </c>
      <c r="BC9" s="14">
        <f>SUM(AU$5:AU9)</f>
        <v>0</v>
      </c>
      <c r="BD9" s="14">
        <f>SUM(AV$5:AV9)</f>
        <v>0</v>
      </c>
      <c r="BE9" s="14">
        <f>SUM(AW$5:AW9)</f>
        <v>0</v>
      </c>
      <c r="BF9" s="14">
        <f>SUM(AX$5:AX9)</f>
        <v>0</v>
      </c>
      <c r="BI9" s="14">
        <v>5</v>
      </c>
      <c r="BJ9" s="14">
        <f t="shared" si="6"/>
        <v>0</v>
      </c>
      <c r="BK9" s="14">
        <f t="shared" si="7"/>
        <v>0</v>
      </c>
      <c r="BL9" s="14">
        <f t="shared" si="8"/>
        <v>0</v>
      </c>
      <c r="BM9" s="14">
        <f t="shared" si="9"/>
        <v>0</v>
      </c>
      <c r="BN9" s="14">
        <f t="shared" si="10"/>
        <v>0</v>
      </c>
      <c r="BO9" s="14">
        <f t="shared" si="11"/>
        <v>0</v>
      </c>
      <c r="BP9" s="14">
        <f t="shared" si="12"/>
        <v>0</v>
      </c>
      <c r="BQ9" s="14">
        <f t="shared" si="13"/>
        <v>0</v>
      </c>
      <c r="BR9" s="14">
        <f t="shared" si="14"/>
        <v>0</v>
      </c>
      <c r="BS9" s="14">
        <f t="shared" si="15"/>
        <v>0</v>
      </c>
      <c r="BT9" s="14">
        <f t="shared" si="16"/>
        <v>0</v>
      </c>
      <c r="BU9" s="14">
        <f t="shared" si="17"/>
        <v>0</v>
      </c>
      <c r="BV9" s="14">
        <f t="shared" si="18"/>
        <v>0</v>
      </c>
      <c r="BW9" s="14">
        <f t="shared" si="19"/>
        <v>0</v>
      </c>
      <c r="BX9" s="14">
        <f t="shared" si="20"/>
        <v>0</v>
      </c>
      <c r="BY9" s="14">
        <f t="shared" si="21"/>
        <v>0</v>
      </c>
      <c r="BZ9" s="14">
        <f t="shared" si="22"/>
        <v>0</v>
      </c>
      <c r="CA9" s="14">
        <f t="shared" si="23"/>
        <v>0</v>
      </c>
      <c r="CB9" s="14">
        <f t="shared" si="24"/>
        <v>0</v>
      </c>
      <c r="CC9" s="14">
        <f t="shared" si="25"/>
        <v>0</v>
      </c>
    </row>
    <row r="10" spans="1:81" x14ac:dyDescent="0.15">
      <c r="A10" s="5"/>
      <c r="X10" s="14">
        <v>6</v>
      </c>
      <c r="Y10" s="30">
        <f t="shared" si="26"/>
        <v>0</v>
      </c>
      <c r="Z10" s="27">
        <f t="shared" si="4"/>
        <v>8.8000000000000009E-2</v>
      </c>
      <c r="AA10" s="14">
        <f>$Y10*$Z10*其他调用!V9</f>
        <v>0</v>
      </c>
      <c r="AB10" s="14">
        <f>$Y10*$Z10*其他调用!W9</f>
        <v>0</v>
      </c>
      <c r="AC10" s="14">
        <f>$Y10*$Z10*其他调用!X9</f>
        <v>0</v>
      </c>
      <c r="AD10" s="14">
        <f>$Y10*$Z10*其他调用!Y9</f>
        <v>0</v>
      </c>
      <c r="AE10" s="14">
        <f>$Y10*$Z10*其他调用!Z9</f>
        <v>0</v>
      </c>
      <c r="AH10" s="14">
        <v>6</v>
      </c>
      <c r="AI10" s="14">
        <f>SUM(AA$5:AA10)</f>
        <v>0</v>
      </c>
      <c r="AJ10" s="14">
        <f>SUM(AB$5:AB10)</f>
        <v>0</v>
      </c>
      <c r="AK10" s="14">
        <f>SUM(AC$5:AC10)</f>
        <v>0</v>
      </c>
      <c r="AL10" s="14">
        <f>SUM(AD$5:AD10)</f>
        <v>0</v>
      </c>
      <c r="AM10" s="14">
        <f>SUM(AE$5:AE10)</f>
        <v>0</v>
      </c>
      <c r="AR10" s="14">
        <v>6</v>
      </c>
      <c r="AS10" s="27">
        <f t="shared" si="5"/>
        <v>0.11200000000000002</v>
      </c>
      <c r="AT10" s="14">
        <f>求节点(E$28:E$32,$N$28:$N$32,$AR10)*$AS10*其他调用!V9/$E$4</f>
        <v>0</v>
      </c>
      <c r="AU10" s="14">
        <f>求节点(F$28:F$32,$N$28:$N$32,$AR10)*$AS10*其他调用!W9/$E$4</f>
        <v>0</v>
      </c>
      <c r="AV10" s="14">
        <f>求节点(G$28:G$32,$N$28:$N$32,$AR10)*$AS10*其他调用!X9/$E$4</f>
        <v>0</v>
      </c>
      <c r="AW10" s="14">
        <f>求节点(H$28:H$32,$N$28:$N$32,$AR10)*$AS10*其他调用!Y9/$E$4</f>
        <v>0</v>
      </c>
      <c r="AX10" s="14">
        <f>求节点(I$28:I$32,$N$28:$N$32,$AR10)*$AS10*其他调用!Z9/$E$4</f>
        <v>0</v>
      </c>
      <c r="BA10" s="14">
        <v>6</v>
      </c>
      <c r="BB10" s="14">
        <f>SUM(AT$5:AT10)</f>
        <v>0</v>
      </c>
      <c r="BC10" s="14">
        <f>SUM(AU$5:AU10)</f>
        <v>0</v>
      </c>
      <c r="BD10" s="14">
        <f>SUM(AV$5:AV10)</f>
        <v>0</v>
      </c>
      <c r="BE10" s="14">
        <f>SUM(AW$5:AW10)</f>
        <v>0</v>
      </c>
      <c r="BF10" s="14">
        <f>SUM(AX$5:AX10)</f>
        <v>0</v>
      </c>
      <c r="BI10" s="14">
        <v>6</v>
      </c>
      <c r="BJ10" s="14">
        <f t="shared" si="6"/>
        <v>0</v>
      </c>
      <c r="BK10" s="14">
        <f t="shared" si="7"/>
        <v>0</v>
      </c>
      <c r="BL10" s="14">
        <f t="shared" si="8"/>
        <v>0</v>
      </c>
      <c r="BM10" s="14">
        <f t="shared" si="9"/>
        <v>0</v>
      </c>
      <c r="BN10" s="14">
        <f t="shared" si="10"/>
        <v>0</v>
      </c>
      <c r="BO10" s="14">
        <f t="shared" si="11"/>
        <v>0</v>
      </c>
      <c r="BP10" s="14">
        <f t="shared" si="12"/>
        <v>0</v>
      </c>
      <c r="BQ10" s="14">
        <f t="shared" si="13"/>
        <v>0</v>
      </c>
      <c r="BR10" s="14">
        <f t="shared" si="14"/>
        <v>0</v>
      </c>
      <c r="BS10" s="14">
        <f t="shared" si="15"/>
        <v>0</v>
      </c>
      <c r="BT10" s="14">
        <f t="shared" si="16"/>
        <v>0</v>
      </c>
      <c r="BU10" s="14">
        <f t="shared" si="17"/>
        <v>0</v>
      </c>
      <c r="BV10" s="14">
        <f t="shared" si="18"/>
        <v>0</v>
      </c>
      <c r="BW10" s="14">
        <f t="shared" si="19"/>
        <v>0</v>
      </c>
      <c r="BX10" s="14">
        <f t="shared" si="20"/>
        <v>0</v>
      </c>
      <c r="BY10" s="14">
        <f t="shared" si="21"/>
        <v>0</v>
      </c>
      <c r="BZ10" s="14">
        <f t="shared" si="22"/>
        <v>0</v>
      </c>
      <c r="CA10" s="14">
        <f t="shared" si="23"/>
        <v>0</v>
      </c>
      <c r="CB10" s="14">
        <f t="shared" si="24"/>
        <v>0</v>
      </c>
      <c r="CC10" s="14">
        <f t="shared" si="25"/>
        <v>0</v>
      </c>
    </row>
    <row r="11" spans="1:81" x14ac:dyDescent="0.15">
      <c r="A11" s="5"/>
      <c r="X11" s="14">
        <v>7</v>
      </c>
      <c r="Y11" s="30">
        <f t="shared" si="26"/>
        <v>0</v>
      </c>
      <c r="Z11" s="27">
        <f t="shared" si="4"/>
        <v>8.8000000000000009E-2</v>
      </c>
      <c r="AA11" s="14">
        <f>$Y11*$Z11*其他调用!V10</f>
        <v>0</v>
      </c>
      <c r="AB11" s="14">
        <f>$Y11*$Z11*其他调用!W10</f>
        <v>0</v>
      </c>
      <c r="AC11" s="14">
        <f>$Y11*$Z11*其他调用!X10</f>
        <v>0</v>
      </c>
      <c r="AD11" s="14">
        <f>$Y11*$Z11*其他调用!Y10</f>
        <v>0</v>
      </c>
      <c r="AE11" s="14">
        <f>$Y11*$Z11*其他调用!Z10</f>
        <v>0</v>
      </c>
      <c r="AH11" s="14">
        <v>7</v>
      </c>
      <c r="AI11" s="14">
        <f>SUM(AA$5:AA11)</f>
        <v>0</v>
      </c>
      <c r="AJ11" s="14">
        <f>SUM(AB$5:AB11)</f>
        <v>0</v>
      </c>
      <c r="AK11" s="14">
        <f>SUM(AC$5:AC11)</f>
        <v>0</v>
      </c>
      <c r="AL11" s="14">
        <f>SUM(AD$5:AD11)</f>
        <v>0</v>
      </c>
      <c r="AM11" s="14">
        <f>SUM(AE$5:AE11)</f>
        <v>0</v>
      </c>
      <c r="AR11" s="14">
        <v>7</v>
      </c>
      <c r="AS11" s="27">
        <f t="shared" si="5"/>
        <v>0.11200000000000002</v>
      </c>
      <c r="AT11" s="14">
        <f>求节点(E$28:E$32,$N$28:$N$32,$AR11)*$AS11*其他调用!V10/$E$4</f>
        <v>0</v>
      </c>
      <c r="AU11" s="14">
        <f>求节点(F$28:F$32,$N$28:$N$32,$AR11)*$AS11*其他调用!W10/$E$4</f>
        <v>0</v>
      </c>
      <c r="AV11" s="14">
        <f>求节点(G$28:G$32,$N$28:$N$32,$AR11)*$AS11*其他调用!X10/$E$4</f>
        <v>0</v>
      </c>
      <c r="AW11" s="14">
        <f>求节点(H$28:H$32,$N$28:$N$32,$AR11)*$AS11*其他调用!Y10/$E$4</f>
        <v>0</v>
      </c>
      <c r="AX11" s="14">
        <f>求节点(I$28:I$32,$N$28:$N$32,$AR11)*$AS11*其他调用!Z10/$E$4</f>
        <v>0</v>
      </c>
      <c r="BA11" s="14">
        <v>7</v>
      </c>
      <c r="BB11" s="14">
        <f>SUM(AT$5:AT11)</f>
        <v>0</v>
      </c>
      <c r="BC11" s="14">
        <f>SUM(AU$5:AU11)</f>
        <v>0</v>
      </c>
      <c r="BD11" s="14">
        <f>SUM(AV$5:AV11)</f>
        <v>0</v>
      </c>
      <c r="BE11" s="14">
        <f>SUM(AW$5:AW11)</f>
        <v>0</v>
      </c>
      <c r="BF11" s="14">
        <f>SUM(AX$5:AX11)</f>
        <v>0</v>
      </c>
      <c r="BI11" s="14">
        <v>7</v>
      </c>
      <c r="BJ11" s="14">
        <f t="shared" si="6"/>
        <v>0</v>
      </c>
      <c r="BK11" s="14">
        <f t="shared" si="7"/>
        <v>0</v>
      </c>
      <c r="BL11" s="14">
        <f t="shared" si="8"/>
        <v>0</v>
      </c>
      <c r="BM11" s="14">
        <f t="shared" si="9"/>
        <v>0</v>
      </c>
      <c r="BN11" s="14">
        <f t="shared" si="10"/>
        <v>0</v>
      </c>
      <c r="BO11" s="14">
        <f t="shared" si="11"/>
        <v>0</v>
      </c>
      <c r="BP11" s="14">
        <f t="shared" si="12"/>
        <v>0</v>
      </c>
      <c r="BQ11" s="14">
        <f t="shared" si="13"/>
        <v>0</v>
      </c>
      <c r="BR11" s="14">
        <f t="shared" si="14"/>
        <v>0</v>
      </c>
      <c r="BS11" s="14">
        <f t="shared" si="15"/>
        <v>0</v>
      </c>
      <c r="BT11" s="14">
        <f t="shared" si="16"/>
        <v>0</v>
      </c>
      <c r="BU11" s="14">
        <f t="shared" si="17"/>
        <v>0</v>
      </c>
      <c r="BV11" s="14">
        <f t="shared" si="18"/>
        <v>0</v>
      </c>
      <c r="BW11" s="14">
        <f t="shared" si="19"/>
        <v>0</v>
      </c>
      <c r="BX11" s="14">
        <f t="shared" si="20"/>
        <v>0</v>
      </c>
      <c r="BY11" s="14">
        <f t="shared" si="21"/>
        <v>0</v>
      </c>
      <c r="BZ11" s="14">
        <f t="shared" si="22"/>
        <v>0</v>
      </c>
      <c r="CA11" s="14">
        <f t="shared" si="23"/>
        <v>0</v>
      </c>
      <c r="CB11" s="14">
        <f t="shared" si="24"/>
        <v>0</v>
      </c>
      <c r="CC11" s="14">
        <f t="shared" si="25"/>
        <v>0</v>
      </c>
    </row>
    <row r="12" spans="1:81" x14ac:dyDescent="0.15">
      <c r="X12" s="14">
        <v>8</v>
      </c>
      <c r="Y12" s="30">
        <f t="shared" si="26"/>
        <v>0</v>
      </c>
      <c r="Z12" s="27">
        <f t="shared" si="4"/>
        <v>8.8000000000000009E-2</v>
      </c>
      <c r="AA12" s="14">
        <f>$Y12*$Z12*其他调用!V11</f>
        <v>0</v>
      </c>
      <c r="AB12" s="14">
        <f>$Y12*$Z12*其他调用!W11</f>
        <v>0</v>
      </c>
      <c r="AC12" s="14">
        <f>$Y12*$Z12*其他调用!X11</f>
        <v>0</v>
      </c>
      <c r="AD12" s="14">
        <f>$Y12*$Z12*其他调用!Y11</f>
        <v>0</v>
      </c>
      <c r="AE12" s="14">
        <f>$Y12*$Z12*其他调用!Z11</f>
        <v>0</v>
      </c>
      <c r="AH12" s="14">
        <v>8</v>
      </c>
      <c r="AI12" s="14">
        <f>SUM(AA$5:AA12)</f>
        <v>0</v>
      </c>
      <c r="AJ12" s="14">
        <f>SUM(AB$5:AB12)</f>
        <v>0</v>
      </c>
      <c r="AK12" s="14">
        <f>SUM(AC$5:AC12)</f>
        <v>0</v>
      </c>
      <c r="AL12" s="14">
        <f>SUM(AD$5:AD12)</f>
        <v>0</v>
      </c>
      <c r="AM12" s="14">
        <f>SUM(AE$5:AE12)</f>
        <v>0</v>
      </c>
      <c r="AR12" s="14">
        <v>8</v>
      </c>
      <c r="AS12" s="27">
        <f t="shared" si="5"/>
        <v>0.11200000000000002</v>
      </c>
      <c r="AT12" s="14">
        <f>求节点(E$28:E$32,$N$28:$N$32,$AR12)*$AS12*其他调用!V11/$E$4</f>
        <v>0</v>
      </c>
      <c r="AU12" s="14">
        <f>求节点(F$28:F$32,$N$28:$N$32,$AR12)*$AS12*其他调用!W11/$E$4</f>
        <v>0</v>
      </c>
      <c r="AV12" s="14">
        <f>求节点(G$28:G$32,$N$28:$N$32,$AR12)*$AS12*其他调用!X11/$E$4</f>
        <v>0</v>
      </c>
      <c r="AW12" s="14">
        <f>求节点(H$28:H$32,$N$28:$N$32,$AR12)*$AS12*其他调用!Y11/$E$4</f>
        <v>0</v>
      </c>
      <c r="AX12" s="14">
        <f>求节点(I$28:I$32,$N$28:$N$32,$AR12)*$AS12*其他调用!Z11/$E$4</f>
        <v>0</v>
      </c>
      <c r="BA12" s="14">
        <v>8</v>
      </c>
      <c r="BB12" s="14">
        <f>SUM(AT$5:AT12)</f>
        <v>0</v>
      </c>
      <c r="BC12" s="14">
        <f>SUM(AU$5:AU12)</f>
        <v>0</v>
      </c>
      <c r="BD12" s="14">
        <f>SUM(AV$5:AV12)</f>
        <v>0</v>
      </c>
      <c r="BE12" s="14">
        <f>SUM(AW$5:AW12)</f>
        <v>0</v>
      </c>
      <c r="BF12" s="14">
        <f>SUM(AX$5:AX12)</f>
        <v>0</v>
      </c>
      <c r="BI12" s="14">
        <v>8</v>
      </c>
      <c r="BJ12" s="14">
        <f t="shared" si="6"/>
        <v>0</v>
      </c>
      <c r="BK12" s="14">
        <f t="shared" si="7"/>
        <v>0</v>
      </c>
      <c r="BL12" s="14">
        <f t="shared" si="8"/>
        <v>0</v>
      </c>
      <c r="BM12" s="14">
        <f t="shared" si="9"/>
        <v>0</v>
      </c>
      <c r="BN12" s="14">
        <f t="shared" si="10"/>
        <v>0</v>
      </c>
      <c r="BO12" s="14">
        <f t="shared" si="11"/>
        <v>0</v>
      </c>
      <c r="BP12" s="14">
        <f t="shared" si="12"/>
        <v>0</v>
      </c>
      <c r="BQ12" s="14">
        <f t="shared" si="13"/>
        <v>0</v>
      </c>
      <c r="BR12" s="14">
        <f t="shared" si="14"/>
        <v>0</v>
      </c>
      <c r="BS12" s="14">
        <f t="shared" si="15"/>
        <v>0</v>
      </c>
      <c r="BT12" s="14">
        <f t="shared" si="16"/>
        <v>0</v>
      </c>
      <c r="BU12" s="14">
        <f t="shared" si="17"/>
        <v>0</v>
      </c>
      <c r="BV12" s="14">
        <f t="shared" si="18"/>
        <v>0</v>
      </c>
      <c r="BW12" s="14">
        <f t="shared" si="19"/>
        <v>0</v>
      </c>
      <c r="BX12" s="14">
        <f t="shared" si="20"/>
        <v>0</v>
      </c>
      <c r="BY12" s="14">
        <f t="shared" si="21"/>
        <v>0</v>
      </c>
      <c r="BZ12" s="14">
        <f t="shared" si="22"/>
        <v>0</v>
      </c>
      <c r="CA12" s="14">
        <f t="shared" si="23"/>
        <v>0</v>
      </c>
      <c r="CB12" s="14">
        <f t="shared" si="24"/>
        <v>0</v>
      </c>
      <c r="CC12" s="14">
        <f t="shared" si="25"/>
        <v>0</v>
      </c>
    </row>
    <row r="13" spans="1:81" x14ac:dyDescent="0.15">
      <c r="X13" s="14">
        <v>9</v>
      </c>
      <c r="Y13" s="30">
        <f t="shared" si="26"/>
        <v>0</v>
      </c>
      <c r="Z13" s="27">
        <f t="shared" si="4"/>
        <v>8.8000000000000009E-2</v>
      </c>
      <c r="AA13" s="14">
        <f>$Y13*$Z13*其他调用!V12</f>
        <v>0</v>
      </c>
      <c r="AB13" s="14">
        <f>$Y13*$Z13*其他调用!W12</f>
        <v>0</v>
      </c>
      <c r="AC13" s="14">
        <f>$Y13*$Z13*其他调用!X12</f>
        <v>0</v>
      </c>
      <c r="AD13" s="14">
        <f>$Y13*$Z13*其他调用!Y12</f>
        <v>0</v>
      </c>
      <c r="AE13" s="14">
        <f>$Y13*$Z13*其他调用!Z12</f>
        <v>0</v>
      </c>
      <c r="AH13" s="14">
        <v>9</v>
      </c>
      <c r="AI13" s="14">
        <f>SUM(AA$5:AA13)</f>
        <v>0</v>
      </c>
      <c r="AJ13" s="14">
        <f>SUM(AB$5:AB13)</f>
        <v>0</v>
      </c>
      <c r="AK13" s="14">
        <f>SUM(AC$5:AC13)</f>
        <v>0</v>
      </c>
      <c r="AL13" s="14">
        <f>SUM(AD$5:AD13)</f>
        <v>0</v>
      </c>
      <c r="AM13" s="14">
        <f>SUM(AE$5:AE13)</f>
        <v>0</v>
      </c>
      <c r="AR13" s="14">
        <v>9</v>
      </c>
      <c r="AS13" s="27">
        <f t="shared" si="5"/>
        <v>0.11200000000000002</v>
      </c>
      <c r="AT13" s="14">
        <f>求节点(E$28:E$32,$N$28:$N$32,$AR13)*$AS13*其他调用!V12/$E$4</f>
        <v>0</v>
      </c>
      <c r="AU13" s="14">
        <f>求节点(F$28:F$32,$N$28:$N$32,$AR13)*$AS13*其他调用!W12/$E$4</f>
        <v>0</v>
      </c>
      <c r="AV13" s="14">
        <f>求节点(G$28:G$32,$N$28:$N$32,$AR13)*$AS13*其他调用!X12/$E$4</f>
        <v>0</v>
      </c>
      <c r="AW13" s="14">
        <f>求节点(H$28:H$32,$N$28:$N$32,$AR13)*$AS13*其他调用!Y12/$E$4</f>
        <v>0</v>
      </c>
      <c r="AX13" s="14">
        <f>求节点(I$28:I$32,$N$28:$N$32,$AR13)*$AS13*其他调用!Z12/$E$4</f>
        <v>0</v>
      </c>
      <c r="BA13" s="14">
        <v>9</v>
      </c>
      <c r="BB13" s="14">
        <f>SUM(AT$5:AT13)</f>
        <v>0</v>
      </c>
      <c r="BC13" s="14">
        <f>SUM(AU$5:AU13)</f>
        <v>0</v>
      </c>
      <c r="BD13" s="14">
        <f>SUM(AV$5:AV13)</f>
        <v>0</v>
      </c>
      <c r="BE13" s="14">
        <f>SUM(AW$5:AW13)</f>
        <v>0</v>
      </c>
      <c r="BF13" s="14">
        <f>SUM(AX$5:AX13)</f>
        <v>0</v>
      </c>
      <c r="BI13" s="14">
        <v>9</v>
      </c>
      <c r="BJ13" s="14">
        <f t="shared" si="6"/>
        <v>0</v>
      </c>
      <c r="BK13" s="14">
        <f t="shared" si="7"/>
        <v>0</v>
      </c>
      <c r="BL13" s="14">
        <f t="shared" si="8"/>
        <v>0</v>
      </c>
      <c r="BM13" s="14">
        <f t="shared" si="9"/>
        <v>0</v>
      </c>
      <c r="BN13" s="14">
        <f t="shared" si="10"/>
        <v>0</v>
      </c>
      <c r="BO13" s="14">
        <f t="shared" si="11"/>
        <v>0</v>
      </c>
      <c r="BP13" s="14">
        <f t="shared" si="12"/>
        <v>0</v>
      </c>
      <c r="BQ13" s="14">
        <f t="shared" si="13"/>
        <v>0</v>
      </c>
      <c r="BR13" s="14">
        <f t="shared" si="14"/>
        <v>0</v>
      </c>
      <c r="BS13" s="14">
        <f t="shared" si="15"/>
        <v>0</v>
      </c>
      <c r="BT13" s="14">
        <f t="shared" si="16"/>
        <v>0</v>
      </c>
      <c r="BU13" s="14">
        <f t="shared" si="17"/>
        <v>0</v>
      </c>
      <c r="BV13" s="14">
        <f t="shared" si="18"/>
        <v>0</v>
      </c>
      <c r="BW13" s="14">
        <f t="shared" si="19"/>
        <v>0</v>
      </c>
      <c r="BX13" s="14">
        <f t="shared" si="20"/>
        <v>0</v>
      </c>
      <c r="BY13" s="14">
        <f t="shared" si="21"/>
        <v>0</v>
      </c>
      <c r="BZ13" s="14">
        <f t="shared" si="22"/>
        <v>0</v>
      </c>
      <c r="CA13" s="14">
        <f t="shared" si="23"/>
        <v>0</v>
      </c>
      <c r="CB13" s="14">
        <f t="shared" si="24"/>
        <v>0</v>
      </c>
      <c r="CC13" s="14">
        <f t="shared" si="25"/>
        <v>0</v>
      </c>
    </row>
    <row r="14" spans="1:81" x14ac:dyDescent="0.15">
      <c r="X14" s="14">
        <v>10</v>
      </c>
      <c r="Y14" s="30">
        <f t="shared" si="26"/>
        <v>0</v>
      </c>
      <c r="Z14" s="27">
        <f t="shared" si="4"/>
        <v>8.8000000000000009E-2</v>
      </c>
      <c r="AA14" s="14">
        <f>$Y14*$Z14*其他调用!V13</f>
        <v>0</v>
      </c>
      <c r="AB14" s="14">
        <f>$Y14*$Z14*其他调用!W13</f>
        <v>0</v>
      </c>
      <c r="AC14" s="14">
        <f>$Y14*$Z14*其他调用!X13</f>
        <v>0</v>
      </c>
      <c r="AD14" s="14">
        <f>$Y14*$Z14*其他调用!Y13</f>
        <v>0</v>
      </c>
      <c r="AE14" s="14">
        <f>$Y14*$Z14*其他调用!Z13</f>
        <v>0</v>
      </c>
      <c r="AH14" s="14">
        <v>10</v>
      </c>
      <c r="AI14" s="14">
        <f>SUM(AA$5:AA14)</f>
        <v>0</v>
      </c>
      <c r="AJ14" s="14">
        <f>SUM(AB$5:AB14)</f>
        <v>0</v>
      </c>
      <c r="AK14" s="14">
        <f>SUM(AC$5:AC14)</f>
        <v>0</v>
      </c>
      <c r="AL14" s="14">
        <f>SUM(AD$5:AD14)</f>
        <v>0</v>
      </c>
      <c r="AM14" s="14">
        <f>SUM(AE$5:AE14)</f>
        <v>0</v>
      </c>
      <c r="AR14" s="14">
        <v>10</v>
      </c>
      <c r="AS14" s="27">
        <f t="shared" si="5"/>
        <v>0.11200000000000002</v>
      </c>
      <c r="AT14" s="14">
        <f>求节点(E$28:E$32,$N$28:$N$32,$AR14)*$AS14*其他调用!V13/$E$4</f>
        <v>0</v>
      </c>
      <c r="AU14" s="14">
        <f>求节点(F$28:F$32,$N$28:$N$32,$AR14)*$AS14*其他调用!W13/$E$4</f>
        <v>0</v>
      </c>
      <c r="AV14" s="14">
        <f>求节点(G$28:G$32,$N$28:$N$32,$AR14)*$AS14*其他调用!X13/$E$4</f>
        <v>0</v>
      </c>
      <c r="AW14" s="14">
        <f>求节点(H$28:H$32,$N$28:$N$32,$AR14)*$AS14*其他调用!Y13/$E$4</f>
        <v>0</v>
      </c>
      <c r="AX14" s="14">
        <f>求节点(I$28:I$32,$N$28:$N$32,$AR14)*$AS14*其他调用!Z13/$E$4</f>
        <v>0</v>
      </c>
      <c r="BA14" s="14">
        <v>10</v>
      </c>
      <c r="BB14" s="14">
        <f>SUM(AT$5:AT14)</f>
        <v>0</v>
      </c>
      <c r="BC14" s="14">
        <f>SUM(AU$5:AU14)</f>
        <v>0</v>
      </c>
      <c r="BD14" s="14">
        <f>SUM(AV$5:AV14)</f>
        <v>0</v>
      </c>
      <c r="BE14" s="14">
        <f>SUM(AW$5:AW14)</f>
        <v>0</v>
      </c>
      <c r="BF14" s="14">
        <f>SUM(AX$5:AX14)</f>
        <v>0</v>
      </c>
      <c r="BI14" s="14">
        <v>10</v>
      </c>
      <c r="BJ14" s="14">
        <f t="shared" si="6"/>
        <v>0</v>
      </c>
      <c r="BK14" s="14">
        <f t="shared" si="7"/>
        <v>0</v>
      </c>
      <c r="BL14" s="14">
        <f t="shared" si="8"/>
        <v>0</v>
      </c>
      <c r="BM14" s="14">
        <f t="shared" si="9"/>
        <v>0</v>
      </c>
      <c r="BN14" s="14">
        <f t="shared" si="10"/>
        <v>0</v>
      </c>
      <c r="BO14" s="14">
        <f t="shared" si="11"/>
        <v>0</v>
      </c>
      <c r="BP14" s="14">
        <f t="shared" si="12"/>
        <v>0</v>
      </c>
      <c r="BQ14" s="14">
        <f t="shared" si="13"/>
        <v>0</v>
      </c>
      <c r="BR14" s="14">
        <f t="shared" si="14"/>
        <v>0</v>
      </c>
      <c r="BS14" s="14">
        <f t="shared" si="15"/>
        <v>0</v>
      </c>
      <c r="BT14" s="14">
        <f t="shared" si="16"/>
        <v>0</v>
      </c>
      <c r="BU14" s="14">
        <f t="shared" si="17"/>
        <v>0</v>
      </c>
      <c r="BV14" s="14">
        <f t="shared" si="18"/>
        <v>0</v>
      </c>
      <c r="BW14" s="14">
        <f t="shared" si="19"/>
        <v>0</v>
      </c>
      <c r="BX14" s="14">
        <f t="shared" si="20"/>
        <v>0</v>
      </c>
      <c r="BY14" s="14">
        <f t="shared" si="21"/>
        <v>0</v>
      </c>
      <c r="BZ14" s="14">
        <f t="shared" si="22"/>
        <v>0</v>
      </c>
      <c r="CA14" s="14">
        <f t="shared" si="23"/>
        <v>0</v>
      </c>
      <c r="CB14" s="14">
        <f t="shared" si="24"/>
        <v>0</v>
      </c>
      <c r="CC14" s="14">
        <f t="shared" si="25"/>
        <v>0</v>
      </c>
    </row>
    <row r="15" spans="1:81" x14ac:dyDescent="0.15">
      <c r="C15" s="14" t="s">
        <v>193</v>
      </c>
      <c r="D15" s="31">
        <f>500*F63/10/75</f>
        <v>280</v>
      </c>
      <c r="E15" s="32">
        <f>500-D15</f>
        <v>220</v>
      </c>
      <c r="F15" s="5">
        <v>200</v>
      </c>
      <c r="G15" s="33">
        <v>200</v>
      </c>
      <c r="H15" s="33">
        <v>0</v>
      </c>
      <c r="I15" s="33">
        <v>0</v>
      </c>
      <c r="J15" s="33">
        <v>100</v>
      </c>
      <c r="K15" s="33"/>
      <c r="L15" s="14"/>
      <c r="M15" s="14"/>
      <c r="X15" s="14">
        <v>11</v>
      </c>
      <c r="Y15" s="30">
        <f t="shared" si="26"/>
        <v>0</v>
      </c>
      <c r="Z15" s="27">
        <f t="shared" si="4"/>
        <v>8.8000000000000009E-2</v>
      </c>
      <c r="AA15" s="14">
        <f>$Y15*$Z15*其他调用!V14</f>
        <v>0</v>
      </c>
      <c r="AB15" s="14">
        <f>$Y15*$Z15*其他调用!W14</f>
        <v>0</v>
      </c>
      <c r="AC15" s="14">
        <f>$Y15*$Z15*其他调用!X14</f>
        <v>0</v>
      </c>
      <c r="AD15" s="14">
        <f>$Y15*$Z15*其他调用!Y14</f>
        <v>0</v>
      </c>
      <c r="AE15" s="14">
        <f>$Y15*$Z15*其他调用!Z14</f>
        <v>0</v>
      </c>
      <c r="AH15" s="14">
        <v>11</v>
      </c>
      <c r="AI15" s="14">
        <f>SUM(AA$5:AA15)</f>
        <v>0</v>
      </c>
      <c r="AJ15" s="14">
        <f>SUM(AB$5:AB15)</f>
        <v>0</v>
      </c>
      <c r="AK15" s="14">
        <f>SUM(AC$5:AC15)</f>
        <v>0</v>
      </c>
      <c r="AL15" s="14">
        <f>SUM(AD$5:AD15)</f>
        <v>0</v>
      </c>
      <c r="AM15" s="14">
        <f>SUM(AE$5:AE15)</f>
        <v>0</v>
      </c>
      <c r="AR15" s="14">
        <v>11</v>
      </c>
      <c r="AS15" s="27">
        <f t="shared" si="5"/>
        <v>0.11200000000000002</v>
      </c>
      <c r="AT15" s="14">
        <f>求节点(E$28:E$32,$N$28:$N$32,$AR15)*$AS15*其他调用!V14/$E$4</f>
        <v>0</v>
      </c>
      <c r="AU15" s="14">
        <f>求节点(F$28:F$32,$N$28:$N$32,$AR15)*$AS15*其他调用!W14/$E$4</f>
        <v>0</v>
      </c>
      <c r="AV15" s="14">
        <f>求节点(G$28:G$32,$N$28:$N$32,$AR15)*$AS15*其他调用!X14/$E$4</f>
        <v>0</v>
      </c>
      <c r="AW15" s="14">
        <f>求节点(H$28:H$32,$N$28:$N$32,$AR15)*$AS15*其他调用!Y14/$E$4</f>
        <v>0</v>
      </c>
      <c r="AX15" s="14">
        <f>求节点(I$28:I$32,$N$28:$N$32,$AR15)*$AS15*其他调用!Z14/$E$4</f>
        <v>0</v>
      </c>
      <c r="BA15" s="14">
        <v>11</v>
      </c>
      <c r="BB15" s="14">
        <f>SUM(AT$5:AT15)</f>
        <v>0</v>
      </c>
      <c r="BC15" s="14">
        <f>SUM(AU$5:AU15)</f>
        <v>0</v>
      </c>
      <c r="BD15" s="14">
        <f>SUM(AV$5:AV15)</f>
        <v>0</v>
      </c>
      <c r="BE15" s="14">
        <f>SUM(AW$5:AW15)</f>
        <v>0</v>
      </c>
      <c r="BF15" s="14">
        <f>SUM(AX$5:AX15)</f>
        <v>0</v>
      </c>
      <c r="BI15" s="14">
        <v>11</v>
      </c>
      <c r="BJ15" s="14">
        <f t="shared" si="6"/>
        <v>0</v>
      </c>
      <c r="BK15" s="14">
        <f t="shared" si="7"/>
        <v>0</v>
      </c>
      <c r="BL15" s="14">
        <f t="shared" si="8"/>
        <v>0</v>
      </c>
      <c r="BM15" s="14">
        <f t="shared" si="9"/>
        <v>0</v>
      </c>
      <c r="BN15" s="14">
        <f t="shared" si="10"/>
        <v>0</v>
      </c>
      <c r="BO15" s="14">
        <f t="shared" si="11"/>
        <v>0</v>
      </c>
      <c r="BP15" s="14">
        <f t="shared" si="12"/>
        <v>0</v>
      </c>
      <c r="BQ15" s="14">
        <f t="shared" si="13"/>
        <v>0</v>
      </c>
      <c r="BR15" s="14">
        <f t="shared" si="14"/>
        <v>0</v>
      </c>
      <c r="BS15" s="14">
        <f t="shared" si="15"/>
        <v>0</v>
      </c>
      <c r="BT15" s="14">
        <f t="shared" si="16"/>
        <v>0</v>
      </c>
      <c r="BU15" s="14">
        <f t="shared" si="17"/>
        <v>0</v>
      </c>
      <c r="BV15" s="14">
        <f t="shared" si="18"/>
        <v>0</v>
      </c>
      <c r="BW15" s="14">
        <f t="shared" si="19"/>
        <v>0</v>
      </c>
      <c r="BX15" s="14">
        <f t="shared" si="20"/>
        <v>0</v>
      </c>
      <c r="BY15" s="14">
        <f t="shared" si="21"/>
        <v>0</v>
      </c>
      <c r="BZ15" s="14">
        <f t="shared" si="22"/>
        <v>0</v>
      </c>
      <c r="CA15" s="14">
        <f t="shared" si="23"/>
        <v>0</v>
      </c>
      <c r="CB15" s="14">
        <f t="shared" si="24"/>
        <v>0</v>
      </c>
      <c r="CC15" s="14">
        <f t="shared" si="25"/>
        <v>0</v>
      </c>
    </row>
    <row r="16" spans="1:81" x14ac:dyDescent="0.15">
      <c r="C16" s="59" t="s">
        <v>244</v>
      </c>
      <c r="D16" s="19"/>
      <c r="F16" s="19"/>
      <c r="G16" s="19"/>
      <c r="H16" s="50" t="s">
        <v>245</v>
      </c>
      <c r="I16" s="50"/>
      <c r="J16" s="50"/>
      <c r="K16" s="27"/>
      <c r="L16" s="27"/>
      <c r="M16" s="14"/>
      <c r="X16" s="14">
        <v>12</v>
      </c>
      <c r="Y16" s="30">
        <f t="shared" si="26"/>
        <v>0</v>
      </c>
      <c r="Z16" s="27">
        <f t="shared" si="4"/>
        <v>8.8000000000000009E-2</v>
      </c>
      <c r="AA16" s="14">
        <f>$Y16*$Z16*其他调用!V15</f>
        <v>0</v>
      </c>
      <c r="AB16" s="14">
        <f>$Y16*$Z16*其他调用!W15</f>
        <v>0</v>
      </c>
      <c r="AC16" s="14">
        <f>$Y16*$Z16*其他调用!X15</f>
        <v>0</v>
      </c>
      <c r="AD16" s="14">
        <f>$Y16*$Z16*其他调用!Y15</f>
        <v>0</v>
      </c>
      <c r="AE16" s="14">
        <f>$Y16*$Z16*其他调用!Z15</f>
        <v>0</v>
      </c>
      <c r="AH16" s="14">
        <v>12</v>
      </c>
      <c r="AI16" s="14">
        <f>SUM(AA$5:AA16)</f>
        <v>0</v>
      </c>
      <c r="AJ16" s="14">
        <f>SUM(AB$5:AB16)</f>
        <v>0</v>
      </c>
      <c r="AK16" s="14">
        <f>SUM(AC$5:AC16)</f>
        <v>0</v>
      </c>
      <c r="AL16" s="14">
        <f>SUM(AD$5:AD16)</f>
        <v>0</v>
      </c>
      <c r="AM16" s="14">
        <f>SUM(AE$5:AE16)</f>
        <v>0</v>
      </c>
      <c r="AR16" s="14">
        <v>12</v>
      </c>
      <c r="AS16" s="27">
        <f t="shared" si="5"/>
        <v>0.11200000000000002</v>
      </c>
      <c r="AT16" s="14">
        <f>求节点(E$28:E$32,$N$28:$N$32,$AR16)*$AS16*其他调用!V15/$E$4</f>
        <v>0</v>
      </c>
      <c r="AU16" s="14">
        <f>求节点(F$28:F$32,$N$28:$N$32,$AR16)*$AS16*其他调用!W15/$E$4</f>
        <v>0</v>
      </c>
      <c r="AV16" s="14">
        <f>求节点(G$28:G$32,$N$28:$N$32,$AR16)*$AS16*其他调用!X15/$E$4</f>
        <v>0</v>
      </c>
      <c r="AW16" s="14">
        <f>求节点(H$28:H$32,$N$28:$N$32,$AR16)*$AS16*其他调用!Y15/$E$4</f>
        <v>0</v>
      </c>
      <c r="AX16" s="14">
        <f>求节点(I$28:I$32,$N$28:$N$32,$AR16)*$AS16*其他调用!Z15/$E$4</f>
        <v>0</v>
      </c>
      <c r="BA16" s="14">
        <v>12</v>
      </c>
      <c r="BB16" s="14">
        <f>SUM(AT$5:AT16)</f>
        <v>0</v>
      </c>
      <c r="BC16" s="14">
        <f>SUM(AU$5:AU16)</f>
        <v>0</v>
      </c>
      <c r="BD16" s="14">
        <f>SUM(AV$5:AV16)</f>
        <v>0</v>
      </c>
      <c r="BE16" s="14">
        <f>SUM(AW$5:AW16)</f>
        <v>0</v>
      </c>
      <c r="BF16" s="14">
        <f>SUM(AX$5:AX16)</f>
        <v>0</v>
      </c>
      <c r="BI16" s="14">
        <v>12</v>
      </c>
      <c r="BJ16" s="14">
        <f t="shared" si="6"/>
        <v>0</v>
      </c>
      <c r="BK16" s="14">
        <f t="shared" si="7"/>
        <v>0</v>
      </c>
      <c r="BL16" s="14">
        <f t="shared" si="8"/>
        <v>0</v>
      </c>
      <c r="BM16" s="14">
        <f t="shared" si="9"/>
        <v>0</v>
      </c>
      <c r="BN16" s="14">
        <f t="shared" si="10"/>
        <v>0</v>
      </c>
      <c r="BO16" s="14">
        <f t="shared" si="11"/>
        <v>0</v>
      </c>
      <c r="BP16" s="14">
        <f t="shared" si="12"/>
        <v>0</v>
      </c>
      <c r="BQ16" s="14">
        <f t="shared" si="13"/>
        <v>0</v>
      </c>
      <c r="BR16" s="14">
        <f t="shared" si="14"/>
        <v>0</v>
      </c>
      <c r="BS16" s="14">
        <f t="shared" si="15"/>
        <v>0</v>
      </c>
      <c r="BT16" s="14">
        <f t="shared" si="16"/>
        <v>0</v>
      </c>
      <c r="BU16" s="14">
        <f t="shared" si="17"/>
        <v>0</v>
      </c>
      <c r="BV16" s="14">
        <f t="shared" si="18"/>
        <v>0</v>
      </c>
      <c r="BW16" s="14">
        <f t="shared" si="19"/>
        <v>0</v>
      </c>
      <c r="BX16" s="14">
        <f t="shared" si="20"/>
        <v>0</v>
      </c>
      <c r="BY16" s="14">
        <f t="shared" si="21"/>
        <v>0</v>
      </c>
      <c r="BZ16" s="14">
        <f t="shared" si="22"/>
        <v>0</v>
      </c>
      <c r="CA16" s="14">
        <f t="shared" si="23"/>
        <v>0</v>
      </c>
      <c r="CB16" s="14">
        <f t="shared" si="24"/>
        <v>0</v>
      </c>
      <c r="CC16" s="14">
        <f t="shared" si="25"/>
        <v>0</v>
      </c>
    </row>
    <row r="17" spans="2:81" x14ac:dyDescent="0.15">
      <c r="C17" s="59"/>
      <c r="D17" s="50" t="s">
        <v>246</v>
      </c>
      <c r="E17" s="50"/>
      <c r="F17" s="14" t="s">
        <v>246</v>
      </c>
      <c r="G17" s="14" t="s">
        <v>247</v>
      </c>
      <c r="H17" s="14" t="s">
        <v>248</v>
      </c>
      <c r="I17" s="14" t="s">
        <v>249</v>
      </c>
      <c r="J17" s="14" t="s">
        <v>250</v>
      </c>
      <c r="K17" s="34" t="s">
        <v>251</v>
      </c>
      <c r="L17" s="14" t="s">
        <v>252</v>
      </c>
      <c r="M17" s="34" t="s">
        <v>253</v>
      </c>
      <c r="X17" s="14">
        <v>13</v>
      </c>
      <c r="Y17" s="30">
        <f t="shared" si="26"/>
        <v>0</v>
      </c>
      <c r="Z17" s="27">
        <f t="shared" si="4"/>
        <v>8.8000000000000009E-2</v>
      </c>
      <c r="AA17" s="14">
        <f>$Y17*$Z17*其他调用!V16</f>
        <v>0</v>
      </c>
      <c r="AB17" s="14">
        <f>$Y17*$Z17*其他调用!W16</f>
        <v>0</v>
      </c>
      <c r="AC17" s="14">
        <f>$Y17*$Z17*其他调用!X16</f>
        <v>0</v>
      </c>
      <c r="AD17" s="14">
        <f>$Y17*$Z17*其他调用!Y16</f>
        <v>0</v>
      </c>
      <c r="AE17" s="14">
        <f>$Y17*$Z17*其他调用!Z16</f>
        <v>0</v>
      </c>
      <c r="AH17" s="14">
        <v>13</v>
      </c>
      <c r="AI17" s="14">
        <f>SUM(AA$5:AA17)</f>
        <v>0</v>
      </c>
      <c r="AJ17" s="14">
        <f>SUM(AB$5:AB17)</f>
        <v>0</v>
      </c>
      <c r="AK17" s="14">
        <f>SUM(AC$5:AC17)</f>
        <v>0</v>
      </c>
      <c r="AL17" s="14">
        <f>SUM(AD$5:AD17)</f>
        <v>0</v>
      </c>
      <c r="AM17" s="14">
        <f>SUM(AE$5:AE17)</f>
        <v>0</v>
      </c>
      <c r="AR17" s="14">
        <v>13</v>
      </c>
      <c r="AS17" s="27">
        <f t="shared" si="5"/>
        <v>0.11200000000000002</v>
      </c>
      <c r="AT17" s="14">
        <f>求节点(E$28:E$32,$N$28:$N$32,$AR17)*$AS17*其他调用!V16/$E$4</f>
        <v>0</v>
      </c>
      <c r="AU17" s="14">
        <f>求节点(F$28:F$32,$N$28:$N$32,$AR17)*$AS17*其他调用!W16/$E$4</f>
        <v>0</v>
      </c>
      <c r="AV17" s="14">
        <f>求节点(G$28:G$32,$N$28:$N$32,$AR17)*$AS17*其他调用!X16/$E$4</f>
        <v>0</v>
      </c>
      <c r="AW17" s="14">
        <f>求节点(H$28:H$32,$N$28:$N$32,$AR17)*$AS17*其他调用!Y16/$E$4</f>
        <v>0</v>
      </c>
      <c r="AX17" s="14">
        <f>求节点(I$28:I$32,$N$28:$N$32,$AR17)*$AS17*其他调用!Z16/$E$4</f>
        <v>0</v>
      </c>
      <c r="BA17" s="14">
        <v>13</v>
      </c>
      <c r="BB17" s="14">
        <f>SUM(AT$5:AT17)</f>
        <v>0</v>
      </c>
      <c r="BC17" s="14">
        <f>SUM(AU$5:AU17)</f>
        <v>0</v>
      </c>
      <c r="BD17" s="14">
        <f>SUM(AV$5:AV17)</f>
        <v>0</v>
      </c>
      <c r="BE17" s="14">
        <f>SUM(AW$5:AW17)</f>
        <v>0</v>
      </c>
      <c r="BF17" s="14">
        <f>SUM(AX$5:AX17)</f>
        <v>0</v>
      </c>
      <c r="BI17" s="14">
        <v>13</v>
      </c>
      <c r="BJ17" s="14">
        <f t="shared" si="6"/>
        <v>0</v>
      </c>
      <c r="BK17" s="14">
        <f t="shared" si="7"/>
        <v>0</v>
      </c>
      <c r="BL17" s="14">
        <f t="shared" si="8"/>
        <v>0</v>
      </c>
      <c r="BM17" s="14">
        <f t="shared" si="9"/>
        <v>0</v>
      </c>
      <c r="BN17" s="14">
        <f t="shared" si="10"/>
        <v>0</v>
      </c>
      <c r="BO17" s="14">
        <f t="shared" si="11"/>
        <v>0</v>
      </c>
      <c r="BP17" s="14">
        <f t="shared" si="12"/>
        <v>0</v>
      </c>
      <c r="BQ17" s="14">
        <f t="shared" si="13"/>
        <v>0</v>
      </c>
      <c r="BR17" s="14">
        <f t="shared" si="14"/>
        <v>0</v>
      </c>
      <c r="BS17" s="14">
        <f t="shared" si="15"/>
        <v>0</v>
      </c>
      <c r="BT17" s="14">
        <f t="shared" si="16"/>
        <v>0</v>
      </c>
      <c r="BU17" s="14">
        <f t="shared" si="17"/>
        <v>0</v>
      </c>
      <c r="BV17" s="14">
        <f t="shared" si="18"/>
        <v>0</v>
      </c>
      <c r="BW17" s="14">
        <f t="shared" si="19"/>
        <v>0</v>
      </c>
      <c r="BX17" s="14">
        <f t="shared" si="20"/>
        <v>0</v>
      </c>
      <c r="BY17" s="14">
        <f t="shared" si="21"/>
        <v>0</v>
      </c>
      <c r="BZ17" s="14">
        <f t="shared" si="22"/>
        <v>0</v>
      </c>
      <c r="CA17" s="14">
        <f t="shared" si="23"/>
        <v>0</v>
      </c>
      <c r="CB17" s="14">
        <f t="shared" si="24"/>
        <v>0</v>
      </c>
      <c r="CC17" s="14">
        <f t="shared" si="25"/>
        <v>0</v>
      </c>
    </row>
    <row r="18" spans="2:81" x14ac:dyDescent="0.15">
      <c r="B18" s="35" t="s">
        <v>254</v>
      </c>
      <c r="C18" s="14" t="str">
        <f>'[1]功能-行军令'!AC7</f>
        <v>剿匪1(1~14级)</v>
      </c>
      <c r="D18" s="50" t="str">
        <f>'[1]功能-行军令'!AD7</f>
        <v>装备</v>
      </c>
      <c r="E18" s="50"/>
      <c r="F18" s="14" t="str">
        <f>'[1]功能-行军令'!AE7</f>
        <v>装备经验</v>
      </c>
      <c r="G18" s="14" t="str">
        <f>'[1]功能-行军令'!AF7</f>
        <v>武将经验</v>
      </c>
      <c r="H18" s="14" t="str">
        <f>'[1]功能-行军令'!AG7</f>
        <v>银币</v>
      </c>
      <c r="I18" s="14" t="str">
        <f>'[1]功能-行军令'!AH7</f>
        <v>城建资源</v>
      </c>
      <c r="J18" s="14" t="str">
        <f>'[1]功能-行军令'!AI7</f>
        <v>加速令</v>
      </c>
      <c r="K18" s="28">
        <f>'[1]功能-行军令'!AJ7</f>
        <v>0.6</v>
      </c>
      <c r="L18" s="14">
        <f>'[1]功能-行军令'!AK7</f>
        <v>1</v>
      </c>
      <c r="M18" s="14">
        <f>'[1]功能-行军令'!AL7</f>
        <v>24</v>
      </c>
      <c r="X18" s="14">
        <v>14</v>
      </c>
      <c r="Y18" s="30">
        <f t="shared" si="26"/>
        <v>0</v>
      </c>
      <c r="Z18" s="27">
        <f t="shared" si="4"/>
        <v>8.8000000000000009E-2</v>
      </c>
      <c r="AA18" s="14">
        <f>$Y18*$Z18*其他调用!V17</f>
        <v>0</v>
      </c>
      <c r="AB18" s="14">
        <f>$Y18*$Z18*其他调用!W17</f>
        <v>0</v>
      </c>
      <c r="AC18" s="14">
        <f>$Y18*$Z18*其他调用!X17</f>
        <v>0</v>
      </c>
      <c r="AD18" s="14">
        <f>$Y18*$Z18*其他调用!Y17</f>
        <v>0</v>
      </c>
      <c r="AE18" s="14">
        <f>$Y18*$Z18*其他调用!Z17</f>
        <v>0</v>
      </c>
      <c r="AH18" s="14">
        <v>14</v>
      </c>
      <c r="AI18" s="14">
        <f>SUM(AA$5:AA18)</f>
        <v>0</v>
      </c>
      <c r="AJ18" s="14">
        <f>SUM(AB$5:AB18)</f>
        <v>0</v>
      </c>
      <c r="AK18" s="14">
        <f>SUM(AC$5:AC18)</f>
        <v>0</v>
      </c>
      <c r="AL18" s="14">
        <f>SUM(AD$5:AD18)</f>
        <v>0</v>
      </c>
      <c r="AM18" s="14">
        <f>SUM(AE$5:AE18)</f>
        <v>0</v>
      </c>
      <c r="AR18" s="14">
        <v>14</v>
      </c>
      <c r="AS18" s="27">
        <f t="shared" si="5"/>
        <v>0.11200000000000002</v>
      </c>
      <c r="AT18" s="14">
        <f>求节点(E$28:E$32,$N$28:$N$32,$AR18)*$AS18*其他调用!V17/$E$4</f>
        <v>0</v>
      </c>
      <c r="AU18" s="14">
        <f>求节点(F$28:F$32,$N$28:$N$32,$AR18)*$AS18*其他调用!W17/$E$4</f>
        <v>0</v>
      </c>
      <c r="AV18" s="14">
        <f>求节点(G$28:G$32,$N$28:$N$32,$AR18)*$AS18*其他调用!X17/$E$4</f>
        <v>0</v>
      </c>
      <c r="AW18" s="14">
        <f>求节点(H$28:H$32,$N$28:$N$32,$AR18)*$AS18*其他调用!Y17/$E$4</f>
        <v>0</v>
      </c>
      <c r="AX18" s="14">
        <f>求节点(I$28:I$32,$N$28:$N$32,$AR18)*$AS18*其他调用!Z17/$E$4</f>
        <v>0</v>
      </c>
      <c r="BA18" s="14">
        <v>14</v>
      </c>
      <c r="BB18" s="14">
        <f>SUM(AT$5:AT18)</f>
        <v>0</v>
      </c>
      <c r="BC18" s="14">
        <f>SUM(AU$5:AU18)</f>
        <v>0</v>
      </c>
      <c r="BD18" s="14">
        <f>SUM(AV$5:AV18)</f>
        <v>0</v>
      </c>
      <c r="BE18" s="14">
        <f>SUM(AW$5:AW18)</f>
        <v>0</v>
      </c>
      <c r="BF18" s="14">
        <f>SUM(AX$5:AX18)</f>
        <v>0</v>
      </c>
      <c r="BI18" s="14">
        <v>14</v>
      </c>
      <c r="BJ18" s="14">
        <f t="shared" si="6"/>
        <v>0</v>
      </c>
      <c r="BK18" s="14">
        <f t="shared" si="7"/>
        <v>0</v>
      </c>
      <c r="BL18" s="14">
        <f t="shared" si="8"/>
        <v>0</v>
      </c>
      <c r="BM18" s="14">
        <f t="shared" si="9"/>
        <v>0</v>
      </c>
      <c r="BN18" s="14">
        <f t="shared" si="10"/>
        <v>0</v>
      </c>
      <c r="BO18" s="14">
        <f t="shared" si="11"/>
        <v>0</v>
      </c>
      <c r="BP18" s="14">
        <f t="shared" si="12"/>
        <v>0</v>
      </c>
      <c r="BQ18" s="14">
        <f t="shared" si="13"/>
        <v>0</v>
      </c>
      <c r="BR18" s="14">
        <f t="shared" si="14"/>
        <v>0</v>
      </c>
      <c r="BS18" s="14">
        <f t="shared" si="15"/>
        <v>0</v>
      </c>
      <c r="BT18" s="14">
        <f t="shared" si="16"/>
        <v>0</v>
      </c>
      <c r="BU18" s="14">
        <f t="shared" si="17"/>
        <v>0</v>
      </c>
      <c r="BV18" s="14">
        <f t="shared" si="18"/>
        <v>0</v>
      </c>
      <c r="BW18" s="14">
        <f t="shared" si="19"/>
        <v>0</v>
      </c>
      <c r="BX18" s="14">
        <f t="shared" si="20"/>
        <v>0</v>
      </c>
      <c r="BY18" s="14">
        <f t="shared" si="21"/>
        <v>0</v>
      </c>
      <c r="BZ18" s="14">
        <f t="shared" si="22"/>
        <v>0</v>
      </c>
      <c r="CA18" s="14">
        <f t="shared" si="23"/>
        <v>0</v>
      </c>
      <c r="CB18" s="14">
        <f t="shared" si="24"/>
        <v>0</v>
      </c>
      <c r="CC18" s="14">
        <f t="shared" si="25"/>
        <v>0</v>
      </c>
    </row>
    <row r="19" spans="2:81" x14ac:dyDescent="0.15">
      <c r="B19" s="36"/>
      <c r="C19" s="14" t="s">
        <v>272</v>
      </c>
      <c r="D19" s="14" t="s">
        <v>273</v>
      </c>
      <c r="E19" s="5" t="s">
        <v>201</v>
      </c>
      <c r="F19" s="14" t="s">
        <v>255</v>
      </c>
      <c r="G19" s="14" t="s">
        <v>256</v>
      </c>
      <c r="H19" s="14" t="s">
        <v>257</v>
      </c>
      <c r="I19" s="14" t="s">
        <v>258</v>
      </c>
      <c r="J19" s="14" t="s">
        <v>259</v>
      </c>
      <c r="K19" s="28">
        <v>0.4</v>
      </c>
      <c r="L19" s="30">
        <f>$E$4</f>
        <v>2</v>
      </c>
      <c r="M19" s="14">
        <f>K19*40/L19</f>
        <v>8</v>
      </c>
      <c r="X19" s="14">
        <v>15</v>
      </c>
      <c r="Y19" s="30">
        <f t="shared" si="26"/>
        <v>0</v>
      </c>
      <c r="Z19" s="27">
        <f t="shared" si="4"/>
        <v>8.8000000000000009E-2</v>
      </c>
      <c r="AA19" s="14">
        <f>$Y19*$Z19*其他调用!V18</f>
        <v>0</v>
      </c>
      <c r="AB19" s="14">
        <f>$Y19*$Z19*其他调用!W18</f>
        <v>0</v>
      </c>
      <c r="AC19" s="14">
        <f>$Y19*$Z19*其他调用!X18</f>
        <v>0</v>
      </c>
      <c r="AD19" s="14">
        <f>$Y19*$Z19*其他调用!Y18</f>
        <v>0</v>
      </c>
      <c r="AE19" s="14">
        <f>$Y19*$Z19*其他调用!Z18</f>
        <v>0</v>
      </c>
      <c r="AH19" s="14">
        <v>15</v>
      </c>
      <c r="AI19" s="14">
        <f>SUM(AA$5:AA19)</f>
        <v>0</v>
      </c>
      <c r="AJ19" s="14">
        <f>SUM(AB$5:AB19)</f>
        <v>0</v>
      </c>
      <c r="AK19" s="14">
        <f>SUM(AC$5:AC19)</f>
        <v>0</v>
      </c>
      <c r="AL19" s="14">
        <f>SUM(AD$5:AD19)</f>
        <v>0</v>
      </c>
      <c r="AM19" s="14">
        <f>SUM(AE$5:AE19)</f>
        <v>0</v>
      </c>
      <c r="AR19" s="14">
        <v>15</v>
      </c>
      <c r="AS19" s="27">
        <f t="shared" si="5"/>
        <v>0.11200000000000002</v>
      </c>
      <c r="AT19" s="14">
        <f>求节点(E$28:E$32,$N$28:$N$32,$AR19)*$AS19*其他调用!V18/$E$4</f>
        <v>0</v>
      </c>
      <c r="AU19" s="14">
        <f>求节点(F$28:F$32,$N$28:$N$32,$AR19)*$AS19*其他调用!W18/$E$4</f>
        <v>0</v>
      </c>
      <c r="AV19" s="14">
        <f>求节点(G$28:G$32,$N$28:$N$32,$AR19)*$AS19*其他调用!X18/$E$4</f>
        <v>0</v>
      </c>
      <c r="AW19" s="14">
        <f>求节点(H$28:H$32,$N$28:$N$32,$AR19)*$AS19*其他调用!Y18/$E$4</f>
        <v>0</v>
      </c>
      <c r="AX19" s="14">
        <f>求节点(I$28:I$32,$N$28:$N$32,$AR19)*$AS19*其他调用!Z18/$E$4</f>
        <v>0</v>
      </c>
      <c r="BA19" s="14">
        <v>15</v>
      </c>
      <c r="BB19" s="14">
        <f>SUM(AT$5:AT19)</f>
        <v>0</v>
      </c>
      <c r="BC19" s="14">
        <f>SUM(AU$5:AU19)</f>
        <v>0</v>
      </c>
      <c r="BD19" s="14">
        <f>SUM(AV$5:AV19)</f>
        <v>0</v>
      </c>
      <c r="BE19" s="14">
        <f>SUM(AW$5:AW19)</f>
        <v>0</v>
      </c>
      <c r="BF19" s="14">
        <f>SUM(AX$5:AX19)</f>
        <v>0</v>
      </c>
      <c r="BI19" s="14">
        <v>15</v>
      </c>
      <c r="BJ19" s="14">
        <f t="shared" si="6"/>
        <v>0</v>
      </c>
      <c r="BK19" s="14">
        <f t="shared" si="7"/>
        <v>0</v>
      </c>
      <c r="BL19" s="14">
        <f t="shared" si="8"/>
        <v>0</v>
      </c>
      <c r="BM19" s="14">
        <f t="shared" si="9"/>
        <v>0</v>
      </c>
      <c r="BN19" s="14">
        <f t="shared" si="10"/>
        <v>0</v>
      </c>
      <c r="BO19" s="14">
        <f t="shared" si="11"/>
        <v>0</v>
      </c>
      <c r="BP19" s="14">
        <f t="shared" si="12"/>
        <v>0</v>
      </c>
      <c r="BQ19" s="14">
        <f t="shared" si="13"/>
        <v>0</v>
      </c>
      <c r="BR19" s="14">
        <f t="shared" si="14"/>
        <v>0</v>
      </c>
      <c r="BS19" s="14">
        <f t="shared" si="15"/>
        <v>0</v>
      </c>
      <c r="BT19" s="14">
        <f t="shared" si="16"/>
        <v>0</v>
      </c>
      <c r="BU19" s="14">
        <f t="shared" si="17"/>
        <v>0</v>
      </c>
      <c r="BV19" s="14">
        <f t="shared" si="18"/>
        <v>0</v>
      </c>
      <c r="BW19" s="14">
        <f t="shared" si="19"/>
        <v>0</v>
      </c>
      <c r="BX19" s="14">
        <f t="shared" si="20"/>
        <v>0</v>
      </c>
      <c r="BY19" s="14">
        <f t="shared" si="21"/>
        <v>0</v>
      </c>
      <c r="BZ19" s="14">
        <f t="shared" si="22"/>
        <v>0</v>
      </c>
      <c r="CA19" s="14">
        <f t="shared" si="23"/>
        <v>0</v>
      </c>
      <c r="CB19" s="14">
        <f t="shared" si="24"/>
        <v>0</v>
      </c>
      <c r="CC19" s="14">
        <f t="shared" si="25"/>
        <v>0</v>
      </c>
    </row>
    <row r="20" spans="2:81" x14ac:dyDescent="0.15">
      <c r="X20" s="14">
        <v>16</v>
      </c>
      <c r="Y20" s="30">
        <f t="shared" si="26"/>
        <v>0</v>
      </c>
      <c r="Z20" s="27">
        <f t="shared" si="4"/>
        <v>8.8000000000000009E-2</v>
      </c>
      <c r="AA20" s="14">
        <f>$Y20*$Z20*其他调用!V19</f>
        <v>0</v>
      </c>
      <c r="AB20" s="14">
        <f>$Y20*$Z20*其他调用!W19</f>
        <v>0</v>
      </c>
      <c r="AC20" s="14">
        <f>$Y20*$Z20*其他调用!X19</f>
        <v>0</v>
      </c>
      <c r="AD20" s="14">
        <f>$Y20*$Z20*其他调用!Y19</f>
        <v>0</v>
      </c>
      <c r="AE20" s="14">
        <f>$Y20*$Z20*其他调用!Z19</f>
        <v>0</v>
      </c>
      <c r="AH20" s="14">
        <v>16</v>
      </c>
      <c r="AI20" s="14">
        <f>SUM(AA$5:AA20)</f>
        <v>0</v>
      </c>
      <c r="AJ20" s="14">
        <f>SUM(AB$5:AB20)</f>
        <v>0</v>
      </c>
      <c r="AK20" s="14">
        <f>SUM(AC$5:AC20)</f>
        <v>0</v>
      </c>
      <c r="AL20" s="14">
        <f>SUM(AD$5:AD20)</f>
        <v>0</v>
      </c>
      <c r="AM20" s="14">
        <f>SUM(AE$5:AE20)</f>
        <v>0</v>
      </c>
      <c r="AR20" s="14">
        <v>16</v>
      </c>
      <c r="AS20" s="27">
        <f t="shared" si="5"/>
        <v>0.11200000000000002</v>
      </c>
      <c r="AT20" s="14">
        <f>求节点(E$28:E$32,$N$28:$N$32,$AR20)*$AS20*其他调用!V19/$E$4</f>
        <v>0</v>
      </c>
      <c r="AU20" s="14">
        <f>求节点(F$28:F$32,$N$28:$N$32,$AR20)*$AS20*其他调用!W19/$E$4</f>
        <v>0</v>
      </c>
      <c r="AV20" s="14">
        <f>求节点(G$28:G$32,$N$28:$N$32,$AR20)*$AS20*其他调用!X19/$E$4</f>
        <v>0</v>
      </c>
      <c r="AW20" s="14">
        <f>求节点(H$28:H$32,$N$28:$N$32,$AR20)*$AS20*其他调用!Y19/$E$4</f>
        <v>0</v>
      </c>
      <c r="AX20" s="14">
        <f>求节点(I$28:I$32,$N$28:$N$32,$AR20)*$AS20*其他调用!Z19/$E$4</f>
        <v>0</v>
      </c>
      <c r="BA20" s="14">
        <v>16</v>
      </c>
      <c r="BB20" s="14">
        <f>SUM(AT$5:AT20)</f>
        <v>0</v>
      </c>
      <c r="BC20" s="14">
        <f>SUM(AU$5:AU20)</f>
        <v>0</v>
      </c>
      <c r="BD20" s="14">
        <f>SUM(AV$5:AV20)</f>
        <v>0</v>
      </c>
      <c r="BE20" s="14">
        <f>SUM(AW$5:AW20)</f>
        <v>0</v>
      </c>
      <c r="BF20" s="14">
        <f>SUM(AX$5:AX20)</f>
        <v>0</v>
      </c>
      <c r="BI20" s="14">
        <v>16</v>
      </c>
      <c r="BJ20" s="14">
        <f t="shared" si="6"/>
        <v>0</v>
      </c>
      <c r="BK20" s="14">
        <f t="shared" si="7"/>
        <v>0</v>
      </c>
      <c r="BL20" s="14">
        <f t="shared" si="8"/>
        <v>0</v>
      </c>
      <c r="BM20" s="14">
        <f t="shared" si="9"/>
        <v>0</v>
      </c>
      <c r="BN20" s="14">
        <f t="shared" si="10"/>
        <v>0</v>
      </c>
      <c r="BO20" s="14">
        <f t="shared" si="11"/>
        <v>0</v>
      </c>
      <c r="BP20" s="14">
        <f t="shared" si="12"/>
        <v>0</v>
      </c>
      <c r="BQ20" s="14">
        <f t="shared" si="13"/>
        <v>0</v>
      </c>
      <c r="BR20" s="14">
        <f t="shared" si="14"/>
        <v>0</v>
      </c>
      <c r="BS20" s="14">
        <f t="shared" si="15"/>
        <v>0</v>
      </c>
      <c r="BT20" s="14">
        <f t="shared" si="16"/>
        <v>0</v>
      </c>
      <c r="BU20" s="14">
        <f t="shared" si="17"/>
        <v>0</v>
      </c>
      <c r="BV20" s="14">
        <f t="shared" si="18"/>
        <v>0</v>
      </c>
      <c r="BW20" s="14">
        <f t="shared" si="19"/>
        <v>0</v>
      </c>
      <c r="BX20" s="14">
        <f t="shared" si="20"/>
        <v>0</v>
      </c>
      <c r="BY20" s="14">
        <f t="shared" si="21"/>
        <v>0</v>
      </c>
      <c r="BZ20" s="14">
        <f t="shared" si="22"/>
        <v>0</v>
      </c>
      <c r="CA20" s="14">
        <f t="shared" si="23"/>
        <v>0</v>
      </c>
      <c r="CB20" s="14">
        <f t="shared" si="24"/>
        <v>0</v>
      </c>
      <c r="CC20" s="14">
        <f t="shared" si="25"/>
        <v>0</v>
      </c>
    </row>
    <row r="21" spans="2:81" x14ac:dyDescent="0.15">
      <c r="X21" s="14">
        <v>17</v>
      </c>
      <c r="Y21" s="30">
        <f t="shared" si="26"/>
        <v>0</v>
      </c>
      <c r="Z21" s="27">
        <f t="shared" si="4"/>
        <v>8.8000000000000009E-2</v>
      </c>
      <c r="AA21" s="14">
        <f>$Y21*$Z21*其他调用!V20</f>
        <v>0</v>
      </c>
      <c r="AB21" s="14">
        <f>$Y21*$Z21*其他调用!W20</f>
        <v>0</v>
      </c>
      <c r="AC21" s="14">
        <f>$Y21*$Z21*其他调用!X20</f>
        <v>0</v>
      </c>
      <c r="AD21" s="14">
        <f>$Y21*$Z21*其他调用!Y20</f>
        <v>0</v>
      </c>
      <c r="AE21" s="14">
        <f>$Y21*$Z21*其他调用!Z20</f>
        <v>0</v>
      </c>
      <c r="AH21" s="14">
        <v>17</v>
      </c>
      <c r="AI21" s="14">
        <f>SUM(AA$5:AA21)</f>
        <v>0</v>
      </c>
      <c r="AJ21" s="14">
        <f>SUM(AB$5:AB21)</f>
        <v>0</v>
      </c>
      <c r="AK21" s="14">
        <f>SUM(AC$5:AC21)</f>
        <v>0</v>
      </c>
      <c r="AL21" s="14">
        <f>SUM(AD$5:AD21)</f>
        <v>0</v>
      </c>
      <c r="AM21" s="14">
        <f>SUM(AE$5:AE21)</f>
        <v>0</v>
      </c>
      <c r="AR21" s="14">
        <v>17</v>
      </c>
      <c r="AS21" s="27">
        <f t="shared" si="5"/>
        <v>0.11200000000000002</v>
      </c>
      <c r="AT21" s="14">
        <f>求节点(E$28:E$32,$N$28:$N$32,$AR21)*$AS21*其他调用!V20/$E$4</f>
        <v>0</v>
      </c>
      <c r="AU21" s="14">
        <f>求节点(F$28:F$32,$N$28:$N$32,$AR21)*$AS21*其他调用!W20/$E$4</f>
        <v>0</v>
      </c>
      <c r="AV21" s="14">
        <f>求节点(G$28:G$32,$N$28:$N$32,$AR21)*$AS21*其他调用!X20/$E$4</f>
        <v>0</v>
      </c>
      <c r="AW21" s="14">
        <f>求节点(H$28:H$32,$N$28:$N$32,$AR21)*$AS21*其他调用!Y20/$E$4</f>
        <v>0</v>
      </c>
      <c r="AX21" s="14">
        <f>求节点(I$28:I$32,$N$28:$N$32,$AR21)*$AS21*其他调用!Z20/$E$4</f>
        <v>0</v>
      </c>
      <c r="BA21" s="14">
        <v>17</v>
      </c>
      <c r="BB21" s="14">
        <f>SUM(AT$5:AT21)</f>
        <v>0</v>
      </c>
      <c r="BC21" s="14">
        <f>SUM(AU$5:AU21)</f>
        <v>0</v>
      </c>
      <c r="BD21" s="14">
        <f>SUM(AV$5:AV21)</f>
        <v>0</v>
      </c>
      <c r="BE21" s="14">
        <f>SUM(AW$5:AW21)</f>
        <v>0</v>
      </c>
      <c r="BF21" s="14">
        <f>SUM(AX$5:AX21)</f>
        <v>0</v>
      </c>
      <c r="BI21" s="14">
        <v>17</v>
      </c>
      <c r="BJ21" s="14">
        <f t="shared" si="6"/>
        <v>0</v>
      </c>
      <c r="BK21" s="14">
        <f t="shared" si="7"/>
        <v>0</v>
      </c>
      <c r="BL21" s="14">
        <f t="shared" si="8"/>
        <v>0</v>
      </c>
      <c r="BM21" s="14">
        <f t="shared" si="9"/>
        <v>0</v>
      </c>
      <c r="BN21" s="14">
        <f t="shared" si="10"/>
        <v>0</v>
      </c>
      <c r="BO21" s="14">
        <f t="shared" si="11"/>
        <v>0</v>
      </c>
      <c r="BP21" s="14">
        <f t="shared" si="12"/>
        <v>0</v>
      </c>
      <c r="BQ21" s="14">
        <f t="shared" si="13"/>
        <v>0</v>
      </c>
      <c r="BR21" s="14">
        <f t="shared" si="14"/>
        <v>0</v>
      </c>
      <c r="BS21" s="14">
        <f t="shared" si="15"/>
        <v>0</v>
      </c>
      <c r="BT21" s="14">
        <f t="shared" si="16"/>
        <v>0</v>
      </c>
      <c r="BU21" s="14">
        <f t="shared" si="17"/>
        <v>0</v>
      </c>
      <c r="BV21" s="14">
        <f t="shared" si="18"/>
        <v>0</v>
      </c>
      <c r="BW21" s="14">
        <f t="shared" si="19"/>
        <v>0</v>
      </c>
      <c r="BX21" s="14">
        <f t="shared" si="20"/>
        <v>0</v>
      </c>
      <c r="BY21" s="14">
        <f t="shared" si="21"/>
        <v>0</v>
      </c>
      <c r="BZ21" s="14">
        <f t="shared" si="22"/>
        <v>0</v>
      </c>
      <c r="CA21" s="14">
        <f t="shared" si="23"/>
        <v>0</v>
      </c>
      <c r="CB21" s="14">
        <f t="shared" si="24"/>
        <v>0</v>
      </c>
      <c r="CC21" s="14">
        <f t="shared" si="25"/>
        <v>0</v>
      </c>
    </row>
    <row r="22" spans="2:81" x14ac:dyDescent="0.15">
      <c r="X22" s="14">
        <v>18</v>
      </c>
      <c r="Y22" s="30">
        <f t="shared" si="26"/>
        <v>0</v>
      </c>
      <c r="Z22" s="27">
        <f t="shared" si="4"/>
        <v>8.8000000000000009E-2</v>
      </c>
      <c r="AA22" s="14">
        <f>$Y22*$Z22*其他调用!V21</f>
        <v>0</v>
      </c>
      <c r="AB22" s="14">
        <f>$Y22*$Z22*其他调用!W21</f>
        <v>0</v>
      </c>
      <c r="AC22" s="14">
        <f>$Y22*$Z22*其他调用!X21</f>
        <v>0</v>
      </c>
      <c r="AD22" s="14">
        <f>$Y22*$Z22*其他调用!Y21</f>
        <v>0</v>
      </c>
      <c r="AE22" s="14">
        <f>$Y22*$Z22*其他调用!Z21</f>
        <v>0</v>
      </c>
      <c r="AH22" s="14">
        <v>18</v>
      </c>
      <c r="AI22" s="14">
        <f>SUM(AA$5:AA22)</f>
        <v>0</v>
      </c>
      <c r="AJ22" s="14">
        <f>SUM(AB$5:AB22)</f>
        <v>0</v>
      </c>
      <c r="AK22" s="14">
        <f>SUM(AC$5:AC22)</f>
        <v>0</v>
      </c>
      <c r="AL22" s="14">
        <f>SUM(AD$5:AD22)</f>
        <v>0</v>
      </c>
      <c r="AM22" s="14">
        <f>SUM(AE$5:AE22)</f>
        <v>0</v>
      </c>
      <c r="AR22" s="14">
        <v>18</v>
      </c>
      <c r="AS22" s="27">
        <f t="shared" si="5"/>
        <v>0.11200000000000002</v>
      </c>
      <c r="AT22" s="14">
        <f>求节点(E$28:E$32,$N$28:$N$32,$AR22)*$AS22*其他调用!V21/$E$4</f>
        <v>0</v>
      </c>
      <c r="AU22" s="14">
        <f>求节点(F$28:F$32,$N$28:$N$32,$AR22)*$AS22*其他调用!W21/$E$4</f>
        <v>0</v>
      </c>
      <c r="AV22" s="14">
        <f>求节点(G$28:G$32,$N$28:$N$32,$AR22)*$AS22*其他调用!X21/$E$4</f>
        <v>0</v>
      </c>
      <c r="AW22" s="14">
        <f>求节点(H$28:H$32,$N$28:$N$32,$AR22)*$AS22*其他调用!Y21/$E$4</f>
        <v>0</v>
      </c>
      <c r="AX22" s="14">
        <f>求节点(I$28:I$32,$N$28:$N$32,$AR22)*$AS22*其他调用!Z21/$E$4</f>
        <v>0</v>
      </c>
      <c r="BA22" s="14">
        <v>18</v>
      </c>
      <c r="BB22" s="14">
        <f>SUM(AT$5:AT22)</f>
        <v>0</v>
      </c>
      <c r="BC22" s="14">
        <f>SUM(AU$5:AU22)</f>
        <v>0</v>
      </c>
      <c r="BD22" s="14">
        <f>SUM(AV$5:AV22)</f>
        <v>0</v>
      </c>
      <c r="BE22" s="14">
        <f>SUM(AW$5:AW22)</f>
        <v>0</v>
      </c>
      <c r="BF22" s="14">
        <f>SUM(AX$5:AX22)</f>
        <v>0</v>
      </c>
      <c r="BI22" s="14">
        <v>18</v>
      </c>
      <c r="BJ22" s="14">
        <f t="shared" si="6"/>
        <v>0</v>
      </c>
      <c r="BK22" s="14">
        <f t="shared" si="7"/>
        <v>0</v>
      </c>
      <c r="BL22" s="14">
        <f t="shared" si="8"/>
        <v>0</v>
      </c>
      <c r="BM22" s="14">
        <f t="shared" si="9"/>
        <v>0</v>
      </c>
      <c r="BN22" s="14">
        <f t="shared" si="10"/>
        <v>0</v>
      </c>
      <c r="BO22" s="14">
        <f t="shared" si="11"/>
        <v>0</v>
      </c>
      <c r="BP22" s="14">
        <f t="shared" si="12"/>
        <v>0</v>
      </c>
      <c r="BQ22" s="14">
        <f t="shared" si="13"/>
        <v>0</v>
      </c>
      <c r="BR22" s="14">
        <f t="shared" si="14"/>
        <v>0</v>
      </c>
      <c r="BS22" s="14">
        <f t="shared" si="15"/>
        <v>0</v>
      </c>
      <c r="BT22" s="14">
        <f t="shared" si="16"/>
        <v>0</v>
      </c>
      <c r="BU22" s="14">
        <f t="shared" si="17"/>
        <v>0</v>
      </c>
      <c r="BV22" s="14">
        <f t="shared" si="18"/>
        <v>0</v>
      </c>
      <c r="BW22" s="14">
        <f t="shared" si="19"/>
        <v>0</v>
      </c>
      <c r="BX22" s="14">
        <f t="shared" si="20"/>
        <v>0</v>
      </c>
      <c r="BY22" s="14">
        <f t="shared" si="21"/>
        <v>0</v>
      </c>
      <c r="BZ22" s="14">
        <f t="shared" si="22"/>
        <v>0</v>
      </c>
      <c r="CA22" s="14">
        <f t="shared" si="23"/>
        <v>0</v>
      </c>
      <c r="CB22" s="14">
        <f t="shared" si="24"/>
        <v>0</v>
      </c>
      <c r="CC22" s="14">
        <f t="shared" si="25"/>
        <v>0</v>
      </c>
    </row>
    <row r="23" spans="2:81" x14ac:dyDescent="0.15">
      <c r="X23" s="14">
        <v>19</v>
      </c>
      <c r="Y23" s="30">
        <f t="shared" si="26"/>
        <v>0</v>
      </c>
      <c r="Z23" s="27">
        <f t="shared" si="4"/>
        <v>8.8000000000000009E-2</v>
      </c>
      <c r="AA23" s="14">
        <f>$Y23*$Z23*其他调用!V22</f>
        <v>0</v>
      </c>
      <c r="AB23" s="14">
        <f>$Y23*$Z23*其他调用!W22</f>
        <v>0</v>
      </c>
      <c r="AC23" s="14">
        <f>$Y23*$Z23*其他调用!X22</f>
        <v>0</v>
      </c>
      <c r="AD23" s="14">
        <f>$Y23*$Z23*其他调用!Y22</f>
        <v>0</v>
      </c>
      <c r="AE23" s="14">
        <f>$Y23*$Z23*其他调用!Z22</f>
        <v>0</v>
      </c>
      <c r="AH23" s="14">
        <v>19</v>
      </c>
      <c r="AI23" s="14">
        <f>SUM(AA$5:AA23)</f>
        <v>0</v>
      </c>
      <c r="AJ23" s="14">
        <f>SUM(AB$5:AB23)</f>
        <v>0</v>
      </c>
      <c r="AK23" s="14">
        <f>SUM(AC$5:AC23)</f>
        <v>0</v>
      </c>
      <c r="AL23" s="14">
        <f>SUM(AD$5:AD23)</f>
        <v>0</v>
      </c>
      <c r="AM23" s="14">
        <f>SUM(AE$5:AE23)</f>
        <v>0</v>
      </c>
      <c r="AR23" s="14">
        <v>19</v>
      </c>
      <c r="AS23" s="27">
        <f t="shared" si="5"/>
        <v>0.11200000000000002</v>
      </c>
      <c r="AT23" s="14">
        <f>求节点(E$28:E$32,$N$28:$N$32,$AR23)*$AS23*其他调用!V22/$E$4</f>
        <v>0</v>
      </c>
      <c r="AU23" s="14">
        <f>求节点(F$28:F$32,$N$28:$N$32,$AR23)*$AS23*其他调用!W22/$E$4</f>
        <v>0</v>
      </c>
      <c r="AV23" s="14">
        <f>求节点(G$28:G$32,$N$28:$N$32,$AR23)*$AS23*其他调用!X22/$E$4</f>
        <v>0</v>
      </c>
      <c r="AW23" s="14">
        <f>求节点(H$28:H$32,$N$28:$N$32,$AR23)*$AS23*其他调用!Y22/$E$4</f>
        <v>0</v>
      </c>
      <c r="AX23" s="14">
        <f>求节点(I$28:I$32,$N$28:$N$32,$AR23)*$AS23*其他调用!Z22/$E$4</f>
        <v>0</v>
      </c>
      <c r="BA23" s="14">
        <v>19</v>
      </c>
      <c r="BB23" s="14">
        <f>SUM(AT$5:AT23)</f>
        <v>0</v>
      </c>
      <c r="BC23" s="14">
        <f>SUM(AU$5:AU23)</f>
        <v>0</v>
      </c>
      <c r="BD23" s="14">
        <f>SUM(AV$5:AV23)</f>
        <v>0</v>
      </c>
      <c r="BE23" s="14">
        <f>SUM(AW$5:AW23)</f>
        <v>0</v>
      </c>
      <c r="BF23" s="14">
        <f>SUM(AX$5:AX23)</f>
        <v>0</v>
      </c>
      <c r="BI23" s="14">
        <v>19</v>
      </c>
      <c r="BJ23" s="14">
        <f t="shared" si="6"/>
        <v>0</v>
      </c>
      <c r="BK23" s="14">
        <f t="shared" si="7"/>
        <v>0</v>
      </c>
      <c r="BL23" s="14">
        <f t="shared" si="8"/>
        <v>0</v>
      </c>
      <c r="BM23" s="14">
        <f t="shared" si="9"/>
        <v>0</v>
      </c>
      <c r="BN23" s="14">
        <f t="shared" si="10"/>
        <v>0</v>
      </c>
      <c r="BO23" s="14">
        <f t="shared" si="11"/>
        <v>0</v>
      </c>
      <c r="BP23" s="14">
        <f t="shared" si="12"/>
        <v>0</v>
      </c>
      <c r="BQ23" s="14">
        <f t="shared" si="13"/>
        <v>0</v>
      </c>
      <c r="BR23" s="14">
        <f t="shared" si="14"/>
        <v>0</v>
      </c>
      <c r="BS23" s="14">
        <f t="shared" si="15"/>
        <v>0</v>
      </c>
      <c r="BT23" s="14">
        <f t="shared" si="16"/>
        <v>0</v>
      </c>
      <c r="BU23" s="14">
        <f t="shared" si="17"/>
        <v>0</v>
      </c>
      <c r="BV23" s="14">
        <f t="shared" si="18"/>
        <v>0</v>
      </c>
      <c r="BW23" s="14">
        <f t="shared" si="19"/>
        <v>0</v>
      </c>
      <c r="BX23" s="14">
        <f t="shared" si="20"/>
        <v>0</v>
      </c>
      <c r="BY23" s="14">
        <f t="shared" si="21"/>
        <v>0</v>
      </c>
      <c r="BZ23" s="14">
        <f t="shared" si="22"/>
        <v>0</v>
      </c>
      <c r="CA23" s="14">
        <f t="shared" si="23"/>
        <v>0</v>
      </c>
      <c r="CB23" s="14">
        <f t="shared" si="24"/>
        <v>0</v>
      </c>
      <c r="CC23" s="14">
        <f t="shared" si="25"/>
        <v>0</v>
      </c>
    </row>
    <row r="24" spans="2:81" x14ac:dyDescent="0.15">
      <c r="X24" s="14">
        <v>20</v>
      </c>
      <c r="Y24" s="30">
        <f t="shared" si="26"/>
        <v>0</v>
      </c>
      <c r="Z24" s="27">
        <f t="shared" si="4"/>
        <v>8.8000000000000009E-2</v>
      </c>
      <c r="AA24" s="14">
        <f>$Y24*$Z24*其他调用!V23</f>
        <v>0</v>
      </c>
      <c r="AB24" s="14">
        <f>$Y24*$Z24*其他调用!W23</f>
        <v>0</v>
      </c>
      <c r="AC24" s="14">
        <f>$Y24*$Z24*其他调用!X23</f>
        <v>0</v>
      </c>
      <c r="AD24" s="14">
        <f>$Y24*$Z24*其他调用!Y23</f>
        <v>0</v>
      </c>
      <c r="AE24" s="14">
        <f>$Y24*$Z24*其他调用!Z23</f>
        <v>0</v>
      </c>
      <c r="AH24" s="14">
        <v>20</v>
      </c>
      <c r="AI24" s="14">
        <f>SUM(AA$5:AA24)</f>
        <v>0</v>
      </c>
      <c r="AJ24" s="14">
        <f>SUM(AB$5:AB24)</f>
        <v>0</v>
      </c>
      <c r="AK24" s="14">
        <f>SUM(AC$5:AC24)</f>
        <v>0</v>
      </c>
      <c r="AL24" s="14">
        <f>SUM(AD$5:AD24)</f>
        <v>0</v>
      </c>
      <c r="AM24" s="14">
        <f>SUM(AE$5:AE24)</f>
        <v>0</v>
      </c>
      <c r="AR24" s="14">
        <v>20</v>
      </c>
      <c r="AS24" s="27">
        <f t="shared" si="5"/>
        <v>0.11200000000000002</v>
      </c>
      <c r="AT24" s="14">
        <f>求节点(E$28:E$32,$N$28:$N$32,$AR24)*$AS24*其他调用!V23/$E$4</f>
        <v>0</v>
      </c>
      <c r="AU24" s="14">
        <f>求节点(F$28:F$32,$N$28:$N$32,$AR24)*$AS24*其他调用!W23/$E$4</f>
        <v>0</v>
      </c>
      <c r="AV24" s="14">
        <f>求节点(G$28:G$32,$N$28:$N$32,$AR24)*$AS24*其他调用!X23/$E$4</f>
        <v>0</v>
      </c>
      <c r="AW24" s="14">
        <f>求节点(H$28:H$32,$N$28:$N$32,$AR24)*$AS24*其他调用!Y23/$E$4</f>
        <v>0</v>
      </c>
      <c r="AX24" s="14">
        <f>求节点(I$28:I$32,$N$28:$N$32,$AR24)*$AS24*其他调用!Z23/$E$4</f>
        <v>0</v>
      </c>
      <c r="BA24" s="14">
        <v>20</v>
      </c>
      <c r="BB24" s="14">
        <f>SUM(AT$5:AT24)</f>
        <v>0</v>
      </c>
      <c r="BC24" s="14">
        <f>SUM(AU$5:AU24)</f>
        <v>0</v>
      </c>
      <c r="BD24" s="14">
        <f>SUM(AV$5:AV24)</f>
        <v>0</v>
      </c>
      <c r="BE24" s="14">
        <f>SUM(AW$5:AW24)</f>
        <v>0</v>
      </c>
      <c r="BF24" s="14">
        <f>SUM(AX$5:AX24)</f>
        <v>0</v>
      </c>
      <c r="BI24" s="14">
        <v>20</v>
      </c>
      <c r="BJ24" s="14">
        <f t="shared" si="6"/>
        <v>0</v>
      </c>
      <c r="BK24" s="14">
        <f t="shared" si="7"/>
        <v>0</v>
      </c>
      <c r="BL24" s="14">
        <f t="shared" si="8"/>
        <v>0</v>
      </c>
      <c r="BM24" s="14">
        <f t="shared" si="9"/>
        <v>0</v>
      </c>
      <c r="BN24" s="14">
        <f t="shared" si="10"/>
        <v>0</v>
      </c>
      <c r="BO24" s="14">
        <f t="shared" si="11"/>
        <v>0</v>
      </c>
      <c r="BP24" s="14">
        <f t="shared" si="12"/>
        <v>0</v>
      </c>
      <c r="BQ24" s="14">
        <f t="shared" si="13"/>
        <v>0</v>
      </c>
      <c r="BR24" s="14">
        <f t="shared" si="14"/>
        <v>0</v>
      </c>
      <c r="BS24" s="14">
        <f t="shared" si="15"/>
        <v>0</v>
      </c>
      <c r="BT24" s="14">
        <f t="shared" si="16"/>
        <v>0</v>
      </c>
      <c r="BU24" s="14">
        <f t="shared" si="17"/>
        <v>0</v>
      </c>
      <c r="BV24" s="14">
        <f t="shared" si="18"/>
        <v>0</v>
      </c>
      <c r="BW24" s="14">
        <f t="shared" si="19"/>
        <v>0</v>
      </c>
      <c r="BX24" s="14">
        <f t="shared" si="20"/>
        <v>0</v>
      </c>
      <c r="BY24" s="14">
        <f t="shared" si="21"/>
        <v>0</v>
      </c>
      <c r="BZ24" s="14">
        <f t="shared" si="22"/>
        <v>0</v>
      </c>
      <c r="CA24" s="14">
        <f t="shared" si="23"/>
        <v>0</v>
      </c>
      <c r="CB24" s="14">
        <f t="shared" si="24"/>
        <v>0</v>
      </c>
      <c r="CC24" s="14">
        <f t="shared" si="25"/>
        <v>0</v>
      </c>
    </row>
    <row r="25" spans="2:81" x14ac:dyDescent="0.15">
      <c r="J25" s="37"/>
      <c r="K25" s="16"/>
      <c r="L25" s="16"/>
      <c r="M25" s="16"/>
      <c r="N25" s="16"/>
      <c r="O25" s="16"/>
      <c r="P25" s="37"/>
      <c r="Q25" s="16"/>
      <c r="R25" s="16"/>
      <c r="X25" s="14">
        <v>21</v>
      </c>
      <c r="Y25" s="30">
        <f t="shared" si="26"/>
        <v>0</v>
      </c>
      <c r="Z25" s="27">
        <f t="shared" si="4"/>
        <v>8.8000000000000009E-2</v>
      </c>
      <c r="AA25" s="14">
        <f>$Y25*$Z25*其他调用!V24</f>
        <v>0</v>
      </c>
      <c r="AB25" s="14">
        <f>$Y25*$Z25*其他调用!W24</f>
        <v>0</v>
      </c>
      <c r="AC25" s="14">
        <f>$Y25*$Z25*其他调用!X24</f>
        <v>0</v>
      </c>
      <c r="AD25" s="14">
        <f>$Y25*$Z25*其他调用!Y24</f>
        <v>0</v>
      </c>
      <c r="AE25" s="14">
        <f>$Y25*$Z25*其他调用!Z24</f>
        <v>0</v>
      </c>
      <c r="AH25" s="14">
        <v>21</v>
      </c>
      <c r="AI25" s="14">
        <f>SUM(AA$5:AA25)</f>
        <v>0</v>
      </c>
      <c r="AJ25" s="14">
        <f>SUM(AB$5:AB25)</f>
        <v>0</v>
      </c>
      <c r="AK25" s="14">
        <f>SUM(AC$5:AC25)</f>
        <v>0</v>
      </c>
      <c r="AL25" s="14">
        <f>SUM(AD$5:AD25)</f>
        <v>0</v>
      </c>
      <c r="AM25" s="14">
        <f>SUM(AE$5:AE25)</f>
        <v>0</v>
      </c>
      <c r="AR25" s="14">
        <v>21</v>
      </c>
      <c r="AS25" s="27">
        <f t="shared" si="5"/>
        <v>0.11200000000000002</v>
      </c>
      <c r="AT25" s="14">
        <f>求节点(E$28:E$32,$N$28:$N$32,$AR25)*$AS25*其他调用!V24/$E$4</f>
        <v>0</v>
      </c>
      <c r="AU25" s="14">
        <f>求节点(F$28:F$32,$N$28:$N$32,$AR25)*$AS25*其他调用!W24/$E$4</f>
        <v>0</v>
      </c>
      <c r="AV25" s="14">
        <f>求节点(G$28:G$32,$N$28:$N$32,$AR25)*$AS25*其他调用!X24/$E$4</f>
        <v>0</v>
      </c>
      <c r="AW25" s="14">
        <f>求节点(H$28:H$32,$N$28:$N$32,$AR25)*$AS25*其他调用!Y24/$E$4</f>
        <v>0</v>
      </c>
      <c r="AX25" s="14">
        <f>求节点(I$28:I$32,$N$28:$N$32,$AR25)*$AS25*其他调用!Z24/$E$4</f>
        <v>0</v>
      </c>
      <c r="BA25" s="14">
        <v>21</v>
      </c>
      <c r="BB25" s="14">
        <f>SUM(AT$5:AT25)</f>
        <v>0</v>
      </c>
      <c r="BC25" s="14">
        <f>SUM(AU$5:AU25)</f>
        <v>0</v>
      </c>
      <c r="BD25" s="14">
        <f>SUM(AV$5:AV25)</f>
        <v>0</v>
      </c>
      <c r="BE25" s="14">
        <f>SUM(AW$5:AW25)</f>
        <v>0</v>
      </c>
      <c r="BF25" s="14">
        <f>SUM(AX$5:AX25)</f>
        <v>0</v>
      </c>
      <c r="BI25" s="14">
        <v>21</v>
      </c>
      <c r="BJ25" s="14">
        <f t="shared" si="6"/>
        <v>0</v>
      </c>
      <c r="BK25" s="14">
        <f t="shared" si="7"/>
        <v>0</v>
      </c>
      <c r="BL25" s="14">
        <f t="shared" si="8"/>
        <v>0</v>
      </c>
      <c r="BM25" s="14">
        <f t="shared" si="9"/>
        <v>0</v>
      </c>
      <c r="BN25" s="14">
        <f t="shared" si="10"/>
        <v>0</v>
      </c>
      <c r="BO25" s="14">
        <f t="shared" si="11"/>
        <v>0</v>
      </c>
      <c r="BP25" s="14">
        <f t="shared" si="12"/>
        <v>0</v>
      </c>
      <c r="BQ25" s="14">
        <f t="shared" si="13"/>
        <v>0</v>
      </c>
      <c r="BR25" s="14">
        <f t="shared" si="14"/>
        <v>0</v>
      </c>
      <c r="BS25" s="14">
        <f t="shared" si="15"/>
        <v>0</v>
      </c>
      <c r="BT25" s="14">
        <f t="shared" si="16"/>
        <v>0</v>
      </c>
      <c r="BU25" s="14">
        <f t="shared" si="17"/>
        <v>0</v>
      </c>
      <c r="BV25" s="14">
        <f t="shared" si="18"/>
        <v>0</v>
      </c>
      <c r="BW25" s="14">
        <f t="shared" si="19"/>
        <v>0</v>
      </c>
      <c r="BX25" s="14">
        <f t="shared" si="20"/>
        <v>0</v>
      </c>
      <c r="BY25" s="14">
        <f t="shared" si="21"/>
        <v>0</v>
      </c>
      <c r="BZ25" s="14">
        <f t="shared" si="22"/>
        <v>0</v>
      </c>
      <c r="CA25" s="14">
        <f t="shared" si="23"/>
        <v>0</v>
      </c>
      <c r="CB25" s="14">
        <f t="shared" si="24"/>
        <v>0</v>
      </c>
      <c r="CC25" s="14">
        <f t="shared" si="25"/>
        <v>0</v>
      </c>
    </row>
    <row r="26" spans="2:81" x14ac:dyDescent="0.15">
      <c r="E26" s="52" t="s">
        <v>260</v>
      </c>
      <c r="F26" s="52"/>
      <c r="G26" s="52"/>
      <c r="H26" s="52"/>
      <c r="I26" s="52"/>
      <c r="J26" s="52" t="s">
        <v>290</v>
      </c>
      <c r="K26" s="52"/>
      <c r="L26" s="52"/>
      <c r="M26" s="52" t="s">
        <v>277</v>
      </c>
      <c r="N26" s="52"/>
      <c r="O26" s="52"/>
      <c r="P26" s="22"/>
      <c r="X26" s="14">
        <v>22</v>
      </c>
      <c r="Y26" s="30">
        <f t="shared" si="26"/>
        <v>0</v>
      </c>
      <c r="Z26" s="27">
        <f t="shared" si="4"/>
        <v>8.8000000000000009E-2</v>
      </c>
      <c r="AA26" s="14">
        <f>$Y26*$Z26*其他调用!V25</f>
        <v>0</v>
      </c>
      <c r="AB26" s="14">
        <f>$Y26*$Z26*其他调用!W25</f>
        <v>0</v>
      </c>
      <c r="AC26" s="14">
        <f>$Y26*$Z26*其他调用!X25</f>
        <v>0</v>
      </c>
      <c r="AD26" s="14">
        <f>$Y26*$Z26*其他调用!Y25</f>
        <v>0</v>
      </c>
      <c r="AE26" s="14">
        <f>$Y26*$Z26*其他调用!Z25</f>
        <v>0</v>
      </c>
      <c r="AH26" s="14">
        <v>22</v>
      </c>
      <c r="AI26" s="14">
        <f>SUM(AA$5:AA26)</f>
        <v>0</v>
      </c>
      <c r="AJ26" s="14">
        <f>SUM(AB$5:AB26)</f>
        <v>0</v>
      </c>
      <c r="AK26" s="14">
        <f>SUM(AC$5:AC26)</f>
        <v>0</v>
      </c>
      <c r="AL26" s="14">
        <f>SUM(AD$5:AD26)</f>
        <v>0</v>
      </c>
      <c r="AM26" s="14">
        <f>SUM(AE$5:AE26)</f>
        <v>0</v>
      </c>
      <c r="AR26" s="14">
        <v>22</v>
      </c>
      <c r="AS26" s="27">
        <f t="shared" si="5"/>
        <v>0.11200000000000002</v>
      </c>
      <c r="AT26" s="14">
        <f>求节点(E$28:E$32,$N$28:$N$32,$AR26)*$AS26*其他调用!V25/$E$4</f>
        <v>0</v>
      </c>
      <c r="AU26" s="14">
        <f>求节点(F$28:F$32,$N$28:$N$32,$AR26)*$AS26*其他调用!W25/$E$4</f>
        <v>0</v>
      </c>
      <c r="AV26" s="14">
        <f>求节点(G$28:G$32,$N$28:$N$32,$AR26)*$AS26*其他调用!X25/$E$4</f>
        <v>0</v>
      </c>
      <c r="AW26" s="14">
        <f>求节点(H$28:H$32,$N$28:$N$32,$AR26)*$AS26*其他调用!Y25/$E$4</f>
        <v>0</v>
      </c>
      <c r="AX26" s="14">
        <f>求节点(I$28:I$32,$N$28:$N$32,$AR26)*$AS26*其他调用!Z25/$E$4</f>
        <v>0</v>
      </c>
      <c r="BA26" s="14">
        <v>22</v>
      </c>
      <c r="BB26" s="14">
        <f>SUM(AT$5:AT26)</f>
        <v>0</v>
      </c>
      <c r="BC26" s="14">
        <f>SUM(AU$5:AU26)</f>
        <v>0</v>
      </c>
      <c r="BD26" s="14">
        <f>SUM(AV$5:AV26)</f>
        <v>0</v>
      </c>
      <c r="BE26" s="14">
        <f>SUM(AW$5:AW26)</f>
        <v>0</v>
      </c>
      <c r="BF26" s="14">
        <f>SUM(AX$5:AX26)</f>
        <v>0</v>
      </c>
      <c r="BI26" s="14">
        <v>22</v>
      </c>
      <c r="BJ26" s="14">
        <f t="shared" si="6"/>
        <v>0</v>
      </c>
      <c r="BK26" s="14">
        <f t="shared" si="7"/>
        <v>0</v>
      </c>
      <c r="BL26" s="14">
        <f t="shared" si="8"/>
        <v>0</v>
      </c>
      <c r="BM26" s="14">
        <f t="shared" si="9"/>
        <v>0</v>
      </c>
      <c r="BN26" s="14">
        <f t="shared" si="10"/>
        <v>0</v>
      </c>
      <c r="BO26" s="14">
        <f t="shared" si="11"/>
        <v>0</v>
      </c>
      <c r="BP26" s="14">
        <f t="shared" si="12"/>
        <v>0</v>
      </c>
      <c r="BQ26" s="14">
        <f t="shared" si="13"/>
        <v>0</v>
      </c>
      <c r="BR26" s="14">
        <f t="shared" si="14"/>
        <v>0</v>
      </c>
      <c r="BS26" s="14">
        <f t="shared" si="15"/>
        <v>0</v>
      </c>
      <c r="BT26" s="14">
        <f t="shared" si="16"/>
        <v>0</v>
      </c>
      <c r="BU26" s="14">
        <f t="shared" si="17"/>
        <v>0</v>
      </c>
      <c r="BV26" s="14">
        <f t="shared" si="18"/>
        <v>0</v>
      </c>
      <c r="BW26" s="14">
        <f t="shared" si="19"/>
        <v>0</v>
      </c>
      <c r="BX26" s="14">
        <f t="shared" si="20"/>
        <v>0</v>
      </c>
      <c r="BY26" s="14">
        <f t="shared" si="21"/>
        <v>0</v>
      </c>
      <c r="BZ26" s="14">
        <f t="shared" si="22"/>
        <v>0</v>
      </c>
      <c r="CA26" s="14">
        <f t="shared" si="23"/>
        <v>0</v>
      </c>
      <c r="CB26" s="14">
        <f t="shared" si="24"/>
        <v>0</v>
      </c>
      <c r="CC26" s="14">
        <f t="shared" si="25"/>
        <v>0</v>
      </c>
    </row>
    <row r="27" spans="2:81" x14ac:dyDescent="0.15">
      <c r="D27" s="5" t="s">
        <v>261</v>
      </c>
      <c r="E27" s="5" t="s">
        <v>127</v>
      </c>
      <c r="F27" s="5" t="s">
        <v>128</v>
      </c>
      <c r="G27" s="5" t="s">
        <v>129</v>
      </c>
      <c r="H27" s="5" t="s">
        <v>130</v>
      </c>
      <c r="I27" s="5" t="s">
        <v>131</v>
      </c>
      <c r="J27" s="5" t="s">
        <v>288</v>
      </c>
      <c r="M27" s="5" t="s">
        <v>0</v>
      </c>
      <c r="N27" s="5" t="s">
        <v>1</v>
      </c>
      <c r="O27" s="5" t="s">
        <v>2</v>
      </c>
      <c r="P27" s="22" t="s">
        <v>318</v>
      </c>
      <c r="Q27" s="5" t="s">
        <v>340</v>
      </c>
      <c r="X27" s="14">
        <v>23</v>
      </c>
      <c r="Y27" s="30">
        <f t="shared" si="26"/>
        <v>0</v>
      </c>
      <c r="Z27" s="27">
        <f t="shared" si="4"/>
        <v>8.8000000000000009E-2</v>
      </c>
      <c r="AA27" s="14">
        <f>$Y27*$Z27*其他调用!V26</f>
        <v>0</v>
      </c>
      <c r="AB27" s="14">
        <f>$Y27*$Z27*其他调用!W26</f>
        <v>0</v>
      </c>
      <c r="AC27" s="14">
        <f>$Y27*$Z27*其他调用!X26</f>
        <v>0</v>
      </c>
      <c r="AD27" s="14">
        <f>$Y27*$Z27*其他调用!Y26</f>
        <v>0</v>
      </c>
      <c r="AE27" s="14">
        <f>$Y27*$Z27*其他调用!Z26</f>
        <v>0</v>
      </c>
      <c r="AH27" s="14">
        <v>23</v>
      </c>
      <c r="AI27" s="14">
        <f>SUM(AA$5:AA27)</f>
        <v>0</v>
      </c>
      <c r="AJ27" s="14">
        <f>SUM(AB$5:AB27)</f>
        <v>0</v>
      </c>
      <c r="AK27" s="14">
        <f>SUM(AC$5:AC27)</f>
        <v>0</v>
      </c>
      <c r="AL27" s="14">
        <f>SUM(AD$5:AD27)</f>
        <v>0</v>
      </c>
      <c r="AM27" s="14">
        <f>SUM(AE$5:AE27)</f>
        <v>0</v>
      </c>
      <c r="AR27" s="14">
        <v>23</v>
      </c>
      <c r="AS27" s="27">
        <f t="shared" si="5"/>
        <v>0.11200000000000002</v>
      </c>
      <c r="AT27" s="14">
        <f>求节点(E$28:E$32,$N$28:$N$32,$AR27)*$AS27*其他调用!V26/$E$4</f>
        <v>0</v>
      </c>
      <c r="AU27" s="14">
        <f>求节点(F$28:F$32,$N$28:$N$32,$AR27)*$AS27*其他调用!W26/$E$4</f>
        <v>0</v>
      </c>
      <c r="AV27" s="14">
        <f>求节点(G$28:G$32,$N$28:$N$32,$AR27)*$AS27*其他调用!X26/$E$4</f>
        <v>0</v>
      </c>
      <c r="AW27" s="14">
        <f>求节点(H$28:H$32,$N$28:$N$32,$AR27)*$AS27*其他调用!Y26/$E$4</f>
        <v>0</v>
      </c>
      <c r="AX27" s="14">
        <f>求节点(I$28:I$32,$N$28:$N$32,$AR27)*$AS27*其他调用!Z26/$E$4</f>
        <v>0</v>
      </c>
      <c r="BA27" s="14">
        <v>23</v>
      </c>
      <c r="BB27" s="14">
        <f>SUM(AT$5:AT27)</f>
        <v>0</v>
      </c>
      <c r="BC27" s="14">
        <f>SUM(AU$5:AU27)</f>
        <v>0</v>
      </c>
      <c r="BD27" s="14">
        <f>SUM(AV$5:AV27)</f>
        <v>0</v>
      </c>
      <c r="BE27" s="14">
        <f>SUM(AW$5:AW27)</f>
        <v>0</v>
      </c>
      <c r="BF27" s="14">
        <f>SUM(AX$5:AX27)</f>
        <v>0</v>
      </c>
      <c r="BI27" s="14">
        <v>23</v>
      </c>
      <c r="BJ27" s="14">
        <f t="shared" si="6"/>
        <v>0</v>
      </c>
      <c r="BK27" s="14">
        <f t="shared" si="7"/>
        <v>0</v>
      </c>
      <c r="BL27" s="14">
        <f t="shared" si="8"/>
        <v>0</v>
      </c>
      <c r="BM27" s="14">
        <f t="shared" si="9"/>
        <v>0</v>
      </c>
      <c r="BN27" s="14">
        <f t="shared" si="10"/>
        <v>0</v>
      </c>
      <c r="BO27" s="14">
        <f t="shared" si="11"/>
        <v>0</v>
      </c>
      <c r="BP27" s="14">
        <f t="shared" si="12"/>
        <v>0</v>
      </c>
      <c r="BQ27" s="14">
        <f t="shared" si="13"/>
        <v>0</v>
      </c>
      <c r="BR27" s="14">
        <f t="shared" si="14"/>
        <v>0</v>
      </c>
      <c r="BS27" s="14">
        <f t="shared" si="15"/>
        <v>0</v>
      </c>
      <c r="BT27" s="14">
        <f t="shared" si="16"/>
        <v>0</v>
      </c>
      <c r="BU27" s="14">
        <f t="shared" si="17"/>
        <v>0</v>
      </c>
      <c r="BV27" s="14">
        <f t="shared" si="18"/>
        <v>0</v>
      </c>
      <c r="BW27" s="14">
        <f t="shared" si="19"/>
        <v>0</v>
      </c>
      <c r="BX27" s="14">
        <f t="shared" si="20"/>
        <v>0</v>
      </c>
      <c r="BY27" s="14">
        <f t="shared" si="21"/>
        <v>0</v>
      </c>
      <c r="BZ27" s="14">
        <f t="shared" si="22"/>
        <v>0</v>
      </c>
      <c r="CA27" s="14">
        <f t="shared" si="23"/>
        <v>0</v>
      </c>
      <c r="CB27" s="14">
        <f t="shared" si="24"/>
        <v>0</v>
      </c>
      <c r="CC27" s="14">
        <f t="shared" si="25"/>
        <v>0</v>
      </c>
    </row>
    <row r="28" spans="2:81" x14ac:dyDescent="0.15">
      <c r="D28" s="38">
        <v>6</v>
      </c>
      <c r="E28" s="38">
        <f>E29-1</f>
        <v>69</v>
      </c>
      <c r="F28" s="38">
        <f t="shared" ref="F28:I28" si="27">F29-1</f>
        <v>67</v>
      </c>
      <c r="G28" s="38">
        <f t="shared" si="27"/>
        <v>65</v>
      </c>
      <c r="H28" s="38">
        <f t="shared" si="27"/>
        <v>60</v>
      </c>
      <c r="I28" s="38">
        <f t="shared" si="27"/>
        <v>58</v>
      </c>
      <c r="J28" s="38">
        <v>0</v>
      </c>
      <c r="K28" s="38"/>
      <c r="L28" s="38"/>
      <c r="M28" s="38"/>
      <c r="N28" s="38">
        <v>0</v>
      </c>
      <c r="O28" s="38"/>
      <c r="X28" s="14">
        <v>24</v>
      </c>
      <c r="Y28" s="30">
        <f t="shared" si="26"/>
        <v>0</v>
      </c>
      <c r="Z28" s="27">
        <f t="shared" si="4"/>
        <v>8.8000000000000009E-2</v>
      </c>
      <c r="AA28" s="14">
        <f>$Y28*$Z28*其他调用!V27</f>
        <v>0</v>
      </c>
      <c r="AB28" s="14">
        <f>$Y28*$Z28*其他调用!W27</f>
        <v>0</v>
      </c>
      <c r="AC28" s="14">
        <f>$Y28*$Z28*其他调用!X27</f>
        <v>0</v>
      </c>
      <c r="AD28" s="14">
        <f>$Y28*$Z28*其他调用!Y27</f>
        <v>0</v>
      </c>
      <c r="AE28" s="14">
        <f>$Y28*$Z28*其他调用!Z27</f>
        <v>0</v>
      </c>
      <c r="AH28" s="14">
        <v>24</v>
      </c>
      <c r="AI28" s="14">
        <f>SUM(AA$5:AA28)</f>
        <v>0</v>
      </c>
      <c r="AJ28" s="14">
        <f>SUM(AB$5:AB28)</f>
        <v>0</v>
      </c>
      <c r="AK28" s="14">
        <f>SUM(AC$5:AC28)</f>
        <v>0</v>
      </c>
      <c r="AL28" s="14">
        <f>SUM(AD$5:AD28)</f>
        <v>0</v>
      </c>
      <c r="AM28" s="14">
        <f>SUM(AE$5:AE28)</f>
        <v>0</v>
      </c>
      <c r="AR28" s="14">
        <v>24</v>
      </c>
      <c r="AS28" s="27">
        <f t="shared" si="5"/>
        <v>0.11200000000000002</v>
      </c>
      <c r="AT28" s="14">
        <f>求节点(E$28:E$32,$N$28:$N$32,$AR28)*$AS28*其他调用!V27/$E$4</f>
        <v>0</v>
      </c>
      <c r="AU28" s="14">
        <f>求节点(F$28:F$32,$N$28:$N$32,$AR28)*$AS28*其他调用!W27/$E$4</f>
        <v>0</v>
      </c>
      <c r="AV28" s="14">
        <f>求节点(G$28:G$32,$N$28:$N$32,$AR28)*$AS28*其他调用!X27/$E$4</f>
        <v>0</v>
      </c>
      <c r="AW28" s="14">
        <f>求节点(H$28:H$32,$N$28:$N$32,$AR28)*$AS28*其他调用!Y27/$E$4</f>
        <v>0</v>
      </c>
      <c r="AX28" s="14">
        <f>求节点(I$28:I$32,$N$28:$N$32,$AR28)*$AS28*其他调用!Z27/$E$4</f>
        <v>0</v>
      </c>
      <c r="BA28" s="14">
        <v>24</v>
      </c>
      <c r="BB28" s="14">
        <f>SUM(AT$5:AT28)</f>
        <v>0</v>
      </c>
      <c r="BC28" s="14">
        <f>SUM(AU$5:AU28)</f>
        <v>0</v>
      </c>
      <c r="BD28" s="14">
        <f>SUM(AV$5:AV28)</f>
        <v>0</v>
      </c>
      <c r="BE28" s="14">
        <f>SUM(AW$5:AW28)</f>
        <v>0</v>
      </c>
      <c r="BF28" s="14">
        <f>SUM(AX$5:AX28)</f>
        <v>0</v>
      </c>
      <c r="BI28" s="14">
        <v>24</v>
      </c>
      <c r="BJ28" s="14">
        <f t="shared" si="6"/>
        <v>0</v>
      </c>
      <c r="BK28" s="14">
        <f t="shared" si="7"/>
        <v>0</v>
      </c>
      <c r="BL28" s="14">
        <f t="shared" si="8"/>
        <v>0</v>
      </c>
      <c r="BM28" s="14">
        <f t="shared" si="9"/>
        <v>0</v>
      </c>
      <c r="BN28" s="14">
        <f t="shared" si="10"/>
        <v>0</v>
      </c>
      <c r="BO28" s="14">
        <f t="shared" si="11"/>
        <v>0</v>
      </c>
      <c r="BP28" s="14">
        <f t="shared" si="12"/>
        <v>0</v>
      </c>
      <c r="BQ28" s="14">
        <f t="shared" si="13"/>
        <v>0</v>
      </c>
      <c r="BR28" s="14">
        <f t="shared" si="14"/>
        <v>0</v>
      </c>
      <c r="BS28" s="14">
        <f t="shared" si="15"/>
        <v>0</v>
      </c>
      <c r="BT28" s="14">
        <f t="shared" si="16"/>
        <v>0</v>
      </c>
      <c r="BU28" s="14">
        <f t="shared" si="17"/>
        <v>0</v>
      </c>
      <c r="BV28" s="14">
        <f t="shared" si="18"/>
        <v>0</v>
      </c>
      <c r="BW28" s="14">
        <f t="shared" si="19"/>
        <v>0</v>
      </c>
      <c r="BX28" s="14">
        <f t="shared" si="20"/>
        <v>0</v>
      </c>
      <c r="BY28" s="14">
        <f t="shared" si="21"/>
        <v>0</v>
      </c>
      <c r="BZ28" s="14">
        <f t="shared" si="22"/>
        <v>0</v>
      </c>
      <c r="CA28" s="14">
        <f t="shared" si="23"/>
        <v>0</v>
      </c>
      <c r="CB28" s="14">
        <f t="shared" si="24"/>
        <v>0</v>
      </c>
      <c r="CC28" s="14">
        <f t="shared" si="25"/>
        <v>0</v>
      </c>
    </row>
    <row r="29" spans="2:81" x14ac:dyDescent="0.15">
      <c r="D29" s="5">
        <v>7</v>
      </c>
      <c r="E29" s="5">
        <v>70</v>
      </c>
      <c r="F29" s="5">
        <f>INT(求节点(其他调用!AE$4:AE$163,其他调用!$AC$4:$AC$163,INDEX(其他调用!$AD$4:$AD$163,$E29)))</f>
        <v>68</v>
      </c>
      <c r="G29" s="5">
        <f>INT(求节点(其他调用!AF$4:AF$163,其他调用!$AC$4:$AC$163,INDEX(其他调用!$AD$4:$AD$163,$E29)))</f>
        <v>66</v>
      </c>
      <c r="H29" s="5">
        <f>INT(求节点(其他调用!AG$4:AG$163,其他调用!$AC$4:$AC$163,INDEX(其他调用!$AD$4:$AD$163,$E29)))</f>
        <v>61</v>
      </c>
      <c r="I29" s="5">
        <f>INT(求节点(其他调用!AH$4:AH$163,其他调用!$AC$4:$AC$163,INDEX(其他调用!$AD$4:$AD$163,$E29)))</f>
        <v>59</v>
      </c>
      <c r="J29" s="5">
        <v>3</v>
      </c>
      <c r="N29" s="5">
        <v>1</v>
      </c>
      <c r="P29" s="5">
        <v>100000</v>
      </c>
      <c r="Q29" s="5" t="s">
        <v>341</v>
      </c>
      <c r="X29" s="14">
        <v>25</v>
      </c>
      <c r="Y29" s="30">
        <f t="shared" si="26"/>
        <v>0</v>
      </c>
      <c r="Z29" s="27">
        <f t="shared" si="4"/>
        <v>8.8000000000000009E-2</v>
      </c>
      <c r="AA29" s="14">
        <f>$Y29*$Z29*其他调用!V28</f>
        <v>0</v>
      </c>
      <c r="AB29" s="14">
        <f>$Y29*$Z29*其他调用!W28</f>
        <v>0</v>
      </c>
      <c r="AC29" s="14">
        <f>$Y29*$Z29*其他调用!X28</f>
        <v>0</v>
      </c>
      <c r="AD29" s="14">
        <f>$Y29*$Z29*其他调用!Y28</f>
        <v>0</v>
      </c>
      <c r="AE29" s="14">
        <f>$Y29*$Z29*其他调用!Z28</f>
        <v>0</v>
      </c>
      <c r="AH29" s="14">
        <v>25</v>
      </c>
      <c r="AI29" s="14">
        <f>SUM(AA$5:AA29)</f>
        <v>0</v>
      </c>
      <c r="AJ29" s="14">
        <f>SUM(AB$5:AB29)</f>
        <v>0</v>
      </c>
      <c r="AK29" s="14">
        <f>SUM(AC$5:AC29)</f>
        <v>0</v>
      </c>
      <c r="AL29" s="14">
        <f>SUM(AD$5:AD29)</f>
        <v>0</v>
      </c>
      <c r="AM29" s="14">
        <f>SUM(AE$5:AE29)</f>
        <v>0</v>
      </c>
      <c r="AR29" s="14">
        <v>25</v>
      </c>
      <c r="AS29" s="27">
        <f t="shared" si="5"/>
        <v>0.11200000000000002</v>
      </c>
      <c r="AT29" s="14">
        <f>求节点(E$28:E$32,$N$28:$N$32,$AR29)*$AS29*其他调用!V28/$E$4</f>
        <v>0</v>
      </c>
      <c r="AU29" s="14">
        <f>求节点(F$28:F$32,$N$28:$N$32,$AR29)*$AS29*其他调用!W28/$E$4</f>
        <v>0</v>
      </c>
      <c r="AV29" s="14">
        <f>求节点(G$28:G$32,$N$28:$N$32,$AR29)*$AS29*其他调用!X28/$E$4</f>
        <v>0</v>
      </c>
      <c r="AW29" s="14">
        <f>求节点(H$28:H$32,$N$28:$N$32,$AR29)*$AS29*其他调用!Y28/$E$4</f>
        <v>0</v>
      </c>
      <c r="AX29" s="14">
        <f>求节点(I$28:I$32,$N$28:$N$32,$AR29)*$AS29*其他调用!Z28/$E$4</f>
        <v>0</v>
      </c>
      <c r="BA29" s="14">
        <v>25</v>
      </c>
      <c r="BB29" s="14">
        <f>SUM(AT$5:AT29)</f>
        <v>0</v>
      </c>
      <c r="BC29" s="14">
        <f>SUM(AU$5:AU29)</f>
        <v>0</v>
      </c>
      <c r="BD29" s="14">
        <f>SUM(AV$5:AV29)</f>
        <v>0</v>
      </c>
      <c r="BE29" s="14">
        <f>SUM(AW$5:AW29)</f>
        <v>0</v>
      </c>
      <c r="BF29" s="14">
        <f>SUM(AX$5:AX29)</f>
        <v>0</v>
      </c>
      <c r="BI29" s="14">
        <v>25</v>
      </c>
      <c r="BJ29" s="14">
        <f t="shared" si="6"/>
        <v>0</v>
      </c>
      <c r="BK29" s="14">
        <f t="shared" si="7"/>
        <v>0</v>
      </c>
      <c r="BL29" s="14">
        <f t="shared" si="8"/>
        <v>0</v>
      </c>
      <c r="BM29" s="14">
        <f t="shared" si="9"/>
        <v>0</v>
      </c>
      <c r="BN29" s="14">
        <f t="shared" si="10"/>
        <v>0</v>
      </c>
      <c r="BO29" s="14">
        <f t="shared" si="11"/>
        <v>0</v>
      </c>
      <c r="BP29" s="14">
        <f t="shared" si="12"/>
        <v>0</v>
      </c>
      <c r="BQ29" s="14">
        <f t="shared" si="13"/>
        <v>0</v>
      </c>
      <c r="BR29" s="14">
        <f t="shared" si="14"/>
        <v>0</v>
      </c>
      <c r="BS29" s="14">
        <f t="shared" si="15"/>
        <v>0</v>
      </c>
      <c r="BT29" s="14">
        <f t="shared" si="16"/>
        <v>0</v>
      </c>
      <c r="BU29" s="14">
        <f t="shared" si="17"/>
        <v>0</v>
      </c>
      <c r="BV29" s="14">
        <f t="shared" si="18"/>
        <v>0</v>
      </c>
      <c r="BW29" s="14">
        <f t="shared" si="19"/>
        <v>0</v>
      </c>
      <c r="BX29" s="14">
        <f t="shared" si="20"/>
        <v>0</v>
      </c>
      <c r="BY29" s="14">
        <f t="shared" si="21"/>
        <v>0</v>
      </c>
      <c r="BZ29" s="14">
        <f t="shared" si="22"/>
        <v>0</v>
      </c>
      <c r="CA29" s="14">
        <f t="shared" si="23"/>
        <v>0</v>
      </c>
      <c r="CB29" s="14">
        <f t="shared" si="24"/>
        <v>0</v>
      </c>
      <c r="CC29" s="14">
        <f t="shared" si="25"/>
        <v>0</v>
      </c>
    </row>
    <row r="30" spans="2:81" x14ac:dyDescent="0.15">
      <c r="D30" s="5">
        <v>8</v>
      </c>
      <c r="E30" s="5">
        <v>90</v>
      </c>
      <c r="F30" s="5">
        <f>INT(求节点(其他调用!AE$4:AE$163,其他调用!$AC$4:$AC$163,INDEX(其他调用!$AD$4:$AD$163,$E30)))</f>
        <v>87</v>
      </c>
      <c r="G30" s="5">
        <f>INT(求节点(其他调用!AF$4:AF$163,其他调用!$AC$4:$AC$163,INDEX(其他调用!$AD$4:$AD$163,$E30)))</f>
        <v>85</v>
      </c>
      <c r="H30" s="5">
        <f>INT(求节点(其他调用!AG$4:AG$163,其他调用!$AC$4:$AC$163,INDEX(其他调用!$AD$4:$AD$163,$E30)))</f>
        <v>80</v>
      </c>
      <c r="I30" s="5">
        <f>INT(求节点(其他调用!AH$4:AH$163,其他调用!$AC$4:$AC$163,INDEX(其他调用!$AD$4:$AD$163,$E30)))</f>
        <v>79</v>
      </c>
      <c r="J30" s="5">
        <v>6</v>
      </c>
      <c r="N30" s="5">
        <v>1</v>
      </c>
      <c r="P30" s="5">
        <v>150000</v>
      </c>
      <c r="Q30" s="5" t="s">
        <v>341</v>
      </c>
      <c r="X30" s="14">
        <v>26</v>
      </c>
      <c r="Y30" s="30">
        <f t="shared" si="26"/>
        <v>0</v>
      </c>
      <c r="Z30" s="27">
        <f t="shared" si="4"/>
        <v>8.8000000000000009E-2</v>
      </c>
      <c r="AA30" s="14">
        <f>$Y30*$Z30*其他调用!V29</f>
        <v>0</v>
      </c>
      <c r="AB30" s="14">
        <f>$Y30*$Z30*其他调用!W29</f>
        <v>0</v>
      </c>
      <c r="AC30" s="14">
        <f>$Y30*$Z30*其他调用!X29</f>
        <v>0</v>
      </c>
      <c r="AD30" s="14">
        <f>$Y30*$Z30*其他调用!Y29</f>
        <v>0</v>
      </c>
      <c r="AE30" s="14">
        <f>$Y30*$Z30*其他调用!Z29</f>
        <v>0</v>
      </c>
      <c r="AH30" s="14">
        <v>26</v>
      </c>
      <c r="AI30" s="14">
        <f>SUM(AA$5:AA30)</f>
        <v>0</v>
      </c>
      <c r="AJ30" s="14">
        <f>SUM(AB$5:AB30)</f>
        <v>0</v>
      </c>
      <c r="AK30" s="14">
        <f>SUM(AC$5:AC30)</f>
        <v>0</v>
      </c>
      <c r="AL30" s="14">
        <f>SUM(AD$5:AD30)</f>
        <v>0</v>
      </c>
      <c r="AM30" s="14">
        <f>SUM(AE$5:AE30)</f>
        <v>0</v>
      </c>
      <c r="AR30" s="14">
        <v>26</v>
      </c>
      <c r="AS30" s="27">
        <f t="shared" si="5"/>
        <v>0.11200000000000002</v>
      </c>
      <c r="AT30" s="14">
        <f>求节点(E$28:E$32,$N$28:$N$32,$AR30)*$AS30*其他调用!V29/$E$4</f>
        <v>0</v>
      </c>
      <c r="AU30" s="14">
        <f>求节点(F$28:F$32,$N$28:$N$32,$AR30)*$AS30*其他调用!W29/$E$4</f>
        <v>0</v>
      </c>
      <c r="AV30" s="14">
        <f>求节点(G$28:G$32,$N$28:$N$32,$AR30)*$AS30*其他调用!X29/$E$4</f>
        <v>0</v>
      </c>
      <c r="AW30" s="14">
        <f>求节点(H$28:H$32,$N$28:$N$32,$AR30)*$AS30*其他调用!Y29/$E$4</f>
        <v>0</v>
      </c>
      <c r="AX30" s="14">
        <f>求节点(I$28:I$32,$N$28:$N$32,$AR30)*$AS30*其他调用!Z29/$E$4</f>
        <v>0</v>
      </c>
      <c r="BA30" s="14">
        <v>26</v>
      </c>
      <c r="BB30" s="14">
        <f>SUM(AT$5:AT30)</f>
        <v>0</v>
      </c>
      <c r="BC30" s="14">
        <f>SUM(AU$5:AU30)</f>
        <v>0</v>
      </c>
      <c r="BD30" s="14">
        <f>SUM(AV$5:AV30)</f>
        <v>0</v>
      </c>
      <c r="BE30" s="14">
        <f>SUM(AW$5:AW30)</f>
        <v>0</v>
      </c>
      <c r="BF30" s="14">
        <f>SUM(AX$5:AX30)</f>
        <v>0</v>
      </c>
      <c r="BI30" s="14">
        <v>26</v>
      </c>
      <c r="BJ30" s="14">
        <f t="shared" si="6"/>
        <v>0</v>
      </c>
      <c r="BK30" s="14">
        <f t="shared" si="7"/>
        <v>0</v>
      </c>
      <c r="BL30" s="14">
        <f t="shared" si="8"/>
        <v>0</v>
      </c>
      <c r="BM30" s="14">
        <f t="shared" si="9"/>
        <v>0</v>
      </c>
      <c r="BN30" s="14">
        <f t="shared" si="10"/>
        <v>0</v>
      </c>
      <c r="BO30" s="14">
        <f t="shared" si="11"/>
        <v>0</v>
      </c>
      <c r="BP30" s="14">
        <f t="shared" si="12"/>
        <v>0</v>
      </c>
      <c r="BQ30" s="14">
        <f t="shared" si="13"/>
        <v>0</v>
      </c>
      <c r="BR30" s="14">
        <f t="shared" si="14"/>
        <v>0</v>
      </c>
      <c r="BS30" s="14">
        <f t="shared" si="15"/>
        <v>0</v>
      </c>
      <c r="BT30" s="14">
        <f t="shared" si="16"/>
        <v>0</v>
      </c>
      <c r="BU30" s="14">
        <f t="shared" si="17"/>
        <v>0</v>
      </c>
      <c r="BV30" s="14">
        <f t="shared" si="18"/>
        <v>0</v>
      </c>
      <c r="BW30" s="14">
        <f t="shared" si="19"/>
        <v>0</v>
      </c>
      <c r="BX30" s="14">
        <f t="shared" si="20"/>
        <v>0</v>
      </c>
      <c r="BY30" s="14">
        <f t="shared" si="21"/>
        <v>0</v>
      </c>
      <c r="BZ30" s="14">
        <f t="shared" si="22"/>
        <v>0</v>
      </c>
      <c r="CA30" s="14">
        <f t="shared" si="23"/>
        <v>0</v>
      </c>
      <c r="CB30" s="14">
        <f t="shared" si="24"/>
        <v>0</v>
      </c>
      <c r="CC30" s="14">
        <f t="shared" si="25"/>
        <v>0</v>
      </c>
    </row>
    <row r="31" spans="2:81" x14ac:dyDescent="0.15">
      <c r="D31" s="5">
        <v>9</v>
      </c>
      <c r="E31" s="5">
        <v>110</v>
      </c>
      <c r="F31" s="5">
        <f>INT(求节点(其他调用!AE$4:AE$163,其他调用!$AC$4:$AC$163,INDEX(其他调用!$AD$4:$AD$163,$E31)))</f>
        <v>107</v>
      </c>
      <c r="G31" s="5">
        <f>INT(求节点(其他调用!AF$4:AF$163,其他调用!$AC$4:$AC$163,INDEX(其他调用!$AD$4:$AD$163,$E31)))</f>
        <v>104</v>
      </c>
      <c r="H31" s="5">
        <f>INT(求节点(其他调用!AG$4:AG$163,其他调用!$AC$4:$AC$163,INDEX(其他调用!$AD$4:$AD$163,$E31)))</f>
        <v>102</v>
      </c>
      <c r="I31" s="5">
        <f>INT(求节点(其他调用!AH$4:AH$163,其他调用!$AC$4:$AC$163,INDEX(其他调用!$AD$4:$AD$163,$E31)))</f>
        <v>101</v>
      </c>
      <c r="J31" s="5">
        <v>9</v>
      </c>
      <c r="N31" s="5">
        <v>1</v>
      </c>
      <c r="P31" s="5">
        <v>200000</v>
      </c>
      <c r="Q31" s="5" t="s">
        <v>342</v>
      </c>
      <c r="X31" s="14">
        <v>27</v>
      </c>
      <c r="Y31" s="30">
        <f t="shared" si="26"/>
        <v>0</v>
      </c>
      <c r="Z31" s="27">
        <f t="shared" si="4"/>
        <v>8.8000000000000009E-2</v>
      </c>
      <c r="AA31" s="14">
        <f>$Y31*$Z31*其他调用!V30</f>
        <v>0</v>
      </c>
      <c r="AB31" s="14">
        <f>$Y31*$Z31*其他调用!W30</f>
        <v>0</v>
      </c>
      <c r="AC31" s="14">
        <f>$Y31*$Z31*其他调用!X30</f>
        <v>0</v>
      </c>
      <c r="AD31" s="14">
        <f>$Y31*$Z31*其他调用!Y30</f>
        <v>0</v>
      </c>
      <c r="AE31" s="14">
        <f>$Y31*$Z31*其他调用!Z30</f>
        <v>0</v>
      </c>
      <c r="AH31" s="14">
        <v>27</v>
      </c>
      <c r="AI31" s="14">
        <f>SUM(AA$5:AA31)</f>
        <v>0</v>
      </c>
      <c r="AJ31" s="14">
        <f>SUM(AB$5:AB31)</f>
        <v>0</v>
      </c>
      <c r="AK31" s="14">
        <f>SUM(AC$5:AC31)</f>
        <v>0</v>
      </c>
      <c r="AL31" s="14">
        <f>SUM(AD$5:AD31)</f>
        <v>0</v>
      </c>
      <c r="AM31" s="14">
        <f>SUM(AE$5:AE31)</f>
        <v>0</v>
      </c>
      <c r="AR31" s="14">
        <v>27</v>
      </c>
      <c r="AS31" s="27">
        <f t="shared" si="5"/>
        <v>0.11200000000000002</v>
      </c>
      <c r="AT31" s="14">
        <f>求节点(E$28:E$32,$N$28:$N$32,$AR31)*$AS31*其他调用!V30/$E$4</f>
        <v>0</v>
      </c>
      <c r="AU31" s="14">
        <f>求节点(F$28:F$32,$N$28:$N$32,$AR31)*$AS31*其他调用!W30/$E$4</f>
        <v>0</v>
      </c>
      <c r="AV31" s="14">
        <f>求节点(G$28:G$32,$N$28:$N$32,$AR31)*$AS31*其他调用!X30/$E$4</f>
        <v>0</v>
      </c>
      <c r="AW31" s="14">
        <f>求节点(H$28:H$32,$N$28:$N$32,$AR31)*$AS31*其他调用!Y30/$E$4</f>
        <v>0</v>
      </c>
      <c r="AX31" s="14">
        <f>求节点(I$28:I$32,$N$28:$N$32,$AR31)*$AS31*其他调用!Z30/$E$4</f>
        <v>0</v>
      </c>
      <c r="BA31" s="14">
        <v>27</v>
      </c>
      <c r="BB31" s="14">
        <f>SUM(AT$5:AT31)</f>
        <v>0</v>
      </c>
      <c r="BC31" s="14">
        <f>SUM(AU$5:AU31)</f>
        <v>0</v>
      </c>
      <c r="BD31" s="14">
        <f>SUM(AV$5:AV31)</f>
        <v>0</v>
      </c>
      <c r="BE31" s="14">
        <f>SUM(AW$5:AW31)</f>
        <v>0</v>
      </c>
      <c r="BF31" s="14">
        <f>SUM(AX$5:AX31)</f>
        <v>0</v>
      </c>
      <c r="BI31" s="14">
        <v>27</v>
      </c>
      <c r="BJ31" s="14">
        <f t="shared" si="6"/>
        <v>0</v>
      </c>
      <c r="BK31" s="14">
        <f t="shared" si="7"/>
        <v>0</v>
      </c>
      <c r="BL31" s="14">
        <f t="shared" si="8"/>
        <v>0</v>
      </c>
      <c r="BM31" s="14">
        <f t="shared" si="9"/>
        <v>0</v>
      </c>
      <c r="BN31" s="14">
        <f t="shared" si="10"/>
        <v>0</v>
      </c>
      <c r="BO31" s="14">
        <f t="shared" si="11"/>
        <v>0</v>
      </c>
      <c r="BP31" s="14">
        <f t="shared" si="12"/>
        <v>0</v>
      </c>
      <c r="BQ31" s="14">
        <f t="shared" si="13"/>
        <v>0</v>
      </c>
      <c r="BR31" s="14">
        <f t="shared" si="14"/>
        <v>0</v>
      </c>
      <c r="BS31" s="14">
        <f t="shared" si="15"/>
        <v>0</v>
      </c>
      <c r="BT31" s="14">
        <f t="shared" si="16"/>
        <v>0</v>
      </c>
      <c r="BU31" s="14">
        <f t="shared" si="17"/>
        <v>0</v>
      </c>
      <c r="BV31" s="14">
        <f t="shared" si="18"/>
        <v>0</v>
      </c>
      <c r="BW31" s="14">
        <f t="shared" si="19"/>
        <v>0</v>
      </c>
      <c r="BX31" s="14">
        <f t="shared" si="20"/>
        <v>0</v>
      </c>
      <c r="BY31" s="14">
        <f t="shared" si="21"/>
        <v>0</v>
      </c>
      <c r="BZ31" s="14">
        <f t="shared" si="22"/>
        <v>0</v>
      </c>
      <c r="CA31" s="14">
        <f t="shared" si="23"/>
        <v>0</v>
      </c>
      <c r="CB31" s="14">
        <f t="shared" si="24"/>
        <v>0</v>
      </c>
      <c r="CC31" s="14">
        <f t="shared" si="25"/>
        <v>0</v>
      </c>
    </row>
    <row r="32" spans="2:81" x14ac:dyDescent="0.15">
      <c r="D32" s="5">
        <v>10</v>
      </c>
      <c r="E32" s="5">
        <v>130</v>
      </c>
      <c r="F32" s="5">
        <f>INT(求节点(其他调用!AE$4:AE$163,其他调用!$AC$4:$AC$163,INDEX(其他调用!$AD$4:$AD$163,$E32)))</f>
        <v>129</v>
      </c>
      <c r="G32" s="5">
        <f>INT(求节点(其他调用!AF$4:AF$163,其他调用!$AC$4:$AC$163,INDEX(其他调用!$AD$4:$AD$163,$E32)))</f>
        <v>127</v>
      </c>
      <c r="H32" s="5">
        <f>INT(求节点(其他调用!AG$4:AG$163,其他调用!$AC$4:$AC$163,INDEX(其他调用!$AD$4:$AD$163,$E32)))</f>
        <v>127</v>
      </c>
      <c r="I32" s="5">
        <f>INT(求节点(其他调用!AH$4:AH$163,其他调用!$AC$4:$AC$163,INDEX(其他调用!$AD$4:$AD$163,$E32)))</f>
        <v>126</v>
      </c>
      <c r="J32" s="5">
        <v>12</v>
      </c>
      <c r="N32" s="5">
        <v>1</v>
      </c>
      <c r="P32" s="5">
        <v>250000</v>
      </c>
      <c r="Q32" s="5" t="s">
        <v>342</v>
      </c>
      <c r="X32" s="14">
        <v>28</v>
      </c>
      <c r="Y32" s="30">
        <f t="shared" si="26"/>
        <v>0</v>
      </c>
      <c r="Z32" s="27">
        <f t="shared" si="4"/>
        <v>8.8000000000000009E-2</v>
      </c>
      <c r="AA32" s="14">
        <f>$Y32*$Z32*其他调用!V31</f>
        <v>0</v>
      </c>
      <c r="AB32" s="14">
        <f>$Y32*$Z32*其他调用!W31</f>
        <v>0</v>
      </c>
      <c r="AC32" s="14">
        <f>$Y32*$Z32*其他调用!X31</f>
        <v>0</v>
      </c>
      <c r="AD32" s="14">
        <f>$Y32*$Z32*其他调用!Y31</f>
        <v>0</v>
      </c>
      <c r="AE32" s="14">
        <f>$Y32*$Z32*其他调用!Z31</f>
        <v>0</v>
      </c>
      <c r="AH32" s="14">
        <v>28</v>
      </c>
      <c r="AI32" s="14">
        <f>SUM(AA$5:AA32)</f>
        <v>0</v>
      </c>
      <c r="AJ32" s="14">
        <f>SUM(AB$5:AB32)</f>
        <v>0</v>
      </c>
      <c r="AK32" s="14">
        <f>SUM(AC$5:AC32)</f>
        <v>0</v>
      </c>
      <c r="AL32" s="14">
        <f>SUM(AD$5:AD32)</f>
        <v>0</v>
      </c>
      <c r="AM32" s="14">
        <f>SUM(AE$5:AE32)</f>
        <v>0</v>
      </c>
      <c r="AR32" s="14">
        <v>28</v>
      </c>
      <c r="AS32" s="27">
        <f t="shared" si="5"/>
        <v>0.11200000000000002</v>
      </c>
      <c r="AT32" s="14">
        <f>求节点(E$28:E$32,$N$28:$N$32,$AR32)*$AS32*其他调用!V31/$E$4</f>
        <v>0</v>
      </c>
      <c r="AU32" s="14">
        <f>求节点(F$28:F$32,$N$28:$N$32,$AR32)*$AS32*其他调用!W31/$E$4</f>
        <v>0</v>
      </c>
      <c r="AV32" s="14">
        <f>求节点(G$28:G$32,$N$28:$N$32,$AR32)*$AS32*其他调用!X31/$E$4</f>
        <v>0</v>
      </c>
      <c r="AW32" s="14">
        <f>求节点(H$28:H$32,$N$28:$N$32,$AR32)*$AS32*其他调用!Y31/$E$4</f>
        <v>0</v>
      </c>
      <c r="AX32" s="14">
        <f>求节点(I$28:I$32,$N$28:$N$32,$AR32)*$AS32*其他调用!Z31/$E$4</f>
        <v>0</v>
      </c>
      <c r="BA32" s="14">
        <v>28</v>
      </c>
      <c r="BB32" s="14">
        <f>SUM(AT$5:AT32)</f>
        <v>0</v>
      </c>
      <c r="BC32" s="14">
        <f>SUM(AU$5:AU32)</f>
        <v>0</v>
      </c>
      <c r="BD32" s="14">
        <f>SUM(AV$5:AV32)</f>
        <v>0</v>
      </c>
      <c r="BE32" s="14">
        <f>SUM(AW$5:AW32)</f>
        <v>0</v>
      </c>
      <c r="BF32" s="14">
        <f>SUM(AX$5:AX32)</f>
        <v>0</v>
      </c>
      <c r="BI32" s="14">
        <v>28</v>
      </c>
      <c r="BJ32" s="14">
        <f t="shared" si="6"/>
        <v>0</v>
      </c>
      <c r="BK32" s="14">
        <f t="shared" si="7"/>
        <v>0</v>
      </c>
      <c r="BL32" s="14">
        <f t="shared" si="8"/>
        <v>0</v>
      </c>
      <c r="BM32" s="14">
        <f t="shared" si="9"/>
        <v>0</v>
      </c>
      <c r="BN32" s="14">
        <f t="shared" si="10"/>
        <v>0</v>
      </c>
      <c r="BO32" s="14">
        <f t="shared" si="11"/>
        <v>0</v>
      </c>
      <c r="BP32" s="14">
        <f t="shared" si="12"/>
        <v>0</v>
      </c>
      <c r="BQ32" s="14">
        <f t="shared" si="13"/>
        <v>0</v>
      </c>
      <c r="BR32" s="14">
        <f t="shared" si="14"/>
        <v>0</v>
      </c>
      <c r="BS32" s="14">
        <f t="shared" si="15"/>
        <v>0</v>
      </c>
      <c r="BT32" s="14">
        <f t="shared" si="16"/>
        <v>0</v>
      </c>
      <c r="BU32" s="14">
        <f t="shared" si="17"/>
        <v>0</v>
      </c>
      <c r="BV32" s="14">
        <f t="shared" si="18"/>
        <v>0</v>
      </c>
      <c r="BW32" s="14">
        <f t="shared" si="19"/>
        <v>0</v>
      </c>
      <c r="BX32" s="14">
        <f t="shared" si="20"/>
        <v>0</v>
      </c>
      <c r="BY32" s="14">
        <f t="shared" si="21"/>
        <v>0</v>
      </c>
      <c r="BZ32" s="14">
        <f t="shared" si="22"/>
        <v>0</v>
      </c>
      <c r="CA32" s="14">
        <f t="shared" si="23"/>
        <v>0</v>
      </c>
      <c r="CB32" s="14">
        <f t="shared" si="24"/>
        <v>0</v>
      </c>
      <c r="CC32" s="14">
        <f t="shared" si="25"/>
        <v>0</v>
      </c>
    </row>
    <row r="33" spans="4:81" x14ac:dyDescent="0.15">
      <c r="X33" s="14">
        <v>29</v>
      </c>
      <c r="Y33" s="30">
        <f t="shared" si="26"/>
        <v>0</v>
      </c>
      <c r="Z33" s="27">
        <f t="shared" si="4"/>
        <v>8.8000000000000009E-2</v>
      </c>
      <c r="AA33" s="14">
        <f>$Y33*$Z33*其他调用!V32</f>
        <v>0</v>
      </c>
      <c r="AB33" s="14">
        <f>$Y33*$Z33*其他调用!W32</f>
        <v>0</v>
      </c>
      <c r="AC33" s="14">
        <f>$Y33*$Z33*其他调用!X32</f>
        <v>0</v>
      </c>
      <c r="AD33" s="14">
        <f>$Y33*$Z33*其他调用!Y32</f>
        <v>0</v>
      </c>
      <c r="AE33" s="14">
        <f>$Y33*$Z33*其他调用!Z32</f>
        <v>0</v>
      </c>
      <c r="AH33" s="14">
        <v>29</v>
      </c>
      <c r="AI33" s="14">
        <f>SUM(AA$5:AA33)</f>
        <v>0</v>
      </c>
      <c r="AJ33" s="14">
        <f>SUM(AB$5:AB33)</f>
        <v>0</v>
      </c>
      <c r="AK33" s="14">
        <f>SUM(AC$5:AC33)</f>
        <v>0</v>
      </c>
      <c r="AL33" s="14">
        <f>SUM(AD$5:AD33)</f>
        <v>0</v>
      </c>
      <c r="AM33" s="14">
        <f>SUM(AE$5:AE33)</f>
        <v>0</v>
      </c>
      <c r="AR33" s="14">
        <v>29</v>
      </c>
      <c r="AS33" s="27">
        <f t="shared" si="5"/>
        <v>0.11200000000000002</v>
      </c>
      <c r="AT33" s="14">
        <f>求节点(E$28:E$32,$N$28:$N$32,$AR33)*$AS33*其他调用!V32/$E$4</f>
        <v>0</v>
      </c>
      <c r="AU33" s="14">
        <f>求节点(F$28:F$32,$N$28:$N$32,$AR33)*$AS33*其他调用!W32/$E$4</f>
        <v>0</v>
      </c>
      <c r="AV33" s="14">
        <f>求节点(G$28:G$32,$N$28:$N$32,$AR33)*$AS33*其他调用!X32/$E$4</f>
        <v>0</v>
      </c>
      <c r="AW33" s="14">
        <f>求节点(H$28:H$32,$N$28:$N$32,$AR33)*$AS33*其他调用!Y32/$E$4</f>
        <v>0</v>
      </c>
      <c r="AX33" s="14">
        <f>求节点(I$28:I$32,$N$28:$N$32,$AR33)*$AS33*其他调用!Z32/$E$4</f>
        <v>0</v>
      </c>
      <c r="BA33" s="14">
        <v>29</v>
      </c>
      <c r="BB33" s="14">
        <f>SUM(AT$5:AT33)</f>
        <v>0</v>
      </c>
      <c r="BC33" s="14">
        <f>SUM(AU$5:AU33)</f>
        <v>0</v>
      </c>
      <c r="BD33" s="14">
        <f>SUM(AV$5:AV33)</f>
        <v>0</v>
      </c>
      <c r="BE33" s="14">
        <f>SUM(AW$5:AW33)</f>
        <v>0</v>
      </c>
      <c r="BF33" s="14">
        <f>SUM(AX$5:AX33)</f>
        <v>0</v>
      </c>
      <c r="BI33" s="14">
        <v>29</v>
      </c>
      <c r="BJ33" s="14">
        <f t="shared" si="6"/>
        <v>0</v>
      </c>
      <c r="BK33" s="14">
        <f t="shared" si="7"/>
        <v>0</v>
      </c>
      <c r="BL33" s="14">
        <f t="shared" si="8"/>
        <v>0</v>
      </c>
      <c r="BM33" s="14">
        <f t="shared" si="9"/>
        <v>0</v>
      </c>
      <c r="BN33" s="14">
        <f t="shared" si="10"/>
        <v>0</v>
      </c>
      <c r="BO33" s="14">
        <f t="shared" si="11"/>
        <v>0</v>
      </c>
      <c r="BP33" s="14">
        <f t="shared" si="12"/>
        <v>0</v>
      </c>
      <c r="BQ33" s="14">
        <f t="shared" si="13"/>
        <v>0</v>
      </c>
      <c r="BR33" s="14">
        <f t="shared" si="14"/>
        <v>0</v>
      </c>
      <c r="BS33" s="14">
        <f t="shared" si="15"/>
        <v>0</v>
      </c>
      <c r="BT33" s="14">
        <f t="shared" si="16"/>
        <v>0</v>
      </c>
      <c r="BU33" s="14">
        <f t="shared" si="17"/>
        <v>0</v>
      </c>
      <c r="BV33" s="14">
        <f t="shared" si="18"/>
        <v>0</v>
      </c>
      <c r="BW33" s="14">
        <f t="shared" si="19"/>
        <v>0</v>
      </c>
      <c r="BX33" s="14">
        <f t="shared" si="20"/>
        <v>0</v>
      </c>
      <c r="BY33" s="14">
        <f t="shared" si="21"/>
        <v>0</v>
      </c>
      <c r="BZ33" s="14">
        <f t="shared" si="22"/>
        <v>0</v>
      </c>
      <c r="CA33" s="14">
        <f t="shared" si="23"/>
        <v>0</v>
      </c>
      <c r="CB33" s="14">
        <f t="shared" si="24"/>
        <v>0</v>
      </c>
      <c r="CC33" s="14">
        <f t="shared" si="25"/>
        <v>0</v>
      </c>
    </row>
    <row r="34" spans="4:81" x14ac:dyDescent="0.15">
      <c r="X34" s="14">
        <v>30</v>
      </c>
      <c r="Y34" s="30">
        <f t="shared" si="26"/>
        <v>0</v>
      </c>
      <c r="Z34" s="27">
        <f t="shared" si="4"/>
        <v>8.8000000000000009E-2</v>
      </c>
      <c r="AA34" s="14">
        <f>$Y34*$Z34*其他调用!V33</f>
        <v>0</v>
      </c>
      <c r="AB34" s="14">
        <f>$Y34*$Z34*其他调用!W33</f>
        <v>0</v>
      </c>
      <c r="AC34" s="14">
        <f>$Y34*$Z34*其他调用!X33</f>
        <v>0</v>
      </c>
      <c r="AD34" s="14">
        <f>$Y34*$Z34*其他调用!Y33</f>
        <v>0</v>
      </c>
      <c r="AE34" s="14">
        <f>$Y34*$Z34*其他调用!Z33</f>
        <v>0</v>
      </c>
      <c r="AH34" s="14">
        <v>30</v>
      </c>
      <c r="AI34" s="14">
        <f>SUM(AA$5:AA34)</f>
        <v>0</v>
      </c>
      <c r="AJ34" s="14">
        <f>SUM(AB$5:AB34)</f>
        <v>0</v>
      </c>
      <c r="AK34" s="14">
        <f>SUM(AC$5:AC34)</f>
        <v>0</v>
      </c>
      <c r="AL34" s="14">
        <f>SUM(AD$5:AD34)</f>
        <v>0</v>
      </c>
      <c r="AM34" s="14">
        <f>SUM(AE$5:AE34)</f>
        <v>0</v>
      </c>
      <c r="AR34" s="14">
        <v>30</v>
      </c>
      <c r="AS34" s="27">
        <f t="shared" si="5"/>
        <v>0.11200000000000002</v>
      </c>
      <c r="AT34" s="14">
        <f>求节点(E$28:E$32,$N$28:$N$32,$AR34)*$AS34*其他调用!V33/$E$4</f>
        <v>0</v>
      </c>
      <c r="AU34" s="14">
        <f>求节点(F$28:F$32,$N$28:$N$32,$AR34)*$AS34*其他调用!W33/$E$4</f>
        <v>0</v>
      </c>
      <c r="AV34" s="14">
        <f>求节点(G$28:G$32,$N$28:$N$32,$AR34)*$AS34*其他调用!X33/$E$4</f>
        <v>0</v>
      </c>
      <c r="AW34" s="14">
        <f>求节点(H$28:H$32,$N$28:$N$32,$AR34)*$AS34*其他调用!Y33/$E$4</f>
        <v>0</v>
      </c>
      <c r="AX34" s="14">
        <f>求节点(I$28:I$32,$N$28:$N$32,$AR34)*$AS34*其他调用!Z33/$E$4</f>
        <v>0</v>
      </c>
      <c r="BA34" s="14">
        <v>30</v>
      </c>
      <c r="BB34" s="14">
        <f>SUM(AT$5:AT34)</f>
        <v>0</v>
      </c>
      <c r="BC34" s="14">
        <f>SUM(AU$5:AU34)</f>
        <v>0</v>
      </c>
      <c r="BD34" s="14">
        <f>SUM(AV$5:AV34)</f>
        <v>0</v>
      </c>
      <c r="BE34" s="14">
        <f>SUM(AW$5:AW34)</f>
        <v>0</v>
      </c>
      <c r="BF34" s="14">
        <f>SUM(AX$5:AX34)</f>
        <v>0</v>
      </c>
      <c r="BI34" s="14">
        <v>30</v>
      </c>
      <c r="BJ34" s="14">
        <f t="shared" si="6"/>
        <v>0</v>
      </c>
      <c r="BK34" s="14">
        <f t="shared" si="7"/>
        <v>0</v>
      </c>
      <c r="BL34" s="14">
        <f t="shared" si="8"/>
        <v>0</v>
      </c>
      <c r="BM34" s="14">
        <f t="shared" si="9"/>
        <v>0</v>
      </c>
      <c r="BN34" s="14">
        <f t="shared" si="10"/>
        <v>0</v>
      </c>
      <c r="BO34" s="14">
        <f t="shared" si="11"/>
        <v>0</v>
      </c>
      <c r="BP34" s="14">
        <f t="shared" si="12"/>
        <v>0</v>
      </c>
      <c r="BQ34" s="14">
        <f t="shared" si="13"/>
        <v>0</v>
      </c>
      <c r="BR34" s="14">
        <f t="shared" si="14"/>
        <v>0</v>
      </c>
      <c r="BS34" s="14">
        <f t="shared" si="15"/>
        <v>0</v>
      </c>
      <c r="BT34" s="14">
        <f t="shared" si="16"/>
        <v>0</v>
      </c>
      <c r="BU34" s="14">
        <f t="shared" si="17"/>
        <v>0</v>
      </c>
      <c r="BV34" s="14">
        <f t="shared" si="18"/>
        <v>0</v>
      </c>
      <c r="BW34" s="14">
        <f t="shared" si="19"/>
        <v>0</v>
      </c>
      <c r="BX34" s="14">
        <f t="shared" si="20"/>
        <v>0</v>
      </c>
      <c r="BY34" s="14">
        <f t="shared" si="21"/>
        <v>0</v>
      </c>
      <c r="BZ34" s="14">
        <f t="shared" si="22"/>
        <v>0</v>
      </c>
      <c r="CA34" s="14">
        <f t="shared" si="23"/>
        <v>0</v>
      </c>
      <c r="CB34" s="14">
        <f t="shared" si="24"/>
        <v>0</v>
      </c>
      <c r="CC34" s="14">
        <f t="shared" si="25"/>
        <v>0</v>
      </c>
    </row>
    <row r="35" spans="4:81" x14ac:dyDescent="0.15">
      <c r="X35" s="14">
        <v>31</v>
      </c>
      <c r="Y35" s="30">
        <f t="shared" si="26"/>
        <v>0</v>
      </c>
      <c r="Z35" s="27">
        <f t="shared" si="4"/>
        <v>8.8000000000000009E-2</v>
      </c>
      <c r="AA35" s="14">
        <f>$Y35*$Z35*其他调用!V34</f>
        <v>0</v>
      </c>
      <c r="AB35" s="14">
        <f>$Y35*$Z35*其他调用!W34</f>
        <v>0</v>
      </c>
      <c r="AC35" s="14">
        <f>$Y35*$Z35*其他调用!X34</f>
        <v>0</v>
      </c>
      <c r="AD35" s="14">
        <f>$Y35*$Z35*其他调用!Y34</f>
        <v>0</v>
      </c>
      <c r="AE35" s="14">
        <f>$Y35*$Z35*其他调用!Z34</f>
        <v>0</v>
      </c>
      <c r="AH35" s="14">
        <v>31</v>
      </c>
      <c r="AI35" s="14">
        <f>SUM(AA$5:AA35)</f>
        <v>0</v>
      </c>
      <c r="AJ35" s="14">
        <f>SUM(AB$5:AB35)</f>
        <v>0</v>
      </c>
      <c r="AK35" s="14">
        <f>SUM(AC$5:AC35)</f>
        <v>0</v>
      </c>
      <c r="AL35" s="14">
        <f>SUM(AD$5:AD35)</f>
        <v>0</v>
      </c>
      <c r="AM35" s="14">
        <f>SUM(AE$5:AE35)</f>
        <v>0</v>
      </c>
      <c r="AR35" s="14">
        <v>31</v>
      </c>
      <c r="AS35" s="27">
        <f t="shared" si="5"/>
        <v>0.11200000000000002</v>
      </c>
      <c r="AT35" s="14">
        <f>求节点(E$28:E$32,$N$28:$N$32,$AR35)*$AS35*其他调用!V34/$E$4</f>
        <v>0</v>
      </c>
      <c r="AU35" s="14">
        <f>求节点(F$28:F$32,$N$28:$N$32,$AR35)*$AS35*其他调用!W34/$E$4</f>
        <v>0</v>
      </c>
      <c r="AV35" s="14">
        <f>求节点(G$28:G$32,$N$28:$N$32,$AR35)*$AS35*其他调用!X34/$E$4</f>
        <v>0</v>
      </c>
      <c r="AW35" s="14">
        <f>求节点(H$28:H$32,$N$28:$N$32,$AR35)*$AS35*其他调用!Y34/$E$4</f>
        <v>0</v>
      </c>
      <c r="AX35" s="14">
        <f>求节点(I$28:I$32,$N$28:$N$32,$AR35)*$AS35*其他调用!Z34/$E$4</f>
        <v>0</v>
      </c>
      <c r="BA35" s="14">
        <v>31</v>
      </c>
      <c r="BB35" s="14">
        <f>SUM(AT$5:AT35)</f>
        <v>0</v>
      </c>
      <c r="BC35" s="14">
        <f>SUM(AU$5:AU35)</f>
        <v>0</v>
      </c>
      <c r="BD35" s="14">
        <f>SUM(AV$5:AV35)</f>
        <v>0</v>
      </c>
      <c r="BE35" s="14">
        <f>SUM(AW$5:AW35)</f>
        <v>0</v>
      </c>
      <c r="BF35" s="14">
        <f>SUM(AX$5:AX35)</f>
        <v>0</v>
      </c>
      <c r="BI35" s="14">
        <v>31</v>
      </c>
      <c r="BJ35" s="14">
        <f t="shared" si="6"/>
        <v>0</v>
      </c>
      <c r="BK35" s="14">
        <f t="shared" si="7"/>
        <v>0</v>
      </c>
      <c r="BL35" s="14">
        <f t="shared" si="8"/>
        <v>0</v>
      </c>
      <c r="BM35" s="14">
        <f t="shared" si="9"/>
        <v>0</v>
      </c>
      <c r="BN35" s="14">
        <f t="shared" si="10"/>
        <v>0</v>
      </c>
      <c r="BO35" s="14">
        <f t="shared" si="11"/>
        <v>0</v>
      </c>
      <c r="BP35" s="14">
        <f t="shared" si="12"/>
        <v>0</v>
      </c>
      <c r="BQ35" s="14">
        <f t="shared" si="13"/>
        <v>0</v>
      </c>
      <c r="BR35" s="14">
        <f t="shared" si="14"/>
        <v>0</v>
      </c>
      <c r="BS35" s="14">
        <f t="shared" si="15"/>
        <v>0</v>
      </c>
      <c r="BT35" s="14">
        <f t="shared" si="16"/>
        <v>0</v>
      </c>
      <c r="BU35" s="14">
        <f t="shared" si="17"/>
        <v>0</v>
      </c>
      <c r="BV35" s="14">
        <f t="shared" si="18"/>
        <v>0</v>
      </c>
      <c r="BW35" s="14">
        <f t="shared" si="19"/>
        <v>0</v>
      </c>
      <c r="BX35" s="14">
        <f t="shared" si="20"/>
        <v>0</v>
      </c>
      <c r="BY35" s="14">
        <f t="shared" si="21"/>
        <v>0</v>
      </c>
      <c r="BZ35" s="14">
        <f t="shared" si="22"/>
        <v>0</v>
      </c>
      <c r="CA35" s="14">
        <f t="shared" si="23"/>
        <v>0</v>
      </c>
      <c r="CB35" s="14">
        <f t="shared" si="24"/>
        <v>0</v>
      </c>
      <c r="CC35" s="14">
        <f t="shared" si="25"/>
        <v>0</v>
      </c>
    </row>
    <row r="36" spans="4:81" x14ac:dyDescent="0.15">
      <c r="X36" s="14">
        <v>32</v>
      </c>
      <c r="Y36" s="30">
        <f t="shared" si="26"/>
        <v>0</v>
      </c>
      <c r="Z36" s="27">
        <f t="shared" si="4"/>
        <v>8.8000000000000009E-2</v>
      </c>
      <c r="AA36" s="14">
        <f>$Y36*$Z36*其他调用!V35</f>
        <v>0</v>
      </c>
      <c r="AB36" s="14">
        <f>$Y36*$Z36*其他调用!W35</f>
        <v>0</v>
      </c>
      <c r="AC36" s="14">
        <f>$Y36*$Z36*其他调用!X35</f>
        <v>0</v>
      </c>
      <c r="AD36" s="14">
        <f>$Y36*$Z36*其他调用!Y35</f>
        <v>0</v>
      </c>
      <c r="AE36" s="14">
        <f>$Y36*$Z36*其他调用!Z35</f>
        <v>0</v>
      </c>
      <c r="AH36" s="14">
        <v>32</v>
      </c>
      <c r="AI36" s="14">
        <f>SUM(AA$5:AA36)</f>
        <v>0</v>
      </c>
      <c r="AJ36" s="14">
        <f>SUM(AB$5:AB36)</f>
        <v>0</v>
      </c>
      <c r="AK36" s="14">
        <f>SUM(AC$5:AC36)</f>
        <v>0</v>
      </c>
      <c r="AL36" s="14">
        <f>SUM(AD$5:AD36)</f>
        <v>0</v>
      </c>
      <c r="AM36" s="14">
        <f>SUM(AE$5:AE36)</f>
        <v>0</v>
      </c>
      <c r="AR36" s="14">
        <v>32</v>
      </c>
      <c r="AS36" s="27">
        <f t="shared" si="5"/>
        <v>0.11200000000000002</v>
      </c>
      <c r="AT36" s="14">
        <f>求节点(E$28:E$32,$N$28:$N$32,$AR36)*$AS36*其他调用!V35/$E$4</f>
        <v>0</v>
      </c>
      <c r="AU36" s="14">
        <f>求节点(F$28:F$32,$N$28:$N$32,$AR36)*$AS36*其他调用!W35/$E$4</f>
        <v>0</v>
      </c>
      <c r="AV36" s="14">
        <f>求节点(G$28:G$32,$N$28:$N$32,$AR36)*$AS36*其他调用!X35/$E$4</f>
        <v>0</v>
      </c>
      <c r="AW36" s="14">
        <f>求节点(H$28:H$32,$N$28:$N$32,$AR36)*$AS36*其他调用!Y35/$E$4</f>
        <v>0</v>
      </c>
      <c r="AX36" s="14">
        <f>求节点(I$28:I$32,$N$28:$N$32,$AR36)*$AS36*其他调用!Z35/$E$4</f>
        <v>0</v>
      </c>
      <c r="BA36" s="14">
        <v>32</v>
      </c>
      <c r="BB36" s="14">
        <f>SUM(AT$5:AT36)</f>
        <v>0</v>
      </c>
      <c r="BC36" s="14">
        <f>SUM(AU$5:AU36)</f>
        <v>0</v>
      </c>
      <c r="BD36" s="14">
        <f>SUM(AV$5:AV36)</f>
        <v>0</v>
      </c>
      <c r="BE36" s="14">
        <f>SUM(AW$5:AW36)</f>
        <v>0</v>
      </c>
      <c r="BF36" s="14">
        <f>SUM(AX$5:AX36)</f>
        <v>0</v>
      </c>
      <c r="BI36" s="14">
        <v>32</v>
      </c>
      <c r="BJ36" s="14">
        <f t="shared" si="6"/>
        <v>0</v>
      </c>
      <c r="BK36" s="14">
        <f t="shared" si="7"/>
        <v>0</v>
      </c>
      <c r="BL36" s="14">
        <f t="shared" si="8"/>
        <v>0</v>
      </c>
      <c r="BM36" s="14">
        <f t="shared" si="9"/>
        <v>0</v>
      </c>
      <c r="BN36" s="14">
        <f t="shared" si="10"/>
        <v>0</v>
      </c>
      <c r="BO36" s="14">
        <f t="shared" si="11"/>
        <v>0</v>
      </c>
      <c r="BP36" s="14">
        <f t="shared" si="12"/>
        <v>0</v>
      </c>
      <c r="BQ36" s="14">
        <f t="shared" si="13"/>
        <v>0</v>
      </c>
      <c r="BR36" s="14">
        <f t="shared" si="14"/>
        <v>0</v>
      </c>
      <c r="BS36" s="14">
        <f t="shared" si="15"/>
        <v>0</v>
      </c>
      <c r="BT36" s="14">
        <f t="shared" si="16"/>
        <v>0</v>
      </c>
      <c r="BU36" s="14">
        <f t="shared" si="17"/>
        <v>0</v>
      </c>
      <c r="BV36" s="14">
        <f t="shared" si="18"/>
        <v>0</v>
      </c>
      <c r="BW36" s="14">
        <f t="shared" si="19"/>
        <v>0</v>
      </c>
      <c r="BX36" s="14">
        <f t="shared" si="20"/>
        <v>0</v>
      </c>
      <c r="BY36" s="14">
        <f t="shared" si="21"/>
        <v>0</v>
      </c>
      <c r="BZ36" s="14">
        <f t="shared" si="22"/>
        <v>0</v>
      </c>
      <c r="CA36" s="14">
        <f t="shared" si="23"/>
        <v>0</v>
      </c>
      <c r="CB36" s="14">
        <f t="shared" si="24"/>
        <v>0</v>
      </c>
      <c r="CC36" s="14">
        <f t="shared" si="25"/>
        <v>0</v>
      </c>
    </row>
    <row r="37" spans="4:81" x14ac:dyDescent="0.15">
      <c r="X37" s="14">
        <v>33</v>
      </c>
      <c r="Y37" s="30">
        <f t="shared" si="26"/>
        <v>0</v>
      </c>
      <c r="Z37" s="27">
        <f t="shared" si="4"/>
        <v>8.8000000000000009E-2</v>
      </c>
      <c r="AA37" s="14">
        <f>$Y37*$Z37*其他调用!V36</f>
        <v>0</v>
      </c>
      <c r="AB37" s="14">
        <f>$Y37*$Z37*其他调用!W36</f>
        <v>0</v>
      </c>
      <c r="AC37" s="14">
        <f>$Y37*$Z37*其他调用!X36</f>
        <v>0</v>
      </c>
      <c r="AD37" s="14">
        <f>$Y37*$Z37*其他调用!Y36</f>
        <v>0</v>
      </c>
      <c r="AE37" s="14">
        <f>$Y37*$Z37*其他调用!Z36</f>
        <v>0</v>
      </c>
      <c r="AH37" s="14">
        <v>33</v>
      </c>
      <c r="AI37" s="14">
        <f>SUM(AA$5:AA37)</f>
        <v>0</v>
      </c>
      <c r="AJ37" s="14">
        <f>SUM(AB$5:AB37)</f>
        <v>0</v>
      </c>
      <c r="AK37" s="14">
        <f>SUM(AC$5:AC37)</f>
        <v>0</v>
      </c>
      <c r="AL37" s="14">
        <f>SUM(AD$5:AD37)</f>
        <v>0</v>
      </c>
      <c r="AM37" s="14">
        <f>SUM(AE$5:AE37)</f>
        <v>0</v>
      </c>
      <c r="AR37" s="14">
        <v>33</v>
      </c>
      <c r="AS37" s="27">
        <f t="shared" si="5"/>
        <v>0.11200000000000002</v>
      </c>
      <c r="AT37" s="14">
        <f>求节点(E$28:E$32,$N$28:$N$32,$AR37)*$AS37*其他调用!V36/$E$4</f>
        <v>0</v>
      </c>
      <c r="AU37" s="14">
        <f>求节点(F$28:F$32,$N$28:$N$32,$AR37)*$AS37*其他调用!W36/$E$4</f>
        <v>0</v>
      </c>
      <c r="AV37" s="14">
        <f>求节点(G$28:G$32,$N$28:$N$32,$AR37)*$AS37*其他调用!X36/$E$4</f>
        <v>0</v>
      </c>
      <c r="AW37" s="14">
        <f>求节点(H$28:H$32,$N$28:$N$32,$AR37)*$AS37*其他调用!Y36/$E$4</f>
        <v>0</v>
      </c>
      <c r="AX37" s="14">
        <f>求节点(I$28:I$32,$N$28:$N$32,$AR37)*$AS37*其他调用!Z36/$E$4</f>
        <v>0</v>
      </c>
      <c r="BA37" s="14">
        <v>33</v>
      </c>
      <c r="BB37" s="14">
        <f>SUM(AT$5:AT37)</f>
        <v>0</v>
      </c>
      <c r="BC37" s="14">
        <f>SUM(AU$5:AU37)</f>
        <v>0</v>
      </c>
      <c r="BD37" s="14">
        <f>SUM(AV$5:AV37)</f>
        <v>0</v>
      </c>
      <c r="BE37" s="14">
        <f>SUM(AW$5:AW37)</f>
        <v>0</v>
      </c>
      <c r="BF37" s="14">
        <f>SUM(AX$5:AX37)</f>
        <v>0</v>
      </c>
      <c r="BI37" s="14">
        <v>33</v>
      </c>
      <c r="BJ37" s="14">
        <f t="shared" si="6"/>
        <v>0</v>
      </c>
      <c r="BK37" s="14">
        <f t="shared" si="7"/>
        <v>0</v>
      </c>
      <c r="BL37" s="14">
        <f t="shared" si="8"/>
        <v>0</v>
      </c>
      <c r="BM37" s="14">
        <f t="shared" si="9"/>
        <v>0</v>
      </c>
      <c r="BN37" s="14">
        <f t="shared" si="10"/>
        <v>0</v>
      </c>
      <c r="BO37" s="14">
        <f t="shared" si="11"/>
        <v>0</v>
      </c>
      <c r="BP37" s="14">
        <f t="shared" si="12"/>
        <v>0</v>
      </c>
      <c r="BQ37" s="14">
        <f t="shared" si="13"/>
        <v>0</v>
      </c>
      <c r="BR37" s="14">
        <f t="shared" si="14"/>
        <v>0</v>
      </c>
      <c r="BS37" s="14">
        <f t="shared" si="15"/>
        <v>0</v>
      </c>
      <c r="BT37" s="14">
        <f t="shared" si="16"/>
        <v>0</v>
      </c>
      <c r="BU37" s="14">
        <f t="shared" si="17"/>
        <v>0</v>
      </c>
      <c r="BV37" s="14">
        <f t="shared" si="18"/>
        <v>0</v>
      </c>
      <c r="BW37" s="14">
        <f t="shared" si="19"/>
        <v>0</v>
      </c>
      <c r="BX37" s="14">
        <f t="shared" si="20"/>
        <v>0</v>
      </c>
      <c r="BY37" s="14">
        <f t="shared" si="21"/>
        <v>0</v>
      </c>
      <c r="BZ37" s="14">
        <f t="shared" si="22"/>
        <v>0</v>
      </c>
      <c r="CA37" s="14">
        <f t="shared" si="23"/>
        <v>0</v>
      </c>
      <c r="CB37" s="14">
        <f t="shared" si="24"/>
        <v>0</v>
      </c>
      <c r="CC37" s="14">
        <f t="shared" si="25"/>
        <v>0</v>
      </c>
    </row>
    <row r="38" spans="4:81" x14ac:dyDescent="0.15">
      <c r="X38" s="14">
        <v>34</v>
      </c>
      <c r="Y38" s="30">
        <f t="shared" si="26"/>
        <v>0</v>
      </c>
      <c r="Z38" s="27">
        <f t="shared" si="4"/>
        <v>8.8000000000000009E-2</v>
      </c>
      <c r="AA38" s="14">
        <f>$Y38*$Z38*其他调用!V37</f>
        <v>0</v>
      </c>
      <c r="AB38" s="14">
        <f>$Y38*$Z38*其他调用!W37</f>
        <v>0</v>
      </c>
      <c r="AC38" s="14">
        <f>$Y38*$Z38*其他调用!X37</f>
        <v>0</v>
      </c>
      <c r="AD38" s="14">
        <f>$Y38*$Z38*其他调用!Y37</f>
        <v>0</v>
      </c>
      <c r="AE38" s="14">
        <f>$Y38*$Z38*其他调用!Z37</f>
        <v>0</v>
      </c>
      <c r="AH38" s="14">
        <v>34</v>
      </c>
      <c r="AI38" s="14">
        <f>SUM(AA$5:AA38)</f>
        <v>0</v>
      </c>
      <c r="AJ38" s="14">
        <f>SUM(AB$5:AB38)</f>
        <v>0</v>
      </c>
      <c r="AK38" s="14">
        <f>SUM(AC$5:AC38)</f>
        <v>0</v>
      </c>
      <c r="AL38" s="14">
        <f>SUM(AD$5:AD38)</f>
        <v>0</v>
      </c>
      <c r="AM38" s="14">
        <f>SUM(AE$5:AE38)</f>
        <v>0</v>
      </c>
      <c r="AR38" s="14">
        <v>34</v>
      </c>
      <c r="AS38" s="27">
        <f t="shared" si="5"/>
        <v>0.11200000000000002</v>
      </c>
      <c r="AT38" s="14">
        <f>求节点(E$28:E$32,$N$28:$N$32,$AR38)*$AS38*其他调用!V37/$E$4</f>
        <v>0</v>
      </c>
      <c r="AU38" s="14">
        <f>求节点(F$28:F$32,$N$28:$N$32,$AR38)*$AS38*其他调用!W37/$E$4</f>
        <v>0</v>
      </c>
      <c r="AV38" s="14">
        <f>求节点(G$28:G$32,$N$28:$N$32,$AR38)*$AS38*其他调用!X37/$E$4</f>
        <v>0</v>
      </c>
      <c r="AW38" s="14">
        <f>求节点(H$28:H$32,$N$28:$N$32,$AR38)*$AS38*其他调用!Y37/$E$4</f>
        <v>0</v>
      </c>
      <c r="AX38" s="14">
        <f>求节点(I$28:I$32,$N$28:$N$32,$AR38)*$AS38*其他调用!Z37/$E$4</f>
        <v>0</v>
      </c>
      <c r="BA38" s="14">
        <v>34</v>
      </c>
      <c r="BB38" s="14">
        <f>SUM(AT$5:AT38)</f>
        <v>0</v>
      </c>
      <c r="BC38" s="14">
        <f>SUM(AU$5:AU38)</f>
        <v>0</v>
      </c>
      <c r="BD38" s="14">
        <f>SUM(AV$5:AV38)</f>
        <v>0</v>
      </c>
      <c r="BE38" s="14">
        <f>SUM(AW$5:AW38)</f>
        <v>0</v>
      </c>
      <c r="BF38" s="14">
        <f>SUM(AX$5:AX38)</f>
        <v>0</v>
      </c>
      <c r="BI38" s="14">
        <v>34</v>
      </c>
      <c r="BJ38" s="14">
        <f t="shared" si="6"/>
        <v>0</v>
      </c>
      <c r="BK38" s="14">
        <f t="shared" si="7"/>
        <v>0</v>
      </c>
      <c r="BL38" s="14">
        <f t="shared" si="8"/>
        <v>0</v>
      </c>
      <c r="BM38" s="14">
        <f t="shared" si="9"/>
        <v>0</v>
      </c>
      <c r="BN38" s="14">
        <f t="shared" si="10"/>
        <v>0</v>
      </c>
      <c r="BO38" s="14">
        <f t="shared" si="11"/>
        <v>0</v>
      </c>
      <c r="BP38" s="14">
        <f t="shared" si="12"/>
        <v>0</v>
      </c>
      <c r="BQ38" s="14">
        <f t="shared" si="13"/>
        <v>0</v>
      </c>
      <c r="BR38" s="14">
        <f t="shared" si="14"/>
        <v>0</v>
      </c>
      <c r="BS38" s="14">
        <f t="shared" si="15"/>
        <v>0</v>
      </c>
      <c r="BT38" s="14">
        <f t="shared" si="16"/>
        <v>0</v>
      </c>
      <c r="BU38" s="14">
        <f t="shared" si="17"/>
        <v>0</v>
      </c>
      <c r="BV38" s="14">
        <f t="shared" si="18"/>
        <v>0</v>
      </c>
      <c r="BW38" s="14">
        <f t="shared" si="19"/>
        <v>0</v>
      </c>
      <c r="BX38" s="14">
        <f t="shared" si="20"/>
        <v>0</v>
      </c>
      <c r="BY38" s="14">
        <f t="shared" si="21"/>
        <v>0</v>
      </c>
      <c r="BZ38" s="14">
        <f t="shared" si="22"/>
        <v>0</v>
      </c>
      <c r="CA38" s="14">
        <f t="shared" si="23"/>
        <v>0</v>
      </c>
      <c r="CB38" s="14">
        <f t="shared" si="24"/>
        <v>0</v>
      </c>
      <c r="CC38" s="14">
        <f t="shared" si="25"/>
        <v>0</v>
      </c>
    </row>
    <row r="39" spans="4:81" x14ac:dyDescent="0.15">
      <c r="D39" s="50" t="s">
        <v>262</v>
      </c>
      <c r="E39" s="50"/>
      <c r="F39" s="14"/>
      <c r="G39" s="14"/>
      <c r="X39" s="14">
        <v>35</v>
      </c>
      <c r="Y39" s="30">
        <f t="shared" si="26"/>
        <v>0</v>
      </c>
      <c r="Z39" s="27">
        <f t="shared" si="4"/>
        <v>8.8000000000000009E-2</v>
      </c>
      <c r="AA39" s="14">
        <f>$Y39*$Z39*其他调用!V38</f>
        <v>0</v>
      </c>
      <c r="AB39" s="14">
        <f>$Y39*$Z39*其他调用!W38</f>
        <v>0</v>
      </c>
      <c r="AC39" s="14">
        <f>$Y39*$Z39*其他调用!X38</f>
        <v>0</v>
      </c>
      <c r="AD39" s="14">
        <f>$Y39*$Z39*其他调用!Y38</f>
        <v>0</v>
      </c>
      <c r="AE39" s="14">
        <f>$Y39*$Z39*其他调用!Z38</f>
        <v>0</v>
      </c>
      <c r="AH39" s="14">
        <v>35</v>
      </c>
      <c r="AI39" s="14">
        <f>SUM(AA$5:AA39)</f>
        <v>0</v>
      </c>
      <c r="AJ39" s="14">
        <f>SUM(AB$5:AB39)</f>
        <v>0</v>
      </c>
      <c r="AK39" s="14">
        <f>SUM(AC$5:AC39)</f>
        <v>0</v>
      </c>
      <c r="AL39" s="14">
        <f>SUM(AD$5:AD39)</f>
        <v>0</v>
      </c>
      <c r="AM39" s="14">
        <f>SUM(AE$5:AE39)</f>
        <v>0</v>
      </c>
      <c r="AR39" s="14">
        <v>35</v>
      </c>
      <c r="AS39" s="27">
        <f t="shared" si="5"/>
        <v>0.11200000000000002</v>
      </c>
      <c r="AT39" s="14">
        <f>求节点(E$28:E$32,$N$28:$N$32,$AR39)*$AS39*其他调用!V38/$E$4</f>
        <v>0</v>
      </c>
      <c r="AU39" s="14">
        <f>求节点(F$28:F$32,$N$28:$N$32,$AR39)*$AS39*其他调用!W38/$E$4</f>
        <v>0</v>
      </c>
      <c r="AV39" s="14">
        <f>求节点(G$28:G$32,$N$28:$N$32,$AR39)*$AS39*其他调用!X38/$E$4</f>
        <v>0</v>
      </c>
      <c r="AW39" s="14">
        <f>求节点(H$28:H$32,$N$28:$N$32,$AR39)*$AS39*其他调用!Y38/$E$4</f>
        <v>0</v>
      </c>
      <c r="AX39" s="14">
        <f>求节点(I$28:I$32,$N$28:$N$32,$AR39)*$AS39*其他调用!Z38/$E$4</f>
        <v>0</v>
      </c>
      <c r="BA39" s="14">
        <v>35</v>
      </c>
      <c r="BB39" s="14">
        <f>SUM(AT$5:AT39)</f>
        <v>0</v>
      </c>
      <c r="BC39" s="14">
        <f>SUM(AU$5:AU39)</f>
        <v>0</v>
      </c>
      <c r="BD39" s="14">
        <f>SUM(AV$5:AV39)</f>
        <v>0</v>
      </c>
      <c r="BE39" s="14">
        <f>SUM(AW$5:AW39)</f>
        <v>0</v>
      </c>
      <c r="BF39" s="14">
        <f>SUM(AX$5:AX39)</f>
        <v>0</v>
      </c>
      <c r="BI39" s="14">
        <v>35</v>
      </c>
      <c r="BJ39" s="14">
        <f t="shared" si="6"/>
        <v>0</v>
      </c>
      <c r="BK39" s="14">
        <f t="shared" si="7"/>
        <v>0</v>
      </c>
      <c r="BL39" s="14">
        <f t="shared" si="8"/>
        <v>0</v>
      </c>
      <c r="BM39" s="14">
        <f t="shared" si="9"/>
        <v>0</v>
      </c>
      <c r="BN39" s="14">
        <f t="shared" si="10"/>
        <v>0</v>
      </c>
      <c r="BO39" s="14">
        <f t="shared" si="11"/>
        <v>0</v>
      </c>
      <c r="BP39" s="14">
        <f t="shared" si="12"/>
        <v>0</v>
      </c>
      <c r="BQ39" s="14">
        <f t="shared" si="13"/>
        <v>0</v>
      </c>
      <c r="BR39" s="14">
        <f t="shared" si="14"/>
        <v>0</v>
      </c>
      <c r="BS39" s="14">
        <f t="shared" si="15"/>
        <v>0</v>
      </c>
      <c r="BT39" s="14">
        <f t="shared" si="16"/>
        <v>0</v>
      </c>
      <c r="BU39" s="14">
        <f t="shared" si="17"/>
        <v>0</v>
      </c>
      <c r="BV39" s="14">
        <f t="shared" si="18"/>
        <v>0</v>
      </c>
      <c r="BW39" s="14">
        <f t="shared" si="19"/>
        <v>0</v>
      </c>
      <c r="BX39" s="14">
        <f t="shared" si="20"/>
        <v>0</v>
      </c>
      <c r="BY39" s="14">
        <f t="shared" si="21"/>
        <v>0</v>
      </c>
      <c r="BZ39" s="14">
        <f t="shared" si="22"/>
        <v>0</v>
      </c>
      <c r="CA39" s="14">
        <f t="shared" si="23"/>
        <v>0</v>
      </c>
      <c r="CB39" s="14">
        <f t="shared" si="24"/>
        <v>0</v>
      </c>
      <c r="CC39" s="14">
        <f t="shared" si="25"/>
        <v>0</v>
      </c>
    </row>
    <row r="40" spans="4:81" x14ac:dyDescent="0.15">
      <c r="D40" s="14"/>
      <c r="E40" s="14" t="s">
        <v>263</v>
      </c>
      <c r="F40" s="14" t="s">
        <v>264</v>
      </c>
      <c r="G40" s="14" t="s">
        <v>265</v>
      </c>
      <c r="X40" s="14">
        <v>36</v>
      </c>
      <c r="Y40" s="30">
        <f t="shared" si="26"/>
        <v>0</v>
      </c>
      <c r="Z40" s="27">
        <f t="shared" si="4"/>
        <v>8.8000000000000009E-2</v>
      </c>
      <c r="AA40" s="14">
        <f>$Y40*$Z40*其他调用!V39</f>
        <v>0</v>
      </c>
      <c r="AB40" s="14">
        <f>$Y40*$Z40*其他调用!W39</f>
        <v>0</v>
      </c>
      <c r="AC40" s="14">
        <f>$Y40*$Z40*其他调用!X39</f>
        <v>0</v>
      </c>
      <c r="AD40" s="14">
        <f>$Y40*$Z40*其他调用!Y39</f>
        <v>0</v>
      </c>
      <c r="AE40" s="14">
        <f>$Y40*$Z40*其他调用!Z39</f>
        <v>0</v>
      </c>
      <c r="AH40" s="14">
        <v>36</v>
      </c>
      <c r="AI40" s="14">
        <f>SUM(AA$5:AA40)</f>
        <v>0</v>
      </c>
      <c r="AJ40" s="14">
        <f>SUM(AB$5:AB40)</f>
        <v>0</v>
      </c>
      <c r="AK40" s="14">
        <f>SUM(AC$5:AC40)</f>
        <v>0</v>
      </c>
      <c r="AL40" s="14">
        <f>SUM(AD$5:AD40)</f>
        <v>0</v>
      </c>
      <c r="AM40" s="14">
        <f>SUM(AE$5:AE40)</f>
        <v>0</v>
      </c>
      <c r="AR40" s="14">
        <v>36</v>
      </c>
      <c r="AS40" s="27">
        <f t="shared" si="5"/>
        <v>0.11200000000000002</v>
      </c>
      <c r="AT40" s="14">
        <f>求节点(E$28:E$32,$N$28:$N$32,$AR40)*$AS40*其他调用!V39/$E$4</f>
        <v>0</v>
      </c>
      <c r="AU40" s="14">
        <f>求节点(F$28:F$32,$N$28:$N$32,$AR40)*$AS40*其他调用!W39/$E$4</f>
        <v>0</v>
      </c>
      <c r="AV40" s="14">
        <f>求节点(G$28:G$32,$N$28:$N$32,$AR40)*$AS40*其他调用!X39/$E$4</f>
        <v>0</v>
      </c>
      <c r="AW40" s="14">
        <f>求节点(H$28:H$32,$N$28:$N$32,$AR40)*$AS40*其他调用!Y39/$E$4</f>
        <v>0</v>
      </c>
      <c r="AX40" s="14">
        <f>求节点(I$28:I$32,$N$28:$N$32,$AR40)*$AS40*其他调用!Z39/$E$4</f>
        <v>0</v>
      </c>
      <c r="BA40" s="14">
        <v>36</v>
      </c>
      <c r="BB40" s="14">
        <f>SUM(AT$5:AT40)</f>
        <v>0</v>
      </c>
      <c r="BC40" s="14">
        <f>SUM(AU$5:AU40)</f>
        <v>0</v>
      </c>
      <c r="BD40" s="14">
        <f>SUM(AV$5:AV40)</f>
        <v>0</v>
      </c>
      <c r="BE40" s="14">
        <f>SUM(AW$5:AW40)</f>
        <v>0</v>
      </c>
      <c r="BF40" s="14">
        <f>SUM(AX$5:AX40)</f>
        <v>0</v>
      </c>
      <c r="BI40" s="14">
        <v>36</v>
      </c>
      <c r="BJ40" s="14">
        <f t="shared" si="6"/>
        <v>0</v>
      </c>
      <c r="BK40" s="14">
        <f t="shared" si="7"/>
        <v>0</v>
      </c>
      <c r="BL40" s="14">
        <f t="shared" si="8"/>
        <v>0</v>
      </c>
      <c r="BM40" s="14">
        <f t="shared" si="9"/>
        <v>0</v>
      </c>
      <c r="BN40" s="14">
        <f t="shared" si="10"/>
        <v>0</v>
      </c>
      <c r="BO40" s="14">
        <f t="shared" si="11"/>
        <v>0</v>
      </c>
      <c r="BP40" s="14">
        <f t="shared" si="12"/>
        <v>0</v>
      </c>
      <c r="BQ40" s="14">
        <f t="shared" si="13"/>
        <v>0</v>
      </c>
      <c r="BR40" s="14">
        <f t="shared" si="14"/>
        <v>0</v>
      </c>
      <c r="BS40" s="14">
        <f t="shared" si="15"/>
        <v>0</v>
      </c>
      <c r="BT40" s="14">
        <f t="shared" si="16"/>
        <v>0</v>
      </c>
      <c r="BU40" s="14">
        <f t="shared" si="17"/>
        <v>0</v>
      </c>
      <c r="BV40" s="14">
        <f t="shared" si="18"/>
        <v>0</v>
      </c>
      <c r="BW40" s="14">
        <f t="shared" si="19"/>
        <v>0</v>
      </c>
      <c r="BX40" s="14">
        <f t="shared" si="20"/>
        <v>0</v>
      </c>
      <c r="BY40" s="14">
        <f t="shared" si="21"/>
        <v>0</v>
      </c>
      <c r="BZ40" s="14">
        <f t="shared" si="22"/>
        <v>0</v>
      </c>
      <c r="CA40" s="14">
        <f t="shared" si="23"/>
        <v>0</v>
      </c>
      <c r="CB40" s="14">
        <f t="shared" si="24"/>
        <v>0</v>
      </c>
      <c r="CC40" s="14">
        <f t="shared" si="25"/>
        <v>0</v>
      </c>
    </row>
    <row r="41" spans="4:81" x14ac:dyDescent="0.15">
      <c r="D41" s="39" t="s">
        <v>266</v>
      </c>
      <c r="E41" s="40">
        <f>'[1]功能-行军令'!AD15</f>
        <v>0.3</v>
      </c>
      <c r="F41" s="40">
        <f>'[1]功能-行军令'!AE15</f>
        <v>0.5</v>
      </c>
      <c r="G41" s="40">
        <f>'[1]功能-行军令'!AF15</f>
        <v>1.6666666666666667</v>
      </c>
      <c r="X41" s="14">
        <v>37</v>
      </c>
      <c r="Y41" s="30">
        <f t="shared" si="26"/>
        <v>0</v>
      </c>
      <c r="Z41" s="27">
        <f t="shared" si="4"/>
        <v>8.8000000000000009E-2</v>
      </c>
      <c r="AA41" s="14">
        <f>$Y41*$Z41*其他调用!V40</f>
        <v>0</v>
      </c>
      <c r="AB41" s="14">
        <f>$Y41*$Z41*其他调用!W40</f>
        <v>0</v>
      </c>
      <c r="AC41" s="14">
        <f>$Y41*$Z41*其他调用!X40</f>
        <v>0</v>
      </c>
      <c r="AD41" s="14">
        <f>$Y41*$Z41*其他调用!Y40</f>
        <v>0</v>
      </c>
      <c r="AE41" s="14">
        <f>$Y41*$Z41*其他调用!Z40</f>
        <v>0</v>
      </c>
      <c r="AH41" s="14">
        <v>37</v>
      </c>
      <c r="AI41" s="14">
        <f>SUM(AA$5:AA41)</f>
        <v>0</v>
      </c>
      <c r="AJ41" s="14">
        <f>SUM(AB$5:AB41)</f>
        <v>0</v>
      </c>
      <c r="AK41" s="14">
        <f>SUM(AC$5:AC41)</f>
        <v>0</v>
      </c>
      <c r="AL41" s="14">
        <f>SUM(AD$5:AD41)</f>
        <v>0</v>
      </c>
      <c r="AM41" s="14">
        <f>SUM(AE$5:AE41)</f>
        <v>0</v>
      </c>
      <c r="AR41" s="14">
        <v>37</v>
      </c>
      <c r="AS41" s="27">
        <f t="shared" si="5"/>
        <v>0.11200000000000002</v>
      </c>
      <c r="AT41" s="14">
        <f>求节点(E$28:E$32,$N$28:$N$32,$AR41)*$AS41*其他调用!V40/$E$4</f>
        <v>0</v>
      </c>
      <c r="AU41" s="14">
        <f>求节点(F$28:F$32,$N$28:$N$32,$AR41)*$AS41*其他调用!W40/$E$4</f>
        <v>0</v>
      </c>
      <c r="AV41" s="14">
        <f>求节点(G$28:G$32,$N$28:$N$32,$AR41)*$AS41*其他调用!X40/$E$4</f>
        <v>0</v>
      </c>
      <c r="AW41" s="14">
        <f>求节点(H$28:H$32,$N$28:$N$32,$AR41)*$AS41*其他调用!Y40/$E$4</f>
        <v>0</v>
      </c>
      <c r="AX41" s="14">
        <f>求节点(I$28:I$32,$N$28:$N$32,$AR41)*$AS41*其他调用!Z40/$E$4</f>
        <v>0</v>
      </c>
      <c r="BA41" s="14">
        <v>37</v>
      </c>
      <c r="BB41" s="14">
        <f>SUM(AT$5:AT41)</f>
        <v>0</v>
      </c>
      <c r="BC41" s="14">
        <f>SUM(AU$5:AU41)</f>
        <v>0</v>
      </c>
      <c r="BD41" s="14">
        <f>SUM(AV$5:AV41)</f>
        <v>0</v>
      </c>
      <c r="BE41" s="14">
        <f>SUM(AW$5:AW41)</f>
        <v>0</v>
      </c>
      <c r="BF41" s="14">
        <f>SUM(AX$5:AX41)</f>
        <v>0</v>
      </c>
      <c r="BI41" s="14">
        <v>37</v>
      </c>
      <c r="BJ41" s="14">
        <f t="shared" si="6"/>
        <v>0</v>
      </c>
      <c r="BK41" s="14">
        <f t="shared" si="7"/>
        <v>0</v>
      </c>
      <c r="BL41" s="14">
        <f t="shared" si="8"/>
        <v>0</v>
      </c>
      <c r="BM41" s="14">
        <f t="shared" si="9"/>
        <v>0</v>
      </c>
      <c r="BN41" s="14">
        <f t="shared" si="10"/>
        <v>0</v>
      </c>
      <c r="BO41" s="14">
        <f t="shared" si="11"/>
        <v>0</v>
      </c>
      <c r="BP41" s="14">
        <f t="shared" si="12"/>
        <v>0</v>
      </c>
      <c r="BQ41" s="14">
        <f t="shared" si="13"/>
        <v>0</v>
      </c>
      <c r="BR41" s="14">
        <f t="shared" si="14"/>
        <v>0</v>
      </c>
      <c r="BS41" s="14">
        <f t="shared" si="15"/>
        <v>0</v>
      </c>
      <c r="BT41" s="14">
        <f t="shared" si="16"/>
        <v>0</v>
      </c>
      <c r="BU41" s="14">
        <f t="shared" si="17"/>
        <v>0</v>
      </c>
      <c r="BV41" s="14">
        <f t="shared" si="18"/>
        <v>0</v>
      </c>
      <c r="BW41" s="14">
        <f t="shared" si="19"/>
        <v>0</v>
      </c>
      <c r="BX41" s="14">
        <f t="shared" si="20"/>
        <v>0</v>
      </c>
      <c r="BY41" s="14">
        <f t="shared" si="21"/>
        <v>0</v>
      </c>
      <c r="BZ41" s="14">
        <f t="shared" si="22"/>
        <v>0</v>
      </c>
      <c r="CA41" s="14">
        <f t="shared" si="23"/>
        <v>0</v>
      </c>
      <c r="CB41" s="14">
        <f t="shared" si="24"/>
        <v>0</v>
      </c>
      <c r="CC41" s="14">
        <f t="shared" si="25"/>
        <v>0</v>
      </c>
    </row>
    <row r="42" spans="4:81" x14ac:dyDescent="0.15">
      <c r="D42" s="41" t="s">
        <v>255</v>
      </c>
      <c r="E42" s="42">
        <f>'[1]功能-行军令'!AD16</f>
        <v>0.2</v>
      </c>
      <c r="F42" s="42">
        <f>'[1]功能-行军令'!AE16</f>
        <v>0.2</v>
      </c>
      <c r="G42" s="42">
        <f>'[1]功能-行军令'!AF16</f>
        <v>1</v>
      </c>
      <c r="I42" s="14"/>
      <c r="J42" s="14"/>
      <c r="K42" s="14"/>
      <c r="X42" s="14">
        <v>38</v>
      </c>
      <c r="Y42" s="30">
        <f t="shared" si="26"/>
        <v>0</v>
      </c>
      <c r="Z42" s="27">
        <f t="shared" si="4"/>
        <v>8.8000000000000009E-2</v>
      </c>
      <c r="AA42" s="14">
        <f>$Y42*$Z42*其他调用!V41</f>
        <v>0</v>
      </c>
      <c r="AB42" s="14">
        <f>$Y42*$Z42*其他调用!W41</f>
        <v>0</v>
      </c>
      <c r="AC42" s="14">
        <f>$Y42*$Z42*其他调用!X41</f>
        <v>0</v>
      </c>
      <c r="AD42" s="14">
        <f>$Y42*$Z42*其他调用!Y41</f>
        <v>0</v>
      </c>
      <c r="AE42" s="14">
        <f>$Y42*$Z42*其他调用!Z41</f>
        <v>0</v>
      </c>
      <c r="AH42" s="14">
        <v>38</v>
      </c>
      <c r="AI42" s="14">
        <f>SUM(AA$5:AA42)</f>
        <v>0</v>
      </c>
      <c r="AJ42" s="14">
        <f>SUM(AB$5:AB42)</f>
        <v>0</v>
      </c>
      <c r="AK42" s="14">
        <f>SUM(AC$5:AC42)</f>
        <v>0</v>
      </c>
      <c r="AL42" s="14">
        <f>SUM(AD$5:AD42)</f>
        <v>0</v>
      </c>
      <c r="AM42" s="14">
        <f>SUM(AE$5:AE42)</f>
        <v>0</v>
      </c>
      <c r="AR42" s="14">
        <v>38</v>
      </c>
      <c r="AS42" s="27">
        <f t="shared" si="5"/>
        <v>0.11200000000000002</v>
      </c>
      <c r="AT42" s="14">
        <f>求节点(E$28:E$32,$N$28:$N$32,$AR42)*$AS42*其他调用!V41/$E$4</f>
        <v>0</v>
      </c>
      <c r="AU42" s="14">
        <f>求节点(F$28:F$32,$N$28:$N$32,$AR42)*$AS42*其他调用!W41/$E$4</f>
        <v>0</v>
      </c>
      <c r="AV42" s="14">
        <f>求节点(G$28:G$32,$N$28:$N$32,$AR42)*$AS42*其他调用!X41/$E$4</f>
        <v>0</v>
      </c>
      <c r="AW42" s="14">
        <f>求节点(H$28:H$32,$N$28:$N$32,$AR42)*$AS42*其他调用!Y41/$E$4</f>
        <v>0</v>
      </c>
      <c r="AX42" s="14">
        <f>求节点(I$28:I$32,$N$28:$N$32,$AR42)*$AS42*其他调用!Z41/$E$4</f>
        <v>0</v>
      </c>
      <c r="BA42" s="14">
        <v>38</v>
      </c>
      <c r="BB42" s="14">
        <f>SUM(AT$5:AT42)</f>
        <v>0</v>
      </c>
      <c r="BC42" s="14">
        <f>SUM(AU$5:AU42)</f>
        <v>0</v>
      </c>
      <c r="BD42" s="14">
        <f>SUM(AV$5:AV42)</f>
        <v>0</v>
      </c>
      <c r="BE42" s="14">
        <f>SUM(AW$5:AW42)</f>
        <v>0</v>
      </c>
      <c r="BF42" s="14">
        <f>SUM(AX$5:AX42)</f>
        <v>0</v>
      </c>
      <c r="BI42" s="14">
        <v>38</v>
      </c>
      <c r="BJ42" s="14">
        <f t="shared" si="6"/>
        <v>0</v>
      </c>
      <c r="BK42" s="14">
        <f t="shared" si="7"/>
        <v>0</v>
      </c>
      <c r="BL42" s="14">
        <f t="shared" si="8"/>
        <v>0</v>
      </c>
      <c r="BM42" s="14">
        <f t="shared" si="9"/>
        <v>0</v>
      </c>
      <c r="BN42" s="14">
        <f t="shared" si="10"/>
        <v>0</v>
      </c>
      <c r="BO42" s="14">
        <f t="shared" si="11"/>
        <v>0</v>
      </c>
      <c r="BP42" s="14">
        <f t="shared" si="12"/>
        <v>0</v>
      </c>
      <c r="BQ42" s="14">
        <f t="shared" si="13"/>
        <v>0</v>
      </c>
      <c r="BR42" s="14">
        <f t="shared" si="14"/>
        <v>0</v>
      </c>
      <c r="BS42" s="14">
        <f t="shared" si="15"/>
        <v>0</v>
      </c>
      <c r="BT42" s="14">
        <f t="shared" si="16"/>
        <v>0</v>
      </c>
      <c r="BU42" s="14">
        <f t="shared" si="17"/>
        <v>0</v>
      </c>
      <c r="BV42" s="14">
        <f t="shared" si="18"/>
        <v>0</v>
      </c>
      <c r="BW42" s="14">
        <f t="shared" si="19"/>
        <v>0</v>
      </c>
      <c r="BX42" s="14">
        <f t="shared" si="20"/>
        <v>0</v>
      </c>
      <c r="BY42" s="14">
        <f t="shared" si="21"/>
        <v>0</v>
      </c>
      <c r="BZ42" s="14">
        <f t="shared" si="22"/>
        <v>0</v>
      </c>
      <c r="CA42" s="14">
        <f t="shared" si="23"/>
        <v>0</v>
      </c>
      <c r="CB42" s="14">
        <f t="shared" si="24"/>
        <v>0</v>
      </c>
      <c r="CC42" s="14">
        <f t="shared" si="25"/>
        <v>0</v>
      </c>
    </row>
    <row r="43" spans="4:81" x14ac:dyDescent="0.15">
      <c r="D43" s="41" t="s">
        <v>273</v>
      </c>
      <c r="E43" s="43">
        <f>$D$15/SUM($D$15:$K$15)*$K$19</f>
        <v>0.11200000000000002</v>
      </c>
      <c r="F43" s="43">
        <f>E43/$K$19</f>
        <v>0.28000000000000003</v>
      </c>
      <c r="G43" s="43">
        <f>F43/E43</f>
        <v>2.5</v>
      </c>
      <c r="X43" s="14">
        <v>39</v>
      </c>
      <c r="Y43" s="30">
        <f t="shared" si="26"/>
        <v>0</v>
      </c>
      <c r="Z43" s="27">
        <f t="shared" si="4"/>
        <v>8.8000000000000009E-2</v>
      </c>
      <c r="AA43" s="14">
        <f>$Y43*$Z43*其他调用!V42</f>
        <v>0</v>
      </c>
      <c r="AB43" s="14">
        <f>$Y43*$Z43*其他调用!W42</f>
        <v>0</v>
      </c>
      <c r="AC43" s="14">
        <f>$Y43*$Z43*其他调用!X42</f>
        <v>0</v>
      </c>
      <c r="AD43" s="14">
        <f>$Y43*$Z43*其他调用!Y42</f>
        <v>0</v>
      </c>
      <c r="AE43" s="14">
        <f>$Y43*$Z43*其他调用!Z42</f>
        <v>0</v>
      </c>
      <c r="AH43" s="14">
        <v>39</v>
      </c>
      <c r="AI43" s="14">
        <f>SUM(AA$5:AA43)</f>
        <v>0</v>
      </c>
      <c r="AJ43" s="14">
        <f>SUM(AB$5:AB43)</f>
        <v>0</v>
      </c>
      <c r="AK43" s="14">
        <f>SUM(AC$5:AC43)</f>
        <v>0</v>
      </c>
      <c r="AL43" s="14">
        <f>SUM(AD$5:AD43)</f>
        <v>0</v>
      </c>
      <c r="AM43" s="14">
        <f>SUM(AE$5:AE43)</f>
        <v>0</v>
      </c>
      <c r="AR43" s="14">
        <v>39</v>
      </c>
      <c r="AS43" s="27">
        <f t="shared" si="5"/>
        <v>0.11200000000000002</v>
      </c>
      <c r="AT43" s="14">
        <f>求节点(E$28:E$32,$N$28:$N$32,$AR43)*$AS43*其他调用!V42/$E$4</f>
        <v>0</v>
      </c>
      <c r="AU43" s="14">
        <f>求节点(F$28:F$32,$N$28:$N$32,$AR43)*$AS43*其他调用!W42/$E$4</f>
        <v>0</v>
      </c>
      <c r="AV43" s="14">
        <f>求节点(G$28:G$32,$N$28:$N$32,$AR43)*$AS43*其他调用!X42/$E$4</f>
        <v>0</v>
      </c>
      <c r="AW43" s="14">
        <f>求节点(H$28:H$32,$N$28:$N$32,$AR43)*$AS43*其他调用!Y42/$E$4</f>
        <v>0</v>
      </c>
      <c r="AX43" s="14">
        <f>求节点(I$28:I$32,$N$28:$N$32,$AR43)*$AS43*其他调用!Z42/$E$4</f>
        <v>0</v>
      </c>
      <c r="BA43" s="14">
        <v>39</v>
      </c>
      <c r="BB43" s="14">
        <f>SUM(AT$5:AT43)</f>
        <v>0</v>
      </c>
      <c r="BC43" s="14">
        <f>SUM(AU$5:AU43)</f>
        <v>0</v>
      </c>
      <c r="BD43" s="14">
        <f>SUM(AV$5:AV43)</f>
        <v>0</v>
      </c>
      <c r="BE43" s="14">
        <f>SUM(AW$5:AW43)</f>
        <v>0</v>
      </c>
      <c r="BF43" s="14">
        <f>SUM(AX$5:AX43)</f>
        <v>0</v>
      </c>
      <c r="BI43" s="14">
        <v>39</v>
      </c>
      <c r="BJ43" s="14">
        <f t="shared" si="6"/>
        <v>0</v>
      </c>
      <c r="BK43" s="14">
        <f t="shared" si="7"/>
        <v>0</v>
      </c>
      <c r="BL43" s="14">
        <f t="shared" si="8"/>
        <v>0</v>
      </c>
      <c r="BM43" s="14">
        <f t="shared" si="9"/>
        <v>0</v>
      </c>
      <c r="BN43" s="14">
        <f t="shared" si="10"/>
        <v>0</v>
      </c>
      <c r="BO43" s="14">
        <f t="shared" si="11"/>
        <v>0</v>
      </c>
      <c r="BP43" s="14">
        <f t="shared" si="12"/>
        <v>0</v>
      </c>
      <c r="BQ43" s="14">
        <f t="shared" si="13"/>
        <v>0</v>
      </c>
      <c r="BR43" s="14">
        <f t="shared" si="14"/>
        <v>0</v>
      </c>
      <c r="BS43" s="14">
        <f t="shared" si="15"/>
        <v>0</v>
      </c>
      <c r="BT43" s="14">
        <f t="shared" si="16"/>
        <v>0</v>
      </c>
      <c r="BU43" s="14">
        <f t="shared" si="17"/>
        <v>0</v>
      </c>
      <c r="BV43" s="14">
        <f t="shared" si="18"/>
        <v>0</v>
      </c>
      <c r="BW43" s="14">
        <f t="shared" si="19"/>
        <v>0</v>
      </c>
      <c r="BX43" s="14">
        <f t="shared" si="20"/>
        <v>0</v>
      </c>
      <c r="BY43" s="14">
        <f t="shared" si="21"/>
        <v>0</v>
      </c>
      <c r="BZ43" s="14">
        <f t="shared" si="22"/>
        <v>0</v>
      </c>
      <c r="CA43" s="14">
        <f t="shared" si="23"/>
        <v>0</v>
      </c>
      <c r="CB43" s="14">
        <f t="shared" si="24"/>
        <v>0</v>
      </c>
      <c r="CC43" s="14">
        <f t="shared" si="25"/>
        <v>0</v>
      </c>
    </row>
    <row r="44" spans="4:81" x14ac:dyDescent="0.15">
      <c r="D44" s="41" t="s">
        <v>288</v>
      </c>
      <c r="E44" s="43">
        <f>$E$15/SUM($D$15:$K$15)*$K$19</f>
        <v>8.8000000000000009E-2</v>
      </c>
      <c r="F44" s="43">
        <f>E44/$K$19</f>
        <v>0.22</v>
      </c>
      <c r="G44" s="43">
        <f>F44/E44</f>
        <v>2.4999999999999996</v>
      </c>
      <c r="X44" s="14">
        <v>40</v>
      </c>
      <c r="Y44" s="30">
        <f t="shared" si="26"/>
        <v>0</v>
      </c>
      <c r="Z44" s="27">
        <f t="shared" si="4"/>
        <v>8.8000000000000009E-2</v>
      </c>
      <c r="AA44" s="14">
        <f>$Y44*$Z44*其他调用!V43</f>
        <v>0</v>
      </c>
      <c r="AB44" s="14">
        <f>$Y44*$Z44*其他调用!W43</f>
        <v>0</v>
      </c>
      <c r="AC44" s="14">
        <f>$Y44*$Z44*其他调用!X43</f>
        <v>0</v>
      </c>
      <c r="AD44" s="14">
        <f>$Y44*$Z44*其他调用!Y43</f>
        <v>0</v>
      </c>
      <c r="AE44" s="14">
        <f>$Y44*$Z44*其他调用!Z43</f>
        <v>0</v>
      </c>
      <c r="AH44" s="14">
        <v>40</v>
      </c>
      <c r="AI44" s="14">
        <f>SUM(AA$5:AA44)</f>
        <v>0</v>
      </c>
      <c r="AJ44" s="14">
        <f>SUM(AB$5:AB44)</f>
        <v>0</v>
      </c>
      <c r="AK44" s="14">
        <f>SUM(AC$5:AC44)</f>
        <v>0</v>
      </c>
      <c r="AL44" s="14">
        <f>SUM(AD$5:AD44)</f>
        <v>0</v>
      </c>
      <c r="AM44" s="14">
        <f>SUM(AE$5:AE44)</f>
        <v>0</v>
      </c>
      <c r="AR44" s="14">
        <v>40</v>
      </c>
      <c r="AS44" s="27">
        <f t="shared" si="5"/>
        <v>0.11200000000000002</v>
      </c>
      <c r="AT44" s="14">
        <f>求节点(E$28:E$32,$N$28:$N$32,$AR44)*$AS44*其他调用!V43/$E$4</f>
        <v>0</v>
      </c>
      <c r="AU44" s="14">
        <f>求节点(F$28:F$32,$N$28:$N$32,$AR44)*$AS44*其他调用!W43/$E$4</f>
        <v>0</v>
      </c>
      <c r="AV44" s="14">
        <f>求节点(G$28:G$32,$N$28:$N$32,$AR44)*$AS44*其他调用!X43/$E$4</f>
        <v>0</v>
      </c>
      <c r="AW44" s="14">
        <f>求节点(H$28:H$32,$N$28:$N$32,$AR44)*$AS44*其他调用!Y43/$E$4</f>
        <v>0</v>
      </c>
      <c r="AX44" s="14">
        <f>求节点(I$28:I$32,$N$28:$N$32,$AR44)*$AS44*其他调用!Z43/$E$4</f>
        <v>0</v>
      </c>
      <c r="BA44" s="14">
        <v>40</v>
      </c>
      <c r="BB44" s="14">
        <f>SUM(AT$5:AT44)</f>
        <v>0</v>
      </c>
      <c r="BC44" s="14">
        <f>SUM(AU$5:AU44)</f>
        <v>0</v>
      </c>
      <c r="BD44" s="14">
        <f>SUM(AV$5:AV44)</f>
        <v>0</v>
      </c>
      <c r="BE44" s="14">
        <f>SUM(AW$5:AW44)</f>
        <v>0</v>
      </c>
      <c r="BF44" s="14">
        <f>SUM(AX$5:AX44)</f>
        <v>0</v>
      </c>
      <c r="BI44" s="14">
        <v>40</v>
      </c>
      <c r="BJ44" s="14">
        <f t="shared" si="6"/>
        <v>0</v>
      </c>
      <c r="BK44" s="14">
        <f t="shared" si="7"/>
        <v>0</v>
      </c>
      <c r="BL44" s="14">
        <f t="shared" si="8"/>
        <v>0</v>
      </c>
      <c r="BM44" s="14">
        <f t="shared" si="9"/>
        <v>0</v>
      </c>
      <c r="BN44" s="14">
        <f t="shared" si="10"/>
        <v>0</v>
      </c>
      <c r="BO44" s="14">
        <f t="shared" si="11"/>
        <v>0</v>
      </c>
      <c r="BP44" s="14">
        <f t="shared" si="12"/>
        <v>0</v>
      </c>
      <c r="BQ44" s="14">
        <f t="shared" si="13"/>
        <v>0</v>
      </c>
      <c r="BR44" s="14">
        <f t="shared" si="14"/>
        <v>0</v>
      </c>
      <c r="BS44" s="14">
        <f t="shared" si="15"/>
        <v>0</v>
      </c>
      <c r="BT44" s="14">
        <f t="shared" si="16"/>
        <v>0</v>
      </c>
      <c r="BU44" s="14">
        <f t="shared" si="17"/>
        <v>0</v>
      </c>
      <c r="BV44" s="14">
        <f t="shared" si="18"/>
        <v>0</v>
      </c>
      <c r="BW44" s="14">
        <f t="shared" si="19"/>
        <v>0</v>
      </c>
      <c r="BX44" s="14">
        <f t="shared" si="20"/>
        <v>0</v>
      </c>
      <c r="BY44" s="14">
        <f t="shared" si="21"/>
        <v>0</v>
      </c>
      <c r="BZ44" s="14">
        <f t="shared" si="22"/>
        <v>0</v>
      </c>
      <c r="CA44" s="14">
        <f t="shared" si="23"/>
        <v>0</v>
      </c>
      <c r="CB44" s="14">
        <f t="shared" si="24"/>
        <v>0</v>
      </c>
      <c r="CC44" s="14">
        <f t="shared" si="25"/>
        <v>0</v>
      </c>
    </row>
    <row r="45" spans="4:81" x14ac:dyDescent="0.15">
      <c r="D45" s="39"/>
      <c r="E45" s="40">
        <f>'[1]功能-行军令'!AD19</f>
        <v>0</v>
      </c>
      <c r="F45" s="40">
        <f>'[1]功能-行军令'!AE19</f>
        <v>0</v>
      </c>
      <c r="G45" s="40">
        <f>'[1]功能-行军令'!AF19</f>
        <v>0</v>
      </c>
      <c r="X45" s="14">
        <v>41</v>
      </c>
      <c r="Y45" s="30">
        <f t="shared" si="26"/>
        <v>0</v>
      </c>
      <c r="Z45" s="27">
        <f t="shared" si="4"/>
        <v>8.8000000000000009E-2</v>
      </c>
      <c r="AA45" s="14">
        <f>$Y45*$Z45*其他调用!V44</f>
        <v>0</v>
      </c>
      <c r="AB45" s="14">
        <f>$Y45*$Z45*其他调用!W44</f>
        <v>0</v>
      </c>
      <c r="AC45" s="14">
        <f>$Y45*$Z45*其他调用!X44</f>
        <v>0</v>
      </c>
      <c r="AD45" s="14">
        <f>$Y45*$Z45*其他调用!Y44</f>
        <v>0</v>
      </c>
      <c r="AE45" s="14">
        <f>$Y45*$Z45*其他调用!Z44</f>
        <v>0</v>
      </c>
      <c r="AH45" s="14">
        <v>41</v>
      </c>
      <c r="AI45" s="14">
        <f>SUM(AA$5:AA45)</f>
        <v>0</v>
      </c>
      <c r="AJ45" s="14">
        <f>SUM(AB$5:AB45)</f>
        <v>0</v>
      </c>
      <c r="AK45" s="14">
        <f>SUM(AC$5:AC45)</f>
        <v>0</v>
      </c>
      <c r="AL45" s="14">
        <f>SUM(AD$5:AD45)</f>
        <v>0</v>
      </c>
      <c r="AM45" s="14">
        <f>SUM(AE$5:AE45)</f>
        <v>0</v>
      </c>
      <c r="AR45" s="14">
        <v>41</v>
      </c>
      <c r="AS45" s="27">
        <f t="shared" si="5"/>
        <v>0.11200000000000002</v>
      </c>
      <c r="AT45" s="14">
        <f>求节点(E$28:E$32,$N$28:$N$32,$AR45)*$AS45*其他调用!V44/$E$4</f>
        <v>0</v>
      </c>
      <c r="AU45" s="14">
        <f>求节点(F$28:F$32,$N$28:$N$32,$AR45)*$AS45*其他调用!W44/$E$4</f>
        <v>0</v>
      </c>
      <c r="AV45" s="14">
        <f>求节点(G$28:G$32,$N$28:$N$32,$AR45)*$AS45*其他调用!X44/$E$4</f>
        <v>0</v>
      </c>
      <c r="AW45" s="14">
        <f>求节点(H$28:H$32,$N$28:$N$32,$AR45)*$AS45*其他调用!Y44/$E$4</f>
        <v>0</v>
      </c>
      <c r="AX45" s="14">
        <f>求节点(I$28:I$32,$N$28:$N$32,$AR45)*$AS45*其他调用!Z44/$E$4</f>
        <v>0</v>
      </c>
      <c r="BA45" s="14">
        <v>41</v>
      </c>
      <c r="BB45" s="14">
        <f>SUM(AT$5:AT45)</f>
        <v>0</v>
      </c>
      <c r="BC45" s="14">
        <f>SUM(AU$5:AU45)</f>
        <v>0</v>
      </c>
      <c r="BD45" s="14">
        <f>SUM(AV$5:AV45)</f>
        <v>0</v>
      </c>
      <c r="BE45" s="14">
        <f>SUM(AW$5:AW45)</f>
        <v>0</v>
      </c>
      <c r="BF45" s="14">
        <f>SUM(AX$5:AX45)</f>
        <v>0</v>
      </c>
      <c r="BI45" s="14">
        <v>41</v>
      </c>
      <c r="BJ45" s="14">
        <f t="shared" si="6"/>
        <v>0</v>
      </c>
      <c r="BK45" s="14">
        <f t="shared" si="7"/>
        <v>0</v>
      </c>
      <c r="BL45" s="14">
        <f t="shared" si="8"/>
        <v>0</v>
      </c>
      <c r="BM45" s="14">
        <f t="shared" si="9"/>
        <v>0</v>
      </c>
      <c r="BN45" s="14">
        <f t="shared" si="10"/>
        <v>0</v>
      </c>
      <c r="BO45" s="14">
        <f t="shared" si="11"/>
        <v>0</v>
      </c>
      <c r="BP45" s="14">
        <f t="shared" si="12"/>
        <v>0</v>
      </c>
      <c r="BQ45" s="14">
        <f t="shared" si="13"/>
        <v>0</v>
      </c>
      <c r="BR45" s="14">
        <f t="shared" si="14"/>
        <v>0</v>
      </c>
      <c r="BS45" s="14">
        <f t="shared" si="15"/>
        <v>0</v>
      </c>
      <c r="BT45" s="14">
        <f t="shared" si="16"/>
        <v>0</v>
      </c>
      <c r="BU45" s="14">
        <f t="shared" si="17"/>
        <v>0</v>
      </c>
      <c r="BV45" s="14">
        <f t="shared" si="18"/>
        <v>0</v>
      </c>
      <c r="BW45" s="14">
        <f t="shared" si="19"/>
        <v>0</v>
      </c>
      <c r="BX45" s="14">
        <f t="shared" si="20"/>
        <v>0</v>
      </c>
      <c r="BY45" s="14">
        <f t="shared" si="21"/>
        <v>0</v>
      </c>
      <c r="BZ45" s="14">
        <f t="shared" si="22"/>
        <v>0</v>
      </c>
      <c r="CA45" s="14">
        <f t="shared" si="23"/>
        <v>0</v>
      </c>
      <c r="CB45" s="14">
        <f t="shared" si="24"/>
        <v>0</v>
      </c>
      <c r="CC45" s="14">
        <f t="shared" si="25"/>
        <v>0</v>
      </c>
    </row>
    <row r="46" spans="4:81" x14ac:dyDescent="0.15">
      <c r="D46" s="39" t="s">
        <v>267</v>
      </c>
      <c r="E46" s="40">
        <f>'[1]功能-行军令'!AD20</f>
        <v>0</v>
      </c>
      <c r="F46" s="40">
        <f>'[1]功能-行军令'!AE20</f>
        <v>0</v>
      </c>
      <c r="G46" s="40" t="e">
        <f>'[1]功能-行军令'!AF20</f>
        <v>#DIV/0!</v>
      </c>
      <c r="X46" s="14">
        <v>42</v>
      </c>
      <c r="Y46" s="30">
        <f t="shared" si="26"/>
        <v>0</v>
      </c>
      <c r="Z46" s="27">
        <f t="shared" si="4"/>
        <v>8.8000000000000009E-2</v>
      </c>
      <c r="AA46" s="14">
        <f>$Y46*$Z46*其他调用!V45</f>
        <v>0</v>
      </c>
      <c r="AB46" s="14">
        <f>$Y46*$Z46*其他调用!W45</f>
        <v>0</v>
      </c>
      <c r="AC46" s="14">
        <f>$Y46*$Z46*其他调用!X45</f>
        <v>0</v>
      </c>
      <c r="AD46" s="14">
        <f>$Y46*$Z46*其他调用!Y45</f>
        <v>0</v>
      </c>
      <c r="AE46" s="14">
        <f>$Y46*$Z46*其他调用!Z45</f>
        <v>0</v>
      </c>
      <c r="AH46" s="14">
        <v>42</v>
      </c>
      <c r="AI46" s="14">
        <f>SUM(AA$5:AA46)</f>
        <v>0</v>
      </c>
      <c r="AJ46" s="14">
        <f>SUM(AB$5:AB46)</f>
        <v>0</v>
      </c>
      <c r="AK46" s="14">
        <f>SUM(AC$5:AC46)</f>
        <v>0</v>
      </c>
      <c r="AL46" s="14">
        <f>SUM(AD$5:AD46)</f>
        <v>0</v>
      </c>
      <c r="AM46" s="14">
        <f>SUM(AE$5:AE46)</f>
        <v>0</v>
      </c>
      <c r="AR46" s="14">
        <v>42</v>
      </c>
      <c r="AS46" s="27">
        <f t="shared" si="5"/>
        <v>0.11200000000000002</v>
      </c>
      <c r="AT46" s="14">
        <f>求节点(E$28:E$32,$N$28:$N$32,$AR46)*$AS46*其他调用!V45/$E$4</f>
        <v>0</v>
      </c>
      <c r="AU46" s="14">
        <f>求节点(F$28:F$32,$N$28:$N$32,$AR46)*$AS46*其他调用!W45/$E$4</f>
        <v>0</v>
      </c>
      <c r="AV46" s="14">
        <f>求节点(G$28:G$32,$N$28:$N$32,$AR46)*$AS46*其他调用!X45/$E$4</f>
        <v>0</v>
      </c>
      <c r="AW46" s="14">
        <f>求节点(H$28:H$32,$N$28:$N$32,$AR46)*$AS46*其他调用!Y45/$E$4</f>
        <v>0</v>
      </c>
      <c r="AX46" s="14">
        <f>求节点(I$28:I$32,$N$28:$N$32,$AR46)*$AS46*其他调用!Z45/$E$4</f>
        <v>0</v>
      </c>
      <c r="BA46" s="14">
        <v>42</v>
      </c>
      <c r="BB46" s="14">
        <f>SUM(AT$5:AT46)</f>
        <v>0</v>
      </c>
      <c r="BC46" s="14">
        <f>SUM(AU$5:AU46)</f>
        <v>0</v>
      </c>
      <c r="BD46" s="14">
        <f>SUM(AV$5:AV46)</f>
        <v>0</v>
      </c>
      <c r="BE46" s="14">
        <f>SUM(AW$5:AW46)</f>
        <v>0</v>
      </c>
      <c r="BF46" s="14">
        <f>SUM(AX$5:AX46)</f>
        <v>0</v>
      </c>
      <c r="BI46" s="14">
        <v>42</v>
      </c>
      <c r="BJ46" s="14">
        <f t="shared" si="6"/>
        <v>0</v>
      </c>
      <c r="BK46" s="14">
        <f t="shared" si="7"/>
        <v>0</v>
      </c>
      <c r="BL46" s="14">
        <f t="shared" si="8"/>
        <v>0</v>
      </c>
      <c r="BM46" s="14">
        <f t="shared" si="9"/>
        <v>0</v>
      </c>
      <c r="BN46" s="14">
        <f t="shared" si="10"/>
        <v>0</v>
      </c>
      <c r="BO46" s="14">
        <f t="shared" si="11"/>
        <v>0</v>
      </c>
      <c r="BP46" s="14">
        <f t="shared" si="12"/>
        <v>0</v>
      </c>
      <c r="BQ46" s="14">
        <f t="shared" si="13"/>
        <v>0</v>
      </c>
      <c r="BR46" s="14">
        <f t="shared" si="14"/>
        <v>0</v>
      </c>
      <c r="BS46" s="14">
        <f t="shared" si="15"/>
        <v>0</v>
      </c>
      <c r="BT46" s="14">
        <f t="shared" si="16"/>
        <v>0</v>
      </c>
      <c r="BU46" s="14">
        <f t="shared" si="17"/>
        <v>0</v>
      </c>
      <c r="BV46" s="14">
        <f t="shared" si="18"/>
        <v>0</v>
      </c>
      <c r="BW46" s="14">
        <f t="shared" si="19"/>
        <v>0</v>
      </c>
      <c r="BX46" s="14">
        <f t="shared" si="20"/>
        <v>0</v>
      </c>
      <c r="BY46" s="14">
        <f t="shared" si="21"/>
        <v>0</v>
      </c>
      <c r="BZ46" s="14">
        <f t="shared" si="22"/>
        <v>0</v>
      </c>
      <c r="CA46" s="14">
        <f t="shared" si="23"/>
        <v>0</v>
      </c>
      <c r="CB46" s="14">
        <f t="shared" si="24"/>
        <v>0</v>
      </c>
      <c r="CC46" s="14">
        <f t="shared" si="25"/>
        <v>0</v>
      </c>
    </row>
    <row r="47" spans="4:81" x14ac:dyDescent="0.15">
      <c r="D47" s="41" t="s">
        <v>259</v>
      </c>
      <c r="E47" s="42">
        <f>'[1]功能-行军令'!AD21</f>
        <v>0.1</v>
      </c>
      <c r="F47" s="42">
        <f>'[1]功能-行军令'!AE21</f>
        <v>0.1</v>
      </c>
      <c r="G47" s="42">
        <f>'[1]功能-行军令'!AF21</f>
        <v>1</v>
      </c>
      <c r="X47" s="14">
        <v>43</v>
      </c>
      <c r="Y47" s="30">
        <f t="shared" si="26"/>
        <v>0</v>
      </c>
      <c r="Z47" s="27">
        <f t="shared" si="4"/>
        <v>8.8000000000000009E-2</v>
      </c>
      <c r="AA47" s="14">
        <f>$Y47*$Z47*其他调用!V46</f>
        <v>0</v>
      </c>
      <c r="AB47" s="14">
        <f>$Y47*$Z47*其他调用!W46</f>
        <v>0</v>
      </c>
      <c r="AC47" s="14">
        <f>$Y47*$Z47*其他调用!X46</f>
        <v>0</v>
      </c>
      <c r="AD47" s="14">
        <f>$Y47*$Z47*其他调用!Y46</f>
        <v>0</v>
      </c>
      <c r="AE47" s="14">
        <f>$Y47*$Z47*其他调用!Z46</f>
        <v>0</v>
      </c>
      <c r="AH47" s="14">
        <v>43</v>
      </c>
      <c r="AI47" s="14">
        <f>SUM(AA$5:AA47)</f>
        <v>0</v>
      </c>
      <c r="AJ47" s="14">
        <f>SUM(AB$5:AB47)</f>
        <v>0</v>
      </c>
      <c r="AK47" s="14">
        <f>SUM(AC$5:AC47)</f>
        <v>0</v>
      </c>
      <c r="AL47" s="14">
        <f>SUM(AD$5:AD47)</f>
        <v>0</v>
      </c>
      <c r="AM47" s="14">
        <f>SUM(AE$5:AE47)</f>
        <v>0</v>
      </c>
      <c r="AR47" s="14">
        <v>43</v>
      </c>
      <c r="AS47" s="27">
        <f t="shared" si="5"/>
        <v>0.11200000000000002</v>
      </c>
      <c r="AT47" s="14">
        <f>求节点(E$28:E$32,$N$28:$N$32,$AR47)*$AS47*其他调用!V46/$E$4</f>
        <v>0</v>
      </c>
      <c r="AU47" s="14">
        <f>求节点(F$28:F$32,$N$28:$N$32,$AR47)*$AS47*其他调用!W46/$E$4</f>
        <v>0</v>
      </c>
      <c r="AV47" s="14">
        <f>求节点(G$28:G$32,$N$28:$N$32,$AR47)*$AS47*其他调用!X46/$E$4</f>
        <v>0</v>
      </c>
      <c r="AW47" s="14">
        <f>求节点(H$28:H$32,$N$28:$N$32,$AR47)*$AS47*其他调用!Y46/$E$4</f>
        <v>0</v>
      </c>
      <c r="AX47" s="14">
        <f>求节点(I$28:I$32,$N$28:$N$32,$AR47)*$AS47*其他调用!Z46/$E$4</f>
        <v>0</v>
      </c>
      <c r="BA47" s="14">
        <v>43</v>
      </c>
      <c r="BB47" s="14">
        <f>SUM(AT$5:AT47)</f>
        <v>0</v>
      </c>
      <c r="BC47" s="14">
        <f>SUM(AU$5:AU47)</f>
        <v>0</v>
      </c>
      <c r="BD47" s="14">
        <f>SUM(AV$5:AV47)</f>
        <v>0</v>
      </c>
      <c r="BE47" s="14">
        <f>SUM(AW$5:AW47)</f>
        <v>0</v>
      </c>
      <c r="BF47" s="14">
        <f>SUM(AX$5:AX47)</f>
        <v>0</v>
      </c>
      <c r="BI47" s="14">
        <v>43</v>
      </c>
      <c r="BJ47" s="14">
        <f t="shared" si="6"/>
        <v>0</v>
      </c>
      <c r="BK47" s="14">
        <f t="shared" si="7"/>
        <v>0</v>
      </c>
      <c r="BL47" s="14">
        <f t="shared" si="8"/>
        <v>0</v>
      </c>
      <c r="BM47" s="14">
        <f t="shared" si="9"/>
        <v>0</v>
      </c>
      <c r="BN47" s="14">
        <f t="shared" si="10"/>
        <v>0</v>
      </c>
      <c r="BO47" s="14">
        <f t="shared" si="11"/>
        <v>0</v>
      </c>
      <c r="BP47" s="14">
        <f t="shared" si="12"/>
        <v>0</v>
      </c>
      <c r="BQ47" s="14">
        <f t="shared" si="13"/>
        <v>0</v>
      </c>
      <c r="BR47" s="14">
        <f t="shared" si="14"/>
        <v>0</v>
      </c>
      <c r="BS47" s="14">
        <f t="shared" si="15"/>
        <v>0</v>
      </c>
      <c r="BT47" s="14">
        <f t="shared" si="16"/>
        <v>0</v>
      </c>
      <c r="BU47" s="14">
        <f t="shared" si="17"/>
        <v>0</v>
      </c>
      <c r="BV47" s="14">
        <f t="shared" si="18"/>
        <v>0</v>
      </c>
      <c r="BW47" s="14">
        <f t="shared" si="19"/>
        <v>0</v>
      </c>
      <c r="BX47" s="14">
        <f t="shared" si="20"/>
        <v>0</v>
      </c>
      <c r="BY47" s="14">
        <f t="shared" si="21"/>
        <v>0</v>
      </c>
      <c r="BZ47" s="14">
        <f t="shared" si="22"/>
        <v>0</v>
      </c>
      <c r="CA47" s="14">
        <f t="shared" si="23"/>
        <v>0</v>
      </c>
      <c r="CB47" s="14">
        <f t="shared" si="24"/>
        <v>0</v>
      </c>
      <c r="CC47" s="14">
        <f t="shared" si="25"/>
        <v>0</v>
      </c>
    </row>
    <row r="48" spans="4:81" x14ac:dyDescent="0.15">
      <c r="D48" s="39" t="s">
        <v>268</v>
      </c>
      <c r="E48" s="40">
        <f>'[1]功能-行军令'!AD22</f>
        <v>0</v>
      </c>
      <c r="F48" s="40">
        <f>'[1]功能-行军令'!AE22</f>
        <v>0</v>
      </c>
      <c r="G48" s="40" t="e">
        <f>'[1]功能-行军令'!AF22</f>
        <v>#DIV/0!</v>
      </c>
      <c r="X48" s="14">
        <v>44</v>
      </c>
      <c r="Y48" s="30">
        <f t="shared" si="26"/>
        <v>0</v>
      </c>
      <c r="Z48" s="27">
        <f t="shared" si="4"/>
        <v>8.8000000000000009E-2</v>
      </c>
      <c r="AA48" s="14">
        <f>$Y48*$Z48*其他调用!V47</f>
        <v>0</v>
      </c>
      <c r="AB48" s="14">
        <f>$Y48*$Z48*其他调用!W47</f>
        <v>0</v>
      </c>
      <c r="AC48" s="14">
        <f>$Y48*$Z48*其他调用!X47</f>
        <v>0</v>
      </c>
      <c r="AD48" s="14">
        <f>$Y48*$Z48*其他调用!Y47</f>
        <v>0</v>
      </c>
      <c r="AE48" s="14">
        <f>$Y48*$Z48*其他调用!Z47</f>
        <v>0</v>
      </c>
      <c r="AH48" s="14">
        <v>44</v>
      </c>
      <c r="AI48" s="14">
        <f>SUM(AA$5:AA48)</f>
        <v>0</v>
      </c>
      <c r="AJ48" s="14">
        <f>SUM(AB$5:AB48)</f>
        <v>0</v>
      </c>
      <c r="AK48" s="14">
        <f>SUM(AC$5:AC48)</f>
        <v>0</v>
      </c>
      <c r="AL48" s="14">
        <f>SUM(AD$5:AD48)</f>
        <v>0</v>
      </c>
      <c r="AM48" s="14">
        <f>SUM(AE$5:AE48)</f>
        <v>0</v>
      </c>
      <c r="AR48" s="14">
        <v>44</v>
      </c>
      <c r="AS48" s="27">
        <f t="shared" si="5"/>
        <v>0.11200000000000002</v>
      </c>
      <c r="AT48" s="14">
        <f>求节点(E$28:E$32,$N$28:$N$32,$AR48)*$AS48*其他调用!V47/$E$4</f>
        <v>0</v>
      </c>
      <c r="AU48" s="14">
        <f>求节点(F$28:F$32,$N$28:$N$32,$AR48)*$AS48*其他调用!W47/$E$4</f>
        <v>0</v>
      </c>
      <c r="AV48" s="14">
        <f>求节点(G$28:G$32,$N$28:$N$32,$AR48)*$AS48*其他调用!X47/$E$4</f>
        <v>0</v>
      </c>
      <c r="AW48" s="14">
        <f>求节点(H$28:H$32,$N$28:$N$32,$AR48)*$AS48*其他调用!Y47/$E$4</f>
        <v>0</v>
      </c>
      <c r="AX48" s="14">
        <f>求节点(I$28:I$32,$N$28:$N$32,$AR48)*$AS48*其他调用!Z47/$E$4</f>
        <v>0</v>
      </c>
      <c r="BA48" s="14">
        <v>44</v>
      </c>
      <c r="BB48" s="14">
        <f>SUM(AT$5:AT48)</f>
        <v>0</v>
      </c>
      <c r="BC48" s="14">
        <f>SUM(AU$5:AU48)</f>
        <v>0</v>
      </c>
      <c r="BD48" s="14">
        <f>SUM(AV$5:AV48)</f>
        <v>0</v>
      </c>
      <c r="BE48" s="14">
        <f>SUM(AW$5:AW48)</f>
        <v>0</v>
      </c>
      <c r="BF48" s="14">
        <f>SUM(AX$5:AX48)</f>
        <v>0</v>
      </c>
      <c r="BI48" s="14">
        <v>44</v>
      </c>
      <c r="BJ48" s="14">
        <f t="shared" si="6"/>
        <v>0</v>
      </c>
      <c r="BK48" s="14">
        <f t="shared" si="7"/>
        <v>0</v>
      </c>
      <c r="BL48" s="14">
        <f t="shared" si="8"/>
        <v>0</v>
      </c>
      <c r="BM48" s="14">
        <f t="shared" si="9"/>
        <v>0</v>
      </c>
      <c r="BN48" s="14">
        <f t="shared" si="10"/>
        <v>0</v>
      </c>
      <c r="BO48" s="14">
        <f t="shared" si="11"/>
        <v>0</v>
      </c>
      <c r="BP48" s="14">
        <f t="shared" si="12"/>
        <v>0</v>
      </c>
      <c r="BQ48" s="14">
        <f t="shared" si="13"/>
        <v>0</v>
      </c>
      <c r="BR48" s="14">
        <f t="shared" si="14"/>
        <v>0</v>
      </c>
      <c r="BS48" s="14">
        <f t="shared" si="15"/>
        <v>0</v>
      </c>
      <c r="BT48" s="14">
        <f t="shared" si="16"/>
        <v>0</v>
      </c>
      <c r="BU48" s="14">
        <f t="shared" si="17"/>
        <v>0</v>
      </c>
      <c r="BV48" s="14">
        <f t="shared" si="18"/>
        <v>0</v>
      </c>
      <c r="BW48" s="14">
        <f t="shared" si="19"/>
        <v>0</v>
      </c>
      <c r="BX48" s="14">
        <f t="shared" si="20"/>
        <v>0</v>
      </c>
      <c r="BY48" s="14">
        <f t="shared" si="21"/>
        <v>0</v>
      </c>
      <c r="BZ48" s="14">
        <f t="shared" si="22"/>
        <v>0</v>
      </c>
      <c r="CA48" s="14">
        <f t="shared" si="23"/>
        <v>0</v>
      </c>
      <c r="CB48" s="14">
        <f t="shared" si="24"/>
        <v>0</v>
      </c>
      <c r="CC48" s="14">
        <f t="shared" si="25"/>
        <v>0</v>
      </c>
    </row>
    <row r="49" spans="2:81" x14ac:dyDescent="0.15">
      <c r="D49" s="41" t="s">
        <v>269</v>
      </c>
      <c r="E49" s="42">
        <f>'[1]功能-行军令'!AD23</f>
        <v>0.2</v>
      </c>
      <c r="F49" s="42">
        <f>'[1]功能-行军令'!AE23</f>
        <v>0.2</v>
      </c>
      <c r="G49" s="42">
        <f>'[1]功能-行军令'!AF23</f>
        <v>1</v>
      </c>
      <c r="X49" s="14">
        <v>45</v>
      </c>
      <c r="Y49" s="30">
        <f t="shared" si="26"/>
        <v>0</v>
      </c>
      <c r="Z49" s="27">
        <f t="shared" si="4"/>
        <v>8.8000000000000009E-2</v>
      </c>
      <c r="AA49" s="14">
        <f>$Y49*$Z49*其他调用!V48</f>
        <v>0</v>
      </c>
      <c r="AB49" s="14">
        <f>$Y49*$Z49*其他调用!W48</f>
        <v>0</v>
      </c>
      <c r="AC49" s="14">
        <f>$Y49*$Z49*其他调用!X48</f>
        <v>0</v>
      </c>
      <c r="AD49" s="14">
        <f>$Y49*$Z49*其他调用!Y48</f>
        <v>0</v>
      </c>
      <c r="AE49" s="14">
        <f>$Y49*$Z49*其他调用!Z48</f>
        <v>0</v>
      </c>
      <c r="AH49" s="14">
        <v>45</v>
      </c>
      <c r="AI49" s="14">
        <f>SUM(AA$5:AA49)</f>
        <v>0</v>
      </c>
      <c r="AJ49" s="14">
        <f>SUM(AB$5:AB49)</f>
        <v>0</v>
      </c>
      <c r="AK49" s="14">
        <f>SUM(AC$5:AC49)</f>
        <v>0</v>
      </c>
      <c r="AL49" s="14">
        <f>SUM(AD$5:AD49)</f>
        <v>0</v>
      </c>
      <c r="AM49" s="14">
        <f>SUM(AE$5:AE49)</f>
        <v>0</v>
      </c>
      <c r="AR49" s="14">
        <v>45</v>
      </c>
      <c r="AS49" s="27">
        <f t="shared" si="5"/>
        <v>0.11200000000000002</v>
      </c>
      <c r="AT49" s="14">
        <f>求节点(E$28:E$32,$N$28:$N$32,$AR49)*$AS49*其他调用!V48/$E$4</f>
        <v>0</v>
      </c>
      <c r="AU49" s="14">
        <f>求节点(F$28:F$32,$N$28:$N$32,$AR49)*$AS49*其他调用!W48/$E$4</f>
        <v>0</v>
      </c>
      <c r="AV49" s="14">
        <f>求节点(G$28:G$32,$N$28:$N$32,$AR49)*$AS49*其他调用!X48/$E$4</f>
        <v>0</v>
      </c>
      <c r="AW49" s="14">
        <f>求节点(H$28:H$32,$N$28:$N$32,$AR49)*$AS49*其他调用!Y48/$E$4</f>
        <v>0</v>
      </c>
      <c r="AX49" s="14">
        <f>求节点(I$28:I$32,$N$28:$N$32,$AR49)*$AS49*其他调用!Z48/$E$4</f>
        <v>0</v>
      </c>
      <c r="BA49" s="14">
        <v>45</v>
      </c>
      <c r="BB49" s="14">
        <f>SUM(AT$5:AT49)</f>
        <v>0</v>
      </c>
      <c r="BC49" s="14">
        <f>SUM(AU$5:AU49)</f>
        <v>0</v>
      </c>
      <c r="BD49" s="14">
        <f>SUM(AV$5:AV49)</f>
        <v>0</v>
      </c>
      <c r="BE49" s="14">
        <f>SUM(AW$5:AW49)</f>
        <v>0</v>
      </c>
      <c r="BF49" s="14">
        <f>SUM(AX$5:AX49)</f>
        <v>0</v>
      </c>
      <c r="BI49" s="14">
        <v>45</v>
      </c>
      <c r="BJ49" s="14">
        <f t="shared" si="6"/>
        <v>0</v>
      </c>
      <c r="BK49" s="14">
        <f t="shared" si="7"/>
        <v>0</v>
      </c>
      <c r="BL49" s="14">
        <f t="shared" si="8"/>
        <v>0</v>
      </c>
      <c r="BM49" s="14">
        <f t="shared" si="9"/>
        <v>0</v>
      </c>
      <c r="BN49" s="14">
        <f t="shared" si="10"/>
        <v>0</v>
      </c>
      <c r="BO49" s="14">
        <f t="shared" si="11"/>
        <v>0</v>
      </c>
      <c r="BP49" s="14">
        <f t="shared" si="12"/>
        <v>0</v>
      </c>
      <c r="BQ49" s="14">
        <f t="shared" si="13"/>
        <v>0</v>
      </c>
      <c r="BR49" s="14">
        <f t="shared" si="14"/>
        <v>0</v>
      </c>
      <c r="BS49" s="14">
        <f t="shared" si="15"/>
        <v>0</v>
      </c>
      <c r="BT49" s="14">
        <f t="shared" si="16"/>
        <v>0</v>
      </c>
      <c r="BU49" s="14">
        <f t="shared" si="17"/>
        <v>0</v>
      </c>
      <c r="BV49" s="14">
        <f t="shared" si="18"/>
        <v>0</v>
      </c>
      <c r="BW49" s="14">
        <f t="shared" si="19"/>
        <v>0</v>
      </c>
      <c r="BX49" s="14">
        <f t="shared" si="20"/>
        <v>0</v>
      </c>
      <c r="BY49" s="14">
        <f t="shared" si="21"/>
        <v>0</v>
      </c>
      <c r="BZ49" s="14">
        <f t="shared" si="22"/>
        <v>0</v>
      </c>
      <c r="CA49" s="14">
        <f t="shared" si="23"/>
        <v>0</v>
      </c>
      <c r="CB49" s="14">
        <f t="shared" si="24"/>
        <v>0</v>
      </c>
      <c r="CC49" s="14">
        <f t="shared" si="25"/>
        <v>0</v>
      </c>
    </row>
    <row r="50" spans="2:81" x14ac:dyDescent="0.15">
      <c r="D50" s="14" t="s">
        <v>270</v>
      </c>
      <c r="E50" s="42">
        <f>'[1]功能-行军令'!AD24</f>
        <v>1</v>
      </c>
      <c r="F50" s="42">
        <f>'[1]功能-行军令'!AE24</f>
        <v>0</v>
      </c>
      <c r="G50" s="42">
        <f>'[1]功能-行军令'!AF24</f>
        <v>0</v>
      </c>
      <c r="X50" s="14">
        <v>46</v>
      </c>
      <c r="Y50" s="30">
        <f t="shared" si="26"/>
        <v>0</v>
      </c>
      <c r="Z50" s="27">
        <f t="shared" si="4"/>
        <v>8.8000000000000009E-2</v>
      </c>
      <c r="AA50" s="14">
        <f>$Y50*$Z50*其他调用!V49</f>
        <v>0</v>
      </c>
      <c r="AB50" s="14">
        <f>$Y50*$Z50*其他调用!W49</f>
        <v>0</v>
      </c>
      <c r="AC50" s="14">
        <f>$Y50*$Z50*其他调用!X49</f>
        <v>0</v>
      </c>
      <c r="AD50" s="14">
        <f>$Y50*$Z50*其他调用!Y49</f>
        <v>0</v>
      </c>
      <c r="AE50" s="14">
        <f>$Y50*$Z50*其他调用!Z49</f>
        <v>0</v>
      </c>
      <c r="AH50" s="14">
        <v>46</v>
      </c>
      <c r="AI50" s="14">
        <f>SUM(AA$5:AA50)</f>
        <v>0</v>
      </c>
      <c r="AJ50" s="14">
        <f>SUM(AB$5:AB50)</f>
        <v>0</v>
      </c>
      <c r="AK50" s="14">
        <f>SUM(AC$5:AC50)</f>
        <v>0</v>
      </c>
      <c r="AL50" s="14">
        <f>SUM(AD$5:AD50)</f>
        <v>0</v>
      </c>
      <c r="AM50" s="14">
        <f>SUM(AE$5:AE50)</f>
        <v>0</v>
      </c>
      <c r="AR50" s="14">
        <v>46</v>
      </c>
      <c r="AS50" s="27">
        <f t="shared" si="5"/>
        <v>0.11200000000000002</v>
      </c>
      <c r="AT50" s="14">
        <f>求节点(E$28:E$32,$N$28:$N$32,$AR50)*$AS50*其他调用!V49/$E$4</f>
        <v>0</v>
      </c>
      <c r="AU50" s="14">
        <f>求节点(F$28:F$32,$N$28:$N$32,$AR50)*$AS50*其他调用!W49/$E$4</f>
        <v>0</v>
      </c>
      <c r="AV50" s="14">
        <f>求节点(G$28:G$32,$N$28:$N$32,$AR50)*$AS50*其他调用!X49/$E$4</f>
        <v>0</v>
      </c>
      <c r="AW50" s="14">
        <f>求节点(H$28:H$32,$N$28:$N$32,$AR50)*$AS50*其他调用!Y49/$E$4</f>
        <v>0</v>
      </c>
      <c r="AX50" s="14">
        <f>求节点(I$28:I$32,$N$28:$N$32,$AR50)*$AS50*其他调用!Z49/$E$4</f>
        <v>0</v>
      </c>
      <c r="BA50" s="14">
        <v>46</v>
      </c>
      <c r="BB50" s="14">
        <f>SUM(AT$5:AT50)</f>
        <v>0</v>
      </c>
      <c r="BC50" s="14">
        <f>SUM(AU$5:AU50)</f>
        <v>0</v>
      </c>
      <c r="BD50" s="14">
        <f>SUM(AV$5:AV50)</f>
        <v>0</v>
      </c>
      <c r="BE50" s="14">
        <f>SUM(AW$5:AW50)</f>
        <v>0</v>
      </c>
      <c r="BF50" s="14">
        <f>SUM(AX$5:AX50)</f>
        <v>0</v>
      </c>
      <c r="BI50" s="14">
        <v>46</v>
      </c>
      <c r="BJ50" s="14">
        <f t="shared" si="6"/>
        <v>0</v>
      </c>
      <c r="BK50" s="14">
        <f t="shared" si="7"/>
        <v>0</v>
      </c>
      <c r="BL50" s="14">
        <f t="shared" si="8"/>
        <v>0</v>
      </c>
      <c r="BM50" s="14">
        <f t="shared" si="9"/>
        <v>0</v>
      </c>
      <c r="BN50" s="14">
        <f t="shared" si="10"/>
        <v>0</v>
      </c>
      <c r="BO50" s="14">
        <f t="shared" si="11"/>
        <v>0</v>
      </c>
      <c r="BP50" s="14">
        <f t="shared" si="12"/>
        <v>0</v>
      </c>
      <c r="BQ50" s="14">
        <f t="shared" si="13"/>
        <v>0</v>
      </c>
      <c r="BR50" s="14">
        <f t="shared" si="14"/>
        <v>0</v>
      </c>
      <c r="BS50" s="14">
        <f t="shared" si="15"/>
        <v>0</v>
      </c>
      <c r="BT50" s="14">
        <f t="shared" si="16"/>
        <v>0</v>
      </c>
      <c r="BU50" s="14">
        <f t="shared" si="17"/>
        <v>0</v>
      </c>
      <c r="BV50" s="14">
        <f t="shared" si="18"/>
        <v>0</v>
      </c>
      <c r="BW50" s="14">
        <f t="shared" si="19"/>
        <v>0</v>
      </c>
      <c r="BX50" s="14">
        <f t="shared" si="20"/>
        <v>0</v>
      </c>
      <c r="BY50" s="14">
        <f t="shared" si="21"/>
        <v>0</v>
      </c>
      <c r="BZ50" s="14">
        <f t="shared" si="22"/>
        <v>0</v>
      </c>
      <c r="CA50" s="14">
        <f t="shared" si="23"/>
        <v>0</v>
      </c>
      <c r="CB50" s="14">
        <f t="shared" si="24"/>
        <v>0</v>
      </c>
      <c r="CC50" s="14">
        <f t="shared" si="25"/>
        <v>0</v>
      </c>
    </row>
    <row r="51" spans="2:81" x14ac:dyDescent="0.15">
      <c r="X51" s="14">
        <v>47</v>
      </c>
      <c r="Y51" s="30">
        <f t="shared" si="26"/>
        <v>0</v>
      </c>
      <c r="Z51" s="27">
        <f t="shared" si="4"/>
        <v>8.8000000000000009E-2</v>
      </c>
      <c r="AA51" s="14">
        <f>$Y51*$Z51*其他调用!V50</f>
        <v>0</v>
      </c>
      <c r="AB51" s="14">
        <f>$Y51*$Z51*其他调用!W50</f>
        <v>0</v>
      </c>
      <c r="AC51" s="14">
        <f>$Y51*$Z51*其他调用!X50</f>
        <v>0</v>
      </c>
      <c r="AD51" s="14">
        <f>$Y51*$Z51*其他调用!Y50</f>
        <v>0</v>
      </c>
      <c r="AE51" s="14">
        <f>$Y51*$Z51*其他调用!Z50</f>
        <v>0</v>
      </c>
      <c r="AH51" s="14">
        <v>47</v>
      </c>
      <c r="AI51" s="14">
        <f>SUM(AA$5:AA51)</f>
        <v>0</v>
      </c>
      <c r="AJ51" s="14">
        <f>SUM(AB$5:AB51)</f>
        <v>0</v>
      </c>
      <c r="AK51" s="14">
        <f>SUM(AC$5:AC51)</f>
        <v>0</v>
      </c>
      <c r="AL51" s="14">
        <f>SUM(AD$5:AD51)</f>
        <v>0</v>
      </c>
      <c r="AM51" s="14">
        <f>SUM(AE$5:AE51)</f>
        <v>0</v>
      </c>
      <c r="AR51" s="14">
        <v>47</v>
      </c>
      <c r="AS51" s="27">
        <f t="shared" si="5"/>
        <v>0.11200000000000002</v>
      </c>
      <c r="AT51" s="14">
        <f>求节点(E$28:E$32,$N$28:$N$32,$AR51)*$AS51*其他调用!V50/$E$4</f>
        <v>0</v>
      </c>
      <c r="AU51" s="14">
        <f>求节点(F$28:F$32,$N$28:$N$32,$AR51)*$AS51*其他调用!W50/$E$4</f>
        <v>0</v>
      </c>
      <c r="AV51" s="14">
        <f>求节点(G$28:G$32,$N$28:$N$32,$AR51)*$AS51*其他调用!X50/$E$4</f>
        <v>0</v>
      </c>
      <c r="AW51" s="14">
        <f>求节点(H$28:H$32,$N$28:$N$32,$AR51)*$AS51*其他调用!Y50/$E$4</f>
        <v>0</v>
      </c>
      <c r="AX51" s="14">
        <f>求节点(I$28:I$32,$N$28:$N$32,$AR51)*$AS51*其他调用!Z50/$E$4</f>
        <v>0</v>
      </c>
      <c r="BA51" s="14">
        <v>47</v>
      </c>
      <c r="BB51" s="14">
        <f>SUM(AT$5:AT51)</f>
        <v>0</v>
      </c>
      <c r="BC51" s="14">
        <f>SUM(AU$5:AU51)</f>
        <v>0</v>
      </c>
      <c r="BD51" s="14">
        <f>SUM(AV$5:AV51)</f>
        <v>0</v>
      </c>
      <c r="BE51" s="14">
        <f>SUM(AW$5:AW51)</f>
        <v>0</v>
      </c>
      <c r="BF51" s="14">
        <f>SUM(AX$5:AX51)</f>
        <v>0</v>
      </c>
      <c r="BI51" s="14">
        <v>47</v>
      </c>
      <c r="BJ51" s="14">
        <f t="shared" si="6"/>
        <v>0</v>
      </c>
      <c r="BK51" s="14">
        <f t="shared" si="7"/>
        <v>0</v>
      </c>
      <c r="BL51" s="14">
        <f t="shared" si="8"/>
        <v>0</v>
      </c>
      <c r="BM51" s="14">
        <f t="shared" si="9"/>
        <v>0</v>
      </c>
      <c r="BN51" s="14">
        <f t="shared" si="10"/>
        <v>0</v>
      </c>
      <c r="BO51" s="14">
        <f t="shared" si="11"/>
        <v>0</v>
      </c>
      <c r="BP51" s="14">
        <f t="shared" si="12"/>
        <v>0</v>
      </c>
      <c r="BQ51" s="14">
        <f t="shared" si="13"/>
        <v>0</v>
      </c>
      <c r="BR51" s="14">
        <f t="shared" si="14"/>
        <v>0</v>
      </c>
      <c r="BS51" s="14">
        <f t="shared" si="15"/>
        <v>0</v>
      </c>
      <c r="BT51" s="14">
        <f t="shared" si="16"/>
        <v>0</v>
      </c>
      <c r="BU51" s="14">
        <f t="shared" si="17"/>
        <v>0</v>
      </c>
      <c r="BV51" s="14">
        <f t="shared" si="18"/>
        <v>0</v>
      </c>
      <c r="BW51" s="14">
        <f t="shared" si="19"/>
        <v>0</v>
      </c>
      <c r="BX51" s="14">
        <f t="shared" si="20"/>
        <v>0</v>
      </c>
      <c r="BY51" s="14">
        <f t="shared" si="21"/>
        <v>0</v>
      </c>
      <c r="BZ51" s="14">
        <f t="shared" si="22"/>
        <v>0</v>
      </c>
      <c r="CA51" s="14">
        <f t="shared" si="23"/>
        <v>0</v>
      </c>
      <c r="CB51" s="14">
        <f t="shared" si="24"/>
        <v>0</v>
      </c>
      <c r="CC51" s="14">
        <f t="shared" si="25"/>
        <v>0</v>
      </c>
    </row>
    <row r="52" spans="2:81" x14ac:dyDescent="0.15">
      <c r="X52" s="14">
        <v>48</v>
      </c>
      <c r="Y52" s="30">
        <f t="shared" si="26"/>
        <v>0</v>
      </c>
      <c r="Z52" s="27">
        <f t="shared" si="4"/>
        <v>8.8000000000000009E-2</v>
      </c>
      <c r="AA52" s="14">
        <f>$Y52*$Z52*其他调用!V51</f>
        <v>0</v>
      </c>
      <c r="AB52" s="14">
        <f>$Y52*$Z52*其他调用!W51</f>
        <v>0</v>
      </c>
      <c r="AC52" s="14">
        <f>$Y52*$Z52*其他调用!X51</f>
        <v>0</v>
      </c>
      <c r="AD52" s="14">
        <f>$Y52*$Z52*其他调用!Y51</f>
        <v>0</v>
      </c>
      <c r="AE52" s="14">
        <f>$Y52*$Z52*其他调用!Z51</f>
        <v>0</v>
      </c>
      <c r="AH52" s="14">
        <v>48</v>
      </c>
      <c r="AI52" s="14">
        <f>SUM(AA$5:AA52)</f>
        <v>0</v>
      </c>
      <c r="AJ52" s="14">
        <f>SUM(AB$5:AB52)</f>
        <v>0</v>
      </c>
      <c r="AK52" s="14">
        <f>SUM(AC$5:AC52)</f>
        <v>0</v>
      </c>
      <c r="AL52" s="14">
        <f>SUM(AD$5:AD52)</f>
        <v>0</v>
      </c>
      <c r="AM52" s="14">
        <f>SUM(AE$5:AE52)</f>
        <v>0</v>
      </c>
      <c r="AR52" s="14">
        <v>48</v>
      </c>
      <c r="AS52" s="27">
        <f t="shared" si="5"/>
        <v>0.11200000000000002</v>
      </c>
      <c r="AT52" s="14">
        <f>求节点(E$28:E$32,$N$28:$N$32,$AR52)*$AS52*其他调用!V51/$E$4</f>
        <v>0</v>
      </c>
      <c r="AU52" s="14">
        <f>求节点(F$28:F$32,$N$28:$N$32,$AR52)*$AS52*其他调用!W51/$E$4</f>
        <v>0</v>
      </c>
      <c r="AV52" s="14">
        <f>求节点(G$28:G$32,$N$28:$N$32,$AR52)*$AS52*其他调用!X51/$E$4</f>
        <v>0</v>
      </c>
      <c r="AW52" s="14">
        <f>求节点(H$28:H$32,$N$28:$N$32,$AR52)*$AS52*其他调用!Y51/$E$4</f>
        <v>0</v>
      </c>
      <c r="AX52" s="14">
        <f>求节点(I$28:I$32,$N$28:$N$32,$AR52)*$AS52*其他调用!Z51/$E$4</f>
        <v>0</v>
      </c>
      <c r="BA52" s="14">
        <v>48</v>
      </c>
      <c r="BB52" s="14">
        <f>SUM(AT$5:AT52)</f>
        <v>0</v>
      </c>
      <c r="BC52" s="14">
        <f>SUM(AU$5:AU52)</f>
        <v>0</v>
      </c>
      <c r="BD52" s="14">
        <f>SUM(AV$5:AV52)</f>
        <v>0</v>
      </c>
      <c r="BE52" s="14">
        <f>SUM(AW$5:AW52)</f>
        <v>0</v>
      </c>
      <c r="BF52" s="14">
        <f>SUM(AX$5:AX52)</f>
        <v>0</v>
      </c>
      <c r="BI52" s="14">
        <v>48</v>
      </c>
      <c r="BJ52" s="14">
        <f t="shared" si="6"/>
        <v>0</v>
      </c>
      <c r="BK52" s="14">
        <f t="shared" si="7"/>
        <v>0</v>
      </c>
      <c r="BL52" s="14">
        <f t="shared" si="8"/>
        <v>0</v>
      </c>
      <c r="BM52" s="14">
        <f t="shared" si="9"/>
        <v>0</v>
      </c>
      <c r="BN52" s="14">
        <f t="shared" si="10"/>
        <v>0</v>
      </c>
      <c r="BO52" s="14">
        <f t="shared" si="11"/>
        <v>0</v>
      </c>
      <c r="BP52" s="14">
        <f t="shared" si="12"/>
        <v>0</v>
      </c>
      <c r="BQ52" s="14">
        <f t="shared" si="13"/>
        <v>0</v>
      </c>
      <c r="BR52" s="14">
        <f t="shared" si="14"/>
        <v>0</v>
      </c>
      <c r="BS52" s="14">
        <f t="shared" si="15"/>
        <v>0</v>
      </c>
      <c r="BT52" s="14">
        <f t="shared" si="16"/>
        <v>0</v>
      </c>
      <c r="BU52" s="14">
        <f t="shared" si="17"/>
        <v>0</v>
      </c>
      <c r="BV52" s="14">
        <f t="shared" si="18"/>
        <v>0</v>
      </c>
      <c r="BW52" s="14">
        <f t="shared" si="19"/>
        <v>0</v>
      </c>
      <c r="BX52" s="14">
        <f t="shared" si="20"/>
        <v>0</v>
      </c>
      <c r="BY52" s="14">
        <f t="shared" si="21"/>
        <v>0</v>
      </c>
      <c r="BZ52" s="14">
        <f t="shared" si="22"/>
        <v>0</v>
      </c>
      <c r="CA52" s="14">
        <f t="shared" si="23"/>
        <v>0</v>
      </c>
      <c r="CB52" s="14">
        <f t="shared" si="24"/>
        <v>0</v>
      </c>
      <c r="CC52" s="14">
        <f t="shared" si="25"/>
        <v>0</v>
      </c>
    </row>
    <row r="53" spans="2:81" x14ac:dyDescent="0.15">
      <c r="X53" s="14">
        <v>49</v>
      </c>
      <c r="Y53" s="30">
        <f t="shared" si="26"/>
        <v>0</v>
      </c>
      <c r="Z53" s="27">
        <f t="shared" si="4"/>
        <v>8.8000000000000009E-2</v>
      </c>
      <c r="AA53" s="14">
        <f>$Y53*$Z53*其他调用!V52</f>
        <v>0</v>
      </c>
      <c r="AB53" s="14">
        <f>$Y53*$Z53*其他调用!W52</f>
        <v>0</v>
      </c>
      <c r="AC53" s="14">
        <f>$Y53*$Z53*其他调用!X52</f>
        <v>0</v>
      </c>
      <c r="AD53" s="14">
        <f>$Y53*$Z53*其他调用!Y52</f>
        <v>0</v>
      </c>
      <c r="AE53" s="14">
        <f>$Y53*$Z53*其他调用!Z52</f>
        <v>0</v>
      </c>
      <c r="AH53" s="14">
        <v>49</v>
      </c>
      <c r="AI53" s="14">
        <f>SUM(AA$5:AA53)</f>
        <v>0</v>
      </c>
      <c r="AJ53" s="14">
        <f>SUM(AB$5:AB53)</f>
        <v>0</v>
      </c>
      <c r="AK53" s="14">
        <f>SUM(AC$5:AC53)</f>
        <v>0</v>
      </c>
      <c r="AL53" s="14">
        <f>SUM(AD$5:AD53)</f>
        <v>0</v>
      </c>
      <c r="AM53" s="14">
        <f>SUM(AE$5:AE53)</f>
        <v>0</v>
      </c>
      <c r="AR53" s="14">
        <v>49</v>
      </c>
      <c r="AS53" s="27">
        <f t="shared" si="5"/>
        <v>0.11200000000000002</v>
      </c>
      <c r="AT53" s="14">
        <f>求节点(E$28:E$32,$N$28:$N$32,$AR53)*$AS53*其他调用!V52/$E$4</f>
        <v>0</v>
      </c>
      <c r="AU53" s="14">
        <f>求节点(F$28:F$32,$N$28:$N$32,$AR53)*$AS53*其他调用!W52/$E$4</f>
        <v>0</v>
      </c>
      <c r="AV53" s="14">
        <f>求节点(G$28:G$32,$N$28:$N$32,$AR53)*$AS53*其他调用!X52/$E$4</f>
        <v>0</v>
      </c>
      <c r="AW53" s="14">
        <f>求节点(H$28:H$32,$N$28:$N$32,$AR53)*$AS53*其他调用!Y52/$E$4</f>
        <v>0</v>
      </c>
      <c r="AX53" s="14">
        <f>求节点(I$28:I$32,$N$28:$N$32,$AR53)*$AS53*其他调用!Z52/$E$4</f>
        <v>0</v>
      </c>
      <c r="BA53" s="14">
        <v>49</v>
      </c>
      <c r="BB53" s="14">
        <f>SUM(AT$5:AT53)</f>
        <v>0</v>
      </c>
      <c r="BC53" s="14">
        <f>SUM(AU$5:AU53)</f>
        <v>0</v>
      </c>
      <c r="BD53" s="14">
        <f>SUM(AV$5:AV53)</f>
        <v>0</v>
      </c>
      <c r="BE53" s="14">
        <f>SUM(AW$5:AW53)</f>
        <v>0</v>
      </c>
      <c r="BF53" s="14">
        <f>SUM(AX$5:AX53)</f>
        <v>0</v>
      </c>
      <c r="BI53" s="14">
        <v>49</v>
      </c>
      <c r="BJ53" s="14">
        <f t="shared" si="6"/>
        <v>0</v>
      </c>
      <c r="BK53" s="14">
        <f t="shared" si="7"/>
        <v>0</v>
      </c>
      <c r="BL53" s="14">
        <f t="shared" si="8"/>
        <v>0</v>
      </c>
      <c r="BM53" s="14">
        <f t="shared" si="9"/>
        <v>0</v>
      </c>
      <c r="BN53" s="14">
        <f t="shared" si="10"/>
        <v>0</v>
      </c>
      <c r="BO53" s="14">
        <f t="shared" si="11"/>
        <v>0</v>
      </c>
      <c r="BP53" s="14">
        <f t="shared" si="12"/>
        <v>0</v>
      </c>
      <c r="BQ53" s="14">
        <f t="shared" si="13"/>
        <v>0</v>
      </c>
      <c r="BR53" s="14">
        <f t="shared" si="14"/>
        <v>0</v>
      </c>
      <c r="BS53" s="14">
        <f t="shared" si="15"/>
        <v>0</v>
      </c>
      <c r="BT53" s="14">
        <f t="shared" si="16"/>
        <v>0</v>
      </c>
      <c r="BU53" s="14">
        <f t="shared" si="17"/>
        <v>0</v>
      </c>
      <c r="BV53" s="14">
        <f t="shared" si="18"/>
        <v>0</v>
      </c>
      <c r="BW53" s="14">
        <f t="shared" si="19"/>
        <v>0</v>
      </c>
      <c r="BX53" s="14">
        <f t="shared" si="20"/>
        <v>0</v>
      </c>
      <c r="BY53" s="14">
        <f t="shared" si="21"/>
        <v>0</v>
      </c>
      <c r="BZ53" s="14">
        <f t="shared" si="22"/>
        <v>0</v>
      </c>
      <c r="CA53" s="14">
        <f t="shared" si="23"/>
        <v>0</v>
      </c>
      <c r="CB53" s="14">
        <f t="shared" si="24"/>
        <v>0</v>
      </c>
      <c r="CC53" s="14">
        <f t="shared" si="25"/>
        <v>0</v>
      </c>
    </row>
    <row r="54" spans="2:81" x14ac:dyDescent="0.15">
      <c r="X54" s="14">
        <v>50</v>
      </c>
      <c r="Y54" s="30">
        <f t="shared" si="26"/>
        <v>0</v>
      </c>
      <c r="Z54" s="27">
        <f t="shared" si="4"/>
        <v>8.8000000000000009E-2</v>
      </c>
      <c r="AA54" s="14">
        <f>$Y54*$Z54*其他调用!V53</f>
        <v>0</v>
      </c>
      <c r="AB54" s="14">
        <f>$Y54*$Z54*其他调用!W53</f>
        <v>0</v>
      </c>
      <c r="AC54" s="14">
        <f>$Y54*$Z54*其他调用!X53</f>
        <v>0</v>
      </c>
      <c r="AD54" s="14">
        <f>$Y54*$Z54*其他调用!Y53</f>
        <v>0</v>
      </c>
      <c r="AE54" s="14">
        <f>$Y54*$Z54*其他调用!Z53</f>
        <v>0</v>
      </c>
      <c r="AH54" s="14">
        <v>50</v>
      </c>
      <c r="AI54" s="14">
        <f>SUM(AA$5:AA54)</f>
        <v>0</v>
      </c>
      <c r="AJ54" s="14">
        <f>SUM(AB$5:AB54)</f>
        <v>0</v>
      </c>
      <c r="AK54" s="14">
        <f>SUM(AC$5:AC54)</f>
        <v>0</v>
      </c>
      <c r="AL54" s="14">
        <f>SUM(AD$5:AD54)</f>
        <v>0</v>
      </c>
      <c r="AM54" s="14">
        <f>SUM(AE$5:AE54)</f>
        <v>0</v>
      </c>
      <c r="AR54" s="14">
        <v>50</v>
      </c>
      <c r="AS54" s="27">
        <f t="shared" si="5"/>
        <v>0.11200000000000002</v>
      </c>
      <c r="AT54" s="14">
        <f>求节点(E$28:E$32,$N$28:$N$32,$AR54)*$AS54*其他调用!V53/$E$4</f>
        <v>0</v>
      </c>
      <c r="AU54" s="14">
        <f>求节点(F$28:F$32,$N$28:$N$32,$AR54)*$AS54*其他调用!W53/$E$4</f>
        <v>0</v>
      </c>
      <c r="AV54" s="14">
        <f>求节点(G$28:G$32,$N$28:$N$32,$AR54)*$AS54*其他调用!X53/$E$4</f>
        <v>0</v>
      </c>
      <c r="AW54" s="14">
        <f>求节点(H$28:H$32,$N$28:$N$32,$AR54)*$AS54*其他调用!Y53/$E$4</f>
        <v>0</v>
      </c>
      <c r="AX54" s="14">
        <f>求节点(I$28:I$32,$N$28:$N$32,$AR54)*$AS54*其他调用!Z53/$E$4</f>
        <v>0</v>
      </c>
      <c r="BA54" s="14">
        <v>50</v>
      </c>
      <c r="BB54" s="14">
        <f>SUM(AT$5:AT54)</f>
        <v>0</v>
      </c>
      <c r="BC54" s="14">
        <f>SUM(AU$5:AU54)</f>
        <v>0</v>
      </c>
      <c r="BD54" s="14">
        <f>SUM(AV$5:AV54)</f>
        <v>0</v>
      </c>
      <c r="BE54" s="14">
        <f>SUM(AW$5:AW54)</f>
        <v>0</v>
      </c>
      <c r="BF54" s="14">
        <f>SUM(AX$5:AX54)</f>
        <v>0</v>
      </c>
      <c r="BI54" s="14">
        <v>50</v>
      </c>
      <c r="BJ54" s="14">
        <f t="shared" si="6"/>
        <v>0</v>
      </c>
      <c r="BK54" s="14">
        <f t="shared" si="7"/>
        <v>0</v>
      </c>
      <c r="BL54" s="14">
        <f t="shared" si="8"/>
        <v>0</v>
      </c>
      <c r="BM54" s="14">
        <f t="shared" si="9"/>
        <v>0</v>
      </c>
      <c r="BN54" s="14">
        <f t="shared" si="10"/>
        <v>0</v>
      </c>
      <c r="BO54" s="14">
        <f t="shared" si="11"/>
        <v>0</v>
      </c>
      <c r="BP54" s="14">
        <f t="shared" si="12"/>
        <v>0</v>
      </c>
      <c r="BQ54" s="14">
        <f t="shared" si="13"/>
        <v>0</v>
      </c>
      <c r="BR54" s="14">
        <f t="shared" si="14"/>
        <v>0</v>
      </c>
      <c r="BS54" s="14">
        <f t="shared" si="15"/>
        <v>0</v>
      </c>
      <c r="BT54" s="14">
        <f t="shared" si="16"/>
        <v>0</v>
      </c>
      <c r="BU54" s="14">
        <f t="shared" si="17"/>
        <v>0</v>
      </c>
      <c r="BV54" s="14">
        <f t="shared" si="18"/>
        <v>0</v>
      </c>
      <c r="BW54" s="14">
        <f t="shared" si="19"/>
        <v>0</v>
      </c>
      <c r="BX54" s="14">
        <f t="shared" si="20"/>
        <v>0</v>
      </c>
      <c r="BY54" s="14">
        <f t="shared" si="21"/>
        <v>0</v>
      </c>
      <c r="BZ54" s="14">
        <f t="shared" si="22"/>
        <v>0</v>
      </c>
      <c r="CA54" s="14">
        <f t="shared" si="23"/>
        <v>0</v>
      </c>
      <c r="CB54" s="14">
        <f t="shared" si="24"/>
        <v>0</v>
      </c>
      <c r="CC54" s="14">
        <f t="shared" si="25"/>
        <v>0</v>
      </c>
    </row>
    <row r="55" spans="2:81" x14ac:dyDescent="0.15">
      <c r="X55" s="14">
        <v>51</v>
      </c>
      <c r="Y55" s="30">
        <f t="shared" si="26"/>
        <v>0</v>
      </c>
      <c r="Z55" s="27">
        <f t="shared" si="4"/>
        <v>8.8000000000000009E-2</v>
      </c>
      <c r="AA55" s="14">
        <f>$Y55*$Z55*其他调用!V54</f>
        <v>0</v>
      </c>
      <c r="AB55" s="14">
        <f>$Y55*$Z55*其他调用!W54</f>
        <v>0</v>
      </c>
      <c r="AC55" s="14">
        <f>$Y55*$Z55*其他调用!X54</f>
        <v>0</v>
      </c>
      <c r="AD55" s="14">
        <f>$Y55*$Z55*其他调用!Y54</f>
        <v>0</v>
      </c>
      <c r="AE55" s="14">
        <f>$Y55*$Z55*其他调用!Z54</f>
        <v>0</v>
      </c>
      <c r="AH55" s="14">
        <v>51</v>
      </c>
      <c r="AI55" s="14">
        <f>SUM(AA$5:AA55)</f>
        <v>0</v>
      </c>
      <c r="AJ55" s="14">
        <f>SUM(AB$5:AB55)</f>
        <v>0</v>
      </c>
      <c r="AK55" s="14">
        <f>SUM(AC$5:AC55)</f>
        <v>0</v>
      </c>
      <c r="AL55" s="14">
        <f>SUM(AD$5:AD55)</f>
        <v>0</v>
      </c>
      <c r="AM55" s="14">
        <f>SUM(AE$5:AE55)</f>
        <v>0</v>
      </c>
      <c r="AR55" s="14">
        <v>51</v>
      </c>
      <c r="AS55" s="27">
        <f t="shared" si="5"/>
        <v>0.11200000000000002</v>
      </c>
      <c r="AT55" s="14">
        <f>求节点(E$28:E$32,$N$28:$N$32,$AR55)*$AS55*其他调用!V54/$E$4</f>
        <v>0</v>
      </c>
      <c r="AU55" s="14">
        <f>求节点(F$28:F$32,$N$28:$N$32,$AR55)*$AS55*其他调用!W54/$E$4</f>
        <v>0</v>
      </c>
      <c r="AV55" s="14">
        <f>求节点(G$28:G$32,$N$28:$N$32,$AR55)*$AS55*其他调用!X54/$E$4</f>
        <v>0</v>
      </c>
      <c r="AW55" s="14">
        <f>求节点(H$28:H$32,$N$28:$N$32,$AR55)*$AS55*其他调用!Y54/$E$4</f>
        <v>0</v>
      </c>
      <c r="AX55" s="14">
        <f>求节点(I$28:I$32,$N$28:$N$32,$AR55)*$AS55*其他调用!Z54/$E$4</f>
        <v>0</v>
      </c>
      <c r="BA55" s="14">
        <v>51</v>
      </c>
      <c r="BB55" s="14">
        <f>SUM(AT$5:AT55)</f>
        <v>0</v>
      </c>
      <c r="BC55" s="14">
        <f>SUM(AU$5:AU55)</f>
        <v>0</v>
      </c>
      <c r="BD55" s="14">
        <f>SUM(AV$5:AV55)</f>
        <v>0</v>
      </c>
      <c r="BE55" s="14">
        <f>SUM(AW$5:AW55)</f>
        <v>0</v>
      </c>
      <c r="BF55" s="14">
        <f>SUM(AX$5:AX55)</f>
        <v>0</v>
      </c>
      <c r="BI55" s="14">
        <v>51</v>
      </c>
      <c r="BJ55" s="14">
        <f t="shared" si="6"/>
        <v>0</v>
      </c>
      <c r="BK55" s="14">
        <f t="shared" si="7"/>
        <v>0</v>
      </c>
      <c r="BL55" s="14">
        <f t="shared" si="8"/>
        <v>0</v>
      </c>
      <c r="BM55" s="14">
        <f t="shared" si="9"/>
        <v>0</v>
      </c>
      <c r="BN55" s="14">
        <f t="shared" si="10"/>
        <v>0</v>
      </c>
      <c r="BO55" s="14">
        <f t="shared" si="11"/>
        <v>0</v>
      </c>
      <c r="BP55" s="14">
        <f t="shared" si="12"/>
        <v>0</v>
      </c>
      <c r="BQ55" s="14">
        <f t="shared" si="13"/>
        <v>0</v>
      </c>
      <c r="BR55" s="14">
        <f t="shared" si="14"/>
        <v>0</v>
      </c>
      <c r="BS55" s="14">
        <f t="shared" si="15"/>
        <v>0</v>
      </c>
      <c r="BT55" s="14">
        <f t="shared" si="16"/>
        <v>0</v>
      </c>
      <c r="BU55" s="14">
        <f t="shared" si="17"/>
        <v>0</v>
      </c>
      <c r="BV55" s="14">
        <f t="shared" si="18"/>
        <v>0</v>
      </c>
      <c r="BW55" s="14">
        <f t="shared" si="19"/>
        <v>0</v>
      </c>
      <c r="BX55" s="14">
        <f t="shared" si="20"/>
        <v>0</v>
      </c>
      <c r="BY55" s="14">
        <f t="shared" si="21"/>
        <v>0</v>
      </c>
      <c r="BZ55" s="14">
        <f t="shared" si="22"/>
        <v>0</v>
      </c>
      <c r="CA55" s="14">
        <f t="shared" si="23"/>
        <v>0</v>
      </c>
      <c r="CB55" s="14">
        <f t="shared" si="24"/>
        <v>0</v>
      </c>
      <c r="CC55" s="14">
        <f t="shared" si="25"/>
        <v>0</v>
      </c>
    </row>
    <row r="56" spans="2:81" x14ac:dyDescent="0.15">
      <c r="E56" s="5">
        <f>SUM(E58:E62)</f>
        <v>0</v>
      </c>
      <c r="F56" s="5">
        <f>SUM(F58:F62)</f>
        <v>1</v>
      </c>
      <c r="G56" s="5">
        <f>SUM(G58:G62)</f>
        <v>0</v>
      </c>
      <c r="H56" s="5">
        <f>SUM(H58:H62)</f>
        <v>0</v>
      </c>
      <c r="I56" s="14"/>
      <c r="J56" s="14"/>
      <c r="X56" s="14">
        <v>52</v>
      </c>
      <c r="Y56" s="30">
        <f t="shared" si="26"/>
        <v>0</v>
      </c>
      <c r="Z56" s="27">
        <f t="shared" si="4"/>
        <v>8.8000000000000009E-2</v>
      </c>
      <c r="AA56" s="14">
        <f>$Y56*$Z56*其他调用!V55</f>
        <v>0</v>
      </c>
      <c r="AB56" s="14">
        <f>$Y56*$Z56*其他调用!W55</f>
        <v>0</v>
      </c>
      <c r="AC56" s="14">
        <f>$Y56*$Z56*其他调用!X55</f>
        <v>0</v>
      </c>
      <c r="AD56" s="14">
        <f>$Y56*$Z56*其他调用!Y55</f>
        <v>0</v>
      </c>
      <c r="AE56" s="14">
        <f>$Y56*$Z56*其他调用!Z55</f>
        <v>0</v>
      </c>
      <c r="AH56" s="14">
        <v>52</v>
      </c>
      <c r="AI56" s="14">
        <f>SUM(AA$5:AA56)</f>
        <v>0</v>
      </c>
      <c r="AJ56" s="14">
        <f>SUM(AB$5:AB56)</f>
        <v>0</v>
      </c>
      <c r="AK56" s="14">
        <f>SUM(AC$5:AC56)</f>
        <v>0</v>
      </c>
      <c r="AL56" s="14">
        <f>SUM(AD$5:AD56)</f>
        <v>0</v>
      </c>
      <c r="AM56" s="14">
        <f>SUM(AE$5:AE56)</f>
        <v>0</v>
      </c>
      <c r="AR56" s="14">
        <v>52</v>
      </c>
      <c r="AS56" s="27">
        <f t="shared" si="5"/>
        <v>0.11200000000000002</v>
      </c>
      <c r="AT56" s="14">
        <f>求节点(E$28:E$32,$N$28:$N$32,$AR56)*$AS56*其他调用!V55/$E$4</f>
        <v>0</v>
      </c>
      <c r="AU56" s="14">
        <f>求节点(F$28:F$32,$N$28:$N$32,$AR56)*$AS56*其他调用!W55/$E$4</f>
        <v>0</v>
      </c>
      <c r="AV56" s="14">
        <f>求节点(G$28:G$32,$N$28:$N$32,$AR56)*$AS56*其他调用!X55/$E$4</f>
        <v>0</v>
      </c>
      <c r="AW56" s="14">
        <f>求节点(H$28:H$32,$N$28:$N$32,$AR56)*$AS56*其他调用!Y55/$E$4</f>
        <v>0</v>
      </c>
      <c r="AX56" s="14">
        <f>求节点(I$28:I$32,$N$28:$N$32,$AR56)*$AS56*其他调用!Z55/$E$4</f>
        <v>0</v>
      </c>
      <c r="BA56" s="14">
        <v>52</v>
      </c>
      <c r="BB56" s="14">
        <f>SUM(AT$5:AT56)</f>
        <v>0</v>
      </c>
      <c r="BC56" s="14">
        <f>SUM(AU$5:AU56)</f>
        <v>0</v>
      </c>
      <c r="BD56" s="14">
        <f>SUM(AV$5:AV56)</f>
        <v>0</v>
      </c>
      <c r="BE56" s="14">
        <f>SUM(AW$5:AW56)</f>
        <v>0</v>
      </c>
      <c r="BF56" s="14">
        <f>SUM(AX$5:AX56)</f>
        <v>0</v>
      </c>
      <c r="BI56" s="14">
        <v>52</v>
      </c>
      <c r="BJ56" s="14">
        <f t="shared" si="6"/>
        <v>0</v>
      </c>
      <c r="BK56" s="14">
        <f t="shared" si="7"/>
        <v>0</v>
      </c>
      <c r="BL56" s="14">
        <f t="shared" si="8"/>
        <v>0</v>
      </c>
      <c r="BM56" s="14">
        <f t="shared" si="9"/>
        <v>0</v>
      </c>
      <c r="BN56" s="14">
        <f t="shared" si="10"/>
        <v>0</v>
      </c>
      <c r="BO56" s="14">
        <f t="shared" si="11"/>
        <v>0</v>
      </c>
      <c r="BP56" s="14">
        <f t="shared" si="12"/>
        <v>0</v>
      </c>
      <c r="BQ56" s="14">
        <f t="shared" si="13"/>
        <v>0</v>
      </c>
      <c r="BR56" s="14">
        <f t="shared" si="14"/>
        <v>0</v>
      </c>
      <c r="BS56" s="14">
        <f t="shared" si="15"/>
        <v>0</v>
      </c>
      <c r="BT56" s="14">
        <f t="shared" si="16"/>
        <v>0</v>
      </c>
      <c r="BU56" s="14">
        <f t="shared" si="17"/>
        <v>0</v>
      </c>
      <c r="BV56" s="14">
        <f t="shared" si="18"/>
        <v>0</v>
      </c>
      <c r="BW56" s="14">
        <f t="shared" si="19"/>
        <v>0</v>
      </c>
      <c r="BX56" s="14">
        <f t="shared" si="20"/>
        <v>0</v>
      </c>
      <c r="BY56" s="14">
        <f t="shared" si="21"/>
        <v>0</v>
      </c>
      <c r="BZ56" s="14">
        <f t="shared" si="22"/>
        <v>0</v>
      </c>
      <c r="CA56" s="14">
        <f t="shared" si="23"/>
        <v>0</v>
      </c>
      <c r="CB56" s="14">
        <f t="shared" si="24"/>
        <v>0</v>
      </c>
      <c r="CC56" s="14">
        <f t="shared" si="25"/>
        <v>0</v>
      </c>
    </row>
    <row r="57" spans="2:81" x14ac:dyDescent="0.15">
      <c r="B57" s="41"/>
      <c r="D57" s="41" t="s">
        <v>273</v>
      </c>
      <c r="E57" s="5" t="s">
        <v>0</v>
      </c>
      <c r="F57" s="5" t="s">
        <v>1</v>
      </c>
      <c r="G57" s="5" t="s">
        <v>2</v>
      </c>
      <c r="H57" s="5" t="s">
        <v>3</v>
      </c>
      <c r="I57" s="5" t="s">
        <v>346</v>
      </c>
      <c r="J57" s="5" t="s">
        <v>274</v>
      </c>
      <c r="X57" s="14">
        <v>53</v>
      </c>
      <c r="Y57" s="30">
        <f t="shared" si="26"/>
        <v>0</v>
      </c>
      <c r="Z57" s="27">
        <f t="shared" si="4"/>
        <v>8.8000000000000009E-2</v>
      </c>
      <c r="AA57" s="14">
        <f>$Y57*$Z57*其他调用!V56</f>
        <v>0</v>
      </c>
      <c r="AB57" s="14">
        <f>$Y57*$Z57*其他调用!W56</f>
        <v>0</v>
      </c>
      <c r="AC57" s="14">
        <f>$Y57*$Z57*其他调用!X56</f>
        <v>0</v>
      </c>
      <c r="AD57" s="14">
        <f>$Y57*$Z57*其他调用!Y56</f>
        <v>0</v>
      </c>
      <c r="AE57" s="14">
        <f>$Y57*$Z57*其他调用!Z56</f>
        <v>0</v>
      </c>
      <c r="AH57" s="14">
        <v>53</v>
      </c>
      <c r="AI57" s="14">
        <f>SUM(AA$5:AA57)</f>
        <v>0</v>
      </c>
      <c r="AJ57" s="14">
        <f>SUM(AB$5:AB57)</f>
        <v>0</v>
      </c>
      <c r="AK57" s="14">
        <f>SUM(AC$5:AC57)</f>
        <v>0</v>
      </c>
      <c r="AL57" s="14">
        <f>SUM(AD$5:AD57)</f>
        <v>0</v>
      </c>
      <c r="AM57" s="14">
        <f>SUM(AE$5:AE57)</f>
        <v>0</v>
      </c>
      <c r="AR57" s="14">
        <v>53</v>
      </c>
      <c r="AS57" s="27">
        <f t="shared" si="5"/>
        <v>0.11200000000000002</v>
      </c>
      <c r="AT57" s="14">
        <f>求节点(E$28:E$32,$N$28:$N$32,$AR57)*$AS57*其他调用!V56/$E$4</f>
        <v>0</v>
      </c>
      <c r="AU57" s="14">
        <f>求节点(F$28:F$32,$N$28:$N$32,$AR57)*$AS57*其他调用!W56/$E$4</f>
        <v>0</v>
      </c>
      <c r="AV57" s="14">
        <f>求节点(G$28:G$32,$N$28:$N$32,$AR57)*$AS57*其他调用!X56/$E$4</f>
        <v>0</v>
      </c>
      <c r="AW57" s="14">
        <f>求节点(H$28:H$32,$N$28:$N$32,$AR57)*$AS57*其他调用!Y56/$E$4</f>
        <v>0</v>
      </c>
      <c r="AX57" s="14">
        <f>求节点(I$28:I$32,$N$28:$N$32,$AR57)*$AS57*其他调用!Z56/$E$4</f>
        <v>0</v>
      </c>
      <c r="BA57" s="14">
        <v>53</v>
      </c>
      <c r="BB57" s="14">
        <f>SUM(AT$5:AT57)</f>
        <v>0</v>
      </c>
      <c r="BC57" s="14">
        <f>SUM(AU$5:AU57)</f>
        <v>0</v>
      </c>
      <c r="BD57" s="14">
        <f>SUM(AV$5:AV57)</f>
        <v>0</v>
      </c>
      <c r="BE57" s="14">
        <f>SUM(AW$5:AW57)</f>
        <v>0</v>
      </c>
      <c r="BF57" s="14">
        <f>SUM(AX$5:AX57)</f>
        <v>0</v>
      </c>
      <c r="BI57" s="14">
        <v>53</v>
      </c>
      <c r="BJ57" s="14">
        <f t="shared" si="6"/>
        <v>0</v>
      </c>
      <c r="BK57" s="14">
        <f t="shared" si="7"/>
        <v>0</v>
      </c>
      <c r="BL57" s="14">
        <f t="shared" si="8"/>
        <v>0</v>
      </c>
      <c r="BM57" s="14">
        <f t="shared" si="9"/>
        <v>0</v>
      </c>
      <c r="BN57" s="14">
        <f t="shared" si="10"/>
        <v>0</v>
      </c>
      <c r="BO57" s="14">
        <f t="shared" si="11"/>
        <v>0</v>
      </c>
      <c r="BP57" s="14">
        <f t="shared" si="12"/>
        <v>0</v>
      </c>
      <c r="BQ57" s="14">
        <f t="shared" si="13"/>
        <v>0</v>
      </c>
      <c r="BR57" s="14">
        <f t="shared" si="14"/>
        <v>0</v>
      </c>
      <c r="BS57" s="14">
        <f t="shared" si="15"/>
        <v>0</v>
      </c>
      <c r="BT57" s="14">
        <f t="shared" si="16"/>
        <v>0</v>
      </c>
      <c r="BU57" s="14">
        <f t="shared" si="17"/>
        <v>0</v>
      </c>
      <c r="BV57" s="14">
        <f t="shared" si="18"/>
        <v>0</v>
      </c>
      <c r="BW57" s="14">
        <f t="shared" si="19"/>
        <v>0</v>
      </c>
      <c r="BX57" s="14">
        <f t="shared" si="20"/>
        <v>0</v>
      </c>
      <c r="BY57" s="14">
        <f t="shared" si="21"/>
        <v>0</v>
      </c>
      <c r="BZ57" s="14">
        <f t="shared" si="22"/>
        <v>0</v>
      </c>
      <c r="CA57" s="14">
        <f t="shared" si="23"/>
        <v>0</v>
      </c>
      <c r="CB57" s="14">
        <f t="shared" si="24"/>
        <v>0</v>
      </c>
      <c r="CC57" s="14">
        <f t="shared" si="25"/>
        <v>0</v>
      </c>
    </row>
    <row r="58" spans="2:81" x14ac:dyDescent="0.15">
      <c r="D58" s="5" t="s">
        <v>200</v>
      </c>
      <c r="F58" s="5">
        <f>1-SUM(F59:F62)</f>
        <v>0.19999999999999996</v>
      </c>
      <c r="I58" s="5">
        <v>1</v>
      </c>
      <c r="J58" s="5">
        <f>投放验证!D7</f>
        <v>100</v>
      </c>
      <c r="X58" s="14">
        <v>54</v>
      </c>
      <c r="Y58" s="30">
        <f t="shared" si="26"/>
        <v>0</v>
      </c>
      <c r="Z58" s="27">
        <f t="shared" si="4"/>
        <v>8.8000000000000009E-2</v>
      </c>
      <c r="AA58" s="14">
        <f>$Y58*$Z58*其他调用!V57</f>
        <v>0</v>
      </c>
      <c r="AB58" s="14">
        <f>$Y58*$Z58*其他调用!W57</f>
        <v>0</v>
      </c>
      <c r="AC58" s="14">
        <f>$Y58*$Z58*其他调用!X57</f>
        <v>0</v>
      </c>
      <c r="AD58" s="14">
        <f>$Y58*$Z58*其他调用!Y57</f>
        <v>0</v>
      </c>
      <c r="AE58" s="14">
        <f>$Y58*$Z58*其他调用!Z57</f>
        <v>0</v>
      </c>
      <c r="AH58" s="14">
        <v>54</v>
      </c>
      <c r="AI58" s="14">
        <f>SUM(AA$5:AA58)</f>
        <v>0</v>
      </c>
      <c r="AJ58" s="14">
        <f>SUM(AB$5:AB58)</f>
        <v>0</v>
      </c>
      <c r="AK58" s="14">
        <f>SUM(AC$5:AC58)</f>
        <v>0</v>
      </c>
      <c r="AL58" s="14">
        <f>SUM(AD$5:AD58)</f>
        <v>0</v>
      </c>
      <c r="AM58" s="14">
        <f>SUM(AE$5:AE58)</f>
        <v>0</v>
      </c>
      <c r="AR58" s="14">
        <v>54</v>
      </c>
      <c r="AS58" s="27">
        <f t="shared" si="5"/>
        <v>0.11200000000000002</v>
      </c>
      <c r="AT58" s="14">
        <f>求节点(E$28:E$32,$N$28:$N$32,$AR58)*$AS58*其他调用!V57/$E$4</f>
        <v>0</v>
      </c>
      <c r="AU58" s="14">
        <f>求节点(F$28:F$32,$N$28:$N$32,$AR58)*$AS58*其他调用!W57/$E$4</f>
        <v>0</v>
      </c>
      <c r="AV58" s="14">
        <f>求节点(G$28:G$32,$N$28:$N$32,$AR58)*$AS58*其他调用!X57/$E$4</f>
        <v>0</v>
      </c>
      <c r="AW58" s="14">
        <f>求节点(H$28:H$32,$N$28:$N$32,$AR58)*$AS58*其他调用!Y57/$E$4</f>
        <v>0</v>
      </c>
      <c r="AX58" s="14">
        <f>求节点(I$28:I$32,$N$28:$N$32,$AR58)*$AS58*其他调用!Z57/$E$4</f>
        <v>0</v>
      </c>
      <c r="BA58" s="14">
        <v>54</v>
      </c>
      <c r="BB58" s="14">
        <f>SUM(AT$5:AT58)</f>
        <v>0</v>
      </c>
      <c r="BC58" s="14">
        <f>SUM(AU$5:AU58)</f>
        <v>0</v>
      </c>
      <c r="BD58" s="14">
        <f>SUM(AV$5:AV58)</f>
        <v>0</v>
      </c>
      <c r="BE58" s="14">
        <f>SUM(AW$5:AW58)</f>
        <v>0</v>
      </c>
      <c r="BF58" s="14">
        <f>SUM(AX$5:AX58)</f>
        <v>0</v>
      </c>
      <c r="BI58" s="14">
        <v>54</v>
      </c>
      <c r="BJ58" s="14">
        <f t="shared" si="6"/>
        <v>0</v>
      </c>
      <c r="BK58" s="14">
        <f t="shared" si="7"/>
        <v>0</v>
      </c>
      <c r="BL58" s="14">
        <f t="shared" si="8"/>
        <v>0</v>
      </c>
      <c r="BM58" s="14">
        <f t="shared" si="9"/>
        <v>0</v>
      </c>
      <c r="BN58" s="14">
        <f t="shared" si="10"/>
        <v>0</v>
      </c>
      <c r="BO58" s="14">
        <f t="shared" si="11"/>
        <v>0</v>
      </c>
      <c r="BP58" s="14">
        <f t="shared" si="12"/>
        <v>0</v>
      </c>
      <c r="BQ58" s="14">
        <f t="shared" si="13"/>
        <v>0</v>
      </c>
      <c r="BR58" s="14">
        <f t="shared" si="14"/>
        <v>0</v>
      </c>
      <c r="BS58" s="14">
        <f t="shared" si="15"/>
        <v>0</v>
      </c>
      <c r="BT58" s="14">
        <f t="shared" si="16"/>
        <v>0</v>
      </c>
      <c r="BU58" s="14">
        <f t="shared" si="17"/>
        <v>0</v>
      </c>
      <c r="BV58" s="14">
        <f t="shared" si="18"/>
        <v>0</v>
      </c>
      <c r="BW58" s="14">
        <f t="shared" si="19"/>
        <v>0</v>
      </c>
      <c r="BX58" s="14">
        <f t="shared" si="20"/>
        <v>0</v>
      </c>
      <c r="BY58" s="14">
        <f t="shared" si="21"/>
        <v>0</v>
      </c>
      <c r="BZ58" s="14">
        <f t="shared" si="22"/>
        <v>0</v>
      </c>
      <c r="CA58" s="14">
        <f t="shared" si="23"/>
        <v>0</v>
      </c>
      <c r="CB58" s="14">
        <f t="shared" si="24"/>
        <v>0</v>
      </c>
      <c r="CC58" s="14">
        <f t="shared" si="25"/>
        <v>0</v>
      </c>
    </row>
    <row r="59" spans="2:81" x14ac:dyDescent="0.15">
      <c r="D59" s="5" t="s">
        <v>199</v>
      </c>
      <c r="F59" s="5">
        <v>0.3</v>
      </c>
      <c r="I59" s="5">
        <v>1</v>
      </c>
      <c r="J59" s="5">
        <f>投放验证!E7</f>
        <v>500</v>
      </c>
      <c r="X59" s="14">
        <v>55</v>
      </c>
      <c r="Y59" s="30">
        <f t="shared" si="26"/>
        <v>0</v>
      </c>
      <c r="Z59" s="27">
        <f t="shared" si="4"/>
        <v>8.8000000000000009E-2</v>
      </c>
      <c r="AA59" s="14">
        <f>$Y59*$Z59*其他调用!V58</f>
        <v>0</v>
      </c>
      <c r="AB59" s="14">
        <f>$Y59*$Z59*其他调用!W58</f>
        <v>0</v>
      </c>
      <c r="AC59" s="14">
        <f>$Y59*$Z59*其他调用!X58</f>
        <v>0</v>
      </c>
      <c r="AD59" s="14">
        <f>$Y59*$Z59*其他调用!Y58</f>
        <v>0</v>
      </c>
      <c r="AE59" s="14">
        <f>$Y59*$Z59*其他调用!Z58</f>
        <v>0</v>
      </c>
      <c r="AH59" s="14">
        <v>55</v>
      </c>
      <c r="AI59" s="14">
        <f>SUM(AA$5:AA59)</f>
        <v>0</v>
      </c>
      <c r="AJ59" s="14">
        <f>SUM(AB$5:AB59)</f>
        <v>0</v>
      </c>
      <c r="AK59" s="14">
        <f>SUM(AC$5:AC59)</f>
        <v>0</v>
      </c>
      <c r="AL59" s="14">
        <f>SUM(AD$5:AD59)</f>
        <v>0</v>
      </c>
      <c r="AM59" s="14">
        <f>SUM(AE$5:AE59)</f>
        <v>0</v>
      </c>
      <c r="AR59" s="14">
        <v>55</v>
      </c>
      <c r="AS59" s="27">
        <f t="shared" si="5"/>
        <v>0.11200000000000002</v>
      </c>
      <c r="AT59" s="14">
        <f>求节点(E$28:E$32,$N$28:$N$32,$AR59)*$AS59*其他调用!V58/$E$4</f>
        <v>0</v>
      </c>
      <c r="AU59" s="14">
        <f>求节点(F$28:F$32,$N$28:$N$32,$AR59)*$AS59*其他调用!W58/$E$4</f>
        <v>0</v>
      </c>
      <c r="AV59" s="14">
        <f>求节点(G$28:G$32,$N$28:$N$32,$AR59)*$AS59*其他调用!X58/$E$4</f>
        <v>0</v>
      </c>
      <c r="AW59" s="14">
        <f>求节点(H$28:H$32,$N$28:$N$32,$AR59)*$AS59*其他调用!Y58/$E$4</f>
        <v>0</v>
      </c>
      <c r="AX59" s="14">
        <f>求节点(I$28:I$32,$N$28:$N$32,$AR59)*$AS59*其他调用!Z58/$E$4</f>
        <v>0</v>
      </c>
      <c r="BA59" s="14">
        <v>55</v>
      </c>
      <c r="BB59" s="14">
        <f>SUM(AT$5:AT59)</f>
        <v>0</v>
      </c>
      <c r="BC59" s="14">
        <f>SUM(AU$5:AU59)</f>
        <v>0</v>
      </c>
      <c r="BD59" s="14">
        <f>SUM(AV$5:AV59)</f>
        <v>0</v>
      </c>
      <c r="BE59" s="14">
        <f>SUM(AW$5:AW59)</f>
        <v>0</v>
      </c>
      <c r="BF59" s="14">
        <f>SUM(AX$5:AX59)</f>
        <v>0</v>
      </c>
      <c r="BI59" s="14">
        <v>55</v>
      </c>
      <c r="BJ59" s="14">
        <f t="shared" si="6"/>
        <v>0</v>
      </c>
      <c r="BK59" s="14">
        <f t="shared" si="7"/>
        <v>0</v>
      </c>
      <c r="BL59" s="14">
        <f t="shared" si="8"/>
        <v>0</v>
      </c>
      <c r="BM59" s="14">
        <f t="shared" si="9"/>
        <v>0</v>
      </c>
      <c r="BN59" s="14">
        <f t="shared" si="10"/>
        <v>0</v>
      </c>
      <c r="BO59" s="14">
        <f t="shared" si="11"/>
        <v>0</v>
      </c>
      <c r="BP59" s="14">
        <f t="shared" si="12"/>
        <v>0</v>
      </c>
      <c r="BQ59" s="14">
        <f t="shared" si="13"/>
        <v>0</v>
      </c>
      <c r="BR59" s="14">
        <f t="shared" si="14"/>
        <v>0</v>
      </c>
      <c r="BS59" s="14">
        <f t="shared" si="15"/>
        <v>0</v>
      </c>
      <c r="BT59" s="14">
        <f t="shared" si="16"/>
        <v>0</v>
      </c>
      <c r="BU59" s="14">
        <f t="shared" si="17"/>
        <v>0</v>
      </c>
      <c r="BV59" s="14">
        <f t="shared" si="18"/>
        <v>0</v>
      </c>
      <c r="BW59" s="14">
        <f t="shared" si="19"/>
        <v>0</v>
      </c>
      <c r="BX59" s="14">
        <f t="shared" si="20"/>
        <v>0</v>
      </c>
      <c r="BY59" s="14">
        <f t="shared" si="21"/>
        <v>0</v>
      </c>
      <c r="BZ59" s="14">
        <f t="shared" si="22"/>
        <v>0</v>
      </c>
      <c r="CA59" s="14">
        <f t="shared" si="23"/>
        <v>0</v>
      </c>
      <c r="CB59" s="14">
        <f t="shared" si="24"/>
        <v>0</v>
      </c>
      <c r="CC59" s="14">
        <f t="shared" si="25"/>
        <v>0</v>
      </c>
    </row>
    <row r="60" spans="2:81" x14ac:dyDescent="0.15">
      <c r="D60" s="5" t="s">
        <v>198</v>
      </c>
      <c r="I60" s="5">
        <v>1</v>
      </c>
      <c r="J60" s="5">
        <f>投放验证!F7</f>
        <v>2500</v>
      </c>
      <c r="X60" s="14">
        <v>56</v>
      </c>
      <c r="Y60" s="30">
        <f t="shared" si="26"/>
        <v>0</v>
      </c>
      <c r="Z60" s="27">
        <f t="shared" si="4"/>
        <v>8.8000000000000009E-2</v>
      </c>
      <c r="AA60" s="14">
        <f>$Y60*$Z60*其他调用!V59</f>
        <v>0</v>
      </c>
      <c r="AB60" s="14">
        <f>$Y60*$Z60*其他调用!W59</f>
        <v>0</v>
      </c>
      <c r="AC60" s="14">
        <f>$Y60*$Z60*其他调用!X59</f>
        <v>0</v>
      </c>
      <c r="AD60" s="14">
        <f>$Y60*$Z60*其他调用!Y59</f>
        <v>0</v>
      </c>
      <c r="AE60" s="14">
        <f>$Y60*$Z60*其他调用!Z59</f>
        <v>0</v>
      </c>
      <c r="AH60" s="14">
        <v>56</v>
      </c>
      <c r="AI60" s="14">
        <f>SUM(AA$5:AA60)</f>
        <v>0</v>
      </c>
      <c r="AJ60" s="14">
        <f>SUM(AB$5:AB60)</f>
        <v>0</v>
      </c>
      <c r="AK60" s="14">
        <f>SUM(AC$5:AC60)</f>
        <v>0</v>
      </c>
      <c r="AL60" s="14">
        <f>SUM(AD$5:AD60)</f>
        <v>0</v>
      </c>
      <c r="AM60" s="14">
        <f>SUM(AE$5:AE60)</f>
        <v>0</v>
      </c>
      <c r="AR60" s="14">
        <v>56</v>
      </c>
      <c r="AS60" s="27">
        <f t="shared" si="5"/>
        <v>0.11200000000000002</v>
      </c>
      <c r="AT60" s="14">
        <f>求节点(E$28:E$32,$N$28:$N$32,$AR60)*$AS60*其他调用!V59/$E$4</f>
        <v>0</v>
      </c>
      <c r="AU60" s="14">
        <f>求节点(F$28:F$32,$N$28:$N$32,$AR60)*$AS60*其他调用!W59/$E$4</f>
        <v>0</v>
      </c>
      <c r="AV60" s="14">
        <f>求节点(G$28:G$32,$N$28:$N$32,$AR60)*$AS60*其他调用!X59/$E$4</f>
        <v>0</v>
      </c>
      <c r="AW60" s="14">
        <f>求节点(H$28:H$32,$N$28:$N$32,$AR60)*$AS60*其他调用!Y59/$E$4</f>
        <v>0</v>
      </c>
      <c r="AX60" s="14">
        <f>求节点(I$28:I$32,$N$28:$N$32,$AR60)*$AS60*其他调用!Z59/$E$4</f>
        <v>0</v>
      </c>
      <c r="BA60" s="14">
        <v>56</v>
      </c>
      <c r="BB60" s="14">
        <f>SUM(AT$5:AT60)</f>
        <v>0</v>
      </c>
      <c r="BC60" s="14">
        <f>SUM(AU$5:AU60)</f>
        <v>0</v>
      </c>
      <c r="BD60" s="14">
        <f>SUM(AV$5:AV60)</f>
        <v>0</v>
      </c>
      <c r="BE60" s="14">
        <f>SUM(AW$5:AW60)</f>
        <v>0</v>
      </c>
      <c r="BF60" s="14">
        <f>SUM(AX$5:AX60)</f>
        <v>0</v>
      </c>
      <c r="BI60" s="14">
        <v>56</v>
      </c>
      <c r="BJ60" s="14">
        <f t="shared" si="6"/>
        <v>0</v>
      </c>
      <c r="BK60" s="14">
        <f t="shared" si="7"/>
        <v>0</v>
      </c>
      <c r="BL60" s="14">
        <f t="shared" si="8"/>
        <v>0</v>
      </c>
      <c r="BM60" s="14">
        <f t="shared" si="9"/>
        <v>0</v>
      </c>
      <c r="BN60" s="14">
        <f t="shared" si="10"/>
        <v>0</v>
      </c>
      <c r="BO60" s="14">
        <f t="shared" si="11"/>
        <v>0</v>
      </c>
      <c r="BP60" s="14">
        <f t="shared" si="12"/>
        <v>0</v>
      </c>
      <c r="BQ60" s="14">
        <f t="shared" si="13"/>
        <v>0</v>
      </c>
      <c r="BR60" s="14">
        <f t="shared" si="14"/>
        <v>0</v>
      </c>
      <c r="BS60" s="14">
        <f t="shared" si="15"/>
        <v>0</v>
      </c>
      <c r="BT60" s="14">
        <f t="shared" si="16"/>
        <v>0</v>
      </c>
      <c r="BU60" s="14">
        <f t="shared" si="17"/>
        <v>0</v>
      </c>
      <c r="BV60" s="14">
        <f t="shared" si="18"/>
        <v>0</v>
      </c>
      <c r="BW60" s="14">
        <f t="shared" si="19"/>
        <v>0</v>
      </c>
      <c r="BX60" s="14">
        <f t="shared" si="20"/>
        <v>0</v>
      </c>
      <c r="BY60" s="14">
        <f t="shared" si="21"/>
        <v>0</v>
      </c>
      <c r="BZ60" s="14">
        <f t="shared" si="22"/>
        <v>0</v>
      </c>
      <c r="CA60" s="14">
        <f t="shared" si="23"/>
        <v>0</v>
      </c>
      <c r="CB60" s="14">
        <f t="shared" si="24"/>
        <v>0</v>
      </c>
      <c r="CC60" s="14">
        <f t="shared" si="25"/>
        <v>0</v>
      </c>
    </row>
    <row r="61" spans="2:81" x14ac:dyDescent="0.15">
      <c r="D61" s="5" t="s">
        <v>197</v>
      </c>
      <c r="I61" s="5">
        <v>1</v>
      </c>
      <c r="J61" s="5">
        <f>投放验证!G7</f>
        <v>25000</v>
      </c>
      <c r="X61" s="14">
        <v>57</v>
      </c>
      <c r="Y61" s="30">
        <f t="shared" si="26"/>
        <v>0</v>
      </c>
      <c r="Z61" s="27">
        <f t="shared" si="4"/>
        <v>8.8000000000000009E-2</v>
      </c>
      <c r="AA61" s="14">
        <f>$Y61*$Z61*其他调用!V60</f>
        <v>0</v>
      </c>
      <c r="AB61" s="14">
        <f>$Y61*$Z61*其他调用!W60</f>
        <v>0</v>
      </c>
      <c r="AC61" s="14">
        <f>$Y61*$Z61*其他调用!X60</f>
        <v>0</v>
      </c>
      <c r="AD61" s="14">
        <f>$Y61*$Z61*其他调用!Y60</f>
        <v>0</v>
      </c>
      <c r="AE61" s="14">
        <f>$Y61*$Z61*其他调用!Z60</f>
        <v>0</v>
      </c>
      <c r="AH61" s="14">
        <v>57</v>
      </c>
      <c r="AI61" s="14">
        <f>SUM(AA$5:AA61)</f>
        <v>0</v>
      </c>
      <c r="AJ61" s="14">
        <f>SUM(AB$5:AB61)</f>
        <v>0</v>
      </c>
      <c r="AK61" s="14">
        <f>SUM(AC$5:AC61)</f>
        <v>0</v>
      </c>
      <c r="AL61" s="14">
        <f>SUM(AD$5:AD61)</f>
        <v>0</v>
      </c>
      <c r="AM61" s="14">
        <f>SUM(AE$5:AE61)</f>
        <v>0</v>
      </c>
      <c r="AR61" s="14">
        <v>57</v>
      </c>
      <c r="AS61" s="27">
        <f t="shared" si="5"/>
        <v>0.11200000000000002</v>
      </c>
      <c r="AT61" s="14">
        <f>求节点(E$28:E$32,$N$28:$N$32,$AR61)*$AS61*其他调用!V60/$E$4</f>
        <v>0</v>
      </c>
      <c r="AU61" s="14">
        <f>求节点(F$28:F$32,$N$28:$N$32,$AR61)*$AS61*其他调用!W60/$E$4</f>
        <v>0</v>
      </c>
      <c r="AV61" s="14">
        <f>求节点(G$28:G$32,$N$28:$N$32,$AR61)*$AS61*其他调用!X60/$E$4</f>
        <v>0</v>
      </c>
      <c r="AW61" s="14">
        <f>求节点(H$28:H$32,$N$28:$N$32,$AR61)*$AS61*其他调用!Y60/$E$4</f>
        <v>0</v>
      </c>
      <c r="AX61" s="14">
        <f>求节点(I$28:I$32,$N$28:$N$32,$AR61)*$AS61*其他调用!Z60/$E$4</f>
        <v>0</v>
      </c>
      <c r="BA61" s="14">
        <v>57</v>
      </c>
      <c r="BB61" s="14">
        <f>SUM(AT$5:AT61)</f>
        <v>0</v>
      </c>
      <c r="BC61" s="14">
        <f>SUM(AU$5:AU61)</f>
        <v>0</v>
      </c>
      <c r="BD61" s="14">
        <f>SUM(AV$5:AV61)</f>
        <v>0</v>
      </c>
      <c r="BE61" s="14">
        <f>SUM(AW$5:AW61)</f>
        <v>0</v>
      </c>
      <c r="BF61" s="14">
        <f>SUM(AX$5:AX61)</f>
        <v>0</v>
      </c>
      <c r="BI61" s="14">
        <v>57</v>
      </c>
      <c r="BJ61" s="14">
        <f t="shared" si="6"/>
        <v>0</v>
      </c>
      <c r="BK61" s="14">
        <f t="shared" si="7"/>
        <v>0</v>
      </c>
      <c r="BL61" s="14">
        <f t="shared" si="8"/>
        <v>0</v>
      </c>
      <c r="BM61" s="14">
        <f t="shared" si="9"/>
        <v>0</v>
      </c>
      <c r="BN61" s="14">
        <f t="shared" si="10"/>
        <v>0</v>
      </c>
      <c r="BO61" s="14">
        <f t="shared" si="11"/>
        <v>0</v>
      </c>
      <c r="BP61" s="14">
        <f t="shared" si="12"/>
        <v>0</v>
      </c>
      <c r="BQ61" s="14">
        <f t="shared" si="13"/>
        <v>0</v>
      </c>
      <c r="BR61" s="14">
        <f t="shared" si="14"/>
        <v>0</v>
      </c>
      <c r="BS61" s="14">
        <f t="shared" si="15"/>
        <v>0</v>
      </c>
      <c r="BT61" s="14">
        <f t="shared" si="16"/>
        <v>0</v>
      </c>
      <c r="BU61" s="14">
        <f t="shared" si="17"/>
        <v>0</v>
      </c>
      <c r="BV61" s="14">
        <f t="shared" si="18"/>
        <v>0</v>
      </c>
      <c r="BW61" s="14">
        <f t="shared" si="19"/>
        <v>0</v>
      </c>
      <c r="BX61" s="14">
        <f t="shared" si="20"/>
        <v>0</v>
      </c>
      <c r="BY61" s="14">
        <f t="shared" si="21"/>
        <v>0</v>
      </c>
      <c r="BZ61" s="14">
        <f t="shared" si="22"/>
        <v>0</v>
      </c>
      <c r="CA61" s="14">
        <f t="shared" si="23"/>
        <v>0</v>
      </c>
      <c r="CB61" s="14">
        <f t="shared" si="24"/>
        <v>0</v>
      </c>
      <c r="CC61" s="14">
        <f t="shared" si="25"/>
        <v>0</v>
      </c>
    </row>
    <row r="62" spans="2:81" x14ac:dyDescent="0.15">
      <c r="D62" s="5" t="s">
        <v>343</v>
      </c>
      <c r="F62" s="5">
        <v>0.5</v>
      </c>
      <c r="I62" s="5">
        <v>5</v>
      </c>
      <c r="J62" s="5">
        <v>500</v>
      </c>
      <c r="X62" s="14">
        <v>58</v>
      </c>
      <c r="Y62" s="30">
        <f t="shared" si="26"/>
        <v>0</v>
      </c>
      <c r="Z62" s="27">
        <f t="shared" si="4"/>
        <v>8.8000000000000009E-2</v>
      </c>
      <c r="AA62" s="14">
        <f>$Y62*$Z62*其他调用!V61</f>
        <v>0</v>
      </c>
      <c r="AB62" s="14">
        <f>$Y62*$Z62*其他调用!W61</f>
        <v>0</v>
      </c>
      <c r="AC62" s="14">
        <f>$Y62*$Z62*其他调用!X61</f>
        <v>0</v>
      </c>
      <c r="AD62" s="14">
        <f>$Y62*$Z62*其他调用!Y61</f>
        <v>0</v>
      </c>
      <c r="AE62" s="14">
        <f>$Y62*$Z62*其他调用!Z61</f>
        <v>0</v>
      </c>
      <c r="AH62" s="14">
        <v>58</v>
      </c>
      <c r="AI62" s="14">
        <f>SUM(AA$5:AA62)</f>
        <v>0</v>
      </c>
      <c r="AJ62" s="14">
        <f>SUM(AB$5:AB62)</f>
        <v>0</v>
      </c>
      <c r="AK62" s="14">
        <f>SUM(AC$5:AC62)</f>
        <v>0</v>
      </c>
      <c r="AL62" s="14">
        <f>SUM(AD$5:AD62)</f>
        <v>0</v>
      </c>
      <c r="AM62" s="14">
        <f>SUM(AE$5:AE62)</f>
        <v>0</v>
      </c>
      <c r="AR62" s="14">
        <v>58</v>
      </c>
      <c r="AS62" s="27">
        <f t="shared" si="5"/>
        <v>0.11200000000000002</v>
      </c>
      <c r="AT62" s="14">
        <f>求节点(E$28:E$32,$N$28:$N$32,$AR62)*$AS62*其他调用!V61/$E$4</f>
        <v>0</v>
      </c>
      <c r="AU62" s="14">
        <f>求节点(F$28:F$32,$N$28:$N$32,$AR62)*$AS62*其他调用!W61/$E$4</f>
        <v>0</v>
      </c>
      <c r="AV62" s="14">
        <f>求节点(G$28:G$32,$N$28:$N$32,$AR62)*$AS62*其他调用!X61/$E$4</f>
        <v>0</v>
      </c>
      <c r="AW62" s="14">
        <f>求节点(H$28:H$32,$N$28:$N$32,$AR62)*$AS62*其他调用!Y61/$E$4</f>
        <v>0</v>
      </c>
      <c r="AX62" s="14">
        <f>求节点(I$28:I$32,$N$28:$N$32,$AR62)*$AS62*其他调用!Z61/$E$4</f>
        <v>0</v>
      </c>
      <c r="BA62" s="14">
        <v>58</v>
      </c>
      <c r="BB62" s="14">
        <f>SUM(AT$5:AT62)</f>
        <v>0</v>
      </c>
      <c r="BC62" s="14">
        <f>SUM(AU$5:AU62)</f>
        <v>0</v>
      </c>
      <c r="BD62" s="14">
        <f>SUM(AV$5:AV62)</f>
        <v>0</v>
      </c>
      <c r="BE62" s="14">
        <f>SUM(AW$5:AW62)</f>
        <v>0</v>
      </c>
      <c r="BF62" s="14">
        <f>SUM(AX$5:AX62)</f>
        <v>0</v>
      </c>
      <c r="BI62" s="14">
        <v>58</v>
      </c>
      <c r="BJ62" s="14">
        <f t="shared" si="6"/>
        <v>0</v>
      </c>
      <c r="BK62" s="14">
        <f t="shared" si="7"/>
        <v>0</v>
      </c>
      <c r="BL62" s="14">
        <f t="shared" si="8"/>
        <v>0</v>
      </c>
      <c r="BM62" s="14">
        <f t="shared" si="9"/>
        <v>0</v>
      </c>
      <c r="BN62" s="14">
        <f t="shared" si="10"/>
        <v>0</v>
      </c>
      <c r="BO62" s="14">
        <f t="shared" si="11"/>
        <v>0</v>
      </c>
      <c r="BP62" s="14">
        <f t="shared" si="12"/>
        <v>0</v>
      </c>
      <c r="BQ62" s="14">
        <f t="shared" si="13"/>
        <v>0</v>
      </c>
      <c r="BR62" s="14">
        <f t="shared" si="14"/>
        <v>0</v>
      </c>
      <c r="BS62" s="14">
        <f t="shared" si="15"/>
        <v>0</v>
      </c>
      <c r="BT62" s="14">
        <f t="shared" si="16"/>
        <v>0</v>
      </c>
      <c r="BU62" s="14">
        <f t="shared" si="17"/>
        <v>0</v>
      </c>
      <c r="BV62" s="14">
        <f t="shared" si="18"/>
        <v>0</v>
      </c>
      <c r="BW62" s="14">
        <f t="shared" si="19"/>
        <v>0</v>
      </c>
      <c r="BX62" s="14">
        <f t="shared" si="20"/>
        <v>0</v>
      </c>
      <c r="BY62" s="14">
        <f t="shared" si="21"/>
        <v>0</v>
      </c>
      <c r="BZ62" s="14">
        <f t="shared" si="22"/>
        <v>0</v>
      </c>
      <c r="CA62" s="14">
        <f t="shared" si="23"/>
        <v>0</v>
      </c>
      <c r="CB62" s="14">
        <f t="shared" si="24"/>
        <v>0</v>
      </c>
      <c r="CC62" s="14">
        <f t="shared" si="25"/>
        <v>0</v>
      </c>
    </row>
    <row r="63" spans="2:81" x14ac:dyDescent="0.15">
      <c r="B63" s="21"/>
      <c r="D63" s="21" t="s">
        <v>304</v>
      </c>
      <c r="F63" s="5">
        <f>SUMPRODUCT(F$58:F$62,$J$58:$J$62)</f>
        <v>420</v>
      </c>
      <c r="X63" s="14">
        <v>59</v>
      </c>
      <c r="Y63" s="30">
        <f t="shared" si="26"/>
        <v>0</v>
      </c>
      <c r="Z63" s="27">
        <f t="shared" si="4"/>
        <v>8.8000000000000009E-2</v>
      </c>
      <c r="AA63" s="14">
        <f>$Y63*$Z63*其他调用!V62</f>
        <v>0</v>
      </c>
      <c r="AB63" s="14">
        <f>$Y63*$Z63*其他调用!W62</f>
        <v>0</v>
      </c>
      <c r="AC63" s="14">
        <f>$Y63*$Z63*其他调用!X62</f>
        <v>0</v>
      </c>
      <c r="AD63" s="14">
        <f>$Y63*$Z63*其他调用!Y62</f>
        <v>0</v>
      </c>
      <c r="AE63" s="14">
        <f>$Y63*$Z63*其他调用!Z62</f>
        <v>0</v>
      </c>
      <c r="AH63" s="14">
        <v>59</v>
      </c>
      <c r="AI63" s="14">
        <f>SUM(AA$5:AA63)</f>
        <v>0</v>
      </c>
      <c r="AJ63" s="14">
        <f>SUM(AB$5:AB63)</f>
        <v>0</v>
      </c>
      <c r="AK63" s="14">
        <f>SUM(AC$5:AC63)</f>
        <v>0</v>
      </c>
      <c r="AL63" s="14">
        <f>SUM(AD$5:AD63)</f>
        <v>0</v>
      </c>
      <c r="AM63" s="14">
        <f>SUM(AE$5:AE63)</f>
        <v>0</v>
      </c>
      <c r="AR63" s="14">
        <v>59</v>
      </c>
      <c r="AS63" s="27">
        <f t="shared" si="5"/>
        <v>0.11200000000000002</v>
      </c>
      <c r="AT63" s="14">
        <f>求节点(E$28:E$32,$N$28:$N$32,$AR63)*$AS63*其他调用!V62/$E$4</f>
        <v>0</v>
      </c>
      <c r="AU63" s="14">
        <f>求节点(F$28:F$32,$N$28:$N$32,$AR63)*$AS63*其他调用!W62/$E$4</f>
        <v>0</v>
      </c>
      <c r="AV63" s="14">
        <f>求节点(G$28:G$32,$N$28:$N$32,$AR63)*$AS63*其他调用!X62/$E$4</f>
        <v>0</v>
      </c>
      <c r="AW63" s="14">
        <f>求节点(H$28:H$32,$N$28:$N$32,$AR63)*$AS63*其他调用!Y62/$E$4</f>
        <v>0</v>
      </c>
      <c r="AX63" s="14">
        <f>求节点(I$28:I$32,$N$28:$N$32,$AR63)*$AS63*其他调用!Z62/$E$4</f>
        <v>6.6166531698241338</v>
      </c>
      <c r="BA63" s="14">
        <v>59</v>
      </c>
      <c r="BB63" s="14">
        <f>SUM(AT$5:AT63)</f>
        <v>0</v>
      </c>
      <c r="BC63" s="14">
        <f>SUM(AU$5:AU63)</f>
        <v>0</v>
      </c>
      <c r="BD63" s="14">
        <f>SUM(AV$5:AV63)</f>
        <v>0</v>
      </c>
      <c r="BE63" s="14">
        <f>SUM(AW$5:AW63)</f>
        <v>0</v>
      </c>
      <c r="BF63" s="14">
        <f>SUM(AX$5:AX63)</f>
        <v>6.6166531698241338</v>
      </c>
      <c r="BI63" s="14">
        <v>59</v>
      </c>
      <c r="BJ63" s="14">
        <f t="shared" si="6"/>
        <v>0</v>
      </c>
      <c r="BK63" s="14">
        <f t="shared" si="7"/>
        <v>0</v>
      </c>
      <c r="BL63" s="14">
        <f t="shared" si="8"/>
        <v>0</v>
      </c>
      <c r="BM63" s="14">
        <f t="shared" si="9"/>
        <v>0</v>
      </c>
      <c r="BN63" s="14">
        <f t="shared" si="10"/>
        <v>0.13233306339648265</v>
      </c>
      <c r="BO63" s="14">
        <f t="shared" si="11"/>
        <v>0</v>
      </c>
      <c r="BP63" s="14">
        <f t="shared" si="12"/>
        <v>0</v>
      </c>
      <c r="BQ63" s="14">
        <f t="shared" si="13"/>
        <v>0</v>
      </c>
      <c r="BR63" s="14">
        <f t="shared" si="14"/>
        <v>0</v>
      </c>
      <c r="BS63" s="14">
        <f t="shared" si="15"/>
        <v>0.19849959509472401</v>
      </c>
      <c r="BT63" s="14">
        <f t="shared" si="16"/>
        <v>0</v>
      </c>
      <c r="BU63" s="14">
        <f t="shared" si="17"/>
        <v>0</v>
      </c>
      <c r="BV63" s="14">
        <f t="shared" si="18"/>
        <v>0</v>
      </c>
      <c r="BW63" s="14">
        <f t="shared" si="19"/>
        <v>0</v>
      </c>
      <c r="BX63" s="14">
        <f t="shared" si="20"/>
        <v>0</v>
      </c>
      <c r="BY63" s="14">
        <f t="shared" si="21"/>
        <v>0</v>
      </c>
      <c r="BZ63" s="14">
        <f t="shared" si="22"/>
        <v>0</v>
      </c>
      <c r="CA63" s="14">
        <f t="shared" si="23"/>
        <v>0</v>
      </c>
      <c r="CB63" s="14">
        <f t="shared" si="24"/>
        <v>0</v>
      </c>
      <c r="CC63" s="14">
        <f t="shared" si="25"/>
        <v>1.6541632924560334</v>
      </c>
    </row>
    <row r="64" spans="2:81" x14ac:dyDescent="0.15">
      <c r="X64" s="14">
        <v>60</v>
      </c>
      <c r="Y64" s="30">
        <f t="shared" si="26"/>
        <v>0</v>
      </c>
      <c r="Z64" s="27">
        <f t="shared" si="4"/>
        <v>8.8000000000000009E-2</v>
      </c>
      <c r="AA64" s="14">
        <f>$Y64*$Z64*其他调用!V63</f>
        <v>0</v>
      </c>
      <c r="AB64" s="14">
        <f>$Y64*$Z64*其他调用!W63</f>
        <v>0</v>
      </c>
      <c r="AC64" s="14">
        <f>$Y64*$Z64*其他调用!X63</f>
        <v>0</v>
      </c>
      <c r="AD64" s="14">
        <f>$Y64*$Z64*其他调用!Y63</f>
        <v>0</v>
      </c>
      <c r="AE64" s="14">
        <f>$Y64*$Z64*其他调用!Z63</f>
        <v>0</v>
      </c>
      <c r="AH64" s="14">
        <v>60</v>
      </c>
      <c r="AI64" s="14">
        <f>SUM(AA$5:AA64)</f>
        <v>0</v>
      </c>
      <c r="AJ64" s="14">
        <f>SUM(AB$5:AB64)</f>
        <v>0</v>
      </c>
      <c r="AK64" s="14">
        <f>SUM(AC$5:AC64)</f>
        <v>0</v>
      </c>
      <c r="AL64" s="14">
        <f>SUM(AD$5:AD64)</f>
        <v>0</v>
      </c>
      <c r="AM64" s="14">
        <f>SUM(AE$5:AE64)</f>
        <v>0</v>
      </c>
      <c r="AR64" s="14">
        <v>60</v>
      </c>
      <c r="AS64" s="27">
        <f t="shared" si="5"/>
        <v>0.11200000000000002</v>
      </c>
      <c r="AT64" s="14">
        <f>求节点(E$28:E$32,$N$28:$N$32,$AR64)*$AS64*其他调用!V63/$E$4</f>
        <v>0</v>
      </c>
      <c r="AU64" s="14">
        <f>求节点(F$28:F$32,$N$28:$N$32,$AR64)*$AS64*其他调用!W63/$E$4</f>
        <v>0</v>
      </c>
      <c r="AV64" s="14">
        <f>求节点(G$28:G$32,$N$28:$N$32,$AR64)*$AS64*其他调用!X63/$E$4</f>
        <v>0</v>
      </c>
      <c r="AW64" s="14">
        <f>求节点(H$28:H$32,$N$28:$N$32,$AR64)*$AS64*其他调用!Y63/$E$4</f>
        <v>0</v>
      </c>
      <c r="AX64" s="14">
        <f>求节点(I$28:I$32,$N$28:$N$32,$AR64)*$AS64*其他调用!Z63/$E$4</f>
        <v>7.3408950793359669</v>
      </c>
      <c r="BA64" s="14">
        <v>60</v>
      </c>
      <c r="BB64" s="14">
        <f>SUM(AT$5:AT64)</f>
        <v>0</v>
      </c>
      <c r="BC64" s="14">
        <f>SUM(AU$5:AU64)</f>
        <v>0</v>
      </c>
      <c r="BD64" s="14">
        <f>SUM(AV$5:AV64)</f>
        <v>0</v>
      </c>
      <c r="BE64" s="14">
        <f>SUM(AW$5:AW64)</f>
        <v>0</v>
      </c>
      <c r="BF64" s="14">
        <f>SUM(AX$5:AX64)</f>
        <v>13.957548249160102</v>
      </c>
      <c r="BI64" s="14">
        <v>60</v>
      </c>
      <c r="BJ64" s="14">
        <f t="shared" si="6"/>
        <v>0</v>
      </c>
      <c r="BK64" s="14">
        <f t="shared" si="7"/>
        <v>0</v>
      </c>
      <c r="BL64" s="14">
        <f t="shared" si="8"/>
        <v>0</v>
      </c>
      <c r="BM64" s="14">
        <f t="shared" si="9"/>
        <v>0</v>
      </c>
      <c r="BN64" s="14">
        <f t="shared" si="10"/>
        <v>0.27915096498320197</v>
      </c>
      <c r="BO64" s="14">
        <f t="shared" si="11"/>
        <v>0</v>
      </c>
      <c r="BP64" s="14">
        <f t="shared" si="12"/>
        <v>0</v>
      </c>
      <c r="BQ64" s="14">
        <f t="shared" si="13"/>
        <v>0</v>
      </c>
      <c r="BR64" s="14">
        <f t="shared" si="14"/>
        <v>0</v>
      </c>
      <c r="BS64" s="14">
        <f t="shared" si="15"/>
        <v>0.41872644747480303</v>
      </c>
      <c r="BT64" s="14">
        <f t="shared" si="16"/>
        <v>0</v>
      </c>
      <c r="BU64" s="14">
        <f t="shared" si="17"/>
        <v>0</v>
      </c>
      <c r="BV64" s="14">
        <f t="shared" si="18"/>
        <v>0</v>
      </c>
      <c r="BW64" s="14">
        <f t="shared" si="19"/>
        <v>0</v>
      </c>
      <c r="BX64" s="14">
        <f t="shared" si="20"/>
        <v>0</v>
      </c>
      <c r="BY64" s="14">
        <f t="shared" si="21"/>
        <v>0</v>
      </c>
      <c r="BZ64" s="14">
        <f t="shared" si="22"/>
        <v>0</v>
      </c>
      <c r="CA64" s="14">
        <f t="shared" si="23"/>
        <v>0</v>
      </c>
      <c r="CB64" s="14">
        <f t="shared" si="24"/>
        <v>0</v>
      </c>
      <c r="CC64" s="14">
        <f t="shared" si="25"/>
        <v>3.4893870622900254</v>
      </c>
    </row>
    <row r="65" spans="24:81" x14ac:dyDescent="0.15">
      <c r="X65" s="14">
        <v>61</v>
      </c>
      <c r="Y65" s="30">
        <f t="shared" si="26"/>
        <v>0</v>
      </c>
      <c r="Z65" s="27">
        <f t="shared" si="4"/>
        <v>8.8000000000000009E-2</v>
      </c>
      <c r="AA65" s="14">
        <f>$Y65*$Z65*其他调用!V64</f>
        <v>0</v>
      </c>
      <c r="AB65" s="14">
        <f>$Y65*$Z65*其他调用!W64</f>
        <v>0</v>
      </c>
      <c r="AC65" s="14">
        <f>$Y65*$Z65*其他调用!X64</f>
        <v>0</v>
      </c>
      <c r="AD65" s="14">
        <f>$Y65*$Z65*其他调用!Y64</f>
        <v>0</v>
      </c>
      <c r="AE65" s="14">
        <f>$Y65*$Z65*其他调用!Z64</f>
        <v>0</v>
      </c>
      <c r="AH65" s="14">
        <v>61</v>
      </c>
      <c r="AI65" s="14">
        <f>SUM(AA$5:AA65)</f>
        <v>0</v>
      </c>
      <c r="AJ65" s="14">
        <f>SUM(AB$5:AB65)</f>
        <v>0</v>
      </c>
      <c r="AK65" s="14">
        <f>SUM(AC$5:AC65)</f>
        <v>0</v>
      </c>
      <c r="AL65" s="14">
        <f>SUM(AD$5:AD65)</f>
        <v>0</v>
      </c>
      <c r="AM65" s="14">
        <f>SUM(AE$5:AE65)</f>
        <v>0</v>
      </c>
      <c r="AR65" s="14">
        <v>61</v>
      </c>
      <c r="AS65" s="27">
        <f t="shared" si="5"/>
        <v>0.11200000000000002</v>
      </c>
      <c r="AT65" s="14">
        <f>求节点(E$28:E$32,$N$28:$N$32,$AR65)*$AS65*其他调用!V64/$E$4</f>
        <v>0</v>
      </c>
      <c r="AU65" s="14">
        <f>求节点(F$28:F$32,$N$28:$N$32,$AR65)*$AS65*其他调用!W64/$E$4</f>
        <v>0</v>
      </c>
      <c r="AV65" s="14">
        <f>求节点(G$28:G$32,$N$28:$N$32,$AR65)*$AS65*其他调用!X64/$E$4</f>
        <v>0</v>
      </c>
      <c r="AW65" s="14">
        <f>求节点(H$28:H$32,$N$28:$N$32,$AR65)*$AS65*其他调用!Y64/$E$4</f>
        <v>13.954712946633341</v>
      </c>
      <c r="AX65" s="14">
        <f>求节点(I$28:I$32,$N$28:$N$32,$AR65)*$AS65*其他调用!Z64/$E$4</f>
        <v>7.6473036002372643</v>
      </c>
      <c r="BA65" s="14">
        <v>61</v>
      </c>
      <c r="BB65" s="14">
        <f>SUM(AT$5:AT65)</f>
        <v>0</v>
      </c>
      <c r="BC65" s="14">
        <f>SUM(AU$5:AU65)</f>
        <v>0</v>
      </c>
      <c r="BD65" s="14">
        <f>SUM(AV$5:AV65)</f>
        <v>0</v>
      </c>
      <c r="BE65" s="14">
        <f>SUM(AW$5:AW65)</f>
        <v>13.954712946633341</v>
      </c>
      <c r="BF65" s="14">
        <f>SUM(AX$5:AX65)</f>
        <v>21.604851849397367</v>
      </c>
      <c r="BI65" s="14">
        <v>61</v>
      </c>
      <c r="BJ65" s="14">
        <f t="shared" si="6"/>
        <v>0</v>
      </c>
      <c r="BK65" s="14">
        <f t="shared" si="7"/>
        <v>0</v>
      </c>
      <c r="BL65" s="14">
        <f t="shared" si="8"/>
        <v>0</v>
      </c>
      <c r="BM65" s="14">
        <f t="shared" si="9"/>
        <v>0.27909425893266676</v>
      </c>
      <c r="BN65" s="14">
        <f t="shared" si="10"/>
        <v>0.43209703698794727</v>
      </c>
      <c r="BO65" s="14">
        <f t="shared" si="11"/>
        <v>0</v>
      </c>
      <c r="BP65" s="14">
        <f t="shared" si="12"/>
        <v>0</v>
      </c>
      <c r="BQ65" s="14">
        <f t="shared" si="13"/>
        <v>0</v>
      </c>
      <c r="BR65" s="14">
        <f t="shared" si="14"/>
        <v>0.41864138839900022</v>
      </c>
      <c r="BS65" s="14">
        <f t="shared" si="15"/>
        <v>0.64814555548192099</v>
      </c>
      <c r="BT65" s="14">
        <f t="shared" si="16"/>
        <v>0</v>
      </c>
      <c r="BU65" s="14">
        <f t="shared" si="17"/>
        <v>0</v>
      </c>
      <c r="BV65" s="14">
        <f t="shared" si="18"/>
        <v>0</v>
      </c>
      <c r="BW65" s="14">
        <f t="shared" si="19"/>
        <v>0</v>
      </c>
      <c r="BX65" s="14">
        <f t="shared" si="20"/>
        <v>0</v>
      </c>
      <c r="BY65" s="14">
        <f t="shared" si="21"/>
        <v>0</v>
      </c>
      <c r="BZ65" s="14">
        <f t="shared" si="22"/>
        <v>0</v>
      </c>
      <c r="CA65" s="14">
        <f t="shared" si="23"/>
        <v>0</v>
      </c>
      <c r="CB65" s="14">
        <f t="shared" si="24"/>
        <v>3.4886782366583353</v>
      </c>
      <c r="CC65" s="14">
        <f t="shared" si="25"/>
        <v>5.4012129623493426</v>
      </c>
    </row>
    <row r="66" spans="24:81" x14ac:dyDescent="0.15">
      <c r="X66" s="14">
        <v>62</v>
      </c>
      <c r="Y66" s="30">
        <f t="shared" si="26"/>
        <v>0</v>
      </c>
      <c r="Z66" s="27">
        <f t="shared" si="4"/>
        <v>8.8000000000000009E-2</v>
      </c>
      <c r="AA66" s="14">
        <f>$Y66*$Z66*其他调用!V65</f>
        <v>0</v>
      </c>
      <c r="AB66" s="14">
        <f>$Y66*$Z66*其他调用!W65</f>
        <v>0</v>
      </c>
      <c r="AC66" s="14">
        <f>$Y66*$Z66*其他调用!X65</f>
        <v>0</v>
      </c>
      <c r="AD66" s="14">
        <f>$Y66*$Z66*其他调用!Y65</f>
        <v>0</v>
      </c>
      <c r="AE66" s="14">
        <f>$Y66*$Z66*其他调用!Z65</f>
        <v>0</v>
      </c>
      <c r="AH66" s="14">
        <v>62</v>
      </c>
      <c r="AI66" s="14">
        <f>SUM(AA$5:AA66)</f>
        <v>0</v>
      </c>
      <c r="AJ66" s="14">
        <f>SUM(AB$5:AB66)</f>
        <v>0</v>
      </c>
      <c r="AK66" s="14">
        <f>SUM(AC$5:AC66)</f>
        <v>0</v>
      </c>
      <c r="AL66" s="14">
        <f>SUM(AD$5:AD66)</f>
        <v>0</v>
      </c>
      <c r="AM66" s="14">
        <f>SUM(AE$5:AE66)</f>
        <v>0</v>
      </c>
      <c r="AR66" s="14">
        <v>62</v>
      </c>
      <c r="AS66" s="27">
        <f t="shared" si="5"/>
        <v>0.11200000000000002</v>
      </c>
      <c r="AT66" s="14">
        <f>求节点(E$28:E$32,$N$28:$N$32,$AR66)*$AS66*其他调用!V65/$E$4</f>
        <v>0</v>
      </c>
      <c r="AU66" s="14">
        <f>求节点(F$28:F$32,$N$28:$N$32,$AR66)*$AS66*其他调用!W65/$E$4</f>
        <v>0</v>
      </c>
      <c r="AV66" s="14">
        <f>求节点(G$28:G$32,$N$28:$N$32,$AR66)*$AS66*其他调用!X65/$E$4</f>
        <v>0</v>
      </c>
      <c r="AW66" s="14">
        <f>求节点(H$28:H$32,$N$28:$N$32,$AR66)*$AS66*其他调用!Y65/$E$4</f>
        <v>15.09329828894997</v>
      </c>
      <c r="AX66" s="14">
        <f>求节点(I$28:I$32,$N$28:$N$32,$AR66)*$AS66*其他调用!Z65/$E$4</f>
        <v>8.7788827751706968</v>
      </c>
      <c r="BA66" s="14">
        <v>62</v>
      </c>
      <c r="BB66" s="14">
        <f>SUM(AT$5:AT66)</f>
        <v>0</v>
      </c>
      <c r="BC66" s="14">
        <f>SUM(AU$5:AU66)</f>
        <v>0</v>
      </c>
      <c r="BD66" s="14">
        <f>SUM(AV$5:AV66)</f>
        <v>0</v>
      </c>
      <c r="BE66" s="14">
        <f>SUM(AW$5:AW66)</f>
        <v>29.04801123558331</v>
      </c>
      <c r="BF66" s="14">
        <f>SUM(AX$5:AX66)</f>
        <v>30.383734624568064</v>
      </c>
      <c r="BI66" s="14">
        <v>62</v>
      </c>
      <c r="BJ66" s="14">
        <f t="shared" si="6"/>
        <v>0</v>
      </c>
      <c r="BK66" s="14">
        <f t="shared" si="7"/>
        <v>0</v>
      </c>
      <c r="BL66" s="14">
        <f t="shared" si="8"/>
        <v>0</v>
      </c>
      <c r="BM66" s="14">
        <f t="shared" si="9"/>
        <v>0.58096022471166608</v>
      </c>
      <c r="BN66" s="14">
        <f t="shared" si="10"/>
        <v>0.60767469249136119</v>
      </c>
      <c r="BO66" s="14">
        <f t="shared" si="11"/>
        <v>0</v>
      </c>
      <c r="BP66" s="14">
        <f t="shared" si="12"/>
        <v>0</v>
      </c>
      <c r="BQ66" s="14">
        <f t="shared" si="13"/>
        <v>0</v>
      </c>
      <c r="BR66" s="14">
        <f t="shared" si="14"/>
        <v>0.87144033706749924</v>
      </c>
      <c r="BS66" s="14">
        <f t="shared" si="15"/>
        <v>0.9115120387370419</v>
      </c>
      <c r="BT66" s="14">
        <f t="shared" si="16"/>
        <v>0</v>
      </c>
      <c r="BU66" s="14">
        <f t="shared" si="17"/>
        <v>0</v>
      </c>
      <c r="BV66" s="14">
        <f t="shared" si="18"/>
        <v>0</v>
      </c>
      <c r="BW66" s="14">
        <f t="shared" si="19"/>
        <v>0</v>
      </c>
      <c r="BX66" s="14">
        <f t="shared" si="20"/>
        <v>0</v>
      </c>
      <c r="BY66" s="14">
        <f t="shared" si="21"/>
        <v>0</v>
      </c>
      <c r="BZ66" s="14">
        <f t="shared" si="22"/>
        <v>0</v>
      </c>
      <c r="CA66" s="14">
        <f t="shared" si="23"/>
        <v>0</v>
      </c>
      <c r="CB66" s="14">
        <f t="shared" si="24"/>
        <v>7.2620028088958275</v>
      </c>
      <c r="CC66" s="14">
        <f t="shared" si="25"/>
        <v>7.5959336561420159</v>
      </c>
    </row>
    <row r="67" spans="24:81" x14ac:dyDescent="0.15">
      <c r="X67" s="14">
        <v>63</v>
      </c>
      <c r="Y67" s="30">
        <f t="shared" si="26"/>
        <v>0</v>
      </c>
      <c r="Z67" s="27">
        <f t="shared" si="4"/>
        <v>8.8000000000000009E-2</v>
      </c>
      <c r="AA67" s="14">
        <f>$Y67*$Z67*其他调用!V66</f>
        <v>0</v>
      </c>
      <c r="AB67" s="14">
        <f>$Y67*$Z67*其他调用!W66</f>
        <v>0</v>
      </c>
      <c r="AC67" s="14">
        <f>$Y67*$Z67*其他调用!X66</f>
        <v>0</v>
      </c>
      <c r="AD67" s="14">
        <f>$Y67*$Z67*其他调用!Y66</f>
        <v>0</v>
      </c>
      <c r="AE67" s="14">
        <f>$Y67*$Z67*其他调用!Z66</f>
        <v>0</v>
      </c>
      <c r="AH67" s="14">
        <v>63</v>
      </c>
      <c r="AI67" s="14">
        <f>SUM(AA$5:AA67)</f>
        <v>0</v>
      </c>
      <c r="AJ67" s="14">
        <f>SUM(AB$5:AB67)</f>
        <v>0</v>
      </c>
      <c r="AK67" s="14">
        <f>SUM(AC$5:AC67)</f>
        <v>0</v>
      </c>
      <c r="AL67" s="14">
        <f>SUM(AD$5:AD67)</f>
        <v>0</v>
      </c>
      <c r="AM67" s="14">
        <f>SUM(AE$5:AE67)</f>
        <v>0</v>
      </c>
      <c r="AR67" s="14">
        <v>63</v>
      </c>
      <c r="AS67" s="27">
        <f t="shared" si="5"/>
        <v>0.11200000000000002</v>
      </c>
      <c r="AT67" s="14">
        <f>求节点(E$28:E$32,$N$28:$N$32,$AR67)*$AS67*其他调用!V66/$E$4</f>
        <v>0</v>
      </c>
      <c r="AU67" s="14">
        <f>求节点(F$28:F$32,$N$28:$N$32,$AR67)*$AS67*其他调用!W66/$E$4</f>
        <v>0</v>
      </c>
      <c r="AV67" s="14">
        <f>求节点(G$28:G$32,$N$28:$N$32,$AR67)*$AS67*其他调用!X66/$E$4</f>
        <v>0</v>
      </c>
      <c r="AW67" s="14">
        <f>求节点(H$28:H$32,$N$28:$N$32,$AR67)*$AS67*其他调用!Y66/$E$4</f>
        <v>16.332804376647747</v>
      </c>
      <c r="AX67" s="14">
        <f>求节点(I$28:I$32,$N$28:$N$32,$AR67)*$AS67*其他调用!Z66/$E$4</f>
        <v>9.0901083028269039</v>
      </c>
      <c r="BA67" s="14">
        <v>63</v>
      </c>
      <c r="BB67" s="14">
        <f>SUM(AT$5:AT67)</f>
        <v>0</v>
      </c>
      <c r="BC67" s="14">
        <f>SUM(AU$5:AU67)</f>
        <v>0</v>
      </c>
      <c r="BD67" s="14">
        <f>SUM(AV$5:AV67)</f>
        <v>0</v>
      </c>
      <c r="BE67" s="14">
        <f>SUM(AW$5:AW67)</f>
        <v>45.380815612231061</v>
      </c>
      <c r="BF67" s="14">
        <f>SUM(AX$5:AX67)</f>
        <v>39.473842927394969</v>
      </c>
      <c r="BI67" s="14">
        <v>63</v>
      </c>
      <c r="BJ67" s="14">
        <f t="shared" si="6"/>
        <v>0</v>
      </c>
      <c r="BK67" s="14">
        <f t="shared" si="7"/>
        <v>0</v>
      </c>
      <c r="BL67" s="14">
        <f t="shared" si="8"/>
        <v>0</v>
      </c>
      <c r="BM67" s="14">
        <f t="shared" si="9"/>
        <v>0.90761631224462103</v>
      </c>
      <c r="BN67" s="14">
        <f t="shared" si="10"/>
        <v>0.78947685854789929</v>
      </c>
      <c r="BO67" s="14">
        <f t="shared" si="11"/>
        <v>0</v>
      </c>
      <c r="BP67" s="14">
        <f t="shared" si="12"/>
        <v>0</v>
      </c>
      <c r="BQ67" s="14">
        <f t="shared" si="13"/>
        <v>0</v>
      </c>
      <c r="BR67" s="14">
        <f t="shared" si="14"/>
        <v>1.3614244683669319</v>
      </c>
      <c r="BS67" s="14">
        <f t="shared" si="15"/>
        <v>1.184215287821849</v>
      </c>
      <c r="BT67" s="14">
        <f t="shared" si="16"/>
        <v>0</v>
      </c>
      <c r="BU67" s="14">
        <f t="shared" si="17"/>
        <v>0</v>
      </c>
      <c r="BV67" s="14">
        <f t="shared" si="18"/>
        <v>0</v>
      </c>
      <c r="BW67" s="14">
        <f t="shared" si="19"/>
        <v>0</v>
      </c>
      <c r="BX67" s="14">
        <f t="shared" si="20"/>
        <v>0</v>
      </c>
      <c r="BY67" s="14">
        <f t="shared" si="21"/>
        <v>0</v>
      </c>
      <c r="BZ67" s="14">
        <f t="shared" si="22"/>
        <v>0</v>
      </c>
      <c r="CA67" s="14">
        <f t="shared" si="23"/>
        <v>0</v>
      </c>
      <c r="CB67" s="14">
        <f t="shared" si="24"/>
        <v>11.345203903057765</v>
      </c>
      <c r="CC67" s="14">
        <f t="shared" si="25"/>
        <v>9.8684607318487423</v>
      </c>
    </row>
    <row r="68" spans="24:81" x14ac:dyDescent="0.15">
      <c r="X68" s="14">
        <v>64</v>
      </c>
      <c r="Y68" s="30">
        <f t="shared" si="26"/>
        <v>0</v>
      </c>
      <c r="Z68" s="27">
        <f t="shared" si="4"/>
        <v>8.8000000000000009E-2</v>
      </c>
      <c r="AA68" s="14">
        <f>$Y68*$Z68*其他调用!V67</f>
        <v>0</v>
      </c>
      <c r="AB68" s="14">
        <f>$Y68*$Z68*其他调用!W67</f>
        <v>0</v>
      </c>
      <c r="AC68" s="14">
        <f>$Y68*$Z68*其他调用!X67</f>
        <v>0</v>
      </c>
      <c r="AD68" s="14">
        <f>$Y68*$Z68*其他调用!Y67</f>
        <v>0</v>
      </c>
      <c r="AE68" s="14">
        <f>$Y68*$Z68*其他调用!Z67</f>
        <v>0</v>
      </c>
      <c r="AH68" s="14">
        <v>64</v>
      </c>
      <c r="AI68" s="14">
        <f>SUM(AA$5:AA68)</f>
        <v>0</v>
      </c>
      <c r="AJ68" s="14">
        <f>SUM(AB$5:AB68)</f>
        <v>0</v>
      </c>
      <c r="AK68" s="14">
        <f>SUM(AC$5:AC68)</f>
        <v>0</v>
      </c>
      <c r="AL68" s="14">
        <f>SUM(AD$5:AD68)</f>
        <v>0</v>
      </c>
      <c r="AM68" s="14">
        <f>SUM(AE$5:AE68)</f>
        <v>0</v>
      </c>
      <c r="AR68" s="14">
        <v>64</v>
      </c>
      <c r="AS68" s="27">
        <f t="shared" si="5"/>
        <v>0.11200000000000002</v>
      </c>
      <c r="AT68" s="14">
        <f>求节点(E$28:E$32,$N$28:$N$32,$AR68)*$AS68*其他调用!V67/$E$4</f>
        <v>0</v>
      </c>
      <c r="AU68" s="14">
        <f>求节点(F$28:F$32,$N$28:$N$32,$AR68)*$AS68*其他调用!W67/$E$4</f>
        <v>0</v>
      </c>
      <c r="AV68" s="14">
        <f>求节点(G$28:G$32,$N$28:$N$32,$AR68)*$AS68*其他调用!X67/$E$4</f>
        <v>0</v>
      </c>
      <c r="AW68" s="14">
        <f>求节点(H$28:H$32,$N$28:$N$32,$AR68)*$AS68*其他调用!Y67/$E$4</f>
        <v>17.538099850822068</v>
      </c>
      <c r="AX68" s="14">
        <f>求节点(I$28:I$32,$N$28:$N$32,$AR68)*$AS68*其他调用!Z67/$E$4</f>
        <v>9.4702550355513324</v>
      </c>
      <c r="BA68" s="14">
        <v>64</v>
      </c>
      <c r="BB68" s="14">
        <f>SUM(AT$5:AT68)</f>
        <v>0</v>
      </c>
      <c r="BC68" s="14">
        <f>SUM(AU$5:AU68)</f>
        <v>0</v>
      </c>
      <c r="BD68" s="14">
        <f>SUM(AV$5:AV68)</f>
        <v>0</v>
      </c>
      <c r="BE68" s="14">
        <f>SUM(AW$5:AW68)</f>
        <v>62.918915463053125</v>
      </c>
      <c r="BF68" s="14">
        <f>SUM(AX$5:AX68)</f>
        <v>48.944097962946302</v>
      </c>
      <c r="BI68" s="14">
        <v>64</v>
      </c>
      <c r="BJ68" s="14">
        <f t="shared" si="6"/>
        <v>0</v>
      </c>
      <c r="BK68" s="14">
        <f t="shared" si="7"/>
        <v>0</v>
      </c>
      <c r="BL68" s="14">
        <f t="shared" si="8"/>
        <v>0</v>
      </c>
      <c r="BM68" s="14">
        <f t="shared" si="9"/>
        <v>1.2583783092610621</v>
      </c>
      <c r="BN68" s="14">
        <f t="shared" si="10"/>
        <v>0.97888195925892574</v>
      </c>
      <c r="BO68" s="14">
        <f t="shared" si="11"/>
        <v>0</v>
      </c>
      <c r="BP68" s="14">
        <f t="shared" si="12"/>
        <v>0</v>
      </c>
      <c r="BQ68" s="14">
        <f t="shared" si="13"/>
        <v>0</v>
      </c>
      <c r="BR68" s="14">
        <f t="shared" si="14"/>
        <v>1.8875674638915936</v>
      </c>
      <c r="BS68" s="14">
        <f t="shared" si="15"/>
        <v>1.4683229388883889</v>
      </c>
      <c r="BT68" s="14">
        <f t="shared" si="16"/>
        <v>0</v>
      </c>
      <c r="BU68" s="14">
        <f t="shared" si="17"/>
        <v>0</v>
      </c>
      <c r="BV68" s="14">
        <f t="shared" si="18"/>
        <v>0</v>
      </c>
      <c r="BW68" s="14">
        <f t="shared" si="19"/>
        <v>0</v>
      </c>
      <c r="BX68" s="14">
        <f t="shared" si="20"/>
        <v>0</v>
      </c>
      <c r="BY68" s="14">
        <f t="shared" si="21"/>
        <v>0</v>
      </c>
      <c r="BZ68" s="14">
        <f t="shared" si="22"/>
        <v>0</v>
      </c>
      <c r="CA68" s="14">
        <f t="shared" si="23"/>
        <v>0</v>
      </c>
      <c r="CB68" s="14">
        <f t="shared" si="24"/>
        <v>15.729728865763281</v>
      </c>
      <c r="CC68" s="14">
        <f t="shared" si="25"/>
        <v>12.236024490736575</v>
      </c>
    </row>
    <row r="69" spans="24:81" x14ac:dyDescent="0.15">
      <c r="X69" s="14">
        <v>65</v>
      </c>
      <c r="Y69" s="30">
        <f t="shared" si="26"/>
        <v>0</v>
      </c>
      <c r="Z69" s="27">
        <f t="shared" si="4"/>
        <v>8.8000000000000009E-2</v>
      </c>
      <c r="AA69" s="14">
        <f>$Y69*$Z69*其他调用!V68</f>
        <v>0</v>
      </c>
      <c r="AB69" s="14">
        <f>$Y69*$Z69*其他调用!W68</f>
        <v>0</v>
      </c>
      <c r="AC69" s="14">
        <f>$Y69*$Z69*其他调用!X68</f>
        <v>0</v>
      </c>
      <c r="AD69" s="14">
        <f>$Y69*$Z69*其他调用!Y68</f>
        <v>0</v>
      </c>
      <c r="AE69" s="14">
        <f>$Y69*$Z69*其他调用!Z68</f>
        <v>0</v>
      </c>
      <c r="AH69" s="14">
        <v>65</v>
      </c>
      <c r="AI69" s="14">
        <f>SUM(AA$5:AA69)</f>
        <v>0</v>
      </c>
      <c r="AJ69" s="14">
        <f>SUM(AB$5:AB69)</f>
        <v>0</v>
      </c>
      <c r="AK69" s="14">
        <f>SUM(AC$5:AC69)</f>
        <v>0</v>
      </c>
      <c r="AL69" s="14">
        <f>SUM(AD$5:AD69)</f>
        <v>0</v>
      </c>
      <c r="AM69" s="14">
        <f>SUM(AE$5:AE69)</f>
        <v>0</v>
      </c>
      <c r="AR69" s="14">
        <v>65</v>
      </c>
      <c r="AS69" s="27">
        <f t="shared" si="5"/>
        <v>0.11200000000000002</v>
      </c>
      <c r="AT69" s="14">
        <f>求节点(E$28:E$32,$N$28:$N$32,$AR69)*$AS69*其他调用!V68/$E$4</f>
        <v>0</v>
      </c>
      <c r="AU69" s="14">
        <f>求节点(F$28:F$32,$N$28:$N$32,$AR69)*$AS69*其他调用!W68/$E$4</f>
        <v>0</v>
      </c>
      <c r="AV69" s="14">
        <f>求节点(G$28:G$32,$N$28:$N$32,$AR69)*$AS69*其他调用!X68/$E$4</f>
        <v>0</v>
      </c>
      <c r="AW69" s="14">
        <f>求节点(H$28:H$32,$N$28:$N$32,$AR69)*$AS69*其他调用!Y68/$E$4</f>
        <v>18.52246971446802</v>
      </c>
      <c r="AX69" s="14">
        <f>求节点(I$28:I$32,$N$28:$N$32,$AR69)*$AS69*其他调用!Z68/$E$4</f>
        <v>9.5268804355789154</v>
      </c>
      <c r="BA69" s="14">
        <v>65</v>
      </c>
      <c r="BB69" s="14">
        <f>SUM(AT$5:AT69)</f>
        <v>0</v>
      </c>
      <c r="BC69" s="14">
        <f>SUM(AU$5:AU69)</f>
        <v>0</v>
      </c>
      <c r="BD69" s="14">
        <f>SUM(AV$5:AV69)</f>
        <v>0</v>
      </c>
      <c r="BE69" s="14">
        <f>SUM(AW$5:AW69)</f>
        <v>81.441385177521141</v>
      </c>
      <c r="BF69" s="14">
        <f>SUM(AX$5:AX69)</f>
        <v>58.470978398525219</v>
      </c>
      <c r="BI69" s="14">
        <v>65</v>
      </c>
      <c r="BJ69" s="14">
        <f t="shared" si="6"/>
        <v>0</v>
      </c>
      <c r="BK69" s="14">
        <f t="shared" si="7"/>
        <v>0</v>
      </c>
      <c r="BL69" s="14">
        <f t="shared" si="8"/>
        <v>0</v>
      </c>
      <c r="BM69" s="14">
        <f t="shared" si="9"/>
        <v>1.6288277035504226</v>
      </c>
      <c r="BN69" s="14">
        <f t="shared" si="10"/>
        <v>1.1694195679705042</v>
      </c>
      <c r="BO69" s="14">
        <f t="shared" si="11"/>
        <v>0</v>
      </c>
      <c r="BP69" s="14">
        <f t="shared" si="12"/>
        <v>0</v>
      </c>
      <c r="BQ69" s="14">
        <f t="shared" si="13"/>
        <v>0</v>
      </c>
      <c r="BR69" s="14">
        <f t="shared" si="14"/>
        <v>2.4432415553256339</v>
      </c>
      <c r="BS69" s="14">
        <f t="shared" si="15"/>
        <v>1.7541293519557566</v>
      </c>
      <c r="BT69" s="14">
        <f t="shared" si="16"/>
        <v>0</v>
      </c>
      <c r="BU69" s="14">
        <f t="shared" si="17"/>
        <v>0</v>
      </c>
      <c r="BV69" s="14">
        <f t="shared" si="18"/>
        <v>0</v>
      </c>
      <c r="BW69" s="14">
        <f t="shared" si="19"/>
        <v>0</v>
      </c>
      <c r="BX69" s="14">
        <f t="shared" si="20"/>
        <v>0</v>
      </c>
      <c r="BY69" s="14">
        <f t="shared" si="21"/>
        <v>0</v>
      </c>
      <c r="BZ69" s="14">
        <f t="shared" si="22"/>
        <v>0</v>
      </c>
      <c r="CA69" s="14">
        <f t="shared" si="23"/>
        <v>0</v>
      </c>
      <c r="CB69" s="14">
        <f t="shared" si="24"/>
        <v>20.360346294380285</v>
      </c>
      <c r="CC69" s="14">
        <f t="shared" si="25"/>
        <v>14.617744599631305</v>
      </c>
    </row>
    <row r="70" spans="24:81" x14ac:dyDescent="0.15">
      <c r="X70" s="14">
        <v>66</v>
      </c>
      <c r="Y70" s="30">
        <f t="shared" si="26"/>
        <v>0</v>
      </c>
      <c r="Z70" s="27">
        <f t="shared" ref="Z70:Z133" si="28">$E$44</f>
        <v>8.8000000000000009E-2</v>
      </c>
      <c r="AA70" s="14">
        <f>$Y70*$Z70*其他调用!V69</f>
        <v>0</v>
      </c>
      <c r="AB70" s="14">
        <f>$Y70*$Z70*其他调用!W69</f>
        <v>0</v>
      </c>
      <c r="AC70" s="14">
        <f>$Y70*$Z70*其他调用!X69</f>
        <v>0</v>
      </c>
      <c r="AD70" s="14">
        <f>$Y70*$Z70*其他调用!Y69</f>
        <v>0</v>
      </c>
      <c r="AE70" s="14">
        <f>$Y70*$Z70*其他调用!Z69</f>
        <v>0</v>
      </c>
      <c r="AH70" s="14">
        <v>66</v>
      </c>
      <c r="AI70" s="14">
        <f>SUM(AA$5:AA70)</f>
        <v>0</v>
      </c>
      <c r="AJ70" s="14">
        <f>SUM(AB$5:AB70)</f>
        <v>0</v>
      </c>
      <c r="AK70" s="14">
        <f>SUM(AC$5:AC70)</f>
        <v>0</v>
      </c>
      <c r="AL70" s="14">
        <f>SUM(AD$5:AD70)</f>
        <v>0</v>
      </c>
      <c r="AM70" s="14">
        <f>SUM(AE$5:AE70)</f>
        <v>0</v>
      </c>
      <c r="AR70" s="14">
        <v>66</v>
      </c>
      <c r="AS70" s="27">
        <f t="shared" ref="AS70:AS133" si="29">$E$43</f>
        <v>0.11200000000000002</v>
      </c>
      <c r="AT70" s="14">
        <f>求节点(E$28:E$32,$N$28:$N$32,$AR70)*$AS70*其他调用!V69/$E$4</f>
        <v>0</v>
      </c>
      <c r="AU70" s="14">
        <f>求节点(F$28:F$32,$N$28:$N$32,$AR70)*$AS70*其他调用!W69/$E$4</f>
        <v>0</v>
      </c>
      <c r="AV70" s="14">
        <f>求节点(G$28:G$32,$N$28:$N$32,$AR70)*$AS70*其他调用!X69/$E$4</f>
        <v>23.890503391271686</v>
      </c>
      <c r="AW70" s="14">
        <f>求节点(H$28:H$32,$N$28:$N$32,$AR70)*$AS70*其他调用!Y69/$E$4</f>
        <v>18.648769146812029</v>
      </c>
      <c r="AX70" s="14">
        <f>求节点(I$28:I$32,$N$28:$N$32,$AR70)*$AS70*其他调用!Z69/$E$4</f>
        <v>10.715170199360355</v>
      </c>
      <c r="BA70" s="14">
        <v>66</v>
      </c>
      <c r="BB70" s="14">
        <f>SUM(AT$5:AT70)</f>
        <v>0</v>
      </c>
      <c r="BC70" s="14">
        <f>SUM(AU$5:AU70)</f>
        <v>0</v>
      </c>
      <c r="BD70" s="14">
        <f>SUM(AV$5:AV70)</f>
        <v>23.890503391271686</v>
      </c>
      <c r="BE70" s="14">
        <f>SUM(AW$5:AW70)</f>
        <v>100.09015432433317</v>
      </c>
      <c r="BF70" s="14">
        <f>SUM(AX$5:AX70)</f>
        <v>69.186148597885577</v>
      </c>
      <c r="BI70" s="14">
        <v>66</v>
      </c>
      <c r="BJ70" s="14">
        <f t="shared" ref="BJ70:BJ133" si="30">(BB70*$F$58)/$B$5</f>
        <v>0</v>
      </c>
      <c r="BK70" s="14">
        <f t="shared" ref="BK70:BK133" si="31">(BC70*$F$58)/$B$5</f>
        <v>0</v>
      </c>
      <c r="BL70" s="14">
        <f t="shared" ref="BL70:BL133" si="32">(BD70*$F$58)/$B$5</f>
        <v>0.47781006782543367</v>
      </c>
      <c r="BM70" s="14">
        <f t="shared" ref="BM70:BM133" si="33">(BE70*$F$58)/$B$5</f>
        <v>2.0018030864866629</v>
      </c>
      <c r="BN70" s="14">
        <f t="shared" ref="BN70:BN133" si="34">(BF70*$F$58)/$B$5</f>
        <v>1.3837229719577111</v>
      </c>
      <c r="BO70" s="14">
        <f t="shared" ref="BO70:BO133" si="35">(BB70*$F$59)/$B$5</f>
        <v>0</v>
      </c>
      <c r="BP70" s="14">
        <f t="shared" ref="BP70:BP133" si="36">(BC70*$F$59)/$B$5</f>
        <v>0</v>
      </c>
      <c r="BQ70" s="14">
        <f t="shared" ref="BQ70:BQ133" si="37">(BD70*$F$59)/$B$5</f>
        <v>0.71671510173815056</v>
      </c>
      <c r="BR70" s="14">
        <f t="shared" ref="BR70:BR133" si="38">(BE70*$F$59)/$B$5</f>
        <v>3.0027046297299949</v>
      </c>
      <c r="BS70" s="14">
        <f t="shared" ref="BS70:BS133" si="39">(BF70*$F$59)/$B$5</f>
        <v>2.075584457936567</v>
      </c>
      <c r="BT70" s="14">
        <f t="shared" ref="BT70:BT133" si="40">(BB70*$F$60)/$B$5</f>
        <v>0</v>
      </c>
      <c r="BU70" s="14">
        <f t="shared" ref="BU70:BU133" si="41">(BC70*$F$60)/$B$5</f>
        <v>0</v>
      </c>
      <c r="BV70" s="14">
        <f t="shared" ref="BV70:BV133" si="42">(BD70*$F$60)/$B$5</f>
        <v>0</v>
      </c>
      <c r="BW70" s="14">
        <f t="shared" ref="BW70:BW133" si="43">(BE70*$F$60)/$B$5</f>
        <v>0</v>
      </c>
      <c r="BX70" s="14">
        <f t="shared" ref="BX70:BX133" si="44">(BF70*$F$60)/$B$5</f>
        <v>0</v>
      </c>
      <c r="BY70" s="14">
        <f t="shared" ref="BY70:BY133" si="45">(BB70*$F$62)/$B$5*$I$62</f>
        <v>0</v>
      </c>
      <c r="BZ70" s="14">
        <f t="shared" ref="BZ70:BZ133" si="46">(BC70*$F$62)/$B$5*$I$62</f>
        <v>0</v>
      </c>
      <c r="CA70" s="14">
        <f t="shared" ref="CA70:CA133" si="47">(BD70*$F$62)/$B$5*$I$62</f>
        <v>5.9726258478179215</v>
      </c>
      <c r="CB70" s="14">
        <f t="shared" ref="CB70:CB133" si="48">(BE70*$F$62)/$B$5*$I$62</f>
        <v>25.022538581083293</v>
      </c>
      <c r="CC70" s="14">
        <f t="shared" ref="CC70:CC133" si="49">(BF70*$F$62)/$B$5*$I$62</f>
        <v>17.296537149471394</v>
      </c>
    </row>
    <row r="71" spans="24:81" x14ac:dyDescent="0.15">
      <c r="X71" s="14">
        <v>67</v>
      </c>
      <c r="Y71" s="30">
        <f t="shared" ref="Y71:Y134" si="50">IF($X71&lt;=$E$28,$J$28+$Y$5,求节点($E$28:$E$32,$J$28:$J$32,$X71)/$E$4)</f>
        <v>0</v>
      </c>
      <c r="Z71" s="27">
        <f t="shared" si="28"/>
        <v>8.8000000000000009E-2</v>
      </c>
      <c r="AA71" s="14">
        <f>$Y71*$Z71*其他调用!V70</f>
        <v>0</v>
      </c>
      <c r="AB71" s="14">
        <f>$Y71*$Z71*其他调用!W70</f>
        <v>0</v>
      </c>
      <c r="AC71" s="14">
        <f>$Y71*$Z71*其他调用!X70</f>
        <v>0</v>
      </c>
      <c r="AD71" s="14">
        <f>$Y71*$Z71*其他调用!Y70</f>
        <v>0</v>
      </c>
      <c r="AE71" s="14">
        <f>$Y71*$Z71*其他调用!Z70</f>
        <v>0</v>
      </c>
      <c r="AH71" s="14">
        <v>67</v>
      </c>
      <c r="AI71" s="14">
        <f>SUM(AA$5:AA71)</f>
        <v>0</v>
      </c>
      <c r="AJ71" s="14">
        <f>SUM(AB$5:AB71)</f>
        <v>0</v>
      </c>
      <c r="AK71" s="14">
        <f>SUM(AC$5:AC71)</f>
        <v>0</v>
      </c>
      <c r="AL71" s="14">
        <f>SUM(AD$5:AD71)</f>
        <v>0</v>
      </c>
      <c r="AM71" s="14">
        <f>SUM(AE$5:AE71)</f>
        <v>0</v>
      </c>
      <c r="AR71" s="14">
        <v>67</v>
      </c>
      <c r="AS71" s="27">
        <f t="shared" si="29"/>
        <v>0.11200000000000002</v>
      </c>
      <c r="AT71" s="14">
        <f>求节点(E$28:E$32,$N$28:$N$32,$AR71)*$AS71*其他调用!V70/$E$4</f>
        <v>0</v>
      </c>
      <c r="AU71" s="14">
        <f>求节点(F$28:F$32,$N$28:$N$32,$AR71)*$AS71*其他调用!W70/$E$4</f>
        <v>0</v>
      </c>
      <c r="AV71" s="14">
        <f>求节点(G$28:G$32,$N$28:$N$32,$AR71)*$AS71*其他调用!X70/$E$4</f>
        <v>24.472317091833549</v>
      </c>
      <c r="AW71" s="14">
        <f>求节点(H$28:H$32,$N$28:$N$32,$AR71)*$AS71*其他调用!Y70/$E$4</f>
        <v>19.973615914743228</v>
      </c>
      <c r="AX71" s="14">
        <f>求节点(I$28:I$32,$N$28:$N$32,$AR71)*$AS71*其他调用!Z70/$E$4</f>
        <v>11.234494574755127</v>
      </c>
      <c r="BA71" s="14">
        <v>67</v>
      </c>
      <c r="BB71" s="14">
        <f>SUM(AT$5:AT71)</f>
        <v>0</v>
      </c>
      <c r="BC71" s="14">
        <f>SUM(AU$5:AU71)</f>
        <v>0</v>
      </c>
      <c r="BD71" s="14">
        <f>SUM(AV$5:AV71)</f>
        <v>48.362820483105239</v>
      </c>
      <c r="BE71" s="14">
        <f>SUM(AW$5:AW71)</f>
        <v>120.0637702390764</v>
      </c>
      <c r="BF71" s="14">
        <f>SUM(AX$5:AX71)</f>
        <v>80.420643172640709</v>
      </c>
      <c r="BI71" s="14">
        <v>67</v>
      </c>
      <c r="BJ71" s="14">
        <f t="shared" si="30"/>
        <v>0</v>
      </c>
      <c r="BK71" s="14">
        <f t="shared" si="31"/>
        <v>0</v>
      </c>
      <c r="BL71" s="14">
        <f t="shared" si="32"/>
        <v>0.96725640966210447</v>
      </c>
      <c r="BM71" s="14">
        <f t="shared" si="33"/>
        <v>2.4012754047815275</v>
      </c>
      <c r="BN71" s="14">
        <f t="shared" si="34"/>
        <v>1.6084128634528139</v>
      </c>
      <c r="BO71" s="14">
        <f t="shared" si="35"/>
        <v>0</v>
      </c>
      <c r="BP71" s="14">
        <f t="shared" si="36"/>
        <v>0</v>
      </c>
      <c r="BQ71" s="14">
        <f t="shared" si="37"/>
        <v>1.4508846144931571</v>
      </c>
      <c r="BR71" s="14">
        <f t="shared" si="38"/>
        <v>3.6019131071722916</v>
      </c>
      <c r="BS71" s="14">
        <f t="shared" si="39"/>
        <v>2.4126192951792214</v>
      </c>
      <c r="BT71" s="14">
        <f t="shared" si="40"/>
        <v>0</v>
      </c>
      <c r="BU71" s="14">
        <f t="shared" si="41"/>
        <v>0</v>
      </c>
      <c r="BV71" s="14">
        <f t="shared" si="42"/>
        <v>0</v>
      </c>
      <c r="BW71" s="14">
        <f t="shared" si="43"/>
        <v>0</v>
      </c>
      <c r="BX71" s="14">
        <f t="shared" si="44"/>
        <v>0</v>
      </c>
      <c r="BY71" s="14">
        <f t="shared" si="45"/>
        <v>0</v>
      </c>
      <c r="BZ71" s="14">
        <f t="shared" si="46"/>
        <v>0</v>
      </c>
      <c r="CA71" s="14">
        <f t="shared" si="47"/>
        <v>12.09070512077631</v>
      </c>
      <c r="CB71" s="14">
        <f t="shared" si="48"/>
        <v>30.015942559769101</v>
      </c>
      <c r="CC71" s="14">
        <f t="shared" si="49"/>
        <v>20.105160793160177</v>
      </c>
    </row>
    <row r="72" spans="24:81" x14ac:dyDescent="0.15">
      <c r="X72" s="14">
        <v>68</v>
      </c>
      <c r="Y72" s="30">
        <f t="shared" si="50"/>
        <v>0</v>
      </c>
      <c r="Z72" s="27">
        <f t="shared" si="28"/>
        <v>8.8000000000000009E-2</v>
      </c>
      <c r="AA72" s="14">
        <f>$Y72*$Z72*其他调用!V71</f>
        <v>0</v>
      </c>
      <c r="AB72" s="14">
        <f>$Y72*$Z72*其他调用!W71</f>
        <v>0</v>
      </c>
      <c r="AC72" s="14">
        <f>$Y72*$Z72*其他调用!X71</f>
        <v>0</v>
      </c>
      <c r="AD72" s="14">
        <f>$Y72*$Z72*其他调用!Y71</f>
        <v>0</v>
      </c>
      <c r="AE72" s="14">
        <f>$Y72*$Z72*其他调用!Z71</f>
        <v>0</v>
      </c>
      <c r="AH72" s="14">
        <v>68</v>
      </c>
      <c r="AI72" s="14">
        <f>SUM(AA$5:AA72)</f>
        <v>0</v>
      </c>
      <c r="AJ72" s="14">
        <f>SUM(AB$5:AB72)</f>
        <v>0</v>
      </c>
      <c r="AK72" s="14">
        <f>SUM(AC$5:AC72)</f>
        <v>0</v>
      </c>
      <c r="AL72" s="14">
        <f>SUM(AD$5:AD72)</f>
        <v>0</v>
      </c>
      <c r="AM72" s="14">
        <f>SUM(AE$5:AE72)</f>
        <v>0</v>
      </c>
      <c r="AR72" s="14">
        <v>68</v>
      </c>
      <c r="AS72" s="27">
        <f t="shared" si="29"/>
        <v>0.11200000000000002</v>
      </c>
      <c r="AT72" s="14">
        <f>求节点(E$28:E$32,$N$28:$N$32,$AR72)*$AS72*其他调用!V71/$E$4</f>
        <v>0</v>
      </c>
      <c r="AU72" s="14">
        <f>求节点(F$28:F$32,$N$28:$N$32,$AR72)*$AS72*其他调用!W71/$E$4</f>
        <v>23.871732188471334</v>
      </c>
      <c r="AV72" s="14">
        <f>求节点(G$28:G$32,$N$28:$N$32,$AR72)*$AS72*其他调用!X71/$E$4</f>
        <v>25.266945404819413</v>
      </c>
      <c r="AW72" s="14">
        <f>求节点(H$28:H$32,$N$28:$N$32,$AR72)*$AS72*其他调用!Y71/$E$4</f>
        <v>21.842887068181607</v>
      </c>
      <c r="AX72" s="14">
        <f>求节点(I$28:I$32,$N$28:$N$32,$AR72)*$AS72*其他调用!Z71/$E$4</f>
        <v>11.883021526190349</v>
      </c>
      <c r="BA72" s="14">
        <v>68</v>
      </c>
      <c r="BB72" s="14">
        <f>SUM(AT$5:AT72)</f>
        <v>0</v>
      </c>
      <c r="BC72" s="14">
        <f>SUM(AU$5:AU72)</f>
        <v>23.871732188471334</v>
      </c>
      <c r="BD72" s="14">
        <f>SUM(AV$5:AV72)</f>
        <v>73.629765887924648</v>
      </c>
      <c r="BE72" s="14">
        <f>SUM(AW$5:AW72)</f>
        <v>141.906657307258</v>
      </c>
      <c r="BF72" s="14">
        <f>SUM(AX$5:AX72)</f>
        <v>92.303664698831057</v>
      </c>
      <c r="BI72" s="14">
        <v>68</v>
      </c>
      <c r="BJ72" s="14">
        <f t="shared" si="30"/>
        <v>0</v>
      </c>
      <c r="BK72" s="14">
        <f t="shared" si="31"/>
        <v>0.47743464376942663</v>
      </c>
      <c r="BL72" s="14">
        <f t="shared" si="32"/>
        <v>1.4725953177584927</v>
      </c>
      <c r="BM72" s="14">
        <f t="shared" si="33"/>
        <v>2.8381331461451595</v>
      </c>
      <c r="BN72" s="14">
        <f t="shared" si="34"/>
        <v>1.8460732939766207</v>
      </c>
      <c r="BO72" s="14">
        <f t="shared" si="35"/>
        <v>0</v>
      </c>
      <c r="BP72" s="14">
        <f t="shared" si="36"/>
        <v>0.71615196565413997</v>
      </c>
      <c r="BQ72" s="14">
        <f t="shared" si="37"/>
        <v>2.2088929766377392</v>
      </c>
      <c r="BR72" s="14">
        <f t="shared" si="38"/>
        <v>4.2571997192177395</v>
      </c>
      <c r="BS72" s="14">
        <f t="shared" si="39"/>
        <v>2.7691099409649316</v>
      </c>
      <c r="BT72" s="14">
        <f t="shared" si="40"/>
        <v>0</v>
      </c>
      <c r="BU72" s="14">
        <f t="shared" si="41"/>
        <v>0</v>
      </c>
      <c r="BV72" s="14">
        <f t="shared" si="42"/>
        <v>0</v>
      </c>
      <c r="BW72" s="14">
        <f t="shared" si="43"/>
        <v>0</v>
      </c>
      <c r="BX72" s="14">
        <f t="shared" si="44"/>
        <v>0</v>
      </c>
      <c r="BY72" s="14">
        <f t="shared" si="45"/>
        <v>0</v>
      </c>
      <c r="BZ72" s="14">
        <f t="shared" si="46"/>
        <v>5.9679330471178336</v>
      </c>
      <c r="CA72" s="14">
        <f t="shared" si="47"/>
        <v>18.407441471981162</v>
      </c>
      <c r="CB72" s="14">
        <f t="shared" si="48"/>
        <v>35.4766643268145</v>
      </c>
      <c r="CC72" s="14">
        <f t="shared" si="49"/>
        <v>23.075916174707764</v>
      </c>
    </row>
    <row r="73" spans="24:81" x14ac:dyDescent="0.15">
      <c r="X73" s="14">
        <v>69</v>
      </c>
      <c r="Y73" s="30">
        <f t="shared" si="50"/>
        <v>0</v>
      </c>
      <c r="Z73" s="27">
        <f t="shared" si="28"/>
        <v>8.8000000000000009E-2</v>
      </c>
      <c r="AA73" s="14">
        <f>$Y73*$Z73*其他调用!V72</f>
        <v>0</v>
      </c>
      <c r="AB73" s="14">
        <f>$Y73*$Z73*其他调用!W72</f>
        <v>0</v>
      </c>
      <c r="AC73" s="14">
        <f>$Y73*$Z73*其他调用!X72</f>
        <v>0</v>
      </c>
      <c r="AD73" s="14">
        <f>$Y73*$Z73*其他调用!Y72</f>
        <v>0</v>
      </c>
      <c r="AE73" s="14">
        <f>$Y73*$Z73*其他调用!Z72</f>
        <v>0</v>
      </c>
      <c r="AH73" s="14">
        <v>69</v>
      </c>
      <c r="AI73" s="14">
        <f>SUM(AA$5:AA73)</f>
        <v>0</v>
      </c>
      <c r="AJ73" s="14">
        <f>SUM(AB$5:AB73)</f>
        <v>0</v>
      </c>
      <c r="AK73" s="14">
        <f>SUM(AC$5:AC73)</f>
        <v>0</v>
      </c>
      <c r="AL73" s="14">
        <f>SUM(AD$5:AD73)</f>
        <v>0</v>
      </c>
      <c r="AM73" s="14">
        <f>SUM(AE$5:AE73)</f>
        <v>0</v>
      </c>
      <c r="AR73" s="14">
        <v>69</v>
      </c>
      <c r="AS73" s="27">
        <f t="shared" si="29"/>
        <v>0.11200000000000002</v>
      </c>
      <c r="AT73" s="14">
        <f>求节点(E$28:E$32,$N$28:$N$32,$AR73)*$AS73*其他调用!V72/$E$4</f>
        <v>0</v>
      </c>
      <c r="AU73" s="14">
        <f>求节点(F$28:F$32,$N$28:$N$32,$AR73)*$AS73*其他调用!W72/$E$4</f>
        <v>25.063007562157694</v>
      </c>
      <c r="AV73" s="14">
        <f>求节点(G$28:G$32,$N$28:$N$32,$AR73)*$AS73*其他调用!X72/$E$4</f>
        <v>28.759380889893862</v>
      </c>
      <c r="AW73" s="14">
        <f>求节点(H$28:H$32,$N$28:$N$32,$AR73)*$AS73*其他调用!Y72/$E$4</f>
        <v>23.778592584295829</v>
      </c>
      <c r="AX73" s="14">
        <f>求节点(I$28:I$32,$N$28:$N$32,$AR73)*$AS73*其他调用!Z72/$E$4</f>
        <v>12.69401661208979</v>
      </c>
      <c r="BA73" s="14">
        <v>69</v>
      </c>
      <c r="BB73" s="14">
        <f>SUM(AT$5:AT73)</f>
        <v>0</v>
      </c>
      <c r="BC73" s="14">
        <f>SUM(AU$5:AU73)</f>
        <v>48.934739750629028</v>
      </c>
      <c r="BD73" s="14">
        <f>SUM(AV$5:AV73)</f>
        <v>102.38914677781851</v>
      </c>
      <c r="BE73" s="14">
        <f>SUM(AW$5:AW73)</f>
        <v>165.68524989155384</v>
      </c>
      <c r="BF73" s="14">
        <f>SUM(AX$5:AX73)</f>
        <v>104.99768131092085</v>
      </c>
      <c r="BI73" s="14">
        <v>69</v>
      </c>
      <c r="BJ73" s="14">
        <f t="shared" si="30"/>
        <v>0</v>
      </c>
      <c r="BK73" s="14">
        <f t="shared" si="31"/>
        <v>0.97869479501258039</v>
      </c>
      <c r="BL73" s="14">
        <f t="shared" si="32"/>
        <v>2.0477829355563699</v>
      </c>
      <c r="BM73" s="14">
        <f t="shared" si="33"/>
        <v>3.3137049978310764</v>
      </c>
      <c r="BN73" s="14">
        <f t="shared" si="34"/>
        <v>2.0999536262184164</v>
      </c>
      <c r="BO73" s="14">
        <f t="shared" si="35"/>
        <v>0</v>
      </c>
      <c r="BP73" s="14">
        <f t="shared" si="36"/>
        <v>1.4680421925188707</v>
      </c>
      <c r="BQ73" s="14">
        <f t="shared" si="37"/>
        <v>3.0716744033345553</v>
      </c>
      <c r="BR73" s="14">
        <f t="shared" si="38"/>
        <v>4.9705574967466148</v>
      </c>
      <c r="BS73" s="14">
        <f t="shared" si="39"/>
        <v>3.1499304393276253</v>
      </c>
      <c r="BT73" s="14">
        <f t="shared" si="40"/>
        <v>0</v>
      </c>
      <c r="BU73" s="14">
        <f t="shared" si="41"/>
        <v>0</v>
      </c>
      <c r="BV73" s="14">
        <f t="shared" si="42"/>
        <v>0</v>
      </c>
      <c r="BW73" s="14">
        <f t="shared" si="43"/>
        <v>0</v>
      </c>
      <c r="BX73" s="14">
        <f t="shared" si="44"/>
        <v>0</v>
      </c>
      <c r="BY73" s="14">
        <f t="shared" si="45"/>
        <v>0</v>
      </c>
      <c r="BZ73" s="14">
        <f t="shared" si="46"/>
        <v>12.233684937657257</v>
      </c>
      <c r="CA73" s="14">
        <f t="shared" si="47"/>
        <v>25.597286694454628</v>
      </c>
      <c r="CB73" s="14">
        <f t="shared" si="48"/>
        <v>41.421312472888459</v>
      </c>
      <c r="CC73" s="14">
        <f t="shared" si="49"/>
        <v>26.249420327730213</v>
      </c>
    </row>
    <row r="74" spans="24:81" x14ac:dyDescent="0.15">
      <c r="X74" s="14">
        <v>70</v>
      </c>
      <c r="Y74" s="30">
        <f t="shared" si="50"/>
        <v>1.5</v>
      </c>
      <c r="Z74" s="27">
        <f t="shared" si="28"/>
        <v>8.8000000000000009E-2</v>
      </c>
      <c r="AA74" s="14">
        <f>$Y74*$Z74*其他调用!V73</f>
        <v>52.047830449728806</v>
      </c>
      <c r="AB74" s="14">
        <f>$Y74*$Z74*其他调用!W73</f>
        <v>65.957050671698141</v>
      </c>
      <c r="AC74" s="14">
        <f>$Y74*$Z74*其他调用!X73</f>
        <v>74.617905992249888</v>
      </c>
      <c r="AD74" s="14">
        <f>$Y74*$Z74*其他调用!Y73</f>
        <v>59.691815484194699</v>
      </c>
      <c r="AE74" s="14">
        <f>$Y74*$Z74*其他调用!Z73</f>
        <v>33.172106640135432</v>
      </c>
      <c r="AH74" s="14">
        <v>70</v>
      </c>
      <c r="AI74" s="14">
        <f>SUM(AA$5:AA74)</f>
        <v>52.047830449728806</v>
      </c>
      <c r="AJ74" s="14">
        <f>SUM(AB$5:AB74)</f>
        <v>65.957050671698141</v>
      </c>
      <c r="AK74" s="14">
        <f>SUM(AC$5:AC74)</f>
        <v>74.617905992249888</v>
      </c>
      <c r="AL74" s="14">
        <f>SUM(AD$5:AD74)</f>
        <v>59.691815484194699</v>
      </c>
      <c r="AM74" s="14">
        <f>SUM(AE$5:AE74)</f>
        <v>33.172106640135432</v>
      </c>
      <c r="AR74" s="14">
        <v>70</v>
      </c>
      <c r="AS74" s="27">
        <f t="shared" si="29"/>
        <v>0.11200000000000002</v>
      </c>
      <c r="AT74" s="14">
        <f>求节点(E$28:E$32,$N$28:$N$32,$AR74)*$AS74*其他调用!V73/$E$4</f>
        <v>22.080897766551619</v>
      </c>
      <c r="AU74" s="14">
        <f>求节点(F$28:F$32,$N$28:$N$32,$AR74)*$AS74*其他调用!W73/$E$4</f>
        <v>27.98177907284164</v>
      </c>
      <c r="AV74" s="14">
        <f>求节点(G$28:G$32,$N$28:$N$32,$AR74)*$AS74*其他调用!X73/$E$4</f>
        <v>31.656081330045406</v>
      </c>
      <c r="AW74" s="14">
        <f>求节点(H$28:H$32,$N$28:$N$32,$AR74)*$AS74*其他调用!Y73/$E$4</f>
        <v>25.32380050844624</v>
      </c>
      <c r="AX74" s="14">
        <f>求节点(I$28:I$32,$N$28:$N$32,$AR74)*$AS74*其他调用!Z73/$E$4</f>
        <v>14.073014938239275</v>
      </c>
      <c r="BA74" s="14">
        <v>70</v>
      </c>
      <c r="BB74" s="14">
        <f>SUM(AT$5:AT74)</f>
        <v>22.080897766551619</v>
      </c>
      <c r="BC74" s="14">
        <f>SUM(AU$5:AU74)</f>
        <v>76.916518823470668</v>
      </c>
      <c r="BD74" s="14">
        <f>SUM(AV$5:AV74)</f>
        <v>134.04522810786392</v>
      </c>
      <c r="BE74" s="14">
        <f>SUM(AW$5:AW74)</f>
        <v>191.00905040000009</v>
      </c>
      <c r="BF74" s="14">
        <f>SUM(AX$5:AX74)</f>
        <v>119.07069624916014</v>
      </c>
      <c r="BI74" s="14">
        <v>70</v>
      </c>
      <c r="BJ74" s="14">
        <f t="shared" si="30"/>
        <v>0.44161795533103226</v>
      </c>
      <c r="BK74" s="14">
        <f t="shared" si="31"/>
        <v>1.538330376469413</v>
      </c>
      <c r="BL74" s="14">
        <f t="shared" si="32"/>
        <v>2.680904562157278</v>
      </c>
      <c r="BM74" s="14">
        <f t="shared" si="33"/>
        <v>3.8201810080000009</v>
      </c>
      <c r="BN74" s="14">
        <f t="shared" si="34"/>
        <v>2.3814139249832023</v>
      </c>
      <c r="BO74" s="14">
        <f t="shared" si="35"/>
        <v>0.66242693299654853</v>
      </c>
      <c r="BP74" s="14">
        <f t="shared" si="36"/>
        <v>2.3074955647041202</v>
      </c>
      <c r="BQ74" s="14">
        <f t="shared" si="37"/>
        <v>4.0213568432359175</v>
      </c>
      <c r="BR74" s="14">
        <f t="shared" si="38"/>
        <v>5.7302715120000025</v>
      </c>
      <c r="BS74" s="14">
        <f t="shared" si="39"/>
        <v>3.5721208874748038</v>
      </c>
      <c r="BT74" s="14">
        <f t="shared" si="40"/>
        <v>0</v>
      </c>
      <c r="BU74" s="14">
        <f t="shared" si="41"/>
        <v>0</v>
      </c>
      <c r="BV74" s="14">
        <f t="shared" si="42"/>
        <v>0</v>
      </c>
      <c r="BW74" s="14">
        <f t="shared" si="43"/>
        <v>0</v>
      </c>
      <c r="BX74" s="14">
        <f t="shared" si="44"/>
        <v>0</v>
      </c>
      <c r="BY74" s="14">
        <f t="shared" si="45"/>
        <v>5.5202244416379038</v>
      </c>
      <c r="BZ74" s="14">
        <f t="shared" si="46"/>
        <v>19.229129705867667</v>
      </c>
      <c r="CA74" s="14">
        <f t="shared" si="47"/>
        <v>33.51130702696598</v>
      </c>
      <c r="CB74" s="14">
        <f t="shared" si="48"/>
        <v>47.752262600000023</v>
      </c>
      <c r="CC74" s="14">
        <f t="shared" si="49"/>
        <v>29.767674062290034</v>
      </c>
    </row>
    <row r="75" spans="24:81" x14ac:dyDescent="0.15">
      <c r="X75" s="14">
        <v>71</v>
      </c>
      <c r="Y75" s="30">
        <f t="shared" si="50"/>
        <v>1.575</v>
      </c>
      <c r="Z75" s="27">
        <f t="shared" si="28"/>
        <v>8.8000000000000009E-2</v>
      </c>
      <c r="AA75" s="14">
        <f>$Y75*$Z75*其他调用!V74</f>
        <v>58.572657631537766</v>
      </c>
      <c r="AB75" s="14">
        <f>$Y75*$Z75*其他调用!W74</f>
        <v>74.883690936087064</v>
      </c>
      <c r="AC75" s="14">
        <f>$Y75*$Z75*其他调用!X74</f>
        <v>81.695879942132436</v>
      </c>
      <c r="AD75" s="14">
        <f>$Y75*$Z75*其他调用!Y74</f>
        <v>66.914402890893044</v>
      </c>
      <c r="AE75" s="14">
        <f>$Y75*$Z75*其他调用!Z74</f>
        <v>37.49861532623261</v>
      </c>
      <c r="AH75" s="14">
        <v>71</v>
      </c>
      <c r="AI75" s="14">
        <f>SUM(AA$5:AA75)</f>
        <v>110.62048808126657</v>
      </c>
      <c r="AJ75" s="14">
        <f>SUM(AB$5:AB75)</f>
        <v>140.84074160778522</v>
      </c>
      <c r="AK75" s="14">
        <f>SUM(AC$5:AC75)</f>
        <v>156.31378593438234</v>
      </c>
      <c r="AL75" s="14">
        <f>SUM(AD$5:AD75)</f>
        <v>126.60621837508774</v>
      </c>
      <c r="AM75" s="14">
        <f>SUM(AE$5:AE75)</f>
        <v>70.670721966368035</v>
      </c>
      <c r="AR75" s="14">
        <v>71</v>
      </c>
      <c r="AS75" s="27">
        <f t="shared" si="29"/>
        <v>0.11200000000000002</v>
      </c>
      <c r="AT75" s="14">
        <f>求节点(E$28:E$32,$N$28:$N$32,$AR75)*$AS75*其他调用!V74/$E$4</f>
        <v>23.665720255166775</v>
      </c>
      <c r="AU75" s="14">
        <f>求节点(F$28:F$32,$N$28:$N$32,$AR75)*$AS75*其他调用!W74/$E$4</f>
        <v>30.256036741853361</v>
      </c>
      <c r="AV75" s="14">
        <f>求节点(G$28:G$32,$N$28:$N$32,$AR75)*$AS75*其他调用!X74/$E$4</f>
        <v>33.008436340255535</v>
      </c>
      <c r="AW75" s="14">
        <f>求节点(H$28:H$32,$N$28:$N$32,$AR75)*$AS75*其他调用!Y74/$E$4</f>
        <v>27.036122380158808</v>
      </c>
      <c r="AX75" s="14">
        <f>求节点(I$28:I$32,$N$28:$N$32,$AR75)*$AS75*其他调用!Z74/$E$4</f>
        <v>15.150955687366713</v>
      </c>
      <c r="BA75" s="14">
        <v>71</v>
      </c>
      <c r="BB75" s="14">
        <f>SUM(AT$5:AT75)</f>
        <v>45.74661802171839</v>
      </c>
      <c r="BC75" s="14">
        <f>SUM(AU$5:AU75)</f>
        <v>107.17255556532403</v>
      </c>
      <c r="BD75" s="14">
        <f>SUM(AV$5:AV75)</f>
        <v>167.05366444811946</v>
      </c>
      <c r="BE75" s="14">
        <f>SUM(AW$5:AW75)</f>
        <v>218.04517278015891</v>
      </c>
      <c r="BF75" s="14">
        <f>SUM(AX$5:AX75)</f>
        <v>134.22165193652685</v>
      </c>
      <c r="BI75" s="14">
        <v>71</v>
      </c>
      <c r="BJ75" s="14">
        <f t="shared" si="30"/>
        <v>0.91493236043436765</v>
      </c>
      <c r="BK75" s="14">
        <f t="shared" si="31"/>
        <v>2.1434511113064803</v>
      </c>
      <c r="BL75" s="14">
        <f t="shared" si="32"/>
        <v>3.3410732889623889</v>
      </c>
      <c r="BM75" s="14">
        <f t="shared" si="33"/>
        <v>4.3609034556031769</v>
      </c>
      <c r="BN75" s="14">
        <f t="shared" si="34"/>
        <v>2.6844330387305364</v>
      </c>
      <c r="BO75" s="14">
        <f t="shared" si="35"/>
        <v>1.3723985406515518</v>
      </c>
      <c r="BP75" s="14">
        <f t="shared" si="36"/>
        <v>3.2151766669597208</v>
      </c>
      <c r="BQ75" s="14">
        <f t="shared" si="37"/>
        <v>5.0116099334435837</v>
      </c>
      <c r="BR75" s="14">
        <f t="shared" si="38"/>
        <v>6.5413551834047663</v>
      </c>
      <c r="BS75" s="14">
        <f t="shared" si="39"/>
        <v>4.0266495580958059</v>
      </c>
      <c r="BT75" s="14">
        <f t="shared" si="40"/>
        <v>0</v>
      </c>
      <c r="BU75" s="14">
        <f t="shared" si="41"/>
        <v>0</v>
      </c>
      <c r="BV75" s="14">
        <f t="shared" si="42"/>
        <v>0</v>
      </c>
      <c r="BW75" s="14">
        <f t="shared" si="43"/>
        <v>0</v>
      </c>
      <c r="BX75" s="14">
        <f t="shared" si="44"/>
        <v>0</v>
      </c>
      <c r="BY75" s="14">
        <f t="shared" si="45"/>
        <v>11.436654505429598</v>
      </c>
      <c r="BZ75" s="14">
        <f t="shared" si="46"/>
        <v>26.793138891331012</v>
      </c>
      <c r="CA75" s="14">
        <f t="shared" si="47"/>
        <v>41.763416112029866</v>
      </c>
      <c r="CB75" s="14">
        <f t="shared" si="48"/>
        <v>54.511293195039727</v>
      </c>
      <c r="CC75" s="14">
        <f t="shared" si="49"/>
        <v>33.555412984131713</v>
      </c>
    </row>
    <row r="76" spans="24:81" x14ac:dyDescent="0.15">
      <c r="X76" s="14">
        <v>72</v>
      </c>
      <c r="Y76" s="30">
        <f t="shared" si="50"/>
        <v>1.65</v>
      </c>
      <c r="Z76" s="27">
        <f t="shared" si="28"/>
        <v>8.8000000000000009E-2</v>
      </c>
      <c r="AA76" s="14">
        <f>$Y76*$Z76*其他调用!V75</f>
        <v>65.765982940644633</v>
      </c>
      <c r="AB76" s="14">
        <f>$Y76*$Z76*其他调用!W75</f>
        <v>83.162899443930186</v>
      </c>
      <c r="AC76" s="14">
        <f>$Y76*$Z76*其他调用!X75</f>
        <v>88.988264061215119</v>
      </c>
      <c r="AD76" s="14">
        <f>$Y76*$Z76*其他调用!Y75</f>
        <v>74.387976083255012</v>
      </c>
      <c r="AE76" s="14">
        <f>$Y76*$Z76*其他调用!Z75</f>
        <v>41.433793011603491</v>
      </c>
      <c r="AH76" s="14">
        <v>72</v>
      </c>
      <c r="AI76" s="14">
        <f>SUM(AA$5:AA76)</f>
        <v>176.38647102191121</v>
      </c>
      <c r="AJ76" s="14">
        <f>SUM(AB$5:AB76)</f>
        <v>224.00364105171542</v>
      </c>
      <c r="AK76" s="14">
        <f>SUM(AC$5:AC76)</f>
        <v>245.30204999559746</v>
      </c>
      <c r="AL76" s="14">
        <f>SUM(AD$5:AD76)</f>
        <v>200.99419445834275</v>
      </c>
      <c r="AM76" s="14">
        <f>SUM(AE$5:AE76)</f>
        <v>112.10451497797152</v>
      </c>
      <c r="AR76" s="14">
        <v>72</v>
      </c>
      <c r="AS76" s="27">
        <f t="shared" si="29"/>
        <v>0.11200000000000002</v>
      </c>
      <c r="AT76" s="14">
        <f>求节点(E$28:E$32,$N$28:$N$32,$AR76)*$AS76*其他调用!V75/$E$4</f>
        <v>25.364290941295458</v>
      </c>
      <c r="AU76" s="14">
        <f>求节点(F$28:F$32,$N$28:$N$32,$AR76)*$AS76*其他调用!W75/$E$4</f>
        <v>32.073845515565367</v>
      </c>
      <c r="AV76" s="14">
        <f>求节点(G$28:G$32,$N$28:$N$32,$AR76)*$AS76*其他调用!X75/$E$4</f>
        <v>34.320542613140823</v>
      </c>
      <c r="AW76" s="14">
        <f>求节点(H$28:H$32,$N$28:$N$32,$AR76)*$AS76*其他调用!Y75/$E$4</f>
        <v>28.68957755277053</v>
      </c>
      <c r="AX76" s="14">
        <f>求节点(I$28:I$32,$N$28:$N$32,$AR76)*$AS76*其他调用!Z75/$E$4</f>
        <v>15.979975266183169</v>
      </c>
      <c r="BA76" s="14">
        <v>72</v>
      </c>
      <c r="BB76" s="14">
        <f>SUM(AT$5:AT76)</f>
        <v>71.110908963013856</v>
      </c>
      <c r="BC76" s="14">
        <f>SUM(AU$5:AU76)</f>
        <v>139.2464010808894</v>
      </c>
      <c r="BD76" s="14">
        <f>SUM(AV$5:AV76)</f>
        <v>201.37420706126028</v>
      </c>
      <c r="BE76" s="14">
        <f>SUM(AW$5:AW76)</f>
        <v>246.73475033292942</v>
      </c>
      <c r="BF76" s="14">
        <f>SUM(AX$5:AX76)</f>
        <v>150.20162720271003</v>
      </c>
      <c r="BI76" s="14">
        <v>72</v>
      </c>
      <c r="BJ76" s="14">
        <f t="shared" si="30"/>
        <v>1.4222181792602768</v>
      </c>
      <c r="BK76" s="14">
        <f t="shared" si="31"/>
        <v>2.7849280216177874</v>
      </c>
      <c r="BL76" s="14">
        <f t="shared" si="32"/>
        <v>4.0274841412252043</v>
      </c>
      <c r="BM76" s="14">
        <f t="shared" si="33"/>
        <v>4.934695006658588</v>
      </c>
      <c r="BN76" s="14">
        <f t="shared" si="34"/>
        <v>3.0040325440541999</v>
      </c>
      <c r="BO76" s="14">
        <f t="shared" si="35"/>
        <v>2.1333272688904157</v>
      </c>
      <c r="BP76" s="14">
        <f t="shared" si="36"/>
        <v>4.177392032426682</v>
      </c>
      <c r="BQ76" s="14">
        <f t="shared" si="37"/>
        <v>6.0412262118378077</v>
      </c>
      <c r="BR76" s="14">
        <f t="shared" si="38"/>
        <v>7.4020425099878819</v>
      </c>
      <c r="BS76" s="14">
        <f t="shared" si="39"/>
        <v>4.506048816081301</v>
      </c>
      <c r="BT76" s="14">
        <f t="shared" si="40"/>
        <v>0</v>
      </c>
      <c r="BU76" s="14">
        <f t="shared" si="41"/>
        <v>0</v>
      </c>
      <c r="BV76" s="14">
        <f t="shared" si="42"/>
        <v>0</v>
      </c>
      <c r="BW76" s="14">
        <f t="shared" si="43"/>
        <v>0</v>
      </c>
      <c r="BX76" s="14">
        <f t="shared" si="44"/>
        <v>0</v>
      </c>
      <c r="BY76" s="14">
        <f t="shared" si="45"/>
        <v>17.777727240753464</v>
      </c>
      <c r="BZ76" s="14">
        <f t="shared" si="46"/>
        <v>34.81160027022235</v>
      </c>
      <c r="CA76" s="14">
        <f t="shared" si="47"/>
        <v>50.34355176531507</v>
      </c>
      <c r="CB76" s="14">
        <f t="shared" si="48"/>
        <v>61.683687583232356</v>
      </c>
      <c r="CC76" s="14">
        <f t="shared" si="49"/>
        <v>37.550406800677507</v>
      </c>
    </row>
    <row r="77" spans="24:81" x14ac:dyDescent="0.15">
      <c r="X77" s="14">
        <v>73</v>
      </c>
      <c r="Y77" s="30">
        <f t="shared" si="50"/>
        <v>1.7250000000000001</v>
      </c>
      <c r="Z77" s="27">
        <f t="shared" si="28"/>
        <v>8.8000000000000009E-2</v>
      </c>
      <c r="AA77" s="14">
        <f>$Y77*$Z77*其他调用!V76</f>
        <v>73.690155037643194</v>
      </c>
      <c r="AB77" s="14">
        <f>$Y77*$Z77*其他调用!W76</f>
        <v>89.849624904146012</v>
      </c>
      <c r="AC77" s="14">
        <f>$Y77*$Z77*其他调用!X76</f>
        <v>100.32621205379687</v>
      </c>
      <c r="AD77" s="14">
        <f>$Y77*$Z77*其他调用!Y76</f>
        <v>83.935991941078143</v>
      </c>
      <c r="AE77" s="14">
        <f>$Y77*$Z77*其他调用!Z76</f>
        <v>46.604548486309852</v>
      </c>
      <c r="AH77" s="14">
        <v>73</v>
      </c>
      <c r="AI77" s="14">
        <f>SUM(AA$5:AA77)</f>
        <v>250.0766260595544</v>
      </c>
      <c r="AJ77" s="14">
        <f>SUM(AB$5:AB77)</f>
        <v>313.85326595586145</v>
      </c>
      <c r="AK77" s="14">
        <f>SUM(AC$5:AC77)</f>
        <v>345.62826204939432</v>
      </c>
      <c r="AL77" s="14">
        <f>SUM(AD$5:AD77)</f>
        <v>284.9301863994209</v>
      </c>
      <c r="AM77" s="14">
        <f>SUM(AE$5:AE77)</f>
        <v>158.70906346428137</v>
      </c>
      <c r="AR77" s="14">
        <v>73</v>
      </c>
      <c r="AS77" s="27">
        <f t="shared" si="29"/>
        <v>0.11200000000000002</v>
      </c>
      <c r="AT77" s="14">
        <f>求节点(E$28:E$32,$N$28:$N$32,$AR77)*$AS77*其他调用!V76/$E$4</f>
        <v>27.184773926930294</v>
      </c>
      <c r="AU77" s="14">
        <f>求节点(F$28:F$32,$N$28:$N$32,$AR77)*$AS77*其他调用!W76/$E$4</f>
        <v>33.146106684006433</v>
      </c>
      <c r="AV77" s="14">
        <f>求节点(G$28:G$32,$N$28:$N$32,$AR77)*$AS77*其他调用!X76/$E$4</f>
        <v>37.010987318923746</v>
      </c>
      <c r="AW77" s="14">
        <f>求节点(H$28:H$32,$N$28:$N$32,$AR77)*$AS77*其他调用!Y76/$E$4</f>
        <v>30.96452930632659</v>
      </c>
      <c r="AX77" s="14">
        <f>求节点(I$28:I$32,$N$28:$N$32,$AR77)*$AS77*其他调用!Z76/$E$4</f>
        <v>17.192718809178867</v>
      </c>
      <c r="BA77" s="14">
        <v>73</v>
      </c>
      <c r="BB77" s="14">
        <f>SUM(AT$5:AT77)</f>
        <v>98.295682889944146</v>
      </c>
      <c r="BC77" s="14">
        <f>SUM(AU$5:AU77)</f>
        <v>172.39250776489584</v>
      </c>
      <c r="BD77" s="14">
        <f>SUM(AV$5:AV77)</f>
        <v>238.38519438018403</v>
      </c>
      <c r="BE77" s="14">
        <f>SUM(AW$5:AW77)</f>
        <v>277.69927963925602</v>
      </c>
      <c r="BF77" s="14">
        <f>SUM(AX$5:AX77)</f>
        <v>167.3943460118889</v>
      </c>
      <c r="BI77" s="14">
        <v>73</v>
      </c>
      <c r="BJ77" s="14">
        <f t="shared" si="30"/>
        <v>1.9659136577988825</v>
      </c>
      <c r="BK77" s="14">
        <f t="shared" si="31"/>
        <v>3.4478501552979162</v>
      </c>
      <c r="BL77" s="14">
        <f t="shared" si="32"/>
        <v>4.7677038876036795</v>
      </c>
      <c r="BM77" s="14">
        <f t="shared" si="33"/>
        <v>5.5539855927851196</v>
      </c>
      <c r="BN77" s="14">
        <f t="shared" si="34"/>
        <v>3.3478869202377775</v>
      </c>
      <c r="BO77" s="14">
        <f t="shared" si="35"/>
        <v>2.9488704866983242</v>
      </c>
      <c r="BP77" s="14">
        <f t="shared" si="36"/>
        <v>5.1717752329468754</v>
      </c>
      <c r="BQ77" s="14">
        <f t="shared" si="37"/>
        <v>7.1515558314055214</v>
      </c>
      <c r="BR77" s="14">
        <f t="shared" si="38"/>
        <v>8.3309783891776803</v>
      </c>
      <c r="BS77" s="14">
        <f t="shared" si="39"/>
        <v>5.0218303803566666</v>
      </c>
      <c r="BT77" s="14">
        <f t="shared" si="40"/>
        <v>0</v>
      </c>
      <c r="BU77" s="14">
        <f t="shared" si="41"/>
        <v>0</v>
      </c>
      <c r="BV77" s="14">
        <f t="shared" si="42"/>
        <v>0</v>
      </c>
      <c r="BW77" s="14">
        <f t="shared" si="43"/>
        <v>0</v>
      </c>
      <c r="BX77" s="14">
        <f t="shared" si="44"/>
        <v>0</v>
      </c>
      <c r="BY77" s="14">
        <f t="shared" si="45"/>
        <v>24.573920722486037</v>
      </c>
      <c r="BZ77" s="14">
        <f t="shared" si="46"/>
        <v>43.09812694122396</v>
      </c>
      <c r="CA77" s="14">
        <f t="shared" si="47"/>
        <v>59.596298595046008</v>
      </c>
      <c r="CB77" s="14">
        <f t="shared" si="48"/>
        <v>69.424819909814005</v>
      </c>
      <c r="CC77" s="14">
        <f t="shared" si="49"/>
        <v>41.848586502972225</v>
      </c>
    </row>
    <row r="78" spans="24:81" x14ac:dyDescent="0.15">
      <c r="X78" s="14">
        <v>74</v>
      </c>
      <c r="Y78" s="30">
        <f t="shared" si="50"/>
        <v>1.8</v>
      </c>
      <c r="Z78" s="27">
        <f t="shared" si="28"/>
        <v>8.8000000000000009E-2</v>
      </c>
      <c r="AA78" s="14">
        <f>$Y78*$Z78*其他调用!V77</f>
        <v>82.413028820379878</v>
      </c>
      <c r="AB78" s="14">
        <f>$Y78*$Z78*其他调用!W77</f>
        <v>103.45107961913105</v>
      </c>
      <c r="AC78" s="14">
        <f>$Y78*$Z78*其他调用!X77</f>
        <v>117.07105051324733</v>
      </c>
      <c r="AD78" s="14">
        <f>$Y78*$Z78*其他调用!Y77</f>
        <v>96.499539720938813</v>
      </c>
      <c r="AE78" s="14">
        <f>$Y78*$Z78*其他调用!Z77</f>
        <v>53.709089136058878</v>
      </c>
      <c r="AH78" s="14">
        <v>74</v>
      </c>
      <c r="AI78" s="14">
        <f>SUM(AA$5:AA78)</f>
        <v>332.48965487993428</v>
      </c>
      <c r="AJ78" s="14">
        <f>SUM(AB$5:AB78)</f>
        <v>417.30434557499251</v>
      </c>
      <c r="AK78" s="14">
        <f>SUM(AC$5:AC78)</f>
        <v>462.69931256264164</v>
      </c>
      <c r="AL78" s="14">
        <f>SUM(AD$5:AD78)</f>
        <v>381.4297261203597</v>
      </c>
      <c r="AM78" s="14">
        <f>SUM(AE$5:AE78)</f>
        <v>212.41815260034025</v>
      </c>
      <c r="AR78" s="14">
        <v>74</v>
      </c>
      <c r="AS78" s="27">
        <f t="shared" si="29"/>
        <v>0.11200000000000002</v>
      </c>
      <c r="AT78" s="14">
        <f>求节点(E$28:E$32,$N$28:$N$32,$AR78)*$AS78*其他调用!V77/$E$4</f>
        <v>29.135919279932281</v>
      </c>
      <c r="AU78" s="14">
        <f>求节点(F$28:F$32,$N$28:$N$32,$AR78)*$AS78*其他调用!W77/$E$4</f>
        <v>36.573614006763506</v>
      </c>
      <c r="AV78" s="14">
        <f>求节点(G$28:G$32,$N$28:$N$32,$AR78)*$AS78*其他调用!X77/$E$4</f>
        <v>41.388755231956125</v>
      </c>
      <c r="AW78" s="14">
        <f>求节点(H$28:H$32,$N$28:$N$32,$AR78)*$AS78*其他调用!Y77/$E$4</f>
        <v>34.115998891240991</v>
      </c>
      <c r="AX78" s="14">
        <f>求节点(I$28:I$32,$N$28:$N$32,$AR78)*$AS78*其他调用!Z77/$E$4</f>
        <v>18.988061815778394</v>
      </c>
      <c r="BA78" s="14">
        <v>74</v>
      </c>
      <c r="BB78" s="14">
        <f>SUM(AT$5:AT78)</f>
        <v>127.43160216987643</v>
      </c>
      <c r="BC78" s="14">
        <f>SUM(AU$5:AU78)</f>
        <v>208.96612177165935</v>
      </c>
      <c r="BD78" s="14">
        <f>SUM(AV$5:AV78)</f>
        <v>279.77394961214014</v>
      </c>
      <c r="BE78" s="14">
        <f>SUM(AW$5:AW78)</f>
        <v>311.81527853049704</v>
      </c>
      <c r="BF78" s="14">
        <f>SUM(AX$5:AX78)</f>
        <v>186.38240782766729</v>
      </c>
      <c r="BI78" s="14">
        <v>74</v>
      </c>
      <c r="BJ78" s="14">
        <f t="shared" si="30"/>
        <v>2.5486320433975278</v>
      </c>
      <c r="BK78" s="14">
        <f t="shared" si="31"/>
        <v>4.1793224354331864</v>
      </c>
      <c r="BL78" s="14">
        <f t="shared" si="32"/>
        <v>5.5954789922428017</v>
      </c>
      <c r="BM78" s="14">
        <f t="shared" si="33"/>
        <v>6.2363055706099395</v>
      </c>
      <c r="BN78" s="14">
        <f t="shared" si="34"/>
        <v>3.7276481565533452</v>
      </c>
      <c r="BO78" s="14">
        <f t="shared" si="35"/>
        <v>3.8229480650962926</v>
      </c>
      <c r="BP78" s="14">
        <f t="shared" si="36"/>
        <v>6.26898365314978</v>
      </c>
      <c r="BQ78" s="14">
        <f t="shared" si="37"/>
        <v>8.3932184883642034</v>
      </c>
      <c r="BR78" s="14">
        <f t="shared" si="38"/>
        <v>9.354458355914911</v>
      </c>
      <c r="BS78" s="14">
        <f t="shared" si="39"/>
        <v>5.591472234830019</v>
      </c>
      <c r="BT78" s="14">
        <f t="shared" si="40"/>
        <v>0</v>
      </c>
      <c r="BU78" s="14">
        <f t="shared" si="41"/>
        <v>0</v>
      </c>
      <c r="BV78" s="14">
        <f t="shared" si="42"/>
        <v>0</v>
      </c>
      <c r="BW78" s="14">
        <f t="shared" si="43"/>
        <v>0</v>
      </c>
      <c r="BX78" s="14">
        <f t="shared" si="44"/>
        <v>0</v>
      </c>
      <c r="BY78" s="14">
        <f t="shared" si="45"/>
        <v>31.85790054246911</v>
      </c>
      <c r="BZ78" s="14">
        <f t="shared" si="46"/>
        <v>52.241530442914836</v>
      </c>
      <c r="CA78" s="14">
        <f t="shared" si="47"/>
        <v>69.943487403035036</v>
      </c>
      <c r="CB78" s="14">
        <f t="shared" si="48"/>
        <v>77.95381963262426</v>
      </c>
      <c r="CC78" s="14">
        <f t="shared" si="49"/>
        <v>46.595601956916823</v>
      </c>
    </row>
    <row r="79" spans="24:81" x14ac:dyDescent="0.15">
      <c r="X79" s="14">
        <v>75</v>
      </c>
      <c r="Y79" s="30">
        <f t="shared" si="50"/>
        <v>1.875</v>
      </c>
      <c r="Z79" s="27">
        <f t="shared" si="28"/>
        <v>8.8000000000000009E-2</v>
      </c>
      <c r="AA79" s="14">
        <f>$Y79*$Z79*其他调用!V78</f>
        <v>92.008434642627009</v>
      </c>
      <c r="AB79" s="14">
        <f>$Y79*$Z79*其他调用!W78</f>
        <v>117.06109007438509</v>
      </c>
      <c r="AC79" s="14">
        <f>$Y79*$Z79*其他调用!X78</f>
        <v>130.30759114576239</v>
      </c>
      <c r="AD79" s="14">
        <f>$Y79*$Z79*其他调用!Y78</f>
        <v>107.81794319953582</v>
      </c>
      <c r="AE79" s="14">
        <f>$Y79*$Z79*其他调用!Z78</f>
        <v>60.942475638458468</v>
      </c>
      <c r="AH79" s="14">
        <v>75</v>
      </c>
      <c r="AI79" s="14">
        <f>SUM(AA$5:AA79)</f>
        <v>424.49808952256126</v>
      </c>
      <c r="AJ79" s="14">
        <f>SUM(AB$5:AB79)</f>
        <v>534.36543564937756</v>
      </c>
      <c r="AK79" s="14">
        <f>SUM(AC$5:AC79)</f>
        <v>593.00690370840402</v>
      </c>
      <c r="AL79" s="14">
        <f>SUM(AD$5:AD79)</f>
        <v>489.24766931989552</v>
      </c>
      <c r="AM79" s="14">
        <f>SUM(AE$5:AE79)</f>
        <v>273.36062823879871</v>
      </c>
      <c r="AR79" s="14">
        <v>75</v>
      </c>
      <c r="AS79" s="27">
        <f t="shared" si="29"/>
        <v>0.11200000000000002</v>
      </c>
      <c r="AT79" s="14">
        <f>求节点(E$28:E$32,$N$28:$N$32,$AR79)*$AS79*其他调用!V78/$E$4</f>
        <v>31.227105090830989</v>
      </c>
      <c r="AU79" s="14">
        <f>求节点(F$28:F$32,$N$28:$N$32,$AR79)*$AS79*其他调用!W78/$E$4</f>
        <v>39.729824510094339</v>
      </c>
      <c r="AV79" s="14">
        <f>求节点(G$28:G$32,$N$28:$N$32,$AR79)*$AS79*其他调用!X78/$E$4</f>
        <v>44.225606691895116</v>
      </c>
      <c r="AW79" s="14">
        <f>求节点(H$28:H$32,$N$28:$N$32,$AR79)*$AS79*其他调用!Y78/$E$4</f>
        <v>36.592756479842464</v>
      </c>
      <c r="AX79" s="14">
        <f>求节点(I$28:I$32,$N$28:$N$32,$AR79)*$AS79*其他调用!Z78/$E$4</f>
        <v>20.683506883355602</v>
      </c>
      <c r="BA79" s="14">
        <v>75</v>
      </c>
      <c r="BB79" s="14">
        <f>SUM(AT$5:AT79)</f>
        <v>158.65870726070742</v>
      </c>
      <c r="BC79" s="14">
        <f>SUM(AU$5:AU79)</f>
        <v>248.69594628175369</v>
      </c>
      <c r="BD79" s="14">
        <f>SUM(AV$5:AV79)</f>
        <v>323.99955630403525</v>
      </c>
      <c r="BE79" s="14">
        <f>SUM(AW$5:AW79)</f>
        <v>348.40803501033952</v>
      </c>
      <c r="BF79" s="14">
        <f>SUM(AX$5:AX79)</f>
        <v>207.06591471102288</v>
      </c>
      <c r="BI79" s="14">
        <v>75</v>
      </c>
      <c r="BJ79" s="14">
        <f t="shared" si="30"/>
        <v>3.1731741452141478</v>
      </c>
      <c r="BK79" s="14">
        <f t="shared" si="31"/>
        <v>4.9739189256350729</v>
      </c>
      <c r="BL79" s="14">
        <f t="shared" si="32"/>
        <v>6.4799911260807033</v>
      </c>
      <c r="BM79" s="14">
        <f t="shared" si="33"/>
        <v>6.9681607002067896</v>
      </c>
      <c r="BN79" s="14">
        <f t="shared" si="34"/>
        <v>4.1413182942204569</v>
      </c>
      <c r="BO79" s="14">
        <f t="shared" si="35"/>
        <v>4.7597612178212225</v>
      </c>
      <c r="BP79" s="14">
        <f t="shared" si="36"/>
        <v>7.4608783884526106</v>
      </c>
      <c r="BQ79" s="14">
        <f t="shared" si="37"/>
        <v>9.7199866891210576</v>
      </c>
      <c r="BR79" s="14">
        <f t="shared" si="38"/>
        <v>10.452241050310185</v>
      </c>
      <c r="BS79" s="14">
        <f t="shared" si="39"/>
        <v>6.2119774413306867</v>
      </c>
      <c r="BT79" s="14">
        <f t="shared" si="40"/>
        <v>0</v>
      </c>
      <c r="BU79" s="14">
        <f t="shared" si="41"/>
        <v>0</v>
      </c>
      <c r="BV79" s="14">
        <f t="shared" si="42"/>
        <v>0</v>
      </c>
      <c r="BW79" s="14">
        <f t="shared" si="43"/>
        <v>0</v>
      </c>
      <c r="BX79" s="14">
        <f t="shared" si="44"/>
        <v>0</v>
      </c>
      <c r="BY79" s="14">
        <f t="shared" si="45"/>
        <v>39.664676815176854</v>
      </c>
      <c r="BZ79" s="14">
        <f t="shared" si="46"/>
        <v>62.17398657043843</v>
      </c>
      <c r="CA79" s="14">
        <f t="shared" si="47"/>
        <v>80.999889076008813</v>
      </c>
      <c r="CB79" s="14">
        <f t="shared" si="48"/>
        <v>87.102008752584879</v>
      </c>
      <c r="CC79" s="14">
        <f t="shared" si="49"/>
        <v>51.766478677755721</v>
      </c>
    </row>
    <row r="80" spans="24:81" x14ac:dyDescent="0.15">
      <c r="X80" s="14">
        <v>76</v>
      </c>
      <c r="Y80" s="30">
        <f t="shared" si="50"/>
        <v>1.95</v>
      </c>
      <c r="Z80" s="27">
        <f t="shared" si="28"/>
        <v>8.8000000000000009E-2</v>
      </c>
      <c r="AA80" s="14">
        <f>$Y80*$Z80*其他调用!V79</f>
        <v>102.55668652265143</v>
      </c>
      <c r="AB80" s="14">
        <f>$Y80*$Z80*其他调用!W79</f>
        <v>129.01824332598864</v>
      </c>
      <c r="AC80" s="14">
        <f>$Y80*$Z80*其他调用!X79</f>
        <v>142.65643524210176</v>
      </c>
      <c r="AD80" s="14">
        <f>$Y80*$Z80*其他调用!Y79</f>
        <v>120.61217362641162</v>
      </c>
      <c r="AE80" s="14">
        <f>$Y80*$Z80*其他调用!Z79</f>
        <v>69.091166150913153</v>
      </c>
      <c r="AH80" s="14">
        <v>76</v>
      </c>
      <c r="AI80" s="14">
        <f>SUM(AA$5:AA80)</f>
        <v>527.05477604521275</v>
      </c>
      <c r="AJ80" s="14">
        <f>SUM(AB$5:AB80)</f>
        <v>663.38367897536614</v>
      </c>
      <c r="AK80" s="14">
        <f>SUM(AC$5:AC80)</f>
        <v>735.66333895050582</v>
      </c>
      <c r="AL80" s="14">
        <f>SUM(AD$5:AD80)</f>
        <v>609.85984294630714</v>
      </c>
      <c r="AM80" s="14">
        <f>SUM(AE$5:AE80)</f>
        <v>342.45179438971184</v>
      </c>
      <c r="AR80" s="14">
        <v>76</v>
      </c>
      <c r="AS80" s="27">
        <f t="shared" si="29"/>
        <v>0.11200000000000002</v>
      </c>
      <c r="AT80" s="14">
        <f>求节点(E$28:E$32,$N$28:$N$32,$AR80)*$AS80*其他调用!V79/$E$4</f>
        <v>33.468382548184621</v>
      </c>
      <c r="AU80" s="14">
        <f>求节点(F$28:F$32,$N$28:$N$32,$AR80)*$AS80*其他调用!W79/$E$4</f>
        <v>42.103855630858767</v>
      </c>
      <c r="AV80" s="14">
        <f>求节点(G$28:G$32,$N$28:$N$32,$AR80)*$AS80*其他调用!X79/$E$4</f>
        <v>46.554547631455129</v>
      </c>
      <c r="AW80" s="14">
        <f>求节点(H$28:H$32,$N$28:$N$32,$AR80)*$AS80*其他调用!Y79/$E$4</f>
        <v>39.360616101859272</v>
      </c>
      <c r="AX80" s="14">
        <f>求节点(I$28:I$32,$N$28:$N$32,$AR80)*$AS80*其他调用!Z79/$E$4</f>
        <v>22.547233708922711</v>
      </c>
      <c r="BA80" s="14">
        <v>76</v>
      </c>
      <c r="BB80" s="14">
        <f>SUM(AT$5:AT80)</f>
        <v>192.12708980889204</v>
      </c>
      <c r="BC80" s="14">
        <f>SUM(AU$5:AU80)</f>
        <v>290.79980191261245</v>
      </c>
      <c r="BD80" s="14">
        <f>SUM(AV$5:AV80)</f>
        <v>370.55410393549039</v>
      </c>
      <c r="BE80" s="14">
        <f>SUM(AW$5:AW80)</f>
        <v>387.76865111219877</v>
      </c>
      <c r="BF80" s="14">
        <f>SUM(AX$5:AX80)</f>
        <v>229.61314841994559</v>
      </c>
      <c r="BI80" s="14">
        <v>76</v>
      </c>
      <c r="BJ80" s="14">
        <f t="shared" si="30"/>
        <v>3.8425417961778399</v>
      </c>
      <c r="BK80" s="14">
        <f t="shared" si="31"/>
        <v>5.8159960382522478</v>
      </c>
      <c r="BL80" s="14">
        <f t="shared" si="32"/>
        <v>7.4110820787098062</v>
      </c>
      <c r="BM80" s="14">
        <f t="shared" si="33"/>
        <v>7.7553730222439743</v>
      </c>
      <c r="BN80" s="14">
        <f t="shared" si="34"/>
        <v>4.5922629683989111</v>
      </c>
      <c r="BO80" s="14">
        <f t="shared" si="35"/>
        <v>5.7638126942667611</v>
      </c>
      <c r="BP80" s="14">
        <f t="shared" si="36"/>
        <v>8.7239940573783734</v>
      </c>
      <c r="BQ80" s="14">
        <f t="shared" si="37"/>
        <v>11.116623118064712</v>
      </c>
      <c r="BR80" s="14">
        <f t="shared" si="38"/>
        <v>11.633059533365962</v>
      </c>
      <c r="BS80" s="14">
        <f t="shared" si="39"/>
        <v>6.8883944525983676</v>
      </c>
      <c r="BT80" s="14">
        <f t="shared" si="40"/>
        <v>0</v>
      </c>
      <c r="BU80" s="14">
        <f t="shared" si="41"/>
        <v>0</v>
      </c>
      <c r="BV80" s="14">
        <f t="shared" si="42"/>
        <v>0</v>
      </c>
      <c r="BW80" s="14">
        <f t="shared" si="43"/>
        <v>0</v>
      </c>
      <c r="BX80" s="14">
        <f t="shared" si="44"/>
        <v>0</v>
      </c>
      <c r="BY80" s="14">
        <f t="shared" si="45"/>
        <v>48.031772452223009</v>
      </c>
      <c r="BZ80" s="14">
        <f t="shared" si="46"/>
        <v>72.699950478153113</v>
      </c>
      <c r="CA80" s="14">
        <f t="shared" si="47"/>
        <v>92.638525983872597</v>
      </c>
      <c r="CB80" s="14">
        <f t="shared" si="48"/>
        <v>96.942162778049692</v>
      </c>
      <c r="CC80" s="14">
        <f t="shared" si="49"/>
        <v>57.40328710498639</v>
      </c>
    </row>
    <row r="81" spans="24:81" x14ac:dyDescent="0.15">
      <c r="X81" s="14">
        <v>77</v>
      </c>
      <c r="Y81" s="30">
        <f t="shared" si="50"/>
        <v>2.0249999999999999</v>
      </c>
      <c r="Z81" s="27">
        <f t="shared" si="28"/>
        <v>8.8000000000000009E-2</v>
      </c>
      <c r="AA81" s="14">
        <f>$Y81*$Z81*其他调用!V80</f>
        <v>114.14513252142504</v>
      </c>
      <c r="AB81" s="14">
        <f>$Y81*$Z81*其他调用!W80</f>
        <v>145.06243488548219</v>
      </c>
      <c r="AC81" s="14">
        <f>$Y81*$Z81*其他调用!X80</f>
        <v>162.3991793905397</v>
      </c>
      <c r="AD81" s="14">
        <f>$Y81*$Z81*其他调用!Y80</f>
        <v>135.50873199380604</v>
      </c>
      <c r="AE81" s="14">
        <f>$Y81*$Z81*其他调用!Z80</f>
        <v>71.052189180975816</v>
      </c>
      <c r="AH81" s="14">
        <v>77</v>
      </c>
      <c r="AI81" s="14">
        <f>SUM(AA$5:AA81)</f>
        <v>641.19990856663776</v>
      </c>
      <c r="AJ81" s="14">
        <f>SUM(AB$5:AB81)</f>
        <v>808.4461138608483</v>
      </c>
      <c r="AK81" s="14">
        <f>SUM(AC$5:AC81)</f>
        <v>898.06251834104546</v>
      </c>
      <c r="AL81" s="14">
        <f>SUM(AD$5:AD81)</f>
        <v>745.36857494011315</v>
      </c>
      <c r="AM81" s="14">
        <f>SUM(AE$5:AE81)</f>
        <v>413.50398357068764</v>
      </c>
      <c r="AR81" s="14">
        <v>77</v>
      </c>
      <c r="AS81" s="27">
        <f t="shared" si="29"/>
        <v>0.11200000000000002</v>
      </c>
      <c r="AT81" s="14">
        <f>求节点(E$28:E$32,$N$28:$N$32,$AR81)*$AS81*其他调用!V80/$E$4</f>
        <v>35.870524249157143</v>
      </c>
      <c r="AU81" s="14">
        <f>求节点(F$28:F$32,$N$28:$N$32,$AR81)*$AS81*其他调用!W80/$E$4</f>
        <v>45.586399290611695</v>
      </c>
      <c r="AV81" s="14">
        <f>求节点(G$28:G$32,$N$28:$N$32,$AR81)*$AS81*其他调用!X80/$E$4</f>
        <v>51.034534488609566</v>
      </c>
      <c r="AW81" s="14">
        <f>求节点(H$28:H$32,$N$28:$N$32,$AR81)*$AS81*其他调用!Y80/$E$4</f>
        <v>42.584113308940175</v>
      </c>
      <c r="AX81" s="14">
        <f>求节点(I$28:I$32,$N$28:$N$32,$AR81)*$AS81*其他调用!Z80/$E$4</f>
        <v>22.328409619161878</v>
      </c>
      <c r="BA81" s="14">
        <v>77</v>
      </c>
      <c r="BB81" s="14">
        <f>SUM(AT$5:AT81)</f>
        <v>227.99761405804918</v>
      </c>
      <c r="BC81" s="14">
        <f>SUM(AU$5:AU81)</f>
        <v>336.38620120322412</v>
      </c>
      <c r="BD81" s="14">
        <f>SUM(AV$5:AV81)</f>
        <v>421.58863842409994</v>
      </c>
      <c r="BE81" s="14">
        <f>SUM(AW$5:AW81)</f>
        <v>430.35276442113894</v>
      </c>
      <c r="BF81" s="14">
        <f>SUM(AX$5:AX81)</f>
        <v>251.94155803910746</v>
      </c>
      <c r="BI81" s="14">
        <v>77</v>
      </c>
      <c r="BJ81" s="14">
        <f t="shared" si="30"/>
        <v>4.5599522811609825</v>
      </c>
      <c r="BK81" s="14">
        <f t="shared" si="31"/>
        <v>6.7277240240644813</v>
      </c>
      <c r="BL81" s="14">
        <f t="shared" si="32"/>
        <v>8.4317727684819967</v>
      </c>
      <c r="BM81" s="14">
        <f t="shared" si="33"/>
        <v>8.6070552884227762</v>
      </c>
      <c r="BN81" s="14">
        <f t="shared" si="34"/>
        <v>5.0388311607821477</v>
      </c>
      <c r="BO81" s="14">
        <f t="shared" si="35"/>
        <v>6.8399284217414742</v>
      </c>
      <c r="BP81" s="14">
        <f t="shared" si="36"/>
        <v>10.091586036096723</v>
      </c>
      <c r="BQ81" s="14">
        <f t="shared" si="37"/>
        <v>12.647659152722998</v>
      </c>
      <c r="BR81" s="14">
        <f t="shared" si="38"/>
        <v>12.910582932634167</v>
      </c>
      <c r="BS81" s="14">
        <f t="shared" si="39"/>
        <v>7.5582467411732237</v>
      </c>
      <c r="BT81" s="14">
        <f t="shared" si="40"/>
        <v>0</v>
      </c>
      <c r="BU81" s="14">
        <f t="shared" si="41"/>
        <v>0</v>
      </c>
      <c r="BV81" s="14">
        <f t="shared" si="42"/>
        <v>0</v>
      </c>
      <c r="BW81" s="14">
        <f t="shared" si="43"/>
        <v>0</v>
      </c>
      <c r="BX81" s="14">
        <f t="shared" si="44"/>
        <v>0</v>
      </c>
      <c r="BY81" s="14">
        <f t="shared" si="45"/>
        <v>56.999403514512295</v>
      </c>
      <c r="BZ81" s="14">
        <f t="shared" si="46"/>
        <v>84.09655030080603</v>
      </c>
      <c r="CA81" s="14">
        <f t="shared" si="47"/>
        <v>105.39715960602499</v>
      </c>
      <c r="CB81" s="14">
        <f t="shared" si="48"/>
        <v>107.58819110528475</v>
      </c>
      <c r="CC81" s="14">
        <f t="shared" si="49"/>
        <v>62.985389509776866</v>
      </c>
    </row>
    <row r="82" spans="24:81" x14ac:dyDescent="0.15">
      <c r="X82" s="14">
        <v>78</v>
      </c>
      <c r="Y82" s="30">
        <f t="shared" si="50"/>
        <v>2.1</v>
      </c>
      <c r="Z82" s="27">
        <f t="shared" si="28"/>
        <v>8.8000000000000009E-2</v>
      </c>
      <c r="AA82" s="14">
        <f>$Y82*$Z82*其他调用!V81</f>
        <v>126.86875072578695</v>
      </c>
      <c r="AB82" s="14">
        <f>$Y82*$Z82*其他调用!W81</f>
        <v>159.95170808896017</v>
      </c>
      <c r="AC82" s="14">
        <f>$Y82*$Z82*其他调用!X81</f>
        <v>179.9571680974706</v>
      </c>
      <c r="AD82" s="14">
        <f>$Y82*$Z82*其他调用!Y81</f>
        <v>147.46368599306231</v>
      </c>
      <c r="AE82" s="14">
        <f>$Y82*$Z82*其他调用!Z81</f>
        <v>78.350181450837383</v>
      </c>
      <c r="AH82" s="14">
        <v>78</v>
      </c>
      <c r="AI82" s="14">
        <f>SUM(AA$5:AA82)</f>
        <v>768.06865929242474</v>
      </c>
      <c r="AJ82" s="14">
        <f>SUM(AB$5:AB82)</f>
        <v>968.39782194980853</v>
      </c>
      <c r="AK82" s="14">
        <f>SUM(AC$5:AC82)</f>
        <v>1078.0196864385161</v>
      </c>
      <c r="AL82" s="14">
        <f>SUM(AD$5:AD82)</f>
        <v>892.83226093317546</v>
      </c>
      <c r="AM82" s="14">
        <f>SUM(AE$5:AE82)</f>
        <v>491.85416502152503</v>
      </c>
      <c r="AR82" s="14">
        <v>78</v>
      </c>
      <c r="AS82" s="27">
        <f t="shared" si="29"/>
        <v>0.11200000000000002</v>
      </c>
      <c r="AT82" s="14">
        <f>求节点(E$28:E$32,$N$28:$N$32,$AR82)*$AS82*其他调用!V81/$E$4</f>
        <v>38.445075977511202</v>
      </c>
      <c r="AU82" s="14">
        <f>求节点(F$28:F$32,$N$28:$N$32,$AR82)*$AS82*其他调用!W81/$E$4</f>
        <v>48.470214572412175</v>
      </c>
      <c r="AV82" s="14">
        <f>求节点(G$28:G$32,$N$28:$N$32,$AR82)*$AS82*其他调用!X81/$E$4</f>
        <v>54.532475181051701</v>
      </c>
      <c r="AW82" s="14">
        <f>求节点(H$28:H$32,$N$28:$N$32,$AR82)*$AS82*其他调用!Y81/$E$4</f>
        <v>44.685965452443128</v>
      </c>
      <c r="AX82" s="14">
        <f>求节点(I$28:I$32,$N$28:$N$32,$AR82)*$AS82*其他调用!Z81/$E$4</f>
        <v>23.742479227526481</v>
      </c>
      <c r="BA82" s="14">
        <v>78</v>
      </c>
      <c r="BB82" s="14">
        <f>SUM(AT$5:AT82)</f>
        <v>266.44269003556036</v>
      </c>
      <c r="BC82" s="14">
        <f>SUM(AU$5:AU82)</f>
        <v>384.85641577563626</v>
      </c>
      <c r="BD82" s="14">
        <f>SUM(AV$5:AV82)</f>
        <v>476.12111360515166</v>
      </c>
      <c r="BE82" s="14">
        <f>SUM(AW$5:AW82)</f>
        <v>475.03872987358204</v>
      </c>
      <c r="BF82" s="14">
        <f>SUM(AX$5:AX82)</f>
        <v>275.68403726663394</v>
      </c>
      <c r="BI82" s="14">
        <v>78</v>
      </c>
      <c r="BJ82" s="14">
        <f t="shared" si="30"/>
        <v>5.3288538007112063</v>
      </c>
      <c r="BK82" s="14">
        <f t="shared" si="31"/>
        <v>7.6971283155127237</v>
      </c>
      <c r="BL82" s="14">
        <f t="shared" si="32"/>
        <v>9.5224222721030323</v>
      </c>
      <c r="BM82" s="14">
        <f t="shared" si="33"/>
        <v>9.5007745974716382</v>
      </c>
      <c r="BN82" s="14">
        <f t="shared" si="34"/>
        <v>5.5136807453326773</v>
      </c>
      <c r="BO82" s="14">
        <f t="shared" si="35"/>
        <v>7.9932807010668103</v>
      </c>
      <c r="BP82" s="14">
        <f t="shared" si="36"/>
        <v>11.545692473269089</v>
      </c>
      <c r="BQ82" s="14">
        <f t="shared" si="37"/>
        <v>14.283633408154548</v>
      </c>
      <c r="BR82" s="14">
        <f t="shared" si="38"/>
        <v>14.25116189620746</v>
      </c>
      <c r="BS82" s="14">
        <f t="shared" si="39"/>
        <v>8.2705211179990172</v>
      </c>
      <c r="BT82" s="14">
        <f t="shared" si="40"/>
        <v>0</v>
      </c>
      <c r="BU82" s="14">
        <f t="shared" si="41"/>
        <v>0</v>
      </c>
      <c r="BV82" s="14">
        <f t="shared" si="42"/>
        <v>0</v>
      </c>
      <c r="BW82" s="14">
        <f t="shared" si="43"/>
        <v>0</v>
      </c>
      <c r="BX82" s="14">
        <f t="shared" si="44"/>
        <v>0</v>
      </c>
      <c r="BY82" s="14">
        <f t="shared" si="45"/>
        <v>66.61067250889009</v>
      </c>
      <c r="BZ82" s="14">
        <f t="shared" si="46"/>
        <v>96.214103943909066</v>
      </c>
      <c r="CA82" s="14">
        <f t="shared" si="47"/>
        <v>119.03027840128792</v>
      </c>
      <c r="CB82" s="14">
        <f t="shared" si="48"/>
        <v>118.75968246839551</v>
      </c>
      <c r="CC82" s="14">
        <f t="shared" si="49"/>
        <v>68.921009316658484</v>
      </c>
    </row>
    <row r="83" spans="24:81" x14ac:dyDescent="0.15">
      <c r="X83" s="14">
        <v>79</v>
      </c>
      <c r="Y83" s="30">
        <f t="shared" si="50"/>
        <v>2.1749999999999998</v>
      </c>
      <c r="Z83" s="27">
        <f t="shared" si="28"/>
        <v>8.8000000000000009E-2</v>
      </c>
      <c r="AA83" s="14">
        <f>$Y83*$Z83*其他调用!V82</f>
        <v>140.83079454778164</v>
      </c>
      <c r="AB83" s="14">
        <f>$Y83*$Z83*其他调用!W82</f>
        <v>179.99474609548602</v>
      </c>
      <c r="AC83" s="14">
        <f>$Y83*$Z83*其他调用!X82</f>
        <v>200.34384409604749</v>
      </c>
      <c r="AD83" s="14">
        <f>$Y83*$Z83*其他调用!Y82</f>
        <v>156.65850049473022</v>
      </c>
      <c r="AE83" s="14">
        <f>$Y83*$Z83*其他调用!Z82</f>
        <v>88.126046106973618</v>
      </c>
      <c r="AH83" s="14">
        <v>79</v>
      </c>
      <c r="AI83" s="14">
        <f>SUM(AA$5:AA83)</f>
        <v>908.89945384020643</v>
      </c>
      <c r="AJ83" s="14">
        <f>SUM(AB$5:AB83)</f>
        <v>1148.3925680452946</v>
      </c>
      <c r="AK83" s="14">
        <f>SUM(AC$5:AC83)</f>
        <v>1278.3635305345636</v>
      </c>
      <c r="AL83" s="14">
        <f>SUM(AD$5:AD83)</f>
        <v>1049.4907614279057</v>
      </c>
      <c r="AM83" s="14">
        <f>SUM(AE$5:AE83)</f>
        <v>579.98021112849869</v>
      </c>
      <c r="AR83" s="14">
        <v>79</v>
      </c>
      <c r="AS83" s="27">
        <f t="shared" si="29"/>
        <v>0.11200000000000002</v>
      </c>
      <c r="AT83" s="14">
        <f>求节点(E$28:E$32,$N$28:$N$32,$AR83)*$AS83*其他调用!V82/$E$4</f>
        <v>41.204412197888047</v>
      </c>
      <c r="AU83" s="14">
        <f>求节点(F$28:F$32,$N$28:$N$32,$AR83)*$AS83*其他调用!W82/$E$4</f>
        <v>52.663039609964564</v>
      </c>
      <c r="AV83" s="14">
        <f>求节点(G$28:G$32,$N$28:$N$32,$AR83)*$AS83*其他调用!X82/$E$4</f>
        <v>58.616798690588617</v>
      </c>
      <c r="AW83" s="14">
        <f>求节点(H$28:H$32,$N$28:$N$32,$AR83)*$AS83*其他调用!Y82/$E$4</f>
        <v>45.835297950391286</v>
      </c>
      <c r="AX83" s="14">
        <f>求节点(I$28:I$32,$N$28:$N$32,$AR83)*$AS83*其他调用!Z82/$E$4</f>
        <v>25.784005130566996</v>
      </c>
      <c r="BA83" s="14">
        <v>79</v>
      </c>
      <c r="BB83" s="14">
        <f>SUM(AT$5:AT83)</f>
        <v>307.64710223344844</v>
      </c>
      <c r="BC83" s="14">
        <f>SUM(AU$5:AU83)</f>
        <v>437.51945538560085</v>
      </c>
      <c r="BD83" s="14">
        <f>SUM(AV$5:AV83)</f>
        <v>534.73791229574033</v>
      </c>
      <c r="BE83" s="14">
        <f>SUM(AW$5:AW83)</f>
        <v>520.87402782397328</v>
      </c>
      <c r="BF83" s="14">
        <f>SUM(AX$5:AX83)</f>
        <v>301.46804239720092</v>
      </c>
      <c r="BI83" s="14">
        <v>79</v>
      </c>
      <c r="BJ83" s="14">
        <f t="shared" si="30"/>
        <v>6.1529420446689667</v>
      </c>
      <c r="BK83" s="14">
        <f t="shared" si="31"/>
        <v>8.7503891077120137</v>
      </c>
      <c r="BL83" s="14">
        <f t="shared" si="32"/>
        <v>10.694758245914803</v>
      </c>
      <c r="BM83" s="14">
        <f t="shared" si="33"/>
        <v>10.417480556479465</v>
      </c>
      <c r="BN83" s="14">
        <f t="shared" si="34"/>
        <v>6.0293608479440177</v>
      </c>
      <c r="BO83" s="14">
        <f t="shared" si="35"/>
        <v>9.2294130670034527</v>
      </c>
      <c r="BP83" s="14">
        <f t="shared" si="36"/>
        <v>13.125583661568024</v>
      </c>
      <c r="BQ83" s="14">
        <f t="shared" si="37"/>
        <v>16.042137368872211</v>
      </c>
      <c r="BR83" s="14">
        <f t="shared" si="38"/>
        <v>15.626220834719197</v>
      </c>
      <c r="BS83" s="14">
        <f t="shared" si="39"/>
        <v>9.0440412719160275</v>
      </c>
      <c r="BT83" s="14">
        <f t="shared" si="40"/>
        <v>0</v>
      </c>
      <c r="BU83" s="14">
        <f t="shared" si="41"/>
        <v>0</v>
      </c>
      <c r="BV83" s="14">
        <f t="shared" si="42"/>
        <v>0</v>
      </c>
      <c r="BW83" s="14">
        <f t="shared" si="43"/>
        <v>0</v>
      </c>
      <c r="BX83" s="14">
        <f t="shared" si="44"/>
        <v>0</v>
      </c>
      <c r="BY83" s="14">
        <f t="shared" si="45"/>
        <v>76.911775558362109</v>
      </c>
      <c r="BZ83" s="14">
        <f t="shared" si="46"/>
        <v>109.37986384640021</v>
      </c>
      <c r="CA83" s="14">
        <f t="shared" si="47"/>
        <v>133.68447807393508</v>
      </c>
      <c r="CB83" s="14">
        <f t="shared" si="48"/>
        <v>130.21850695599332</v>
      </c>
      <c r="CC83" s="14">
        <f t="shared" si="49"/>
        <v>75.36701059930023</v>
      </c>
    </row>
    <row r="84" spans="24:81" x14ac:dyDescent="0.15">
      <c r="X84" s="14">
        <v>80</v>
      </c>
      <c r="Y84" s="30">
        <f t="shared" si="50"/>
        <v>2.25</v>
      </c>
      <c r="Z84" s="27">
        <f t="shared" si="28"/>
        <v>8.8000000000000009E-2</v>
      </c>
      <c r="AA84" s="14">
        <f>$Y84*$Z84*其他调用!V83</f>
        <v>156.14349134918643</v>
      </c>
      <c r="AB84" s="14">
        <f>$Y84*$Z84*其他调用!W83</f>
        <v>199.07192192675396</v>
      </c>
      <c r="AC84" s="14">
        <f>$Y84*$Z84*其他调用!X83</f>
        <v>209.02028333572349</v>
      </c>
      <c r="AD84" s="14">
        <f>$Y84*$Z84*其他调用!Y83</f>
        <v>172.64548116523775</v>
      </c>
      <c r="AE84" s="14">
        <f>$Y84*$Z84*其他调用!Z83</f>
        <v>94.932314347998641</v>
      </c>
      <c r="AH84" s="14">
        <v>80</v>
      </c>
      <c r="AI84" s="14">
        <f>SUM(AA$5:AA84)</f>
        <v>1065.0429451893929</v>
      </c>
      <c r="AJ84" s="14">
        <f>SUM(AB$5:AB84)</f>
        <v>1347.4644899720486</v>
      </c>
      <c r="AK84" s="14">
        <f>SUM(AC$5:AC84)</f>
        <v>1487.383813870287</v>
      </c>
      <c r="AL84" s="14">
        <f>SUM(AD$5:AD84)</f>
        <v>1222.1362425931434</v>
      </c>
      <c r="AM84" s="14">
        <f>SUM(AE$5:AE84)</f>
        <v>674.91252547649731</v>
      </c>
      <c r="AR84" s="14">
        <v>80</v>
      </c>
      <c r="AS84" s="27">
        <f t="shared" si="29"/>
        <v>0.11200000000000002</v>
      </c>
      <c r="AT84" s="14">
        <f>求节点(E$28:E$32,$N$28:$N$32,$AR84)*$AS84*其他调用!V83/$E$4</f>
        <v>44.161795533103238</v>
      </c>
      <c r="AU84" s="14">
        <f>求节点(F$28:F$32,$N$28:$N$32,$AR84)*$AS84*其他调用!W83/$E$4</f>
        <v>56.303169837869817</v>
      </c>
      <c r="AV84" s="14">
        <f>求节点(G$28:G$32,$N$28:$N$32,$AR84)*$AS84*其他调用!X83/$E$4</f>
        <v>59.116847812123822</v>
      </c>
      <c r="AW84" s="14">
        <f>求节点(H$28:H$32,$N$28:$N$32,$AR84)*$AS84*其他调用!Y83/$E$4</f>
        <v>48.829024976026844</v>
      </c>
      <c r="AX84" s="14">
        <f>求节点(I$28:I$32,$N$28:$N$32,$AR84)*$AS84*其他调用!Z83/$E$4</f>
        <v>26.849543451959214</v>
      </c>
      <c r="BA84" s="14">
        <v>80</v>
      </c>
      <c r="BB84" s="14">
        <f>SUM(AT$5:AT84)</f>
        <v>351.80889776655169</v>
      </c>
      <c r="BC84" s="14">
        <f>SUM(AU$5:AU84)</f>
        <v>493.82262522347065</v>
      </c>
      <c r="BD84" s="14">
        <f>SUM(AV$5:AV84)</f>
        <v>593.85476010786419</v>
      </c>
      <c r="BE84" s="14">
        <f>SUM(AW$5:AW84)</f>
        <v>569.70305280000014</v>
      </c>
      <c r="BF84" s="14">
        <f>SUM(AX$5:AX84)</f>
        <v>328.31758584916014</v>
      </c>
      <c r="BI84" s="14">
        <v>80</v>
      </c>
      <c r="BJ84" s="14">
        <f t="shared" si="30"/>
        <v>7.0361779553310324</v>
      </c>
      <c r="BK84" s="14">
        <f t="shared" si="31"/>
        <v>9.8764525044694107</v>
      </c>
      <c r="BL84" s="14">
        <f t="shared" si="32"/>
        <v>11.877095202157282</v>
      </c>
      <c r="BM84" s="14">
        <f t="shared" si="33"/>
        <v>11.394061056</v>
      </c>
      <c r="BN84" s="14">
        <f t="shared" si="34"/>
        <v>6.5663517169832017</v>
      </c>
      <c r="BO84" s="14">
        <f t="shared" si="35"/>
        <v>10.554266932996551</v>
      </c>
      <c r="BP84" s="14">
        <f t="shared" si="36"/>
        <v>14.81467875670412</v>
      </c>
      <c r="BQ84" s="14">
        <f t="shared" si="37"/>
        <v>17.815642803235924</v>
      </c>
      <c r="BR84" s="14">
        <f t="shared" si="38"/>
        <v>17.091091584000004</v>
      </c>
      <c r="BS84" s="14">
        <f t="shared" si="39"/>
        <v>9.849527575474804</v>
      </c>
      <c r="BT84" s="14">
        <f t="shared" si="40"/>
        <v>0</v>
      </c>
      <c r="BU84" s="14">
        <f t="shared" si="41"/>
        <v>0</v>
      </c>
      <c r="BV84" s="14">
        <f t="shared" si="42"/>
        <v>0</v>
      </c>
      <c r="BW84" s="14">
        <f t="shared" si="43"/>
        <v>0</v>
      </c>
      <c r="BX84" s="14">
        <f t="shared" si="44"/>
        <v>0</v>
      </c>
      <c r="BY84" s="14">
        <f t="shared" si="45"/>
        <v>87.952224441637924</v>
      </c>
      <c r="BZ84" s="14">
        <f t="shared" si="46"/>
        <v>123.45565630586765</v>
      </c>
      <c r="CA84" s="14">
        <f t="shared" si="47"/>
        <v>148.46369002696605</v>
      </c>
      <c r="CB84" s="14">
        <f t="shared" si="48"/>
        <v>142.42576320000003</v>
      </c>
      <c r="CC84" s="14">
        <f t="shared" si="49"/>
        <v>82.079396462290049</v>
      </c>
    </row>
    <row r="85" spans="24:81" x14ac:dyDescent="0.15">
      <c r="X85" s="14">
        <v>81</v>
      </c>
      <c r="Y85" s="30">
        <f t="shared" si="50"/>
        <v>2.3250000000000002</v>
      </c>
      <c r="Z85" s="27">
        <f t="shared" si="28"/>
        <v>8.8000000000000009E-2</v>
      </c>
      <c r="AA85" s="14">
        <f>$Y85*$Z85*其他调用!V84</f>
        <v>172.92879872168294</v>
      </c>
      <c r="AB85" s="14">
        <f>$Y85*$Z85*其他调用!W84</f>
        <v>209.38132155890037</v>
      </c>
      <c r="AC85" s="14">
        <f>$Y85*$Z85*其他调用!X84</f>
        <v>229.71628153593082</v>
      </c>
      <c r="AD85" s="14">
        <f>$Y85*$Z85*其他调用!Y84</f>
        <v>193.46329826445287</v>
      </c>
      <c r="AE85" s="14">
        <f>$Y85*$Z85*其他调用!Z84</f>
        <v>107.05315540915966</v>
      </c>
      <c r="AH85" s="14">
        <v>81</v>
      </c>
      <c r="AI85" s="14">
        <f>SUM(AA$5:AA85)</f>
        <v>1237.9717439110759</v>
      </c>
      <c r="AJ85" s="14">
        <f>SUM(AB$5:AB85)</f>
        <v>1556.845811530949</v>
      </c>
      <c r="AK85" s="14">
        <f>SUM(AC$5:AC85)</f>
        <v>1717.1000954062179</v>
      </c>
      <c r="AL85" s="14">
        <f>SUM(AD$5:AD85)</f>
        <v>1415.5995408575964</v>
      </c>
      <c r="AM85" s="14">
        <f>SUM(AE$5:AE85)</f>
        <v>781.96568088565698</v>
      </c>
      <c r="AR85" s="14">
        <v>81</v>
      </c>
      <c r="AS85" s="27">
        <f t="shared" si="29"/>
        <v>0.11200000000000002</v>
      </c>
      <c r="AT85" s="14">
        <f>求节点(E$28:E$32,$N$28:$N$32,$AR85)*$AS85*其他调用!V84/$E$4</f>
        <v>47.33144051033355</v>
      </c>
      <c r="AU85" s="14">
        <f>求节点(F$28:F$32,$N$28:$N$32,$AR85)*$AS85*其他调用!W84/$E$4</f>
        <v>57.30867061240675</v>
      </c>
      <c r="AV85" s="14">
        <f>求节点(G$28:G$32,$N$28:$N$32,$AR85)*$AS85*其他调用!X84/$E$4</f>
        <v>62.87444655919905</v>
      </c>
      <c r="AW85" s="14">
        <f>求节点(H$28:H$32,$N$28:$N$32,$AR85)*$AS85*其他调用!Y84/$E$4</f>
        <v>52.951831392030108</v>
      </c>
      <c r="AX85" s="14">
        <f>求节点(I$28:I$32,$N$28:$N$32,$AR85)*$AS85*其他调用!Z84/$E$4</f>
        <v>29.30096140231154</v>
      </c>
      <c r="BA85" s="14">
        <v>81</v>
      </c>
      <c r="BB85" s="14">
        <f>SUM(AT$5:AT85)</f>
        <v>399.14033827688525</v>
      </c>
      <c r="BC85" s="14">
        <f>SUM(AU$5:AU85)</f>
        <v>551.13129583587738</v>
      </c>
      <c r="BD85" s="14">
        <f>SUM(AV$5:AV85)</f>
        <v>656.72920666706329</v>
      </c>
      <c r="BE85" s="14">
        <f>SUM(AW$5:AW85)</f>
        <v>622.65488419203029</v>
      </c>
      <c r="BF85" s="14">
        <f>SUM(AX$5:AX85)</f>
        <v>357.61854725147168</v>
      </c>
      <c r="BI85" s="14">
        <v>81</v>
      </c>
      <c r="BJ85" s="14">
        <f t="shared" si="30"/>
        <v>7.9828067655377026</v>
      </c>
      <c r="BK85" s="14">
        <f t="shared" si="31"/>
        <v>11.022625916717546</v>
      </c>
      <c r="BL85" s="14">
        <f t="shared" si="32"/>
        <v>13.134584133341264</v>
      </c>
      <c r="BM85" s="14">
        <f t="shared" si="33"/>
        <v>12.453097683840603</v>
      </c>
      <c r="BN85" s="14">
        <f t="shared" si="34"/>
        <v>7.1523709450294319</v>
      </c>
      <c r="BO85" s="14">
        <f t="shared" si="35"/>
        <v>11.974210148306557</v>
      </c>
      <c r="BP85" s="14">
        <f t="shared" si="36"/>
        <v>16.533938875076323</v>
      </c>
      <c r="BQ85" s="14">
        <f t="shared" si="37"/>
        <v>19.701876200011899</v>
      </c>
      <c r="BR85" s="14">
        <f t="shared" si="38"/>
        <v>18.679646525760909</v>
      </c>
      <c r="BS85" s="14">
        <f t="shared" si="39"/>
        <v>10.728556417544151</v>
      </c>
      <c r="BT85" s="14">
        <f t="shared" si="40"/>
        <v>0</v>
      </c>
      <c r="BU85" s="14">
        <f t="shared" si="41"/>
        <v>0</v>
      </c>
      <c r="BV85" s="14">
        <f t="shared" si="42"/>
        <v>0</v>
      </c>
      <c r="BW85" s="14">
        <f t="shared" si="43"/>
        <v>0</v>
      </c>
      <c r="BX85" s="14">
        <f t="shared" si="44"/>
        <v>0</v>
      </c>
      <c r="BY85" s="14">
        <f t="shared" si="45"/>
        <v>99.785084569221311</v>
      </c>
      <c r="BZ85" s="14">
        <f t="shared" si="46"/>
        <v>137.78282395896935</v>
      </c>
      <c r="CA85" s="14">
        <f t="shared" si="47"/>
        <v>164.18230166676582</v>
      </c>
      <c r="CB85" s="14">
        <f t="shared" si="48"/>
        <v>155.66372104800757</v>
      </c>
      <c r="CC85" s="14">
        <f t="shared" si="49"/>
        <v>89.404636812867921</v>
      </c>
    </row>
    <row r="86" spans="24:81" x14ac:dyDescent="0.15">
      <c r="X86" s="14">
        <v>82</v>
      </c>
      <c r="Y86" s="30">
        <f t="shared" si="50"/>
        <v>2.4</v>
      </c>
      <c r="Z86" s="27">
        <f t="shared" si="28"/>
        <v>8.8000000000000009E-2</v>
      </c>
      <c r="AA86" s="14">
        <f>$Y86*$Z86*其他调用!V85</f>
        <v>191.31922310005524</v>
      </c>
      <c r="AB86" s="14">
        <f>$Y86*$Z86*其他调用!W85</f>
        <v>237.61235157703481</v>
      </c>
      <c r="AC86" s="14">
        <f>$Y86*$Z86*其他调用!X85</f>
        <v>263.37272823288009</v>
      </c>
      <c r="AD86" s="14">
        <f>$Y86*$Z86*其他调用!Y85</f>
        <v>218.66476191535412</v>
      </c>
      <c r="AE86" s="14">
        <f>$Y86*$Z86*其他调用!Z85</f>
        <v>116.9048944087921</v>
      </c>
      <c r="AH86" s="14">
        <v>82</v>
      </c>
      <c r="AI86" s="14">
        <f>SUM(AA$5:AA86)</f>
        <v>1429.2909670111312</v>
      </c>
      <c r="AJ86" s="14">
        <f>SUM(AB$5:AB86)</f>
        <v>1794.4581631079839</v>
      </c>
      <c r="AK86" s="14">
        <f>SUM(AC$5:AC86)</f>
        <v>1980.4728236390979</v>
      </c>
      <c r="AL86" s="14">
        <f>SUM(AD$5:AD86)</f>
        <v>1634.2643027729505</v>
      </c>
      <c r="AM86" s="14">
        <f>SUM(AE$5:AE86)</f>
        <v>898.87057529444905</v>
      </c>
      <c r="AR86" s="14">
        <v>82</v>
      </c>
      <c r="AS86" s="27">
        <f t="shared" si="29"/>
        <v>0.11200000000000002</v>
      </c>
      <c r="AT86" s="14">
        <f>求节点(E$28:E$32,$N$28:$N$32,$AR86)*$AS86*其他调用!V85/$E$4</f>
        <v>50.728581882590404</v>
      </c>
      <c r="AU86" s="14">
        <f>求节点(F$28:F$32,$N$28:$N$32,$AR86)*$AS86*其他调用!W85/$E$4</f>
        <v>63.003275039365292</v>
      </c>
      <c r="AV86" s="14">
        <f>求节点(G$28:G$32,$N$28:$N$32,$AR86)*$AS86*其他调用!X85/$E$4</f>
        <v>69.83367794053639</v>
      </c>
      <c r="AW86" s="14">
        <f>求节点(H$28:H$32,$N$28:$N$32,$AR86)*$AS86*其他调用!Y85/$E$4</f>
        <v>57.979292932101473</v>
      </c>
      <c r="AX86" s="14">
        <f>求节点(I$28:I$32,$N$28:$N$32,$AR86)*$AS86*其他调用!Z85/$E$4</f>
        <v>30.997509881119118</v>
      </c>
      <c r="BA86" s="14">
        <v>82</v>
      </c>
      <c r="BB86" s="14">
        <f>SUM(AT$5:AT86)</f>
        <v>449.86892015947564</v>
      </c>
      <c r="BC86" s="14">
        <f>SUM(AU$5:AU86)</f>
        <v>614.13457087524262</v>
      </c>
      <c r="BD86" s="14">
        <f>SUM(AV$5:AV86)</f>
        <v>726.5628846075997</v>
      </c>
      <c r="BE86" s="14">
        <f>SUM(AW$5:AW86)</f>
        <v>680.63417712413172</v>
      </c>
      <c r="BF86" s="14">
        <f>SUM(AX$5:AX86)</f>
        <v>388.61605713259081</v>
      </c>
      <c r="BI86" s="14">
        <v>82</v>
      </c>
      <c r="BJ86" s="14">
        <f t="shared" si="30"/>
        <v>8.9973784031895114</v>
      </c>
      <c r="BK86" s="14">
        <f t="shared" si="31"/>
        <v>12.28269141750485</v>
      </c>
      <c r="BL86" s="14">
        <f t="shared" si="32"/>
        <v>14.531257692151991</v>
      </c>
      <c r="BM86" s="14">
        <f t="shared" si="33"/>
        <v>13.612683542482632</v>
      </c>
      <c r="BN86" s="14">
        <f t="shared" si="34"/>
        <v>7.7723211426518146</v>
      </c>
      <c r="BO86" s="14">
        <f t="shared" si="35"/>
        <v>13.496067604784269</v>
      </c>
      <c r="BP86" s="14">
        <f t="shared" si="36"/>
        <v>18.424037126257279</v>
      </c>
      <c r="BQ86" s="14">
        <f t="shared" si="37"/>
        <v>21.796886538227991</v>
      </c>
      <c r="BR86" s="14">
        <f t="shared" si="38"/>
        <v>20.419025313723953</v>
      </c>
      <c r="BS86" s="14">
        <f t="shared" si="39"/>
        <v>11.658481713977725</v>
      </c>
      <c r="BT86" s="14">
        <f t="shared" si="40"/>
        <v>0</v>
      </c>
      <c r="BU86" s="14">
        <f t="shared" si="41"/>
        <v>0</v>
      </c>
      <c r="BV86" s="14">
        <f t="shared" si="42"/>
        <v>0</v>
      </c>
      <c r="BW86" s="14">
        <f t="shared" si="43"/>
        <v>0</v>
      </c>
      <c r="BX86" s="14">
        <f t="shared" si="44"/>
        <v>0</v>
      </c>
      <c r="BY86" s="14">
        <f t="shared" si="45"/>
        <v>112.46723003986889</v>
      </c>
      <c r="BZ86" s="14">
        <f t="shared" si="46"/>
        <v>153.53364271881065</v>
      </c>
      <c r="CA86" s="14">
        <f t="shared" si="47"/>
        <v>181.64072115189992</v>
      </c>
      <c r="CB86" s="14">
        <f t="shared" si="48"/>
        <v>170.15854428103293</v>
      </c>
      <c r="CC86" s="14">
        <f t="shared" si="49"/>
        <v>97.154014283147703</v>
      </c>
    </row>
    <row r="87" spans="24:81" x14ac:dyDescent="0.15">
      <c r="X87" s="14">
        <v>83</v>
      </c>
      <c r="Y87" s="30">
        <f t="shared" si="50"/>
        <v>2.4750000000000001</v>
      </c>
      <c r="Z87" s="27">
        <f t="shared" si="28"/>
        <v>8.8000000000000009E-2</v>
      </c>
      <c r="AA87" s="14">
        <f>$Y87*$Z87*其他调用!V86</f>
        <v>211.45870576019826</v>
      </c>
      <c r="AB87" s="14">
        <f>$Y87*$Z87*其他调用!W86</f>
        <v>268.33769181334816</v>
      </c>
      <c r="AC87" s="14">
        <f>$Y87*$Z87*其他调用!X86</f>
        <v>300.80812965034244</v>
      </c>
      <c r="AD87" s="14">
        <f>$Y87*$Z87*其他调用!Y86</f>
        <v>241.54028242038152</v>
      </c>
      <c r="AE87" s="14">
        <f>$Y87*$Z87*其他调用!Z86</f>
        <v>133.76455235983428</v>
      </c>
      <c r="AH87" s="14">
        <v>83</v>
      </c>
      <c r="AI87" s="14">
        <f>SUM(AA$5:AA87)</f>
        <v>1640.7496727713294</v>
      </c>
      <c r="AJ87" s="14">
        <f>SUM(AB$5:AB87)</f>
        <v>2062.7958549213322</v>
      </c>
      <c r="AK87" s="14">
        <f>SUM(AC$5:AC87)</f>
        <v>2281.2809532894403</v>
      </c>
      <c r="AL87" s="14">
        <f>SUM(AD$5:AD87)</f>
        <v>1875.8045851933321</v>
      </c>
      <c r="AM87" s="14">
        <f>SUM(AE$5:AE87)</f>
        <v>1032.6351276542832</v>
      </c>
      <c r="AR87" s="14">
        <v>83</v>
      </c>
      <c r="AS87" s="27">
        <f t="shared" si="29"/>
        <v>0.11200000000000002</v>
      </c>
      <c r="AT87" s="14">
        <f>求节点(E$28:E$32,$N$28:$N$32,$AR87)*$AS87*其他调用!V86/$E$4</f>
        <v>54.36954785386181</v>
      </c>
      <c r="AU87" s="14">
        <f>求节点(F$28:F$32,$N$28:$N$32,$AR87)*$AS87*其他调用!W86/$E$4</f>
        <v>68.994080539703845</v>
      </c>
      <c r="AV87" s="14">
        <f>求节点(G$28:G$32,$N$28:$N$32,$AR87)*$AS87*其他调用!X86/$E$4</f>
        <v>77.342769790721661</v>
      </c>
      <c r="AW87" s="14">
        <f>求节点(H$28:H$32,$N$28:$N$32,$AR87)*$AS87*其他调用!Y86/$E$4</f>
        <v>62.104021191649977</v>
      </c>
      <c r="AX87" s="14">
        <f>求节点(I$28:I$32,$N$28:$N$32,$AR87)*$AS87*其他调用!Z86/$E$4</f>
        <v>34.393089679296239</v>
      </c>
      <c r="BA87" s="14">
        <v>83</v>
      </c>
      <c r="BB87" s="14">
        <f>SUM(AT$5:AT87)</f>
        <v>504.23846801333747</v>
      </c>
      <c r="BC87" s="14">
        <f>SUM(AU$5:AU87)</f>
        <v>683.12865141494649</v>
      </c>
      <c r="BD87" s="14">
        <f>SUM(AV$5:AV87)</f>
        <v>803.9056543983213</v>
      </c>
      <c r="BE87" s="14">
        <f>SUM(AW$5:AW87)</f>
        <v>742.73819831578169</v>
      </c>
      <c r="BF87" s="14">
        <f>SUM(AX$5:AX87)</f>
        <v>423.00914681188704</v>
      </c>
      <c r="BI87" s="14">
        <v>83</v>
      </c>
      <c r="BJ87" s="14">
        <f t="shared" si="30"/>
        <v>10.084769360266748</v>
      </c>
      <c r="BK87" s="14">
        <f t="shared" si="31"/>
        <v>13.662573028298928</v>
      </c>
      <c r="BL87" s="14">
        <f t="shared" si="32"/>
        <v>16.078113087966422</v>
      </c>
      <c r="BM87" s="14">
        <f t="shared" si="33"/>
        <v>14.85476396631563</v>
      </c>
      <c r="BN87" s="14">
        <f t="shared" si="34"/>
        <v>8.4601829362377394</v>
      </c>
      <c r="BO87" s="14">
        <f t="shared" si="35"/>
        <v>15.127154040400123</v>
      </c>
      <c r="BP87" s="14">
        <f t="shared" si="36"/>
        <v>20.493859542448394</v>
      </c>
      <c r="BQ87" s="14">
        <f t="shared" si="37"/>
        <v>24.11716963194964</v>
      </c>
      <c r="BR87" s="14">
        <f t="shared" si="38"/>
        <v>22.282145949473453</v>
      </c>
      <c r="BS87" s="14">
        <f t="shared" si="39"/>
        <v>12.690274404356611</v>
      </c>
      <c r="BT87" s="14">
        <f t="shared" si="40"/>
        <v>0</v>
      </c>
      <c r="BU87" s="14">
        <f t="shared" si="41"/>
        <v>0</v>
      </c>
      <c r="BV87" s="14">
        <f t="shared" si="42"/>
        <v>0</v>
      </c>
      <c r="BW87" s="14">
        <f t="shared" si="43"/>
        <v>0</v>
      </c>
      <c r="BX87" s="14">
        <f t="shared" si="44"/>
        <v>0</v>
      </c>
      <c r="BY87" s="14">
        <f t="shared" si="45"/>
        <v>126.05961700333437</v>
      </c>
      <c r="BZ87" s="14">
        <f t="shared" si="46"/>
        <v>170.78216285373662</v>
      </c>
      <c r="CA87" s="14">
        <f t="shared" si="47"/>
        <v>200.97641359958033</v>
      </c>
      <c r="CB87" s="14">
        <f t="shared" si="48"/>
        <v>185.68454957894542</v>
      </c>
      <c r="CC87" s="14">
        <f t="shared" si="49"/>
        <v>105.75228670297176</v>
      </c>
    </row>
    <row r="88" spans="24:81" x14ac:dyDescent="0.15">
      <c r="X88" s="14">
        <v>84</v>
      </c>
      <c r="Y88" s="30">
        <f t="shared" si="50"/>
        <v>2.5499999999999998</v>
      </c>
      <c r="Z88" s="27">
        <f t="shared" si="28"/>
        <v>8.8000000000000009E-2</v>
      </c>
      <c r="AA88" s="14">
        <f>$Y88*$Z88*其他调用!V87</f>
        <v>233.50358165774011</v>
      </c>
      <c r="AB88" s="14">
        <f>$Y88*$Z88*其他调用!W87</f>
        <v>296.48287533938742</v>
      </c>
      <c r="AC88" s="14">
        <f>$Y88*$Z88*其他调用!X87</f>
        <v>320.93951204203398</v>
      </c>
      <c r="AD88" s="14">
        <f>$Y88*$Z88*其他调用!Y87</f>
        <v>263.45009995808454</v>
      </c>
      <c r="AE88" s="14">
        <f>$Y88*$Z88*其他调用!Z87</f>
        <v>149.21412754364363</v>
      </c>
      <c r="AH88" s="14">
        <v>84</v>
      </c>
      <c r="AI88" s="14">
        <f>SUM(AA$5:AA88)</f>
        <v>1874.2532544290696</v>
      </c>
      <c r="AJ88" s="14">
        <f>SUM(AB$5:AB88)</f>
        <v>2359.2787302607194</v>
      </c>
      <c r="AK88" s="14">
        <f>SUM(AC$5:AC88)</f>
        <v>2602.2204653314743</v>
      </c>
      <c r="AL88" s="14">
        <f>SUM(AD$5:AD88)</f>
        <v>2139.2546851514167</v>
      </c>
      <c r="AM88" s="14">
        <f>SUM(AE$5:AE88)</f>
        <v>1181.8492551979268</v>
      </c>
      <c r="AR88" s="14">
        <v>84</v>
      </c>
      <c r="AS88" s="27">
        <f t="shared" si="29"/>
        <v>0.11200000000000002</v>
      </c>
      <c r="AT88" s="14">
        <f>求节点(E$28:E$32,$N$28:$N$32,$AR88)*$AS88*其他调用!V87/$E$4</f>
        <v>58.271838559863852</v>
      </c>
      <c r="AU88" s="14">
        <f>求节点(F$28:F$32,$N$28:$N$32,$AR88)*$AS88*其他调用!W87/$E$4</f>
        <v>73.988596341380102</v>
      </c>
      <c r="AV88" s="14">
        <f>求节点(G$28:G$32,$N$28:$N$32,$AR88)*$AS88*其他调用!X87/$E$4</f>
        <v>80.091856837584245</v>
      </c>
      <c r="AW88" s="14">
        <f>求节点(H$28:H$32,$N$28:$N$32,$AR88)*$AS88*其他调用!Y87/$E$4</f>
        <v>65.745122984192221</v>
      </c>
      <c r="AX88" s="14">
        <f>求节点(I$28:I$32,$N$28:$N$32,$AR88)*$AS88*其他调用!Z87/$E$4</f>
        <v>37.23703717666686</v>
      </c>
      <c r="BA88" s="14">
        <v>84</v>
      </c>
      <c r="BB88" s="14">
        <f>SUM(AT$5:AT88)</f>
        <v>562.51030657320132</v>
      </c>
      <c r="BC88" s="14">
        <f>SUM(AU$5:AU88)</f>
        <v>757.11724775632661</v>
      </c>
      <c r="BD88" s="14">
        <f>SUM(AV$5:AV88)</f>
        <v>883.99751123590556</v>
      </c>
      <c r="BE88" s="14">
        <f>SUM(AW$5:AW88)</f>
        <v>808.48332129997391</v>
      </c>
      <c r="BF88" s="14">
        <f>SUM(AX$5:AX88)</f>
        <v>460.24618398855387</v>
      </c>
      <c r="BI88" s="14">
        <v>84</v>
      </c>
      <c r="BJ88" s="14">
        <f t="shared" si="30"/>
        <v>11.250206131464024</v>
      </c>
      <c r="BK88" s="14">
        <f t="shared" si="31"/>
        <v>15.142344955126529</v>
      </c>
      <c r="BL88" s="14">
        <f t="shared" si="32"/>
        <v>17.679950224718105</v>
      </c>
      <c r="BM88" s="14">
        <f t="shared" si="33"/>
        <v>16.169666425999473</v>
      </c>
      <c r="BN88" s="14">
        <f t="shared" si="34"/>
        <v>9.2049236797710741</v>
      </c>
      <c r="BO88" s="14">
        <f t="shared" si="35"/>
        <v>16.875309197196039</v>
      </c>
      <c r="BP88" s="14">
        <f t="shared" si="36"/>
        <v>22.713517432689798</v>
      </c>
      <c r="BQ88" s="14">
        <f t="shared" si="37"/>
        <v>26.519925337077165</v>
      </c>
      <c r="BR88" s="14">
        <f t="shared" si="38"/>
        <v>24.254499638999214</v>
      </c>
      <c r="BS88" s="14">
        <f t="shared" si="39"/>
        <v>13.807385519656615</v>
      </c>
      <c r="BT88" s="14">
        <f t="shared" si="40"/>
        <v>0</v>
      </c>
      <c r="BU88" s="14">
        <f t="shared" si="41"/>
        <v>0</v>
      </c>
      <c r="BV88" s="14">
        <f t="shared" si="42"/>
        <v>0</v>
      </c>
      <c r="BW88" s="14">
        <f t="shared" si="43"/>
        <v>0</v>
      </c>
      <c r="BX88" s="14">
        <f t="shared" si="44"/>
        <v>0</v>
      </c>
      <c r="BY88" s="14">
        <f t="shared" si="45"/>
        <v>140.62757664330033</v>
      </c>
      <c r="BZ88" s="14">
        <f t="shared" si="46"/>
        <v>189.27931193908165</v>
      </c>
      <c r="CA88" s="14">
        <f t="shared" si="47"/>
        <v>220.99937780897642</v>
      </c>
      <c r="CB88" s="14">
        <f t="shared" si="48"/>
        <v>202.12083032499348</v>
      </c>
      <c r="CC88" s="14">
        <f t="shared" si="49"/>
        <v>115.06154599713847</v>
      </c>
    </row>
    <row r="89" spans="24:81" x14ac:dyDescent="0.15">
      <c r="X89" s="14">
        <v>85</v>
      </c>
      <c r="Y89" s="30">
        <f t="shared" si="50"/>
        <v>2.625</v>
      </c>
      <c r="Z89" s="27">
        <f t="shared" si="28"/>
        <v>8.8000000000000009E-2</v>
      </c>
      <c r="AA89" s="14">
        <f>$Y89*$Z89*其他调用!V88</f>
        <v>257.6236169993565</v>
      </c>
      <c r="AB89" s="14">
        <f>$Y89*$Z89*其他调用!W88</f>
        <v>316.67979423593056</v>
      </c>
      <c r="AC89" s="14">
        <f>$Y89*$Z89*其他调用!X88</f>
        <v>349.93884194449873</v>
      </c>
      <c r="AD89" s="14">
        <f>$Y89*$Z89*其他调用!Y88</f>
        <v>299.70771720884011</v>
      </c>
      <c r="AE89" s="14">
        <f>$Y89*$Z89*其他调用!Z88</f>
        <v>163.82621835793836</v>
      </c>
      <c r="AH89" s="14">
        <v>85</v>
      </c>
      <c r="AI89" s="14">
        <f>SUM(AA$5:AA89)</f>
        <v>2131.8768714284261</v>
      </c>
      <c r="AJ89" s="14">
        <f>SUM(AB$5:AB89)</f>
        <v>2675.9585244966502</v>
      </c>
      <c r="AK89" s="14">
        <f>SUM(AC$5:AC89)</f>
        <v>2952.1593072759729</v>
      </c>
      <c r="AL89" s="14">
        <f>SUM(AD$5:AD89)</f>
        <v>2438.9624023602569</v>
      </c>
      <c r="AM89" s="14">
        <f>SUM(AE$5:AE89)</f>
        <v>1345.6754735558652</v>
      </c>
      <c r="AR89" s="14">
        <v>85</v>
      </c>
      <c r="AS89" s="27">
        <f t="shared" si="29"/>
        <v>0.11200000000000002</v>
      </c>
      <c r="AT89" s="14">
        <f>求节点(E$28:E$32,$N$28:$N$32,$AR89)*$AS89*其他调用!V88/$E$4</f>
        <v>62.454210181662184</v>
      </c>
      <c r="AU89" s="14">
        <f>求节点(F$28:F$32,$N$28:$N$32,$AR89)*$AS89*其他调用!W88/$E$4</f>
        <v>76.770859208710448</v>
      </c>
      <c r="AV89" s="14">
        <f>求节点(G$28:G$32,$N$28:$N$32,$AR89)*$AS89*其他调用!X88/$E$4</f>
        <v>84.833658653211828</v>
      </c>
      <c r="AW89" s="14">
        <f>求节点(H$28:H$32,$N$28:$N$32,$AR89)*$AS89*其他调用!Y88/$E$4</f>
        <v>72.656416293052146</v>
      </c>
      <c r="AX89" s="14">
        <f>求节点(I$28:I$32,$N$28:$N$32,$AR89)*$AS89*其他调用!Z88/$E$4</f>
        <v>39.715446874651732</v>
      </c>
      <c r="BA89" s="14">
        <v>85</v>
      </c>
      <c r="BB89" s="14">
        <f>SUM(AT$5:AT89)</f>
        <v>624.96451675486355</v>
      </c>
      <c r="BC89" s="14">
        <f>SUM(AU$5:AU89)</f>
        <v>833.88810696503708</v>
      </c>
      <c r="BD89" s="14">
        <f>SUM(AV$5:AV89)</f>
        <v>968.8311698891174</v>
      </c>
      <c r="BE89" s="14">
        <f>SUM(AW$5:AW89)</f>
        <v>881.1397375930261</v>
      </c>
      <c r="BF89" s="14">
        <f>SUM(AX$5:AX89)</f>
        <v>499.96163086320558</v>
      </c>
      <c r="BI89" s="14">
        <v>85</v>
      </c>
      <c r="BJ89" s="14">
        <f t="shared" si="30"/>
        <v>12.499290335097268</v>
      </c>
      <c r="BK89" s="14">
        <f t="shared" si="31"/>
        <v>16.677762139300736</v>
      </c>
      <c r="BL89" s="14">
        <f t="shared" si="32"/>
        <v>19.376623397782346</v>
      </c>
      <c r="BM89" s="14">
        <f t="shared" si="33"/>
        <v>17.622794751860518</v>
      </c>
      <c r="BN89" s="14">
        <f t="shared" si="34"/>
        <v>9.9992326172641093</v>
      </c>
      <c r="BO89" s="14">
        <f t="shared" si="35"/>
        <v>18.748935502645907</v>
      </c>
      <c r="BP89" s="14">
        <f t="shared" si="36"/>
        <v>25.016643208951113</v>
      </c>
      <c r="BQ89" s="14">
        <f t="shared" si="37"/>
        <v>29.064935096673519</v>
      </c>
      <c r="BR89" s="14">
        <f t="shared" si="38"/>
        <v>26.434192127790784</v>
      </c>
      <c r="BS89" s="14">
        <f t="shared" si="39"/>
        <v>14.998848925896166</v>
      </c>
      <c r="BT89" s="14">
        <f t="shared" si="40"/>
        <v>0</v>
      </c>
      <c r="BU89" s="14">
        <f t="shared" si="41"/>
        <v>0</v>
      </c>
      <c r="BV89" s="14">
        <f t="shared" si="42"/>
        <v>0</v>
      </c>
      <c r="BW89" s="14">
        <f t="shared" si="43"/>
        <v>0</v>
      </c>
      <c r="BX89" s="14">
        <f t="shared" si="44"/>
        <v>0</v>
      </c>
      <c r="BY89" s="14">
        <f t="shared" si="45"/>
        <v>156.24112918871589</v>
      </c>
      <c r="BZ89" s="14">
        <f t="shared" si="46"/>
        <v>208.47202674125927</v>
      </c>
      <c r="CA89" s="14">
        <f t="shared" si="47"/>
        <v>242.20779247227935</v>
      </c>
      <c r="CB89" s="14">
        <f t="shared" si="48"/>
        <v>220.28493439825652</v>
      </c>
      <c r="CC89" s="14">
        <f t="shared" si="49"/>
        <v>124.9904077158014</v>
      </c>
    </row>
    <row r="90" spans="24:81" x14ac:dyDescent="0.15">
      <c r="X90" s="14">
        <v>86</v>
      </c>
      <c r="Y90" s="30">
        <f t="shared" si="50"/>
        <v>2.7</v>
      </c>
      <c r="Z90" s="27">
        <f t="shared" si="28"/>
        <v>8.8000000000000009E-2</v>
      </c>
      <c r="AA90" s="14">
        <f>$Y90*$Z90*其他调用!V89</f>
        <v>284.0031319088809</v>
      </c>
      <c r="AB90" s="14">
        <f>$Y90*$Z90*其他调用!W89</f>
        <v>354.6867840976218</v>
      </c>
      <c r="AC90" s="14">
        <f>$Y90*$Z90*其他调用!X89</f>
        <v>395.97345101864084</v>
      </c>
      <c r="AD90" s="14">
        <f>$Y90*$Z90*其他调用!Y89</f>
        <v>338.22876562367708</v>
      </c>
      <c r="AE90" s="14">
        <f>$Y90*$Z90*其他调用!Z89</f>
        <v>156.92242780064132</v>
      </c>
      <c r="AH90" s="14">
        <v>86</v>
      </c>
      <c r="AI90" s="14">
        <f>SUM(AA$5:AA90)</f>
        <v>2415.8800033373068</v>
      </c>
      <c r="AJ90" s="14">
        <f>SUM(AB$5:AB90)</f>
        <v>3030.6453085942721</v>
      </c>
      <c r="AK90" s="14">
        <f>SUM(AC$5:AC90)</f>
        <v>3348.1327582946137</v>
      </c>
      <c r="AL90" s="14">
        <f>SUM(AD$5:AD90)</f>
        <v>2777.1911679839341</v>
      </c>
      <c r="AM90" s="14">
        <f>SUM(AE$5:AE90)</f>
        <v>1502.5979013565066</v>
      </c>
      <c r="AR90" s="14">
        <v>86</v>
      </c>
      <c r="AS90" s="27">
        <f t="shared" si="29"/>
        <v>0.11200000000000002</v>
      </c>
      <c r="AT90" s="14">
        <f>求节点(E$28:E$32,$N$28:$N$32,$AR90)*$AS90*其他调用!V89/$E$4</f>
        <v>66.936765096369243</v>
      </c>
      <c r="AU90" s="14">
        <f>求节点(F$28:F$32,$N$28:$N$32,$AR90)*$AS90*其他调用!W89/$E$4</f>
        <v>83.596211740180223</v>
      </c>
      <c r="AV90" s="14">
        <f>求节点(G$28:G$32,$N$28:$N$32,$AR90)*$AS90*其他调用!X89/$E$4</f>
        <v>93.327075997659449</v>
      </c>
      <c r="AW90" s="14">
        <f>求节点(H$28:H$32,$N$28:$N$32,$AR90)*$AS90*其他调用!Y89/$E$4</f>
        <v>79.71721748706193</v>
      </c>
      <c r="AX90" s="14">
        <f>求节点(I$28:I$32,$N$28:$N$32,$AR90)*$AS90*其他调用!Z89/$E$4</f>
        <v>36.985083993417142</v>
      </c>
      <c r="BA90" s="14">
        <v>86</v>
      </c>
      <c r="BB90" s="14">
        <f>SUM(AT$5:AT90)</f>
        <v>691.90128185123285</v>
      </c>
      <c r="BC90" s="14">
        <f>SUM(AU$5:AU90)</f>
        <v>917.48431870521733</v>
      </c>
      <c r="BD90" s="14">
        <f>SUM(AV$5:AV90)</f>
        <v>1062.158245886777</v>
      </c>
      <c r="BE90" s="14">
        <f>SUM(AW$5:AW90)</f>
        <v>960.85695508008803</v>
      </c>
      <c r="BF90" s="14">
        <f>SUM(AX$5:AX90)</f>
        <v>536.94671485662275</v>
      </c>
      <c r="BI90" s="14">
        <v>86</v>
      </c>
      <c r="BJ90" s="14">
        <f t="shared" si="30"/>
        <v>13.838025637024653</v>
      </c>
      <c r="BK90" s="14">
        <f t="shared" si="31"/>
        <v>18.349686374104344</v>
      </c>
      <c r="BL90" s="14">
        <f t="shared" si="32"/>
        <v>21.243164917735534</v>
      </c>
      <c r="BM90" s="14">
        <f t="shared" si="33"/>
        <v>19.217139101601756</v>
      </c>
      <c r="BN90" s="14">
        <f t="shared" si="34"/>
        <v>10.738934297132452</v>
      </c>
      <c r="BO90" s="14">
        <f t="shared" si="35"/>
        <v>20.757038455536986</v>
      </c>
      <c r="BP90" s="14">
        <f t="shared" si="36"/>
        <v>27.52452956115652</v>
      </c>
      <c r="BQ90" s="14">
        <f t="shared" si="37"/>
        <v>31.864747376603312</v>
      </c>
      <c r="BR90" s="14">
        <f t="shared" si="38"/>
        <v>28.825708652402643</v>
      </c>
      <c r="BS90" s="14">
        <f t="shared" si="39"/>
        <v>16.108401445698682</v>
      </c>
      <c r="BT90" s="14">
        <f t="shared" si="40"/>
        <v>0</v>
      </c>
      <c r="BU90" s="14">
        <f t="shared" si="41"/>
        <v>0</v>
      </c>
      <c r="BV90" s="14">
        <f t="shared" si="42"/>
        <v>0</v>
      </c>
      <c r="BW90" s="14">
        <f t="shared" si="43"/>
        <v>0</v>
      </c>
      <c r="BX90" s="14">
        <f t="shared" si="44"/>
        <v>0</v>
      </c>
      <c r="BY90" s="14">
        <f t="shared" si="45"/>
        <v>172.97532046280821</v>
      </c>
      <c r="BZ90" s="14">
        <f t="shared" si="46"/>
        <v>229.3710796763043</v>
      </c>
      <c r="CA90" s="14">
        <f t="shared" si="47"/>
        <v>265.53956147169424</v>
      </c>
      <c r="CB90" s="14">
        <f t="shared" si="48"/>
        <v>240.21423877002201</v>
      </c>
      <c r="CC90" s="14">
        <f t="shared" si="49"/>
        <v>134.23667871415569</v>
      </c>
    </row>
    <row r="91" spans="24:81" x14ac:dyDescent="0.15">
      <c r="X91" s="14">
        <v>87</v>
      </c>
      <c r="Y91" s="30">
        <f t="shared" si="50"/>
        <v>2.7749999999999999</v>
      </c>
      <c r="Z91" s="27">
        <f t="shared" si="28"/>
        <v>8.8000000000000009E-2</v>
      </c>
      <c r="AA91" s="14">
        <f>$Y91*$Z91*其他调用!V90</f>
        <v>312.84221505871608</v>
      </c>
      <c r="AB91" s="14">
        <f>$Y91*$Z91*其他调用!W90</f>
        <v>397.30860750018547</v>
      </c>
      <c r="AC91" s="14">
        <f>$Y91*$Z91*其他调用!X90</f>
        <v>448.22981677430448</v>
      </c>
      <c r="AD91" s="14">
        <f>$Y91*$Z91*其他调用!Y90</f>
        <v>331.67638637392287</v>
      </c>
      <c r="AE91" s="14">
        <f>$Y91*$Z91*其他调用!Z90</f>
        <v>171.10135797443755</v>
      </c>
      <c r="AH91" s="14">
        <v>87</v>
      </c>
      <c r="AI91" s="14">
        <f>SUM(AA$5:AA91)</f>
        <v>2728.722218396023</v>
      </c>
      <c r="AJ91" s="14">
        <f>SUM(AB$5:AB91)</f>
        <v>3427.9539160944578</v>
      </c>
      <c r="AK91" s="14">
        <f>SUM(AC$5:AC91)</f>
        <v>3796.362575068918</v>
      </c>
      <c r="AL91" s="14">
        <f>SUM(AD$5:AD91)</f>
        <v>3108.867554357857</v>
      </c>
      <c r="AM91" s="14">
        <f>SUM(AE$5:AE91)</f>
        <v>1673.6992593309442</v>
      </c>
      <c r="AR91" s="14">
        <v>87</v>
      </c>
      <c r="AS91" s="27">
        <f t="shared" si="29"/>
        <v>0.11200000000000002</v>
      </c>
      <c r="AT91" s="14">
        <f>求节点(E$28:E$32,$N$28:$N$32,$AR91)*$AS91*其他调用!V90/$E$4</f>
        <v>71.741048498313276</v>
      </c>
      <c r="AU91" s="14">
        <f>求节点(F$28:F$32,$N$28:$N$32,$AR91)*$AS91*其他调用!W90/$E$4</f>
        <v>91.110900982843518</v>
      </c>
      <c r="AV91" s="14">
        <f>求节点(G$28:G$32,$N$28:$N$32,$AR91)*$AS91*其他调用!X90/$E$4</f>
        <v>102.78816437084788</v>
      </c>
      <c r="AW91" s="14">
        <f>求节点(H$28:H$32,$N$28:$N$32,$AR91)*$AS91*其他调用!Y90/$E$4</f>
        <v>76.06010498337298</v>
      </c>
      <c r="AX91" s="14">
        <f>求节点(I$28:I$32,$N$28:$N$32,$AR91)*$AS91*其他调用!Z90/$E$4</f>
        <v>39.23700264770067</v>
      </c>
      <c r="BA91" s="14">
        <v>87</v>
      </c>
      <c r="BB91" s="14">
        <f>SUM(AT$5:AT91)</f>
        <v>763.64233034954611</v>
      </c>
      <c r="BC91" s="14">
        <f>SUM(AU$5:AU91)</f>
        <v>1008.5952196880609</v>
      </c>
      <c r="BD91" s="14">
        <f>SUM(AV$5:AV91)</f>
        <v>1164.9464102576248</v>
      </c>
      <c r="BE91" s="14">
        <f>SUM(AW$5:AW91)</f>
        <v>1036.9170600634611</v>
      </c>
      <c r="BF91" s="14">
        <f>SUM(AX$5:AX91)</f>
        <v>576.18371750432345</v>
      </c>
      <c r="BI91" s="14">
        <v>87</v>
      </c>
      <c r="BJ91" s="14">
        <f t="shared" si="30"/>
        <v>15.272846606990919</v>
      </c>
      <c r="BK91" s="14">
        <f t="shared" si="31"/>
        <v>20.171904393761213</v>
      </c>
      <c r="BL91" s="14">
        <f t="shared" si="32"/>
        <v>23.298928205152492</v>
      </c>
      <c r="BM91" s="14">
        <f t="shared" si="33"/>
        <v>20.738341201269218</v>
      </c>
      <c r="BN91" s="14">
        <f t="shared" si="34"/>
        <v>11.523674350086466</v>
      </c>
      <c r="BO91" s="14">
        <f t="shared" si="35"/>
        <v>22.909269910486383</v>
      </c>
      <c r="BP91" s="14">
        <f t="shared" si="36"/>
        <v>30.257856590641826</v>
      </c>
      <c r="BQ91" s="14">
        <f t="shared" si="37"/>
        <v>34.948392307728746</v>
      </c>
      <c r="BR91" s="14">
        <f t="shared" si="38"/>
        <v>31.107511801903833</v>
      </c>
      <c r="BS91" s="14">
        <f t="shared" si="39"/>
        <v>17.285511525129703</v>
      </c>
      <c r="BT91" s="14">
        <f t="shared" si="40"/>
        <v>0</v>
      </c>
      <c r="BU91" s="14">
        <f t="shared" si="41"/>
        <v>0</v>
      </c>
      <c r="BV91" s="14">
        <f t="shared" si="42"/>
        <v>0</v>
      </c>
      <c r="BW91" s="14">
        <f t="shared" si="43"/>
        <v>0</v>
      </c>
      <c r="BX91" s="14">
        <f t="shared" si="44"/>
        <v>0</v>
      </c>
      <c r="BY91" s="14">
        <f t="shared" si="45"/>
        <v>190.91058258738653</v>
      </c>
      <c r="BZ91" s="14">
        <f t="shared" si="46"/>
        <v>252.14880492201524</v>
      </c>
      <c r="CA91" s="14">
        <f t="shared" si="47"/>
        <v>291.23660256440621</v>
      </c>
      <c r="CB91" s="14">
        <f t="shared" si="48"/>
        <v>259.22926501586528</v>
      </c>
      <c r="CC91" s="14">
        <f t="shared" si="49"/>
        <v>144.04592937608086</v>
      </c>
    </row>
    <row r="92" spans="24:81" x14ac:dyDescent="0.15">
      <c r="X92" s="14">
        <v>88</v>
      </c>
      <c r="Y92" s="30">
        <f t="shared" si="50"/>
        <v>2.8499999999999996</v>
      </c>
      <c r="Z92" s="27">
        <f t="shared" si="28"/>
        <v>8.8000000000000009E-2</v>
      </c>
      <c r="AA92" s="14">
        <f>$Y92*$Z92*其他调用!V91</f>
        <v>344.35803768428246</v>
      </c>
      <c r="AB92" s="14">
        <f>$Y92*$Z92*其他调用!W91</f>
        <v>445.1081922640783</v>
      </c>
      <c r="AC92" s="14">
        <f>$Y92*$Z92*其他调用!X91</f>
        <v>467.9511674411994</v>
      </c>
      <c r="AD92" s="14">
        <f>$Y92*$Z92*其他调用!Y91</f>
        <v>346.84187551477095</v>
      </c>
      <c r="AE92" s="14">
        <f>$Y92*$Z92*其他调用!Z91</f>
        <v>192.14998755660724</v>
      </c>
      <c r="AH92" s="14">
        <v>88</v>
      </c>
      <c r="AI92" s="14">
        <f>SUM(AA$5:AA92)</f>
        <v>3073.0802560803054</v>
      </c>
      <c r="AJ92" s="14">
        <f>SUM(AB$5:AB92)</f>
        <v>3873.0621083585361</v>
      </c>
      <c r="AK92" s="14">
        <f>SUM(AC$5:AC92)</f>
        <v>4264.3137425101177</v>
      </c>
      <c r="AL92" s="14">
        <f>SUM(AD$5:AD92)</f>
        <v>3455.7094298726279</v>
      </c>
      <c r="AM92" s="14">
        <f>SUM(AE$5:AE92)</f>
        <v>1865.8492468875515</v>
      </c>
      <c r="AR92" s="14">
        <v>88</v>
      </c>
      <c r="AS92" s="27">
        <f t="shared" si="29"/>
        <v>0.11200000000000002</v>
      </c>
      <c r="AT92" s="14">
        <f>求节点(E$28:E$32,$N$28:$N$32,$AR92)*$AS92*其他调用!V91/$E$4</f>
        <v>76.890151955023214</v>
      </c>
      <c r="AU92" s="14">
        <f>求节点(F$28:F$32,$N$28:$N$32,$AR92)*$AS92*其他调用!W91/$E$4</f>
        <v>99.386199229618782</v>
      </c>
      <c r="AV92" s="14">
        <f>求节点(G$28:G$32,$N$28:$N$32,$AR92)*$AS92*其他调用!X91/$E$4</f>
        <v>104.48670405385636</v>
      </c>
      <c r="AW92" s="14">
        <f>求节点(H$28:H$32,$N$28:$N$32,$AR92)*$AS92*其他调用!Y91/$E$4</f>
        <v>77.444756893250315</v>
      </c>
      <c r="AX92" s="14">
        <f>求节点(I$28:I$32,$N$28:$N$32,$AR92)*$AS92*其他调用!Z91/$E$4</f>
        <v>42.904303441666698</v>
      </c>
      <c r="BA92" s="14">
        <v>88</v>
      </c>
      <c r="BB92" s="14">
        <f>SUM(AT$5:AT92)</f>
        <v>840.53248230456938</v>
      </c>
      <c r="BC92" s="14">
        <f>SUM(AU$5:AU92)</f>
        <v>1107.9814189176795</v>
      </c>
      <c r="BD92" s="14">
        <f>SUM(AV$5:AV92)</f>
        <v>1269.4331143114812</v>
      </c>
      <c r="BE92" s="14">
        <f>SUM(AW$5:AW92)</f>
        <v>1114.3618169567114</v>
      </c>
      <c r="BF92" s="14">
        <f>SUM(AX$5:AX92)</f>
        <v>619.08802094599014</v>
      </c>
      <c r="BI92" s="14">
        <v>88</v>
      </c>
      <c r="BJ92" s="14">
        <f t="shared" si="30"/>
        <v>16.810649646091385</v>
      </c>
      <c r="BK92" s="14">
        <f t="shared" si="31"/>
        <v>22.159628378353585</v>
      </c>
      <c r="BL92" s="14">
        <f t="shared" si="32"/>
        <v>25.388662286229618</v>
      </c>
      <c r="BM92" s="14">
        <f t="shared" si="33"/>
        <v>22.287236339134225</v>
      </c>
      <c r="BN92" s="14">
        <f t="shared" si="34"/>
        <v>12.3817604189198</v>
      </c>
      <c r="BO92" s="14">
        <f t="shared" si="35"/>
        <v>25.21597446913708</v>
      </c>
      <c r="BP92" s="14">
        <f t="shared" si="36"/>
        <v>33.239442567530389</v>
      </c>
      <c r="BQ92" s="14">
        <f t="shared" si="37"/>
        <v>38.082993429344434</v>
      </c>
      <c r="BR92" s="14">
        <f t="shared" si="38"/>
        <v>33.430854508701344</v>
      </c>
      <c r="BS92" s="14">
        <f t="shared" si="39"/>
        <v>18.572640628379705</v>
      </c>
      <c r="BT92" s="14">
        <f t="shared" si="40"/>
        <v>0</v>
      </c>
      <c r="BU92" s="14">
        <f t="shared" si="41"/>
        <v>0</v>
      </c>
      <c r="BV92" s="14">
        <f t="shared" si="42"/>
        <v>0</v>
      </c>
      <c r="BW92" s="14">
        <f t="shared" si="43"/>
        <v>0</v>
      </c>
      <c r="BX92" s="14">
        <f t="shared" si="44"/>
        <v>0</v>
      </c>
      <c r="BY92" s="14">
        <f t="shared" si="45"/>
        <v>210.13312057614235</v>
      </c>
      <c r="BZ92" s="14">
        <f t="shared" si="46"/>
        <v>276.99535472941989</v>
      </c>
      <c r="CA92" s="14">
        <f t="shared" si="47"/>
        <v>317.35827857787029</v>
      </c>
      <c r="CB92" s="14">
        <f t="shared" si="48"/>
        <v>278.59045423917786</v>
      </c>
      <c r="CC92" s="14">
        <f t="shared" si="49"/>
        <v>154.77200523649753</v>
      </c>
    </row>
    <row r="93" spans="24:81" x14ac:dyDescent="0.15">
      <c r="X93" s="14">
        <v>89</v>
      </c>
      <c r="Y93" s="30">
        <f t="shared" si="50"/>
        <v>2.9249999999999998</v>
      </c>
      <c r="Z93" s="27">
        <f t="shared" si="28"/>
        <v>8.8000000000000009E-2</v>
      </c>
      <c r="AA93" s="14">
        <f>$Y93*$Z93*其他调用!V92</f>
        <v>378.78627499058513</v>
      </c>
      <c r="AB93" s="14">
        <f>$Y93*$Z93*其他调用!W92</f>
        <v>465.83006289379443</v>
      </c>
      <c r="AC93" s="14">
        <f>$Y93*$Z93*其他调用!X92</f>
        <v>461.35346625089454</v>
      </c>
      <c r="AD93" s="14">
        <f>$Y93*$Z93*其他调用!Y92</f>
        <v>379.21208283442922</v>
      </c>
      <c r="AE93" s="14">
        <f>$Y93*$Z93*其他调用!Z92</f>
        <v>197.02194724144164</v>
      </c>
      <c r="AH93" s="14">
        <v>89</v>
      </c>
      <c r="AI93" s="14">
        <f>SUM(AA$5:AA93)</f>
        <v>3451.8665310708907</v>
      </c>
      <c r="AJ93" s="14">
        <f>SUM(AB$5:AB93)</f>
        <v>4338.8921712523306</v>
      </c>
      <c r="AK93" s="14">
        <f>SUM(AC$5:AC93)</f>
        <v>4725.6672087610123</v>
      </c>
      <c r="AL93" s="14">
        <f>SUM(AD$5:AD93)</f>
        <v>3834.921512707057</v>
      </c>
      <c r="AM93" s="14">
        <f>SUM(AE$5:AE93)</f>
        <v>2062.871194128993</v>
      </c>
      <c r="AR93" s="14">
        <v>89</v>
      </c>
      <c r="AS93" s="27">
        <f t="shared" si="29"/>
        <v>0.11200000000000002</v>
      </c>
      <c r="AT93" s="14">
        <f>求节点(E$28:E$32,$N$28:$N$32,$AR93)*$AS93*其他调用!V92/$E$4</f>
        <v>82.408824395776094</v>
      </c>
      <c r="AU93" s="14">
        <f>求节点(F$28:F$32,$N$28:$N$32,$AR93)*$AS93*其他调用!W92/$E$4</f>
        <v>101.34608982926376</v>
      </c>
      <c r="AV93" s="14">
        <f>求节点(G$28:G$32,$N$28:$N$32,$AR93)*$AS93*其他调用!X92/$E$4</f>
        <v>100.37216048970511</v>
      </c>
      <c r="AW93" s="14">
        <f>求节点(H$28:H$32,$N$28:$N$32,$AR93)*$AS93*其他调用!Y92/$E$4</f>
        <v>82.501463242921673</v>
      </c>
      <c r="AX93" s="14">
        <f>求节点(I$28:I$32,$N$28:$N$32,$AR93)*$AS93*其他调用!Z92/$E$4</f>
        <v>42.864137705985755</v>
      </c>
      <c r="BA93" s="14">
        <v>89</v>
      </c>
      <c r="BB93" s="14">
        <f>SUM(AT$5:AT93)</f>
        <v>922.94130670034542</v>
      </c>
      <c r="BC93" s="14">
        <f>SUM(AU$5:AU93)</f>
        <v>1209.3275087469433</v>
      </c>
      <c r="BD93" s="14">
        <f>SUM(AV$5:AV93)</f>
        <v>1369.8052748011862</v>
      </c>
      <c r="BE93" s="14">
        <f>SUM(AW$5:AW93)</f>
        <v>1196.8632801996332</v>
      </c>
      <c r="BF93" s="14">
        <f>SUM(AX$5:AX93)</f>
        <v>661.95215865197588</v>
      </c>
      <c r="BI93" s="14">
        <v>89</v>
      </c>
      <c r="BJ93" s="14">
        <f t="shared" si="30"/>
        <v>18.458826134006905</v>
      </c>
      <c r="BK93" s="14">
        <f t="shared" si="31"/>
        <v>24.186550174938862</v>
      </c>
      <c r="BL93" s="14">
        <f t="shared" si="32"/>
        <v>27.396105496023715</v>
      </c>
      <c r="BM93" s="14">
        <f t="shared" si="33"/>
        <v>23.93726560399266</v>
      </c>
      <c r="BN93" s="14">
        <f t="shared" si="34"/>
        <v>13.239043173039514</v>
      </c>
      <c r="BO93" s="14">
        <f t="shared" si="35"/>
        <v>27.688239201010362</v>
      </c>
      <c r="BP93" s="14">
        <f t="shared" si="36"/>
        <v>36.279825262408295</v>
      </c>
      <c r="BQ93" s="14">
        <f t="shared" si="37"/>
        <v>41.094158244035583</v>
      </c>
      <c r="BR93" s="14">
        <f t="shared" si="38"/>
        <v>35.905898405988992</v>
      </c>
      <c r="BS93" s="14">
        <f t="shared" si="39"/>
        <v>19.858564759559275</v>
      </c>
      <c r="BT93" s="14">
        <f t="shared" si="40"/>
        <v>0</v>
      </c>
      <c r="BU93" s="14">
        <f t="shared" si="41"/>
        <v>0</v>
      </c>
      <c r="BV93" s="14">
        <f t="shared" si="42"/>
        <v>0</v>
      </c>
      <c r="BW93" s="14">
        <f t="shared" si="43"/>
        <v>0</v>
      </c>
      <c r="BX93" s="14">
        <f t="shared" si="44"/>
        <v>0</v>
      </c>
      <c r="BY93" s="14">
        <f t="shared" si="45"/>
        <v>230.73532667508636</v>
      </c>
      <c r="BZ93" s="14">
        <f t="shared" si="46"/>
        <v>302.33187718673582</v>
      </c>
      <c r="CA93" s="14">
        <f t="shared" si="47"/>
        <v>342.4513187002965</v>
      </c>
      <c r="CB93" s="14">
        <f t="shared" si="48"/>
        <v>299.2158200499083</v>
      </c>
      <c r="CC93" s="14">
        <f t="shared" si="49"/>
        <v>165.48803966299397</v>
      </c>
    </row>
    <row r="94" spans="24:81" x14ac:dyDescent="0.15">
      <c r="X94" s="14">
        <v>90</v>
      </c>
      <c r="Y94" s="30">
        <f t="shared" si="50"/>
        <v>3</v>
      </c>
      <c r="Z94" s="27">
        <f t="shared" si="28"/>
        <v>8.8000000000000009E-2</v>
      </c>
      <c r="AA94" s="14">
        <f>$Y94*$Z94*其他调用!V93</f>
        <v>416.38264359783045</v>
      </c>
      <c r="AB94" s="14">
        <f>$Y94*$Z94*其他调用!W93</f>
        <v>466.02227230362962</v>
      </c>
      <c r="AC94" s="14">
        <f>$Y94*$Z94*其他调用!X93</f>
        <v>517.00646158862514</v>
      </c>
      <c r="AD94" s="14">
        <f>$Y94*$Z94*其他调用!Y93</f>
        <v>396.34600500173121</v>
      </c>
      <c r="AE94" s="14">
        <f>$Y94*$Z94*其他调用!Z93</f>
        <v>213.77446764386929</v>
      </c>
      <c r="AH94" s="14">
        <v>90</v>
      </c>
      <c r="AI94" s="14">
        <f>SUM(AA$5:AA94)</f>
        <v>3868.249174668721</v>
      </c>
      <c r="AJ94" s="14">
        <f>SUM(AB$5:AB94)</f>
        <v>4804.9144435559601</v>
      </c>
      <c r="AK94" s="14">
        <f>SUM(AC$5:AC94)</f>
        <v>5242.6736703496372</v>
      </c>
      <c r="AL94" s="14">
        <f>SUM(AD$5:AD94)</f>
        <v>4231.2675177087885</v>
      </c>
      <c r="AM94" s="14">
        <f>SUM(AE$5:AE94)</f>
        <v>2276.6456617728622</v>
      </c>
      <c r="AR94" s="14">
        <v>90</v>
      </c>
      <c r="AS94" s="27">
        <f t="shared" si="29"/>
        <v>0.11200000000000002</v>
      </c>
      <c r="AT94" s="14">
        <f>求节点(E$28:E$32,$N$28:$N$32,$AR94)*$AS94*其他调用!V93/$E$4</f>
        <v>88.323591066206475</v>
      </c>
      <c r="AU94" s="14">
        <f>求节点(F$28:F$32,$N$28:$N$32,$AR94)*$AS94*其他调用!W93/$E$4</f>
        <v>98.853209276527494</v>
      </c>
      <c r="AV94" s="14">
        <f>求节点(G$28:G$32,$N$28:$N$32,$AR94)*$AS94*其他调用!X93/$E$4</f>
        <v>109.66803730667806</v>
      </c>
      <c r="AW94" s="14">
        <f>求节点(H$28:H$32,$N$28:$N$32,$AR94)*$AS94*其他调用!Y93/$E$4</f>
        <v>84.073395000367228</v>
      </c>
      <c r="AX94" s="14">
        <f>求节点(I$28:I$32,$N$28:$N$32,$AR94)*$AS94*其他调用!Z93/$E$4</f>
        <v>45.346099197184394</v>
      </c>
      <c r="BA94" s="14">
        <v>90</v>
      </c>
      <c r="BB94" s="14">
        <f>SUM(AT$5:AT94)</f>
        <v>1011.2648977665519</v>
      </c>
      <c r="BC94" s="14">
        <f>SUM(AU$5:AU94)</f>
        <v>1308.1807180234707</v>
      </c>
      <c r="BD94" s="14">
        <f>SUM(AV$5:AV94)</f>
        <v>1479.4733121078643</v>
      </c>
      <c r="BE94" s="14">
        <f>SUM(AW$5:AW94)</f>
        <v>1280.9366752000005</v>
      </c>
      <c r="BF94" s="14">
        <f>SUM(AX$5:AX94)</f>
        <v>707.29825784916022</v>
      </c>
      <c r="BI94" s="14">
        <v>90</v>
      </c>
      <c r="BJ94" s="14">
        <f t="shared" si="30"/>
        <v>20.225297955331037</v>
      </c>
      <c r="BK94" s="14">
        <f t="shared" si="31"/>
        <v>26.16361436046941</v>
      </c>
      <c r="BL94" s="14">
        <f t="shared" si="32"/>
        <v>29.589466242157279</v>
      </c>
      <c r="BM94" s="14">
        <f t="shared" si="33"/>
        <v>25.618733504000005</v>
      </c>
      <c r="BN94" s="14">
        <f t="shared" si="34"/>
        <v>14.1459651569832</v>
      </c>
      <c r="BO94" s="14">
        <f t="shared" si="35"/>
        <v>30.337946932996555</v>
      </c>
      <c r="BP94" s="14">
        <f t="shared" si="36"/>
        <v>39.245421540704122</v>
      </c>
      <c r="BQ94" s="14">
        <f t="shared" si="37"/>
        <v>44.384199363235929</v>
      </c>
      <c r="BR94" s="14">
        <f t="shared" si="38"/>
        <v>38.428100256000015</v>
      </c>
      <c r="BS94" s="14">
        <f t="shared" si="39"/>
        <v>21.218947735474806</v>
      </c>
      <c r="BT94" s="14">
        <f t="shared" si="40"/>
        <v>0</v>
      </c>
      <c r="BU94" s="14">
        <f t="shared" si="41"/>
        <v>0</v>
      </c>
      <c r="BV94" s="14">
        <f t="shared" si="42"/>
        <v>0</v>
      </c>
      <c r="BW94" s="14">
        <f t="shared" si="43"/>
        <v>0</v>
      </c>
      <c r="BX94" s="14">
        <f t="shared" si="44"/>
        <v>0</v>
      </c>
      <c r="BY94" s="14">
        <f t="shared" si="45"/>
        <v>252.81622444163798</v>
      </c>
      <c r="BZ94" s="14">
        <f t="shared" si="46"/>
        <v>327.04517950586768</v>
      </c>
      <c r="CA94" s="14">
        <f t="shared" si="47"/>
        <v>369.86832802696608</v>
      </c>
      <c r="CB94" s="14">
        <f t="shared" si="48"/>
        <v>320.23416880000013</v>
      </c>
      <c r="CC94" s="14">
        <f t="shared" si="49"/>
        <v>176.82456446229003</v>
      </c>
    </row>
    <row r="95" spans="24:81" x14ac:dyDescent="0.15">
      <c r="X95" s="14">
        <v>91</v>
      </c>
      <c r="Y95" s="30">
        <f t="shared" si="50"/>
        <v>3.0750000000000002</v>
      </c>
      <c r="Z95" s="27">
        <f t="shared" si="28"/>
        <v>8.8000000000000009E-2</v>
      </c>
      <c r="AA95" s="14">
        <f>$Y95*$Z95*其他调用!V94</f>
        <v>457.42456436058268</v>
      </c>
      <c r="AB95" s="14">
        <f>$Y95*$Z95*其他调用!W94</f>
        <v>571.24173998576384</v>
      </c>
      <c r="AC95" s="14">
        <f>$Y95*$Z95*其他调用!X94</f>
        <v>598.77428669700248</v>
      </c>
      <c r="AD95" s="14">
        <f>$Y95*$Z95*其他调用!Y94</f>
        <v>494.09415655202014</v>
      </c>
      <c r="AE95" s="14">
        <f>$Y95*$Z95*其他调用!Z94</f>
        <v>262.30049139277867</v>
      </c>
      <c r="AH95" s="14">
        <v>91</v>
      </c>
      <c r="AI95" s="14">
        <f>SUM(AA$5:AA95)</f>
        <v>4325.6737390293038</v>
      </c>
      <c r="AJ95" s="14">
        <f>SUM(AB$5:AB95)</f>
        <v>5376.1561835417242</v>
      </c>
      <c r="AK95" s="14">
        <f>SUM(AC$5:AC95)</f>
        <v>5841.4479570466392</v>
      </c>
      <c r="AL95" s="14">
        <f>SUM(AD$5:AD95)</f>
        <v>4725.3616742608083</v>
      </c>
      <c r="AM95" s="14">
        <f>SUM(AE$5:AE95)</f>
        <v>2538.9461531656407</v>
      </c>
      <c r="AR95" s="14">
        <v>91</v>
      </c>
      <c r="AS95" s="27">
        <f t="shared" si="29"/>
        <v>0.11200000000000002</v>
      </c>
      <c r="AT95" s="14">
        <f>求节点(E$28:E$32,$N$28:$N$32,$AR95)*$AS95*其他调用!V94/$E$4</f>
        <v>94.662881020667513</v>
      </c>
      <c r="AU95" s="14">
        <f>求节点(F$28:F$32,$N$28:$N$32,$AR95)*$AS95*其他调用!W94/$E$4</f>
        <v>118.21706370732731</v>
      </c>
      <c r="AV95" s="14">
        <f>求节点(G$28:G$32,$N$28:$N$32,$AR95)*$AS95*其他调用!X94/$E$4</f>
        <v>123.91485607920228</v>
      </c>
      <c r="AW95" s="14">
        <f>求节点(H$28:H$32,$N$28:$N$32,$AR95)*$AS95*其他调用!Y94/$E$4</f>
        <v>102.25156233153409</v>
      </c>
      <c r="AX95" s="14">
        <f>求节点(I$28:I$32,$N$28:$N$32,$AR95)*$AS95*其他调用!Z94/$E$4</f>
        <v>54.282437243147093</v>
      </c>
      <c r="BA95" s="14">
        <v>91</v>
      </c>
      <c r="BB95" s="14">
        <f>SUM(AT$5:AT95)</f>
        <v>1105.9277787872195</v>
      </c>
      <c r="BC95" s="14">
        <f>SUM(AU$5:AU95)</f>
        <v>1426.397781730798</v>
      </c>
      <c r="BD95" s="14">
        <f>SUM(AV$5:AV95)</f>
        <v>1603.3881681870666</v>
      </c>
      <c r="BE95" s="14">
        <f>SUM(AW$5:AW95)</f>
        <v>1383.1882375315347</v>
      </c>
      <c r="BF95" s="14">
        <f>SUM(AX$5:AX95)</f>
        <v>761.58069509230734</v>
      </c>
      <c r="BI95" s="14">
        <v>91</v>
      </c>
      <c r="BJ95" s="14">
        <f t="shared" si="30"/>
        <v>22.118555575744384</v>
      </c>
      <c r="BK95" s="14">
        <f t="shared" si="31"/>
        <v>28.527955634615957</v>
      </c>
      <c r="BL95" s="14">
        <f t="shared" si="32"/>
        <v>32.067763363741321</v>
      </c>
      <c r="BM95" s="14">
        <f t="shared" si="33"/>
        <v>27.663764750630691</v>
      </c>
      <c r="BN95" s="14">
        <f t="shared" si="34"/>
        <v>15.231613901846142</v>
      </c>
      <c r="BO95" s="14">
        <f t="shared" si="35"/>
        <v>33.177833363616585</v>
      </c>
      <c r="BP95" s="14">
        <f t="shared" si="36"/>
        <v>42.791933451923938</v>
      </c>
      <c r="BQ95" s="14">
        <f t="shared" si="37"/>
        <v>48.101645045611995</v>
      </c>
      <c r="BR95" s="14">
        <f t="shared" si="38"/>
        <v>41.495647125946036</v>
      </c>
      <c r="BS95" s="14">
        <f t="shared" si="39"/>
        <v>22.847420852769218</v>
      </c>
      <c r="BT95" s="14">
        <f t="shared" si="40"/>
        <v>0</v>
      </c>
      <c r="BU95" s="14">
        <f t="shared" si="41"/>
        <v>0</v>
      </c>
      <c r="BV95" s="14">
        <f t="shared" si="42"/>
        <v>0</v>
      </c>
      <c r="BW95" s="14">
        <f t="shared" si="43"/>
        <v>0</v>
      </c>
      <c r="BX95" s="14">
        <f t="shared" si="44"/>
        <v>0</v>
      </c>
      <c r="BY95" s="14">
        <f t="shared" si="45"/>
        <v>276.48194469680487</v>
      </c>
      <c r="BZ95" s="14">
        <f t="shared" si="46"/>
        <v>356.5994454326995</v>
      </c>
      <c r="CA95" s="14">
        <f t="shared" si="47"/>
        <v>400.84704204676666</v>
      </c>
      <c r="CB95" s="14">
        <f t="shared" si="48"/>
        <v>345.79705938288373</v>
      </c>
      <c r="CC95" s="14">
        <f t="shared" si="49"/>
        <v>190.39517377307681</v>
      </c>
    </row>
    <row r="96" spans="24:81" x14ac:dyDescent="0.15">
      <c r="X96" s="14">
        <v>92</v>
      </c>
      <c r="Y96" s="30">
        <f t="shared" si="50"/>
        <v>3.15</v>
      </c>
      <c r="Z96" s="27">
        <f t="shared" si="28"/>
        <v>8.8000000000000009E-2</v>
      </c>
      <c r="AA96" s="14">
        <f>$Y96*$Z96*其他调用!V95</f>
        <v>502.21296063764396</v>
      </c>
      <c r="AB96" s="14">
        <f>$Y96*$Z96*其他调用!W95</f>
        <v>606.45595226993032</v>
      </c>
      <c r="AC96" s="14">
        <f>$Y96*$Z96*其他调用!X95</f>
        <v>673.08534341472705</v>
      </c>
      <c r="AD96" s="14">
        <f>$Y96*$Z96*其他调用!Y95</f>
        <v>541.23380296926473</v>
      </c>
      <c r="AE96" s="14">
        <f>$Y96*$Z96*其他调用!Z95</f>
        <v>278.47508399308163</v>
      </c>
      <c r="AH96" s="14">
        <v>92</v>
      </c>
      <c r="AI96" s="14">
        <f>SUM(AA$5:AA96)</f>
        <v>4827.8866996669476</v>
      </c>
      <c r="AJ96" s="14">
        <f>SUM(AB$5:AB96)</f>
        <v>5982.6121358116543</v>
      </c>
      <c r="AK96" s="14">
        <f>SUM(AC$5:AC96)</f>
        <v>6514.5333004613658</v>
      </c>
      <c r="AL96" s="14">
        <f>SUM(AD$5:AD96)</f>
        <v>5266.5954772300729</v>
      </c>
      <c r="AM96" s="14">
        <f>SUM(AE$5:AE96)</f>
        <v>2817.4212371587223</v>
      </c>
      <c r="AR96" s="14">
        <v>92</v>
      </c>
      <c r="AS96" s="27">
        <f t="shared" si="29"/>
        <v>0.11200000000000002</v>
      </c>
      <c r="AT96" s="14">
        <f>求节点(E$28:E$32,$N$28:$N$32,$AR96)*$AS96*其他调用!V95/$E$4</f>
        <v>101.45716376518061</v>
      </c>
      <c r="AU96" s="14">
        <f>求节点(F$28:F$32,$N$28:$N$32,$AR96)*$AS96*其他调用!W95/$E$4</f>
        <v>122.51635399392534</v>
      </c>
      <c r="AV96" s="14">
        <f>求节点(G$28:G$32,$N$28:$N$32,$AR96)*$AS96*其他调用!X95/$E$4</f>
        <v>135.97683705348024</v>
      </c>
      <c r="AW96" s="14">
        <f>求节点(H$28:H$32,$N$28:$N$32,$AR96)*$AS96*其他调用!Y95/$E$4</f>
        <v>109.34016221601308</v>
      </c>
      <c r="AX96" s="14">
        <f>求节点(I$28:I$32,$N$28:$N$32,$AR96)*$AS96*其他调用!Z95/$E$4</f>
        <v>56.257592725875085</v>
      </c>
      <c r="BA96" s="14">
        <v>92</v>
      </c>
      <c r="BB96" s="14">
        <f>SUM(AT$5:AT96)</f>
        <v>1207.3849425524002</v>
      </c>
      <c r="BC96" s="14">
        <f>SUM(AU$5:AU96)</f>
        <v>1548.9141357247233</v>
      </c>
      <c r="BD96" s="14">
        <f>SUM(AV$5:AV96)</f>
        <v>1739.3650052405469</v>
      </c>
      <c r="BE96" s="14">
        <f>SUM(AW$5:AW96)</f>
        <v>1492.5283997475478</v>
      </c>
      <c r="BF96" s="14">
        <f>SUM(AX$5:AX96)</f>
        <v>817.83828781818238</v>
      </c>
      <c r="BI96" s="14">
        <v>92</v>
      </c>
      <c r="BJ96" s="14">
        <f t="shared" si="30"/>
        <v>24.147698851047998</v>
      </c>
      <c r="BK96" s="14">
        <f t="shared" si="31"/>
        <v>30.978282714494458</v>
      </c>
      <c r="BL96" s="14">
        <f t="shared" si="32"/>
        <v>34.787300104810932</v>
      </c>
      <c r="BM96" s="14">
        <f t="shared" si="33"/>
        <v>29.85056799495095</v>
      </c>
      <c r="BN96" s="14">
        <f t="shared" si="34"/>
        <v>16.356765756363643</v>
      </c>
      <c r="BO96" s="14">
        <f t="shared" si="35"/>
        <v>36.221548276572001</v>
      </c>
      <c r="BP96" s="14">
        <f t="shared" si="36"/>
        <v>46.467424071741696</v>
      </c>
      <c r="BQ96" s="14">
        <f t="shared" si="37"/>
        <v>52.180950157216408</v>
      </c>
      <c r="BR96" s="14">
        <f t="shared" si="38"/>
        <v>44.775851992426439</v>
      </c>
      <c r="BS96" s="14">
        <f t="shared" si="39"/>
        <v>24.535148634545472</v>
      </c>
      <c r="BT96" s="14">
        <f t="shared" si="40"/>
        <v>0</v>
      </c>
      <c r="BU96" s="14">
        <f t="shared" si="41"/>
        <v>0</v>
      </c>
      <c r="BV96" s="14">
        <f t="shared" si="42"/>
        <v>0</v>
      </c>
      <c r="BW96" s="14">
        <f t="shared" si="43"/>
        <v>0</v>
      </c>
      <c r="BX96" s="14">
        <f t="shared" si="44"/>
        <v>0</v>
      </c>
      <c r="BY96" s="14">
        <f t="shared" si="45"/>
        <v>301.84623563810004</v>
      </c>
      <c r="BZ96" s="14">
        <f t="shared" si="46"/>
        <v>387.22853393118089</v>
      </c>
      <c r="CA96" s="14">
        <f t="shared" si="47"/>
        <v>434.84125131013673</v>
      </c>
      <c r="CB96" s="14">
        <f t="shared" si="48"/>
        <v>373.13209993688696</v>
      </c>
      <c r="CC96" s="14">
        <f t="shared" si="49"/>
        <v>204.45957195454559</v>
      </c>
    </row>
    <row r="97" spans="24:81" x14ac:dyDescent="0.15">
      <c r="X97" s="14">
        <v>93</v>
      </c>
      <c r="Y97" s="30">
        <f t="shared" si="50"/>
        <v>3.2250000000000001</v>
      </c>
      <c r="Z97" s="27">
        <f t="shared" si="28"/>
        <v>8.8000000000000009E-2</v>
      </c>
      <c r="AA97" s="14">
        <f>$Y97*$Z97*其他调用!V96</f>
        <v>551.07420289020547</v>
      </c>
      <c r="AB97" s="14">
        <f>$Y97*$Z97*其他调用!W96</f>
        <v>685.47173035576407</v>
      </c>
      <c r="AC97" s="14">
        <f>$Y97*$Z97*其他调用!X96</f>
        <v>737.58826081414452</v>
      </c>
      <c r="AD97" s="14">
        <f>$Y97*$Z97*其他调用!Y96</f>
        <v>583.33349725151902</v>
      </c>
      <c r="AE97" s="14">
        <f>$Y97*$Z97*其他调用!Z96</f>
        <v>312.9127418400077</v>
      </c>
      <c r="AH97" s="14">
        <v>93</v>
      </c>
      <c r="AI97" s="14">
        <f>SUM(AA$5:AA97)</f>
        <v>5378.9609025571535</v>
      </c>
      <c r="AJ97" s="14">
        <f>SUM(AB$5:AB97)</f>
        <v>6668.0838661674188</v>
      </c>
      <c r="AK97" s="14">
        <f>SUM(AC$5:AC97)</f>
        <v>7252.1215612755104</v>
      </c>
      <c r="AL97" s="14">
        <f>SUM(AD$5:AD97)</f>
        <v>5849.9289744815924</v>
      </c>
      <c r="AM97" s="14">
        <f>SUM(AE$5:AE97)</f>
        <v>3130.3339789987299</v>
      </c>
      <c r="AR97" s="14">
        <v>93</v>
      </c>
      <c r="AS97" s="27">
        <f t="shared" si="29"/>
        <v>0.11200000000000002</v>
      </c>
      <c r="AT97" s="14">
        <f>求节点(E$28:E$32,$N$28:$N$32,$AR97)*$AS97*其他调用!V96/$E$4</f>
        <v>108.739095707722</v>
      </c>
      <c r="AU97" s="14">
        <f>求节点(F$28:F$32,$N$28:$N$32,$AR97)*$AS97*其他调用!W96/$E$4</f>
        <v>135.25869238873429</v>
      </c>
      <c r="AV97" s="14">
        <f>求节点(G$28:G$32,$N$28:$N$32,$AR97)*$AS97*其他调用!X96/$E$4</f>
        <v>145.54243342350983</v>
      </c>
      <c r="AW97" s="14">
        <f>求节点(H$28:H$32,$N$28:$N$32,$AR97)*$AS97*其他调用!Y96/$E$4</f>
        <v>115.10456605385856</v>
      </c>
      <c r="AX97" s="14">
        <f>求节点(I$28:I$32,$N$28:$N$32,$AR97)*$AS97*其他调用!Z96/$E$4</f>
        <v>61.744586127697076</v>
      </c>
      <c r="BA97" s="14">
        <v>93</v>
      </c>
      <c r="BB97" s="14">
        <f>SUM(AT$5:AT97)</f>
        <v>1316.1240382601222</v>
      </c>
      <c r="BC97" s="14">
        <f>SUM(AU$5:AU97)</f>
        <v>1684.1728281134576</v>
      </c>
      <c r="BD97" s="14">
        <f>SUM(AV$5:AV97)</f>
        <v>1884.9074386640568</v>
      </c>
      <c r="BE97" s="14">
        <f>SUM(AW$5:AW97)</f>
        <v>1607.6329658014065</v>
      </c>
      <c r="BF97" s="14">
        <f>SUM(AX$5:AX97)</f>
        <v>879.58287394587944</v>
      </c>
      <c r="BI97" s="14">
        <v>93</v>
      </c>
      <c r="BJ97" s="14">
        <f t="shared" si="30"/>
        <v>26.322480765202435</v>
      </c>
      <c r="BK97" s="14">
        <f t="shared" si="31"/>
        <v>33.683456562269143</v>
      </c>
      <c r="BL97" s="14">
        <f t="shared" si="32"/>
        <v>37.698148773281126</v>
      </c>
      <c r="BM97" s="14">
        <f t="shared" si="33"/>
        <v>32.152659316028121</v>
      </c>
      <c r="BN97" s="14">
        <f t="shared" si="34"/>
        <v>17.591657478917586</v>
      </c>
      <c r="BO97" s="14">
        <f t="shared" si="35"/>
        <v>39.483721147803664</v>
      </c>
      <c r="BP97" s="14">
        <f t="shared" si="36"/>
        <v>50.525184843403721</v>
      </c>
      <c r="BQ97" s="14">
        <f t="shared" si="37"/>
        <v>56.5472231599217</v>
      </c>
      <c r="BR97" s="14">
        <f t="shared" si="38"/>
        <v>48.228988974042196</v>
      </c>
      <c r="BS97" s="14">
        <f t="shared" si="39"/>
        <v>26.387486218376381</v>
      </c>
      <c r="BT97" s="14">
        <f t="shared" si="40"/>
        <v>0</v>
      </c>
      <c r="BU97" s="14">
        <f t="shared" si="41"/>
        <v>0</v>
      </c>
      <c r="BV97" s="14">
        <f t="shared" si="42"/>
        <v>0</v>
      </c>
      <c r="BW97" s="14">
        <f t="shared" si="43"/>
        <v>0</v>
      </c>
      <c r="BX97" s="14">
        <f t="shared" si="44"/>
        <v>0</v>
      </c>
      <c r="BY97" s="14">
        <f t="shared" si="45"/>
        <v>329.03100956503056</v>
      </c>
      <c r="BZ97" s="14">
        <f t="shared" si="46"/>
        <v>421.04320702836441</v>
      </c>
      <c r="CA97" s="14">
        <f t="shared" si="47"/>
        <v>471.22685966601421</v>
      </c>
      <c r="CB97" s="14">
        <f t="shared" si="48"/>
        <v>401.90824145035162</v>
      </c>
      <c r="CC97" s="14">
        <f t="shared" si="49"/>
        <v>219.89571848646986</v>
      </c>
    </row>
    <row r="98" spans="24:81" x14ac:dyDescent="0.15">
      <c r="X98" s="14">
        <v>94</v>
      </c>
      <c r="Y98" s="30">
        <f t="shared" si="50"/>
        <v>3.3</v>
      </c>
      <c r="Z98" s="27">
        <f t="shared" si="28"/>
        <v>8.8000000000000009E-2</v>
      </c>
      <c r="AA98" s="14">
        <f>$Y98*$Z98*其他调用!V97</f>
        <v>604.36221134945345</v>
      </c>
      <c r="AB98" s="14">
        <f>$Y98*$Z98*其他调用!W97</f>
        <v>738.54227718873813</v>
      </c>
      <c r="AC98" s="14">
        <f>$Y98*$Z98*其他调用!X97</f>
        <v>802.48607060618644</v>
      </c>
      <c r="AD98" s="14">
        <f>$Y98*$Z98*其他调用!Y97</f>
        <v>633.53675286412908</v>
      </c>
      <c r="AE98" s="14">
        <f>$Y98*$Z98*其他调用!Z97</f>
        <v>337.77997142618477</v>
      </c>
      <c r="AH98" s="14">
        <v>94</v>
      </c>
      <c r="AI98" s="14">
        <f>SUM(AA$5:AA98)</f>
        <v>5983.3231139066065</v>
      </c>
      <c r="AJ98" s="14">
        <f>SUM(AB$5:AB98)</f>
        <v>7406.6261433561567</v>
      </c>
      <c r="AK98" s="14">
        <f>SUM(AC$5:AC98)</f>
        <v>8054.6076318816968</v>
      </c>
      <c r="AL98" s="14">
        <f>SUM(AD$5:AD98)</f>
        <v>6483.4657273457215</v>
      </c>
      <c r="AM98" s="14">
        <f>SUM(AE$5:AE98)</f>
        <v>3468.1139504249145</v>
      </c>
      <c r="AR98" s="14">
        <v>94</v>
      </c>
      <c r="AS98" s="27">
        <f t="shared" si="29"/>
        <v>0.11200000000000002</v>
      </c>
      <c r="AT98" s="14">
        <f>求节点(E$28:E$32,$N$28:$N$32,$AR98)*$AS98*其他调用!V97/$E$4</f>
        <v>116.54367711972932</v>
      </c>
      <c r="AU98" s="14">
        <f>求节点(F$28:F$32,$N$28:$N$32,$AR98)*$AS98*其他调用!W97/$E$4</f>
        <v>142.41862094548674</v>
      </c>
      <c r="AV98" s="14">
        <f>求节点(G$28:G$32,$N$28:$N$32,$AR98)*$AS98*其他调用!X97/$E$4</f>
        <v>154.74938000670264</v>
      </c>
      <c r="AW98" s="14">
        <f>求节点(H$28:H$32,$N$28:$N$32,$AR98)*$AS98*其他调用!Y97/$E$4</f>
        <v>122.16962176443263</v>
      </c>
      <c r="AX98" s="14">
        <f>求节点(I$28:I$32,$N$28:$N$32,$AR98)*$AS98*其他调用!Z97/$E$4</f>
        <v>65.136633608355197</v>
      </c>
      <c r="BA98" s="14">
        <v>94</v>
      </c>
      <c r="BB98" s="14">
        <f>SUM(AT$5:AT98)</f>
        <v>1432.6677153798516</v>
      </c>
      <c r="BC98" s="14">
        <f>SUM(AU$5:AU98)</f>
        <v>1826.5914490589444</v>
      </c>
      <c r="BD98" s="14">
        <f>SUM(AV$5:AV98)</f>
        <v>2039.6568186707595</v>
      </c>
      <c r="BE98" s="14">
        <f>SUM(AW$5:AW98)</f>
        <v>1729.8025875658391</v>
      </c>
      <c r="BF98" s="14">
        <f>SUM(AX$5:AX98)</f>
        <v>944.71950755423461</v>
      </c>
      <c r="BI98" s="14">
        <v>94</v>
      </c>
      <c r="BJ98" s="14">
        <f t="shared" si="30"/>
        <v>28.653354307597027</v>
      </c>
      <c r="BK98" s="14">
        <f t="shared" si="31"/>
        <v>36.531828981178883</v>
      </c>
      <c r="BL98" s="14">
        <f t="shared" si="32"/>
        <v>40.79313637341518</v>
      </c>
      <c r="BM98" s="14">
        <f t="shared" si="33"/>
        <v>34.596051751316779</v>
      </c>
      <c r="BN98" s="14">
        <f t="shared" si="34"/>
        <v>18.894390151084686</v>
      </c>
      <c r="BO98" s="14">
        <f t="shared" si="35"/>
        <v>42.980031461395548</v>
      </c>
      <c r="BP98" s="14">
        <f t="shared" si="36"/>
        <v>54.797743471768328</v>
      </c>
      <c r="BQ98" s="14">
        <f t="shared" si="37"/>
        <v>61.189704560122792</v>
      </c>
      <c r="BR98" s="14">
        <f t="shared" si="38"/>
        <v>51.894077626975175</v>
      </c>
      <c r="BS98" s="14">
        <f t="shared" si="39"/>
        <v>28.341585226627036</v>
      </c>
      <c r="BT98" s="14">
        <f t="shared" si="40"/>
        <v>0</v>
      </c>
      <c r="BU98" s="14">
        <f t="shared" si="41"/>
        <v>0</v>
      </c>
      <c r="BV98" s="14">
        <f t="shared" si="42"/>
        <v>0</v>
      </c>
      <c r="BW98" s="14">
        <f t="shared" si="43"/>
        <v>0</v>
      </c>
      <c r="BX98" s="14">
        <f t="shared" si="44"/>
        <v>0</v>
      </c>
      <c r="BY98" s="14">
        <f t="shared" si="45"/>
        <v>358.16692884496291</v>
      </c>
      <c r="BZ98" s="14">
        <f t="shared" si="46"/>
        <v>456.64786226473609</v>
      </c>
      <c r="CA98" s="14">
        <f t="shared" si="47"/>
        <v>509.91420466768989</v>
      </c>
      <c r="CB98" s="14">
        <f t="shared" si="48"/>
        <v>432.45064689145977</v>
      </c>
      <c r="CC98" s="14">
        <f t="shared" si="49"/>
        <v>236.17987688855865</v>
      </c>
    </row>
    <row r="99" spans="24:81" x14ac:dyDescent="0.15">
      <c r="X99" s="14">
        <v>95</v>
      </c>
      <c r="Y99" s="30">
        <f t="shared" si="50"/>
        <v>3.375</v>
      </c>
      <c r="Z99" s="27">
        <f t="shared" si="28"/>
        <v>8.8000000000000009E-2</v>
      </c>
      <c r="AA99" s="14">
        <f>$Y99*$Z99*其他调用!V98</f>
        <v>662.46072942691558</v>
      </c>
      <c r="AB99" s="14">
        <f>$Y99*$Z99*其他调用!W98</f>
        <v>832.93731566214933</v>
      </c>
      <c r="AC99" s="14">
        <f>$Y99*$Z99*其他调用!X98</f>
        <v>862.42158062751128</v>
      </c>
      <c r="AD99" s="14">
        <f>$Y99*$Z99*其他调用!Y98</f>
        <v>693.97788553437306</v>
      </c>
      <c r="AE99" s="14">
        <f>$Y99*$Z99*其他调用!Z98</f>
        <v>403.86023538041184</v>
      </c>
      <c r="AH99" s="14">
        <v>95</v>
      </c>
      <c r="AI99" s="14">
        <f>SUM(AA$5:AA99)</f>
        <v>6645.7838433335219</v>
      </c>
      <c r="AJ99" s="14">
        <f>SUM(AB$5:AB99)</f>
        <v>8239.5634590183054</v>
      </c>
      <c r="AK99" s="14">
        <f>SUM(AC$5:AC99)</f>
        <v>8917.0292125092074</v>
      </c>
      <c r="AL99" s="14">
        <f>SUM(AD$5:AD99)</f>
        <v>7177.4436128800944</v>
      </c>
      <c r="AM99" s="14">
        <f>SUM(AE$5:AE99)</f>
        <v>3871.9741858053262</v>
      </c>
      <c r="AR99" s="14">
        <v>95</v>
      </c>
      <c r="AS99" s="27">
        <f t="shared" si="29"/>
        <v>0.11200000000000002</v>
      </c>
      <c r="AT99" s="14">
        <f>求节点(E$28:E$32,$N$28:$N$32,$AR99)*$AS99*其他调用!V98/$E$4</f>
        <v>124.90842036332415</v>
      </c>
      <c r="AU99" s="14">
        <f>求节点(F$28:F$32,$N$28:$N$32,$AR99)*$AS99*其他调用!W98/$E$4</f>
        <v>157.05215379488337</v>
      </c>
      <c r="AV99" s="14">
        <f>求节点(G$28:G$32,$N$28:$N$32,$AR99)*$AS99*其他调用!X98/$E$4</f>
        <v>162.61147648195501</v>
      </c>
      <c r="AW99" s="14">
        <f>求节点(H$28:H$32,$N$28:$N$32,$AR99)*$AS99*其他调用!Y98/$E$4</f>
        <v>130.85104912432624</v>
      </c>
      <c r="AX99" s="14">
        <f>求节点(I$28:I$32,$N$28:$N$32,$AR99)*$AS99*其他调用!Z98/$E$4</f>
        <v>76.148731250178656</v>
      </c>
      <c r="BA99" s="14">
        <v>95</v>
      </c>
      <c r="BB99" s="14">
        <f>SUM(AT$5:AT99)</f>
        <v>1557.5761357431759</v>
      </c>
      <c r="BC99" s="14">
        <f>SUM(AU$5:AU99)</f>
        <v>1983.6436028538278</v>
      </c>
      <c r="BD99" s="14">
        <f>SUM(AV$5:AV99)</f>
        <v>2202.2682951527145</v>
      </c>
      <c r="BE99" s="14">
        <f>SUM(AW$5:AW99)</f>
        <v>1860.6536366901653</v>
      </c>
      <c r="BF99" s="14">
        <f>SUM(AX$5:AX99)</f>
        <v>1020.8682388044133</v>
      </c>
      <c r="BI99" s="14">
        <v>95</v>
      </c>
      <c r="BJ99" s="14">
        <f t="shared" si="30"/>
        <v>31.151522714863511</v>
      </c>
      <c r="BK99" s="14">
        <f t="shared" si="31"/>
        <v>39.672872057076546</v>
      </c>
      <c r="BL99" s="14">
        <f t="shared" si="32"/>
        <v>44.045365903054275</v>
      </c>
      <c r="BM99" s="14">
        <f t="shared" si="33"/>
        <v>37.213072733803294</v>
      </c>
      <c r="BN99" s="14">
        <f t="shared" si="34"/>
        <v>20.41736477608826</v>
      </c>
      <c r="BO99" s="14">
        <f t="shared" si="35"/>
        <v>46.727284072295276</v>
      </c>
      <c r="BP99" s="14">
        <f t="shared" si="36"/>
        <v>59.509308085614826</v>
      </c>
      <c r="BQ99" s="14">
        <f t="shared" si="37"/>
        <v>66.068048854581434</v>
      </c>
      <c r="BR99" s="14">
        <f t="shared" si="38"/>
        <v>55.819609100704952</v>
      </c>
      <c r="BS99" s="14">
        <f t="shared" si="39"/>
        <v>30.626047164132398</v>
      </c>
      <c r="BT99" s="14">
        <f t="shared" si="40"/>
        <v>0</v>
      </c>
      <c r="BU99" s="14">
        <f t="shared" si="41"/>
        <v>0</v>
      </c>
      <c r="BV99" s="14">
        <f t="shared" si="42"/>
        <v>0</v>
      </c>
      <c r="BW99" s="14">
        <f t="shared" si="43"/>
        <v>0</v>
      </c>
      <c r="BX99" s="14">
        <f t="shared" si="44"/>
        <v>0</v>
      </c>
      <c r="BY99" s="14">
        <f t="shared" si="45"/>
        <v>389.39403393579397</v>
      </c>
      <c r="BZ99" s="14">
        <f t="shared" si="46"/>
        <v>495.91090071345695</v>
      </c>
      <c r="CA99" s="14">
        <f t="shared" si="47"/>
        <v>550.56707378817862</v>
      </c>
      <c r="CB99" s="14">
        <f t="shared" si="48"/>
        <v>465.16340917254132</v>
      </c>
      <c r="CC99" s="14">
        <f t="shared" si="49"/>
        <v>255.21705970110332</v>
      </c>
    </row>
    <row r="100" spans="24:81" x14ac:dyDescent="0.15">
      <c r="X100" s="14">
        <v>96</v>
      </c>
      <c r="Y100" s="30">
        <f t="shared" si="50"/>
        <v>3.45</v>
      </c>
      <c r="Z100" s="27">
        <f t="shared" si="28"/>
        <v>8.8000000000000009E-2</v>
      </c>
      <c r="AA100" s="14">
        <f>$Y100*$Z100*其他调用!V99</f>
        <v>725.78578154491788</v>
      </c>
      <c r="AB100" s="14">
        <f>$Y100*$Z100*其他调用!W99</f>
        <v>872.20348774869149</v>
      </c>
      <c r="AC100" s="14">
        <f>$Y100*$Z100*其他调用!X99</f>
        <v>939.8441990013215</v>
      </c>
      <c r="AD100" s="14">
        <f>$Y100*$Z100*其他调用!Y99</f>
        <v>791.4800187060489</v>
      </c>
      <c r="AE100" s="14">
        <f>$Y100*$Z100*其他调用!Z99</f>
        <v>438.26918019953814</v>
      </c>
      <c r="AH100" s="14">
        <v>96</v>
      </c>
      <c r="AI100" s="14">
        <f>SUM(AA$5:AA100)</f>
        <v>7371.5696248784398</v>
      </c>
      <c r="AJ100" s="14">
        <f>SUM(AB$5:AB100)</f>
        <v>9111.7669467669966</v>
      </c>
      <c r="AK100" s="14">
        <f>SUM(AC$5:AC100)</f>
        <v>9856.873411510529</v>
      </c>
      <c r="AL100" s="14">
        <f>SUM(AD$5:AD100)</f>
        <v>7968.9236315861435</v>
      </c>
      <c r="AM100" s="14">
        <f>SUM(AE$5:AE100)</f>
        <v>4310.2433660048646</v>
      </c>
      <c r="AR100" s="14">
        <v>96</v>
      </c>
      <c r="AS100" s="27">
        <f t="shared" si="29"/>
        <v>0.11200000000000002</v>
      </c>
      <c r="AT100" s="14">
        <f>求节点(E$28:E$32,$N$28:$N$32,$AR100)*$AS100*其他调用!V99/$E$4</f>
        <v>133.87353019273849</v>
      </c>
      <c r="AU100" s="14">
        <f>求节点(F$28:F$32,$N$28:$N$32,$AR100)*$AS100*其他调用!W99/$E$4</f>
        <v>160.88074872834889</v>
      </c>
      <c r="AV100" s="14">
        <f>求节点(G$28:G$32,$N$28:$N$32,$AR100)*$AS100*其他调用!X99/$E$4</f>
        <v>173.35729625847827</v>
      </c>
      <c r="AW100" s="14">
        <f>求节点(H$28:H$32,$N$28:$N$32,$AR100)*$AS100*其他调用!Y99/$E$4</f>
        <v>145.99104429360585</v>
      </c>
      <c r="AX100" s="14">
        <f>求节点(I$28:I$32,$N$28:$N$32,$AR100)*$AS100*其他调用!Z99/$E$4</f>
        <v>80.840164990692145</v>
      </c>
      <c r="BA100" s="14">
        <v>96</v>
      </c>
      <c r="BB100" s="14">
        <f>SUM(AT$5:AT100)</f>
        <v>1691.4496659359143</v>
      </c>
      <c r="BC100" s="14">
        <f>SUM(AU$5:AU100)</f>
        <v>2144.5243515821767</v>
      </c>
      <c r="BD100" s="14">
        <f>SUM(AV$5:AV100)</f>
        <v>2375.6255914111925</v>
      </c>
      <c r="BE100" s="14">
        <f>SUM(AW$5:AW100)</f>
        <v>2006.6446809837712</v>
      </c>
      <c r="BF100" s="14">
        <f>SUM(AX$5:AX100)</f>
        <v>1101.7084037951054</v>
      </c>
      <c r="BI100" s="14">
        <v>96</v>
      </c>
      <c r="BJ100" s="14">
        <f t="shared" si="30"/>
        <v>33.828993318718275</v>
      </c>
      <c r="BK100" s="14">
        <f t="shared" si="31"/>
        <v>42.890487031643524</v>
      </c>
      <c r="BL100" s="14">
        <f t="shared" si="32"/>
        <v>47.512511828223843</v>
      </c>
      <c r="BM100" s="14">
        <f t="shared" si="33"/>
        <v>40.132893619675414</v>
      </c>
      <c r="BN100" s="14">
        <f t="shared" si="34"/>
        <v>22.034168075902102</v>
      </c>
      <c r="BO100" s="14">
        <f t="shared" si="35"/>
        <v>50.74348997807742</v>
      </c>
      <c r="BP100" s="14">
        <f t="shared" si="36"/>
        <v>64.335730547465303</v>
      </c>
      <c r="BQ100" s="14">
        <f t="shared" si="37"/>
        <v>71.268767742335768</v>
      </c>
      <c r="BR100" s="14">
        <f t="shared" si="38"/>
        <v>60.199340429513128</v>
      </c>
      <c r="BS100" s="14">
        <f t="shared" si="39"/>
        <v>33.05125211385316</v>
      </c>
      <c r="BT100" s="14">
        <f t="shared" si="40"/>
        <v>0</v>
      </c>
      <c r="BU100" s="14">
        <f t="shared" si="41"/>
        <v>0</v>
      </c>
      <c r="BV100" s="14">
        <f t="shared" si="42"/>
        <v>0</v>
      </c>
      <c r="BW100" s="14">
        <f t="shared" si="43"/>
        <v>0</v>
      </c>
      <c r="BX100" s="14">
        <f t="shared" si="44"/>
        <v>0</v>
      </c>
      <c r="BY100" s="14">
        <f t="shared" si="45"/>
        <v>422.86241648397856</v>
      </c>
      <c r="BZ100" s="14">
        <f t="shared" si="46"/>
        <v>536.13108789554417</v>
      </c>
      <c r="CA100" s="14">
        <f t="shared" si="47"/>
        <v>593.90639785279814</v>
      </c>
      <c r="CB100" s="14">
        <f t="shared" si="48"/>
        <v>501.6611702459428</v>
      </c>
      <c r="CC100" s="14">
        <f t="shared" si="49"/>
        <v>275.42710094877634</v>
      </c>
    </row>
    <row r="101" spans="24:81" x14ac:dyDescent="0.15">
      <c r="X101" s="14">
        <v>97</v>
      </c>
      <c r="Y101" s="30">
        <f t="shared" si="50"/>
        <v>3.5249999999999999</v>
      </c>
      <c r="Z101" s="27">
        <f t="shared" si="28"/>
        <v>8.8000000000000009E-2</v>
      </c>
      <c r="AA101" s="14">
        <f>$Y101*$Z101*其他调用!V100</f>
        <v>794.78833014917279</v>
      </c>
      <c r="AB101" s="14">
        <f>$Y101*$Z101*其他调用!W100</f>
        <v>970.07388968421344</v>
      </c>
      <c r="AC101" s="14">
        <f>$Y101*$Z101*其他调用!X100</f>
        <v>1110.3135345779172</v>
      </c>
      <c r="AD101" s="14">
        <f>$Y101*$Z101*其他调用!Y100</f>
        <v>929.89656398101317</v>
      </c>
      <c r="AE101" s="14">
        <f>$Y101*$Z101*其他调用!Z100</f>
        <v>525.41592243810101</v>
      </c>
      <c r="AH101" s="14">
        <v>97</v>
      </c>
      <c r="AI101" s="14">
        <f>SUM(AA$5:AA101)</f>
        <v>8166.3579550276127</v>
      </c>
      <c r="AJ101" s="14">
        <f>SUM(AB$5:AB101)</f>
        <v>10081.840836451211</v>
      </c>
      <c r="AK101" s="14">
        <f>SUM(AC$5:AC101)</f>
        <v>10967.186946088446</v>
      </c>
      <c r="AL101" s="14">
        <f>SUM(AD$5:AD101)</f>
        <v>8898.8201955671575</v>
      </c>
      <c r="AM101" s="14">
        <f>SUM(AE$5:AE101)</f>
        <v>4835.6592884429656</v>
      </c>
      <c r="AR101" s="14">
        <v>97</v>
      </c>
      <c r="AS101" s="27">
        <f t="shared" si="29"/>
        <v>0.11200000000000002</v>
      </c>
      <c r="AT101" s="14">
        <f>求节点(E$28:E$32,$N$28:$N$32,$AR101)*$AS101*其他调用!V100/$E$4</f>
        <v>143.48209699662695</v>
      </c>
      <c r="AU101" s="14">
        <f>求节点(F$28:F$32,$N$28:$N$32,$AR101)*$AS101*其他调用!W100/$E$4</f>
        <v>175.12616963996118</v>
      </c>
      <c r="AV101" s="14">
        <f>求节点(G$28:G$32,$N$28:$N$32,$AR101)*$AS101*其他调用!X100/$E$4</f>
        <v>200.44344918234481</v>
      </c>
      <c r="AW101" s="14">
        <f>求节点(H$28:H$32,$N$28:$N$32,$AR101)*$AS101*其他调用!Y100/$E$4</f>
        <v>167.8730096161726</v>
      </c>
      <c r="AX101" s="14">
        <f>求节点(I$28:I$32,$N$28:$N$32,$AR101)*$AS101*其他调用!Z100/$E$4</f>
        <v>94.852648796046608</v>
      </c>
      <c r="BA101" s="14">
        <v>97</v>
      </c>
      <c r="BB101" s="14">
        <f>SUM(AT$5:AT101)</f>
        <v>1834.9317629325412</v>
      </c>
      <c r="BC101" s="14">
        <f>SUM(AU$5:AU101)</f>
        <v>2319.6505212221377</v>
      </c>
      <c r="BD101" s="14">
        <f>SUM(AV$5:AV101)</f>
        <v>2576.0690405935375</v>
      </c>
      <c r="BE101" s="14">
        <f>SUM(AW$5:AW101)</f>
        <v>2174.5176905999438</v>
      </c>
      <c r="BF101" s="14">
        <f>SUM(AX$5:AX101)</f>
        <v>1196.561052591152</v>
      </c>
      <c r="BI101" s="14">
        <v>97</v>
      </c>
      <c r="BJ101" s="14">
        <f t="shared" si="30"/>
        <v>36.698635258650818</v>
      </c>
      <c r="BK101" s="14">
        <f t="shared" si="31"/>
        <v>46.39301042444275</v>
      </c>
      <c r="BL101" s="14">
        <f t="shared" si="32"/>
        <v>51.521380811870735</v>
      </c>
      <c r="BM101" s="14">
        <f t="shared" si="33"/>
        <v>43.490353811998865</v>
      </c>
      <c r="BN101" s="14">
        <f t="shared" si="34"/>
        <v>23.931221051823037</v>
      </c>
      <c r="BO101" s="14">
        <f t="shared" si="35"/>
        <v>55.047952887976237</v>
      </c>
      <c r="BP101" s="14">
        <f t="shared" si="36"/>
        <v>69.589515636664132</v>
      </c>
      <c r="BQ101" s="14">
        <f t="shared" si="37"/>
        <v>77.28207121780612</v>
      </c>
      <c r="BR101" s="14">
        <f t="shared" si="38"/>
        <v>65.235530717998316</v>
      </c>
      <c r="BS101" s="14">
        <f t="shared" si="39"/>
        <v>35.896831577734559</v>
      </c>
      <c r="BT101" s="14">
        <f t="shared" si="40"/>
        <v>0</v>
      </c>
      <c r="BU101" s="14">
        <f t="shared" si="41"/>
        <v>0</v>
      </c>
      <c r="BV101" s="14">
        <f t="shared" si="42"/>
        <v>0</v>
      </c>
      <c r="BW101" s="14">
        <f t="shared" si="43"/>
        <v>0</v>
      </c>
      <c r="BX101" s="14">
        <f t="shared" si="44"/>
        <v>0</v>
      </c>
      <c r="BY101" s="14">
        <f t="shared" si="45"/>
        <v>458.73294073313531</v>
      </c>
      <c r="BZ101" s="14">
        <f t="shared" si="46"/>
        <v>579.91263030553444</v>
      </c>
      <c r="CA101" s="14">
        <f t="shared" si="47"/>
        <v>644.01726014838437</v>
      </c>
      <c r="CB101" s="14">
        <f t="shared" si="48"/>
        <v>543.62942264998594</v>
      </c>
      <c r="CC101" s="14">
        <f t="shared" si="49"/>
        <v>299.140263147788</v>
      </c>
    </row>
    <row r="102" spans="24:81" x14ac:dyDescent="0.15">
      <c r="X102" s="14">
        <v>98</v>
      </c>
      <c r="Y102" s="30">
        <f t="shared" si="50"/>
        <v>3.6</v>
      </c>
      <c r="Z102" s="27">
        <f t="shared" si="28"/>
        <v>8.8000000000000009E-2</v>
      </c>
      <c r="AA102" s="14">
        <f>$Y102*$Z102*其他调用!V101</f>
        <v>869.95714783397693</v>
      </c>
      <c r="AB102" s="14">
        <f>$Y102*$Z102*其他调用!W101</f>
        <v>1117.252691946695</v>
      </c>
      <c r="AC102" s="14">
        <f>$Y102*$Z102*其他调用!X101</f>
        <v>1258.9811157441713</v>
      </c>
      <c r="AD102" s="14">
        <f>$Y102*$Z102*其他调用!Y101</f>
        <v>1048.0891247521402</v>
      </c>
      <c r="AE102" s="14">
        <f>$Y102*$Z102*其他调用!Z101</f>
        <v>570.09715375334849</v>
      </c>
      <c r="AH102" s="14">
        <v>98</v>
      </c>
      <c r="AI102" s="14">
        <f>SUM(AA$5:AA102)</f>
        <v>9036.3151028615903</v>
      </c>
      <c r="AJ102" s="14">
        <f>SUM(AB$5:AB102)</f>
        <v>11199.093528397905</v>
      </c>
      <c r="AK102" s="14">
        <f>SUM(AC$5:AC102)</f>
        <v>12226.168061832617</v>
      </c>
      <c r="AL102" s="14">
        <f>SUM(AD$5:AD102)</f>
        <v>9946.909320319297</v>
      </c>
      <c r="AM102" s="14">
        <f>SUM(AE$5:AE102)</f>
        <v>5405.7564421963143</v>
      </c>
      <c r="AR102" s="14">
        <v>98</v>
      </c>
      <c r="AS102" s="27">
        <f t="shared" si="29"/>
        <v>0.11200000000000002</v>
      </c>
      <c r="AT102" s="14">
        <f>求节点(E$28:E$32,$N$28:$N$32,$AR102)*$AS102*其他调用!V101/$E$4</f>
        <v>153.78030391004643</v>
      </c>
      <c r="AU102" s="14">
        <f>求节点(F$28:F$32,$N$28:$N$32,$AR102)*$AS102*其他调用!W101/$E$4</f>
        <v>197.49416271785014</v>
      </c>
      <c r="AV102" s="14">
        <f>求节点(G$28:G$32,$N$28:$N$32,$AR102)*$AS102*其他调用!X101/$E$4</f>
        <v>222.54716692447474</v>
      </c>
      <c r="AW102" s="14">
        <f>求节点(H$28:H$32,$N$28:$N$32,$AR102)*$AS102*其他调用!Y101/$E$4</f>
        <v>185.26827962790355</v>
      </c>
      <c r="AX102" s="14">
        <f>求节点(I$28:I$32,$N$28:$N$32,$AR102)*$AS102*其他调用!Z101/$E$4</f>
        <v>100.77474940084443</v>
      </c>
      <c r="BA102" s="14">
        <v>98</v>
      </c>
      <c r="BB102" s="14">
        <f>SUM(AT$5:AT102)</f>
        <v>1988.7120668425878</v>
      </c>
      <c r="BC102" s="14">
        <f>SUM(AU$5:AU102)</f>
        <v>2517.1446839399878</v>
      </c>
      <c r="BD102" s="14">
        <f>SUM(AV$5:AV102)</f>
        <v>2798.6162075180123</v>
      </c>
      <c r="BE102" s="14">
        <f>SUM(AW$5:AW102)</f>
        <v>2359.7859702278474</v>
      </c>
      <c r="BF102" s="14">
        <f>SUM(AX$5:AX102)</f>
        <v>1297.3358019919965</v>
      </c>
      <c r="BI102" s="14">
        <v>98</v>
      </c>
      <c r="BJ102" s="14">
        <f t="shared" si="30"/>
        <v>39.774241336851745</v>
      </c>
      <c r="BK102" s="14">
        <f t="shared" si="31"/>
        <v>50.34289367879974</v>
      </c>
      <c r="BL102" s="14">
        <f t="shared" si="32"/>
        <v>55.972324150360237</v>
      </c>
      <c r="BM102" s="14">
        <f t="shared" si="33"/>
        <v>47.195719404556939</v>
      </c>
      <c r="BN102" s="14">
        <f t="shared" si="34"/>
        <v>25.946716039839924</v>
      </c>
      <c r="BO102" s="14">
        <f t="shared" si="35"/>
        <v>59.661362005277638</v>
      </c>
      <c r="BP102" s="14">
        <f t="shared" si="36"/>
        <v>75.514340518199631</v>
      </c>
      <c r="BQ102" s="14">
        <f t="shared" si="37"/>
        <v>83.958486225540369</v>
      </c>
      <c r="BR102" s="14">
        <f t="shared" si="38"/>
        <v>70.793579106835423</v>
      </c>
      <c r="BS102" s="14">
        <f t="shared" si="39"/>
        <v>38.920074059759898</v>
      </c>
      <c r="BT102" s="14">
        <f t="shared" si="40"/>
        <v>0</v>
      </c>
      <c r="BU102" s="14">
        <f t="shared" si="41"/>
        <v>0</v>
      </c>
      <c r="BV102" s="14">
        <f t="shared" si="42"/>
        <v>0</v>
      </c>
      <c r="BW102" s="14">
        <f t="shared" si="43"/>
        <v>0</v>
      </c>
      <c r="BX102" s="14">
        <f t="shared" si="44"/>
        <v>0</v>
      </c>
      <c r="BY102" s="14">
        <f t="shared" si="45"/>
        <v>497.17801671064694</v>
      </c>
      <c r="BZ102" s="14">
        <f t="shared" si="46"/>
        <v>629.28617098499694</v>
      </c>
      <c r="CA102" s="14">
        <f t="shared" si="47"/>
        <v>699.65405187950307</v>
      </c>
      <c r="CB102" s="14">
        <f t="shared" si="48"/>
        <v>589.94649255696186</v>
      </c>
      <c r="CC102" s="14">
        <f t="shared" si="49"/>
        <v>324.33395049799913</v>
      </c>
    </row>
    <row r="103" spans="24:81" x14ac:dyDescent="0.15">
      <c r="X103" s="14">
        <v>99</v>
      </c>
      <c r="Y103" s="30">
        <f t="shared" si="50"/>
        <v>3.6749999999999998</v>
      </c>
      <c r="Z103" s="27">
        <f t="shared" si="28"/>
        <v>8.8000000000000009E-2</v>
      </c>
      <c r="AA103" s="14">
        <f>$Y103*$Z103*其他调用!V102</f>
        <v>951.82192177121385</v>
      </c>
      <c r="AB103" s="14">
        <f>$Y103*$Z103*其他调用!W102</f>
        <v>1216.8921762468462</v>
      </c>
      <c r="AC103" s="14">
        <f>$Y103*$Z103*其他调用!X102</f>
        <v>1343.9741027691623</v>
      </c>
      <c r="AD103" s="14">
        <f>$Y103*$Z103*其他调用!Y102</f>
        <v>1114.9668837719364</v>
      </c>
      <c r="AE103" s="14">
        <f>$Y103*$Z103*其他调用!Z102</f>
        <v>560.39487156283349</v>
      </c>
      <c r="AH103" s="14">
        <v>99</v>
      </c>
      <c r="AI103" s="14">
        <f>SUM(AA$5:AA103)</f>
        <v>9988.1370246328042</v>
      </c>
      <c r="AJ103" s="14">
        <f>SUM(AB$5:AB103)</f>
        <v>12415.985704644751</v>
      </c>
      <c r="AK103" s="14">
        <f>SUM(AC$5:AC103)</f>
        <v>13570.142164601779</v>
      </c>
      <c r="AL103" s="14">
        <f>SUM(AD$5:AD103)</f>
        <v>11061.876204091233</v>
      </c>
      <c r="AM103" s="14">
        <f>SUM(AE$5:AE103)</f>
        <v>5966.1513137591483</v>
      </c>
      <c r="AR103" s="14">
        <v>99</v>
      </c>
      <c r="AS103" s="27">
        <f t="shared" si="29"/>
        <v>0.11200000000000002</v>
      </c>
      <c r="AT103" s="14">
        <f>求节点(E$28:E$32,$N$28:$N$32,$AR103)*$AS103*其他调用!V102/$E$4</f>
        <v>164.81764879155219</v>
      </c>
      <c r="AU103" s="14">
        <f>求节点(F$28:F$32,$N$28:$N$32,$AR103)*$AS103*其他调用!W102/$E$4</f>
        <v>210.71725995616384</v>
      </c>
      <c r="AV103" s="14">
        <f>求节点(G$28:G$32,$N$28:$N$32,$AR103)*$AS103*其他调用!X102/$E$4</f>
        <v>232.72278835829653</v>
      </c>
      <c r="AW103" s="14">
        <f>求节点(H$28:H$32,$N$28:$N$32,$AR103)*$AS103*其他调用!Y102/$E$4</f>
        <v>193.06785866180718</v>
      </c>
      <c r="AX103" s="14">
        <f>求节点(I$28:I$32,$N$28:$N$32,$AR103)*$AS103*其他调用!Z102/$E$4</f>
        <v>97.038072997893252</v>
      </c>
      <c r="BA103" s="14">
        <v>99</v>
      </c>
      <c r="BB103" s="14">
        <f>SUM(AT$5:AT103)</f>
        <v>2153.5297156341398</v>
      </c>
      <c r="BC103" s="14">
        <f>SUM(AU$5:AU103)</f>
        <v>2727.8619438961514</v>
      </c>
      <c r="BD103" s="14">
        <f>SUM(AV$5:AV103)</f>
        <v>3031.3389958763087</v>
      </c>
      <c r="BE103" s="14">
        <f>SUM(AW$5:AW103)</f>
        <v>2552.8538288896548</v>
      </c>
      <c r="BF103" s="14">
        <f>SUM(AX$5:AX103)</f>
        <v>1394.3738749898898</v>
      </c>
      <c r="BI103" s="14">
        <v>99</v>
      </c>
      <c r="BJ103" s="14">
        <f t="shared" si="30"/>
        <v>43.070594312682786</v>
      </c>
      <c r="BK103" s="14">
        <f t="shared" si="31"/>
        <v>54.55723887792302</v>
      </c>
      <c r="BL103" s="14">
        <f t="shared" si="32"/>
        <v>60.626779917526164</v>
      </c>
      <c r="BM103" s="14">
        <f t="shared" si="33"/>
        <v>51.057076577793083</v>
      </c>
      <c r="BN103" s="14">
        <f t="shared" si="34"/>
        <v>27.887477499797789</v>
      </c>
      <c r="BO103" s="14">
        <f t="shared" si="35"/>
        <v>64.605891469024201</v>
      </c>
      <c r="BP103" s="14">
        <f t="shared" si="36"/>
        <v>81.83585831688454</v>
      </c>
      <c r="BQ103" s="14">
        <f t="shared" si="37"/>
        <v>90.940169876289261</v>
      </c>
      <c r="BR103" s="14">
        <f t="shared" si="38"/>
        <v>76.585614866689639</v>
      </c>
      <c r="BS103" s="14">
        <f t="shared" si="39"/>
        <v>41.831216249696695</v>
      </c>
      <c r="BT103" s="14">
        <f t="shared" si="40"/>
        <v>0</v>
      </c>
      <c r="BU103" s="14">
        <f t="shared" si="41"/>
        <v>0</v>
      </c>
      <c r="BV103" s="14">
        <f t="shared" si="42"/>
        <v>0</v>
      </c>
      <c r="BW103" s="14">
        <f t="shared" si="43"/>
        <v>0</v>
      </c>
      <c r="BX103" s="14">
        <f t="shared" si="44"/>
        <v>0</v>
      </c>
      <c r="BY103" s="14">
        <f t="shared" si="45"/>
        <v>538.38242890853496</v>
      </c>
      <c r="BZ103" s="14">
        <f t="shared" si="46"/>
        <v>681.96548597403785</v>
      </c>
      <c r="CA103" s="14">
        <f t="shared" si="47"/>
        <v>757.83474896907717</v>
      </c>
      <c r="CB103" s="14">
        <f t="shared" si="48"/>
        <v>638.21345722241369</v>
      </c>
      <c r="CC103" s="14">
        <f t="shared" si="49"/>
        <v>348.59346874747246</v>
      </c>
    </row>
    <row r="104" spans="24:81" x14ac:dyDescent="0.15">
      <c r="X104" s="14">
        <v>100</v>
      </c>
      <c r="Y104" s="30">
        <f t="shared" si="50"/>
        <v>3.75</v>
      </c>
      <c r="Z104" s="27">
        <f t="shared" si="28"/>
        <v>8.8000000000000009E-2</v>
      </c>
      <c r="AA104" s="14">
        <f>$Y104*$Z104*其他调用!V103</f>
        <v>1040.9566089945738</v>
      </c>
      <c r="AB104" s="14">
        <f>$Y104*$Z104*其他调用!W103</f>
        <v>1301.6122145359896</v>
      </c>
      <c r="AC104" s="14">
        <f>$Y104*$Z104*其他调用!X103</f>
        <v>1442.6161826502396</v>
      </c>
      <c r="AD104" s="14">
        <f>$Y104*$Z104*其他调用!Y103</f>
        <v>1115.7869197573975</v>
      </c>
      <c r="AE104" s="14">
        <f>$Y104*$Z104*其他调用!Z103</f>
        <v>583.88977384927307</v>
      </c>
      <c r="AH104" s="14">
        <v>100</v>
      </c>
      <c r="AI104" s="14">
        <f>SUM(AA$5:AA104)</f>
        <v>11029.093633627377</v>
      </c>
      <c r="AJ104" s="14">
        <f>SUM(AB$5:AB104)</f>
        <v>13717.59791918074</v>
      </c>
      <c r="AK104" s="14">
        <f>SUM(AC$5:AC104)</f>
        <v>15012.758347252018</v>
      </c>
      <c r="AL104" s="14">
        <f>SUM(AD$5:AD104)</f>
        <v>12177.663123848632</v>
      </c>
      <c r="AM104" s="14">
        <f>SUM(AE$5:AE104)</f>
        <v>6550.0410876084215</v>
      </c>
      <c r="AR104" s="14">
        <v>100</v>
      </c>
      <c r="AS104" s="27">
        <f t="shared" si="29"/>
        <v>0.11200000000000002</v>
      </c>
      <c r="AT104" s="14">
        <f>求节点(E$28:E$32,$N$28:$N$32,$AR104)*$AS104*其他调用!V103/$E$4</f>
        <v>176.64718213241252</v>
      </c>
      <c r="AU104" s="14">
        <f>求节点(F$28:F$32,$N$28:$N$32,$AR104)*$AS104*其他调用!W103/$E$4</f>
        <v>220.87964852731946</v>
      </c>
      <c r="AV104" s="14">
        <f>求节点(G$28:G$32,$N$28:$N$32,$AR104)*$AS104*其他调用!X103/$E$4</f>
        <v>244.80759463155582</v>
      </c>
      <c r="AW104" s="14">
        <f>求节点(H$28:H$32,$N$28:$N$32,$AR104)*$AS104*其他调用!Y103/$E$4</f>
        <v>189.34565911034625</v>
      </c>
      <c r="AX104" s="14">
        <f>求节点(I$28:I$32,$N$28:$N$32,$AR104)*$AS104*其他调用!Z103/$E$4</f>
        <v>99.084325259270599</v>
      </c>
      <c r="BA104" s="14">
        <v>100</v>
      </c>
      <c r="BB104" s="14">
        <f>SUM(AT$5:AT104)</f>
        <v>2330.1768977665524</v>
      </c>
      <c r="BC104" s="14">
        <f>SUM(AU$5:AU104)</f>
        <v>2948.741592423471</v>
      </c>
      <c r="BD104" s="14">
        <f>SUM(AV$5:AV104)</f>
        <v>3276.1465905078644</v>
      </c>
      <c r="BE104" s="14">
        <f>SUM(AW$5:AW104)</f>
        <v>2742.1994880000011</v>
      </c>
      <c r="BF104" s="14">
        <f>SUM(AX$5:AX104)</f>
        <v>1493.4582002491604</v>
      </c>
      <c r="BI104" s="14">
        <v>100</v>
      </c>
      <c r="BJ104" s="14">
        <f t="shared" si="30"/>
        <v>46.603537955331042</v>
      </c>
      <c r="BK104" s="14">
        <f t="shared" si="31"/>
        <v>58.974831848469407</v>
      </c>
      <c r="BL104" s="14">
        <f t="shared" si="32"/>
        <v>65.522931810157274</v>
      </c>
      <c r="BM104" s="14">
        <f t="shared" si="33"/>
        <v>54.843989760000014</v>
      </c>
      <c r="BN104" s="14">
        <f t="shared" si="34"/>
        <v>29.869164004983201</v>
      </c>
      <c r="BO104" s="14">
        <f t="shared" si="35"/>
        <v>69.905306932996581</v>
      </c>
      <c r="BP104" s="14">
        <f t="shared" si="36"/>
        <v>88.462247772704131</v>
      </c>
      <c r="BQ104" s="14">
        <f t="shared" si="37"/>
        <v>98.284397715235926</v>
      </c>
      <c r="BR104" s="14">
        <f t="shared" si="38"/>
        <v>82.265984640000028</v>
      </c>
      <c r="BS104" s="14">
        <f t="shared" si="39"/>
        <v>44.803746007474814</v>
      </c>
      <c r="BT104" s="14">
        <f t="shared" si="40"/>
        <v>0</v>
      </c>
      <c r="BU104" s="14">
        <f t="shared" si="41"/>
        <v>0</v>
      </c>
      <c r="BV104" s="14">
        <f t="shared" si="42"/>
        <v>0</v>
      </c>
      <c r="BW104" s="14">
        <f t="shared" si="43"/>
        <v>0</v>
      </c>
      <c r="BX104" s="14">
        <f t="shared" si="44"/>
        <v>0</v>
      </c>
      <c r="BY104" s="14">
        <f t="shared" si="45"/>
        <v>582.54422444163811</v>
      </c>
      <c r="BZ104" s="14">
        <f t="shared" si="46"/>
        <v>737.18539810586776</v>
      </c>
      <c r="CA104" s="14">
        <f t="shared" si="47"/>
        <v>819.0366476269661</v>
      </c>
      <c r="CB104" s="14">
        <f t="shared" si="48"/>
        <v>685.54987200000028</v>
      </c>
      <c r="CC104" s="14">
        <f t="shared" si="49"/>
        <v>373.36455006229011</v>
      </c>
    </row>
    <row r="105" spans="24:81" x14ac:dyDescent="0.15">
      <c r="X105" s="14">
        <v>101</v>
      </c>
      <c r="Y105" s="30">
        <f t="shared" si="50"/>
        <v>3.8250000000000002</v>
      </c>
      <c r="Z105" s="27">
        <f t="shared" si="28"/>
        <v>8.8000000000000009E-2</v>
      </c>
      <c r="AA105" s="14">
        <f>$Y105*$Z105*其他调用!V104</f>
        <v>1137.9830625555812</v>
      </c>
      <c r="AB105" s="14">
        <f>$Y105*$Z105*其他调用!W104</f>
        <v>1438.1029603992004</v>
      </c>
      <c r="AC105" s="14">
        <f>$Y105*$Z105*其他调用!X104</f>
        <v>1518.2028979995036</v>
      </c>
      <c r="AD105" s="14">
        <f>$Y105*$Z105*其他调用!Y104</f>
        <v>1170.8541140127427</v>
      </c>
      <c r="AE105" s="14">
        <f>$Y105*$Z105*其他调用!Z104</f>
        <v>646.40235017841155</v>
      </c>
      <c r="AH105" s="14">
        <v>101</v>
      </c>
      <c r="AI105" s="14">
        <f>SUM(AA$5:AA105)</f>
        <v>12167.076696182958</v>
      </c>
      <c r="AJ105" s="14">
        <f>SUM(AB$5:AB105)</f>
        <v>15155.700879579941</v>
      </c>
      <c r="AK105" s="14">
        <f>SUM(AC$5:AC105)</f>
        <v>16530.961245251521</v>
      </c>
      <c r="AL105" s="14">
        <f>SUM(AD$5:AD105)</f>
        <v>13348.517237861375</v>
      </c>
      <c r="AM105" s="14">
        <f>SUM(AE$5:AE105)</f>
        <v>7196.4434377868329</v>
      </c>
      <c r="AR105" s="14">
        <v>101</v>
      </c>
      <c r="AS105" s="27">
        <f t="shared" si="29"/>
        <v>0.11200000000000002</v>
      </c>
      <c r="AT105" s="14">
        <f>求节点(E$28:E$32,$N$28:$N$32,$AR105)*$AS105*其他调用!V104/$E$4</f>
        <v>189.32576204133258</v>
      </c>
      <c r="AU105" s="14">
        <f>求节点(F$28:F$32,$N$28:$N$32,$AR105)*$AS105*其他调用!W104/$E$4</f>
        <v>239.25658283527991</v>
      </c>
      <c r="AV105" s="14">
        <f>求节点(G$28:G$32,$N$28:$N$32,$AR105)*$AS105*其他调用!X104/$E$4</f>
        <v>252.58277566242484</v>
      </c>
      <c r="AW105" s="14">
        <f>求节点(H$28:H$32,$N$28:$N$32,$AR105)*$AS105*其他调用!Y104/$E$4</f>
        <v>194.79450500509088</v>
      </c>
      <c r="AX105" s="14">
        <f>求节点(I$28:I$32,$N$28:$N$32,$AR105)*$AS105*其他调用!Z104/$E$4</f>
        <v>107.54168630419204</v>
      </c>
      <c r="BA105" s="14">
        <v>101</v>
      </c>
      <c r="BB105" s="14">
        <f>SUM(AT$5:AT105)</f>
        <v>2519.5026598078848</v>
      </c>
      <c r="BC105" s="14">
        <f>SUM(AU$5:AU105)</f>
        <v>3187.998175258751</v>
      </c>
      <c r="BD105" s="14">
        <f>SUM(AV$5:AV105)</f>
        <v>3528.7293661702893</v>
      </c>
      <c r="BE105" s="14">
        <f>SUM(AW$5:AW105)</f>
        <v>2936.9939930050919</v>
      </c>
      <c r="BF105" s="14">
        <f>SUM(AX$5:AX105)</f>
        <v>1600.9998865533526</v>
      </c>
      <c r="BI105" s="14">
        <v>101</v>
      </c>
      <c r="BJ105" s="14">
        <f t="shared" si="30"/>
        <v>50.390053196157687</v>
      </c>
      <c r="BK105" s="14">
        <f t="shared" si="31"/>
        <v>63.759963505175008</v>
      </c>
      <c r="BL105" s="14">
        <f t="shared" si="32"/>
        <v>70.57458732340578</v>
      </c>
      <c r="BM105" s="14">
        <f t="shared" si="33"/>
        <v>58.739879860101823</v>
      </c>
      <c r="BN105" s="14">
        <f t="shared" si="34"/>
        <v>32.019997731067043</v>
      </c>
      <c r="BO105" s="14">
        <f t="shared" si="35"/>
        <v>75.585079794236535</v>
      </c>
      <c r="BP105" s="14">
        <f t="shared" si="36"/>
        <v>95.63994525776252</v>
      </c>
      <c r="BQ105" s="14">
        <f t="shared" si="37"/>
        <v>105.86188098510868</v>
      </c>
      <c r="BR105" s="14">
        <f t="shared" si="38"/>
        <v>88.109819790152756</v>
      </c>
      <c r="BS105" s="14">
        <f t="shared" si="39"/>
        <v>48.029996596600576</v>
      </c>
      <c r="BT105" s="14">
        <f t="shared" si="40"/>
        <v>0</v>
      </c>
      <c r="BU105" s="14">
        <f t="shared" si="41"/>
        <v>0</v>
      </c>
      <c r="BV105" s="14">
        <f t="shared" si="42"/>
        <v>0</v>
      </c>
      <c r="BW105" s="14">
        <f t="shared" si="43"/>
        <v>0</v>
      </c>
      <c r="BX105" s="14">
        <f t="shared" si="44"/>
        <v>0</v>
      </c>
      <c r="BY105" s="14">
        <f t="shared" si="45"/>
        <v>629.8756649519712</v>
      </c>
      <c r="BZ105" s="14">
        <f t="shared" si="46"/>
        <v>796.99954381468774</v>
      </c>
      <c r="CA105" s="14">
        <f t="shared" si="47"/>
        <v>882.18234154257232</v>
      </c>
      <c r="CB105" s="14">
        <f t="shared" si="48"/>
        <v>734.24849825127296</v>
      </c>
      <c r="CC105" s="14">
        <f t="shared" si="49"/>
        <v>400.24997163833814</v>
      </c>
    </row>
    <row r="106" spans="24:81" x14ac:dyDescent="0.15">
      <c r="X106" s="14">
        <v>102</v>
      </c>
      <c r="Y106" s="30">
        <f t="shared" si="50"/>
        <v>3.9</v>
      </c>
      <c r="Z106" s="27">
        <f t="shared" si="28"/>
        <v>8.8000000000000009E-2</v>
      </c>
      <c r="AA106" s="14">
        <f>$Y106*$Z106*其他调用!V105</f>
        <v>1243.5749501503715</v>
      </c>
      <c r="AB106" s="14">
        <f>$Y106*$Z106*其他调用!W105</f>
        <v>1497.3241431095237</v>
      </c>
      <c r="AC106" s="14">
        <f>$Y106*$Z106*其他调用!X105</f>
        <v>1560.9332636054924</v>
      </c>
      <c r="AD106" s="14">
        <f>$Y106*$Z106*其他调用!Y105</f>
        <v>1272.5284021835375</v>
      </c>
      <c r="AE106" s="14">
        <f>$Y106*$Z106*其他调用!Z105</f>
        <v>711.90311849353941</v>
      </c>
      <c r="AH106" s="14">
        <v>102</v>
      </c>
      <c r="AI106" s="14">
        <f>SUM(AA$5:AA106)</f>
        <v>13410.651646333328</v>
      </c>
      <c r="AJ106" s="14">
        <f>SUM(AB$5:AB106)</f>
        <v>16653.025022689464</v>
      </c>
      <c r="AK106" s="14">
        <f>SUM(AC$5:AC106)</f>
        <v>18091.894508857014</v>
      </c>
      <c r="AL106" s="14">
        <f>SUM(AD$5:AD106)</f>
        <v>14621.045640044913</v>
      </c>
      <c r="AM106" s="14">
        <f>SUM(AE$5:AE106)</f>
        <v>7908.3465562803722</v>
      </c>
      <c r="AR106" s="14">
        <v>102</v>
      </c>
      <c r="AS106" s="27">
        <f t="shared" si="29"/>
        <v>0.11200000000000002</v>
      </c>
      <c r="AT106" s="14">
        <f>求节点(E$28:E$32,$N$28:$N$32,$AR106)*$AS106*其他调用!V105/$E$4</f>
        <v>202.91432753036366</v>
      </c>
      <c r="AU106" s="14">
        <f>求节点(F$28:F$32,$N$28:$N$32,$AR106)*$AS106*其他调用!W105/$E$4</f>
        <v>244.31862474980576</v>
      </c>
      <c r="AV106" s="14">
        <f>求节点(G$28:G$32,$N$28:$N$32,$AR106)*$AS106*其他调用!X105/$E$4</f>
        <v>254.69773532024357</v>
      </c>
      <c r="AW106" s="14">
        <f>求节点(H$28:H$32,$N$28:$N$32,$AR106)*$AS106*其他调用!Y105/$E$4</f>
        <v>207.63866702295488</v>
      </c>
      <c r="AX106" s="14">
        <f>求节点(I$28:I$32,$N$28:$N$32,$AR106)*$AS106*其他调用!Z105/$E$4</f>
        <v>116.16134800593886</v>
      </c>
      <c r="BA106" s="14">
        <v>102</v>
      </c>
      <c r="BB106" s="14">
        <f>SUM(AT$5:AT106)</f>
        <v>2722.4169873382484</v>
      </c>
      <c r="BC106" s="14">
        <f>SUM(AU$5:AU106)</f>
        <v>3432.3168000085566</v>
      </c>
      <c r="BD106" s="14">
        <f>SUM(AV$5:AV106)</f>
        <v>3783.427101490533</v>
      </c>
      <c r="BE106" s="14">
        <f>SUM(AW$5:AW106)</f>
        <v>3144.6326600280468</v>
      </c>
      <c r="BF106" s="14">
        <f>SUM(AX$5:AX106)</f>
        <v>1717.1612345592914</v>
      </c>
      <c r="BI106" s="14">
        <v>102</v>
      </c>
      <c r="BJ106" s="14">
        <f t="shared" si="30"/>
        <v>54.448339746764951</v>
      </c>
      <c r="BK106" s="14">
        <f t="shared" si="31"/>
        <v>68.646336000171118</v>
      </c>
      <c r="BL106" s="14">
        <f t="shared" si="32"/>
        <v>75.668542029810652</v>
      </c>
      <c r="BM106" s="14">
        <f t="shared" si="33"/>
        <v>62.892653200560929</v>
      </c>
      <c r="BN106" s="14">
        <f t="shared" si="34"/>
        <v>34.343224691185824</v>
      </c>
      <c r="BO106" s="14">
        <f t="shared" si="35"/>
        <v>81.672509620147451</v>
      </c>
      <c r="BP106" s="14">
        <f t="shared" si="36"/>
        <v>102.96950400025669</v>
      </c>
      <c r="BQ106" s="14">
        <f t="shared" si="37"/>
        <v>113.50281304471598</v>
      </c>
      <c r="BR106" s="14">
        <f t="shared" si="38"/>
        <v>94.3389798008414</v>
      </c>
      <c r="BS106" s="14">
        <f t="shared" si="39"/>
        <v>51.514837036778736</v>
      </c>
      <c r="BT106" s="14">
        <f t="shared" si="40"/>
        <v>0</v>
      </c>
      <c r="BU106" s="14">
        <f t="shared" si="41"/>
        <v>0</v>
      </c>
      <c r="BV106" s="14">
        <f t="shared" si="42"/>
        <v>0</v>
      </c>
      <c r="BW106" s="14">
        <f t="shared" si="43"/>
        <v>0</v>
      </c>
      <c r="BX106" s="14">
        <f t="shared" si="44"/>
        <v>0</v>
      </c>
      <c r="BY106" s="14">
        <f t="shared" si="45"/>
        <v>680.60424683456199</v>
      </c>
      <c r="BZ106" s="14">
        <f t="shared" si="46"/>
        <v>858.07920000213915</v>
      </c>
      <c r="CA106" s="14">
        <f t="shared" si="47"/>
        <v>945.85677537263325</v>
      </c>
      <c r="CB106" s="14">
        <f t="shared" si="48"/>
        <v>786.15816500701169</v>
      </c>
      <c r="CC106" s="14">
        <f t="shared" si="49"/>
        <v>429.29030863982285</v>
      </c>
    </row>
    <row r="107" spans="24:81" x14ac:dyDescent="0.15">
      <c r="X107" s="14">
        <v>103</v>
      </c>
      <c r="Y107" s="30">
        <f t="shared" si="50"/>
        <v>3.9750000000000001</v>
      </c>
      <c r="Z107" s="27">
        <f t="shared" si="28"/>
        <v>8.8000000000000009E-2</v>
      </c>
      <c r="AA107" s="14">
        <f>$Y107*$Z107*其他调用!V106</f>
        <v>1358.4619885200439</v>
      </c>
      <c r="AB107" s="14">
        <f>$Y107*$Z107*其他调用!W106</f>
        <v>1619.8838904596032</v>
      </c>
      <c r="AC107" s="14">
        <f>$Y107*$Z107*其他调用!X106</f>
        <v>1759.3446996301029</v>
      </c>
      <c r="AD107" s="14">
        <f>$Y107*$Z107*其他调用!Y106</f>
        <v>1477.789871076827</v>
      </c>
      <c r="AE107" s="14">
        <f>$Y107*$Z107*其他调用!Z106</f>
        <v>802.46800342291624</v>
      </c>
      <c r="AH107" s="14">
        <v>103</v>
      </c>
      <c r="AI107" s="14">
        <f>SUM(AA$5:AA107)</f>
        <v>14769.113634853373</v>
      </c>
      <c r="AJ107" s="14">
        <f>SUM(AB$5:AB107)</f>
        <v>18272.908913149069</v>
      </c>
      <c r="AK107" s="14">
        <f>SUM(AC$5:AC107)</f>
        <v>19851.239208487117</v>
      </c>
      <c r="AL107" s="14">
        <f>SUM(AD$5:AD107)</f>
        <v>16098.835511121741</v>
      </c>
      <c r="AM107" s="14">
        <f>SUM(AE$5:AE107)</f>
        <v>8710.814559703289</v>
      </c>
      <c r="AR107" s="14">
        <v>103</v>
      </c>
      <c r="AS107" s="27">
        <f t="shared" si="29"/>
        <v>0.11200000000000002</v>
      </c>
      <c r="AT107" s="14">
        <f>求节点(E$28:E$32,$N$28:$N$32,$AR107)*$AS107*其他调用!V106/$E$4</f>
        <v>217.4781914154444</v>
      </c>
      <c r="AU107" s="14">
        <f>求节点(F$28:F$32,$N$28:$N$32,$AR107)*$AS107*其他调用!W106/$E$4</f>
        <v>259.32961082257799</v>
      </c>
      <c r="AV107" s="14">
        <f>求节点(G$28:G$32,$N$28:$N$32,$AR107)*$AS107*其他调用!X106/$E$4</f>
        <v>281.65609828269231</v>
      </c>
      <c r="AW107" s="14">
        <f>求节点(H$28:H$32,$N$28:$N$32,$AR107)*$AS107*其他调用!Y106/$E$4</f>
        <v>236.58156884020099</v>
      </c>
      <c r="AX107" s="14">
        <f>求节点(I$28:I$32,$N$28:$N$32,$AR107)*$AS107*其他调用!Z106/$E$4</f>
        <v>128.46829099966641</v>
      </c>
      <c r="BA107" s="14">
        <v>103</v>
      </c>
      <c r="BB107" s="14">
        <f>SUM(AT$5:AT107)</f>
        <v>2939.895178753693</v>
      </c>
      <c r="BC107" s="14">
        <f>SUM(AU$5:AU107)</f>
        <v>3691.6464108311347</v>
      </c>
      <c r="BD107" s="14">
        <f>SUM(AV$5:AV107)</f>
        <v>4065.0831997732253</v>
      </c>
      <c r="BE107" s="14">
        <f>SUM(AW$5:AW107)</f>
        <v>3381.2142288682476</v>
      </c>
      <c r="BF107" s="14">
        <f>SUM(AX$5:AX107)</f>
        <v>1845.6295255589578</v>
      </c>
      <c r="BI107" s="14">
        <v>103</v>
      </c>
      <c r="BJ107" s="14">
        <f t="shared" si="30"/>
        <v>58.797903575073846</v>
      </c>
      <c r="BK107" s="14">
        <f t="shared" si="31"/>
        <v>73.832928216622676</v>
      </c>
      <c r="BL107" s="14">
        <f t="shared" si="32"/>
        <v>81.301663995464494</v>
      </c>
      <c r="BM107" s="14">
        <f t="shared" si="33"/>
        <v>67.624284577364932</v>
      </c>
      <c r="BN107" s="14">
        <f t="shared" si="34"/>
        <v>36.912590511179147</v>
      </c>
      <c r="BO107" s="14">
        <f t="shared" si="35"/>
        <v>88.196855362610791</v>
      </c>
      <c r="BP107" s="14">
        <f t="shared" si="36"/>
        <v>110.74939232493405</v>
      </c>
      <c r="BQ107" s="14">
        <f t="shared" si="37"/>
        <v>121.95249599319675</v>
      </c>
      <c r="BR107" s="14">
        <f t="shared" si="38"/>
        <v>101.43642686604741</v>
      </c>
      <c r="BS107" s="14">
        <f t="shared" si="39"/>
        <v>55.368885766768734</v>
      </c>
      <c r="BT107" s="14">
        <f t="shared" si="40"/>
        <v>0</v>
      </c>
      <c r="BU107" s="14">
        <f t="shared" si="41"/>
        <v>0</v>
      </c>
      <c r="BV107" s="14">
        <f t="shared" si="42"/>
        <v>0</v>
      </c>
      <c r="BW107" s="14">
        <f t="shared" si="43"/>
        <v>0</v>
      </c>
      <c r="BX107" s="14">
        <f t="shared" si="44"/>
        <v>0</v>
      </c>
      <c r="BY107" s="14">
        <f t="shared" si="45"/>
        <v>734.97379468842325</v>
      </c>
      <c r="BZ107" s="14">
        <f t="shared" si="46"/>
        <v>922.91160270778369</v>
      </c>
      <c r="CA107" s="14">
        <f t="shared" si="47"/>
        <v>1016.2707999433063</v>
      </c>
      <c r="CB107" s="14">
        <f t="shared" si="48"/>
        <v>845.30355721706189</v>
      </c>
      <c r="CC107" s="14">
        <f t="shared" si="49"/>
        <v>461.40738138973944</v>
      </c>
    </row>
    <row r="108" spans="24:81" x14ac:dyDescent="0.15">
      <c r="X108" s="14">
        <v>104</v>
      </c>
      <c r="Y108" s="30">
        <f t="shared" si="50"/>
        <v>4.05</v>
      </c>
      <c r="Z108" s="27">
        <f t="shared" si="28"/>
        <v>8.8000000000000009E-2</v>
      </c>
      <c r="AA108" s="14">
        <f>$Y108*$Z108*其他调用!V107</f>
        <v>1483.4345187668375</v>
      </c>
      <c r="AB108" s="14">
        <f>$Y108*$Z108*其他调用!W107</f>
        <v>1847.5419231135254</v>
      </c>
      <c r="AC108" s="14">
        <f>$Y108*$Z108*其他调用!X107</f>
        <v>2072.6711103535781</v>
      </c>
      <c r="AD108" s="14">
        <f>$Y108*$Z108*其他调用!Y107</f>
        <v>1691.7125618457076</v>
      </c>
      <c r="AE108" s="14">
        <f>$Y108*$Z108*其他调用!Z107</f>
        <v>905.36501464083528</v>
      </c>
      <c r="AH108" s="14">
        <v>104</v>
      </c>
      <c r="AI108" s="14">
        <f>SUM(AA$5:AA108)</f>
        <v>16252.54815362021</v>
      </c>
      <c r="AJ108" s="14">
        <f>SUM(AB$5:AB108)</f>
        <v>20120.450836262593</v>
      </c>
      <c r="AK108" s="14">
        <f>SUM(AC$5:AC108)</f>
        <v>21923.910318840695</v>
      </c>
      <c r="AL108" s="14">
        <f>SUM(AD$5:AD108)</f>
        <v>17790.548072967449</v>
      </c>
      <c r="AM108" s="14">
        <f>SUM(AE$5:AE108)</f>
        <v>9616.1795743441235</v>
      </c>
      <c r="AR108" s="14">
        <v>104</v>
      </c>
      <c r="AS108" s="27">
        <f t="shared" si="29"/>
        <v>0.11200000000000002</v>
      </c>
      <c r="AT108" s="14">
        <f>求节点(E$28:E$32,$N$28:$N$32,$AR108)*$AS108*其他调用!V107/$E$4</f>
        <v>233.08735423945825</v>
      </c>
      <c r="AU108" s="14">
        <f>求节点(F$28:F$32,$N$28:$N$32,$AR108)*$AS108*其他调用!W107/$E$4</f>
        <v>290.29839420414544</v>
      </c>
      <c r="AV108" s="14">
        <f>求节点(G$28:G$32,$N$28:$N$32,$AR108)*$AS108*其他调用!X107/$E$4</f>
        <v>325.67222833838491</v>
      </c>
      <c r="AW108" s="14">
        <f>求节点(H$28:H$32,$N$28:$N$32,$AR108)*$AS108*其他调用!Y107/$E$4</f>
        <v>265.81342161436487</v>
      </c>
      <c r="AX108" s="14">
        <f>求节点(I$28:I$32,$N$28:$N$32,$AR108)*$AS108*其他调用!Z107/$E$4</f>
        <v>142.25712912426147</v>
      </c>
      <c r="BA108" s="14">
        <v>104</v>
      </c>
      <c r="BB108" s="14">
        <f>SUM(AT$5:AT108)</f>
        <v>3172.9825329931514</v>
      </c>
      <c r="BC108" s="14">
        <f>SUM(AU$5:AU108)</f>
        <v>3981.9448050352803</v>
      </c>
      <c r="BD108" s="14">
        <f>SUM(AV$5:AV108)</f>
        <v>4390.7554281116099</v>
      </c>
      <c r="BE108" s="14">
        <f>SUM(AW$5:AW108)</f>
        <v>3647.0276504826124</v>
      </c>
      <c r="BF108" s="14">
        <f>SUM(AX$5:AX108)</f>
        <v>1987.8866546832191</v>
      </c>
      <c r="BI108" s="14">
        <v>104</v>
      </c>
      <c r="BJ108" s="14">
        <f t="shared" si="30"/>
        <v>63.459650659863016</v>
      </c>
      <c r="BK108" s="14">
        <f t="shared" si="31"/>
        <v>79.63889610070558</v>
      </c>
      <c r="BL108" s="14">
        <f t="shared" si="32"/>
        <v>87.815108562232183</v>
      </c>
      <c r="BM108" s="14">
        <f t="shared" si="33"/>
        <v>72.940553009652234</v>
      </c>
      <c r="BN108" s="14">
        <f t="shared" si="34"/>
        <v>39.757733093664378</v>
      </c>
      <c r="BO108" s="14">
        <f t="shared" si="35"/>
        <v>95.189475989794545</v>
      </c>
      <c r="BP108" s="14">
        <f t="shared" si="36"/>
        <v>119.4583441510584</v>
      </c>
      <c r="BQ108" s="14">
        <f t="shared" si="37"/>
        <v>131.7226628433483</v>
      </c>
      <c r="BR108" s="14">
        <f t="shared" si="38"/>
        <v>109.41082951447837</v>
      </c>
      <c r="BS108" s="14">
        <f t="shared" si="39"/>
        <v>59.63659964049657</v>
      </c>
      <c r="BT108" s="14">
        <f t="shared" si="40"/>
        <v>0</v>
      </c>
      <c r="BU108" s="14">
        <f t="shared" si="41"/>
        <v>0</v>
      </c>
      <c r="BV108" s="14">
        <f t="shared" si="42"/>
        <v>0</v>
      </c>
      <c r="BW108" s="14">
        <f t="shared" si="43"/>
        <v>0</v>
      </c>
      <c r="BX108" s="14">
        <f t="shared" si="44"/>
        <v>0</v>
      </c>
      <c r="BY108" s="14">
        <f t="shared" si="45"/>
        <v>793.24563324828785</v>
      </c>
      <c r="BZ108" s="14">
        <f t="shared" si="46"/>
        <v>995.48620125882007</v>
      </c>
      <c r="CA108" s="14">
        <f t="shared" si="47"/>
        <v>1097.6888570279025</v>
      </c>
      <c r="CB108" s="14">
        <f t="shared" si="48"/>
        <v>911.75691262065311</v>
      </c>
      <c r="CC108" s="14">
        <f t="shared" si="49"/>
        <v>496.97166367080479</v>
      </c>
    </row>
    <row r="109" spans="24:81" x14ac:dyDescent="0.15">
      <c r="X109" s="14">
        <v>105</v>
      </c>
      <c r="Y109" s="30">
        <f t="shared" si="50"/>
        <v>4.125</v>
      </c>
      <c r="Z109" s="27">
        <f t="shared" si="28"/>
        <v>8.8000000000000009E-2</v>
      </c>
      <c r="AA109" s="14">
        <f>$Y109*$Z109*其他调用!V108</f>
        <v>1619.3484497102381</v>
      </c>
      <c r="AB109" s="14">
        <f>$Y109*$Z109*其他调用!W108</f>
        <v>2045.4448536658265</v>
      </c>
      <c r="AC109" s="14">
        <f>$Y109*$Z109*其他调用!X108</f>
        <v>2238.6980376860865</v>
      </c>
      <c r="AD109" s="14">
        <f>$Y109*$Z109*其他调用!Y108</f>
        <v>1813.1881326973466</v>
      </c>
      <c r="AE109" s="14">
        <f>$Y109*$Z109*其他调用!Z108</f>
        <v>968.12395033655082</v>
      </c>
      <c r="AH109" s="14">
        <v>105</v>
      </c>
      <c r="AI109" s="14">
        <f>SUM(AA$5:AA109)</f>
        <v>17871.896603330446</v>
      </c>
      <c r="AJ109" s="14">
        <f>SUM(AB$5:AB109)</f>
        <v>22165.89568992842</v>
      </c>
      <c r="AK109" s="14">
        <f>SUM(AC$5:AC109)</f>
        <v>24162.608356526784</v>
      </c>
      <c r="AL109" s="14">
        <f>SUM(AD$5:AD109)</f>
        <v>19603.736205664794</v>
      </c>
      <c r="AM109" s="14">
        <f>SUM(AE$5:AE109)</f>
        <v>10584.303524680674</v>
      </c>
      <c r="AR109" s="14">
        <v>105</v>
      </c>
      <c r="AS109" s="27">
        <f t="shared" si="29"/>
        <v>0.11200000000000002</v>
      </c>
      <c r="AT109" s="14">
        <f>求节点(E$28:E$32,$N$28:$N$32,$AR109)*$AS109*其他调用!V108/$E$4</f>
        <v>249.81684072664831</v>
      </c>
      <c r="AU109" s="14">
        <f>求节点(F$28:F$32,$N$28:$N$32,$AR109)*$AS109*其他调用!W108/$E$4</f>
        <v>315.550721226684</v>
      </c>
      <c r="AV109" s="14">
        <f>求节点(G$28:G$32,$N$28:$N$32,$AR109)*$AS109*其他调用!X108/$E$4</f>
        <v>345.36388460171031</v>
      </c>
      <c r="AW109" s="14">
        <f>求节点(H$28:H$32,$N$28:$N$32,$AR109)*$AS109*其他调用!Y108/$E$4</f>
        <v>279.7204832811334</v>
      </c>
      <c r="AX109" s="14">
        <f>求节点(I$28:I$32,$N$28:$N$32,$AR109)*$AS109*其他调用!Z108/$E$4</f>
        <v>149.35245514833841</v>
      </c>
      <c r="BA109" s="14">
        <v>105</v>
      </c>
      <c r="BB109" s="14">
        <f>SUM(AT$5:AT109)</f>
        <v>3422.7993737197999</v>
      </c>
      <c r="BC109" s="14">
        <f>SUM(AU$5:AU109)</f>
        <v>4297.4955262619642</v>
      </c>
      <c r="BD109" s="14">
        <f>SUM(AV$5:AV109)</f>
        <v>4736.1193127133201</v>
      </c>
      <c r="BE109" s="14">
        <f>SUM(AW$5:AW109)</f>
        <v>3926.748133763746</v>
      </c>
      <c r="BF109" s="14">
        <f>SUM(AX$5:AX109)</f>
        <v>2137.2391098315575</v>
      </c>
      <c r="BI109" s="14">
        <v>105</v>
      </c>
      <c r="BJ109" s="14">
        <f t="shared" si="30"/>
        <v>68.455987474395982</v>
      </c>
      <c r="BK109" s="14">
        <f t="shared" si="31"/>
        <v>85.949910525239261</v>
      </c>
      <c r="BL109" s="14">
        <f t="shared" si="32"/>
        <v>94.722386254266382</v>
      </c>
      <c r="BM109" s="14">
        <f t="shared" si="33"/>
        <v>78.534962675274897</v>
      </c>
      <c r="BN109" s="14">
        <f t="shared" si="34"/>
        <v>42.744782196631135</v>
      </c>
      <c r="BO109" s="14">
        <f t="shared" si="35"/>
        <v>102.68398121159399</v>
      </c>
      <c r="BP109" s="14">
        <f t="shared" si="36"/>
        <v>128.92486578785892</v>
      </c>
      <c r="BQ109" s="14">
        <f t="shared" si="37"/>
        <v>142.0835793813996</v>
      </c>
      <c r="BR109" s="14">
        <f t="shared" si="38"/>
        <v>117.80244401291239</v>
      </c>
      <c r="BS109" s="14">
        <f t="shared" si="39"/>
        <v>64.117173294946724</v>
      </c>
      <c r="BT109" s="14">
        <f t="shared" si="40"/>
        <v>0</v>
      </c>
      <c r="BU109" s="14">
        <f t="shared" si="41"/>
        <v>0</v>
      </c>
      <c r="BV109" s="14">
        <f t="shared" si="42"/>
        <v>0</v>
      </c>
      <c r="BW109" s="14">
        <f t="shared" si="43"/>
        <v>0</v>
      </c>
      <c r="BX109" s="14">
        <f t="shared" si="44"/>
        <v>0</v>
      </c>
      <c r="BY109" s="14">
        <f t="shared" si="45"/>
        <v>855.69984342994996</v>
      </c>
      <c r="BZ109" s="14">
        <f t="shared" si="46"/>
        <v>1074.373881565491</v>
      </c>
      <c r="CA109" s="14">
        <f t="shared" si="47"/>
        <v>1184.02982817833</v>
      </c>
      <c r="CB109" s="14">
        <f t="shared" si="48"/>
        <v>981.68703344093637</v>
      </c>
      <c r="CC109" s="14">
        <f t="shared" si="49"/>
        <v>534.30977745788937</v>
      </c>
    </row>
    <row r="110" spans="24:81" x14ac:dyDescent="0.15">
      <c r="X110" s="14">
        <v>106</v>
      </c>
      <c r="Y110" s="30">
        <f t="shared" si="50"/>
        <v>4.2</v>
      </c>
      <c r="Z110" s="27">
        <f t="shared" si="28"/>
        <v>8.8000000000000009E-2</v>
      </c>
      <c r="AA110" s="14">
        <f>$Y110*$Z110*其他调用!V109</f>
        <v>1767.1305985441318</v>
      </c>
      <c r="AB110" s="14">
        <f>$Y110*$Z110*其他调用!W109</f>
        <v>2219.324291460166</v>
      </c>
      <c r="AC110" s="14">
        <f>$Y110*$Z110*其他调用!X109</f>
        <v>2404.4155260714879</v>
      </c>
      <c r="AD110" s="14">
        <f>$Y110*$Z110*其他调用!Y109</f>
        <v>1933.4013014842733</v>
      </c>
      <c r="AE110" s="14">
        <f>$Y110*$Z110*其他调用!Z109</f>
        <v>997.42690846432345</v>
      </c>
      <c r="AH110" s="14">
        <v>106</v>
      </c>
      <c r="AI110" s="14">
        <f>SUM(AA$5:AA110)</f>
        <v>19639.027201874578</v>
      </c>
      <c r="AJ110" s="14">
        <f>SUM(AB$5:AB110)</f>
        <v>24385.219981388585</v>
      </c>
      <c r="AK110" s="14">
        <f>SUM(AC$5:AC110)</f>
        <v>26567.023882598271</v>
      </c>
      <c r="AL110" s="14">
        <f>SUM(AD$5:AD110)</f>
        <v>21537.137507149069</v>
      </c>
      <c r="AM110" s="14">
        <f>SUM(AE$5:AE110)</f>
        <v>11581.730433144998</v>
      </c>
      <c r="AR110" s="14">
        <v>106</v>
      </c>
      <c r="AS110" s="27">
        <f t="shared" si="29"/>
        <v>0.11200000000000002</v>
      </c>
      <c r="AT110" s="14">
        <f>求节点(E$28:E$32,$N$28:$N$32,$AR110)*$AS110*其他调用!V109/$E$4</f>
        <v>267.74706038547453</v>
      </c>
      <c r="AU110" s="14">
        <f>求节点(F$28:F$32,$N$28:$N$32,$AR110)*$AS110*其他调用!W109/$E$4</f>
        <v>336.26125628184332</v>
      </c>
      <c r="AV110" s="14">
        <f>求节点(G$28:G$32,$N$28:$N$32,$AR110)*$AS110*其他调用!X109/$E$4</f>
        <v>364.30538273810424</v>
      </c>
      <c r="AW110" s="14">
        <f>求节点(H$28:H$32,$N$28:$N$32,$AR110)*$AS110*其他调用!Y109/$E$4</f>
        <v>292.9395911339808</v>
      </c>
      <c r="AX110" s="14">
        <f>求节点(I$28:I$32,$N$28:$N$32,$AR110)*$AS110*其他调用!Z109/$E$4</f>
        <v>151.12528916126112</v>
      </c>
      <c r="BA110" s="14">
        <v>106</v>
      </c>
      <c r="BB110" s="14">
        <f>SUM(AT$5:AT110)</f>
        <v>3690.5464341052743</v>
      </c>
      <c r="BC110" s="14">
        <f>SUM(AU$5:AU110)</f>
        <v>4633.7567825438073</v>
      </c>
      <c r="BD110" s="14">
        <f>SUM(AV$5:AV110)</f>
        <v>5100.4246954514247</v>
      </c>
      <c r="BE110" s="14">
        <f>SUM(AW$5:AW110)</f>
        <v>4219.6877248977271</v>
      </c>
      <c r="BF110" s="14">
        <f>SUM(AX$5:AX110)</f>
        <v>2288.3643989928187</v>
      </c>
      <c r="BI110" s="14">
        <v>106</v>
      </c>
      <c r="BJ110" s="14">
        <f t="shared" si="30"/>
        <v>73.81092868210547</v>
      </c>
      <c r="BK110" s="14">
        <f t="shared" si="31"/>
        <v>92.675135650876115</v>
      </c>
      <c r="BL110" s="14">
        <f t="shared" si="32"/>
        <v>102.00849390902847</v>
      </c>
      <c r="BM110" s="14">
        <f t="shared" si="33"/>
        <v>84.393754497954518</v>
      </c>
      <c r="BN110" s="14">
        <f t="shared" si="34"/>
        <v>45.767287979856363</v>
      </c>
      <c r="BO110" s="14">
        <f t="shared" si="35"/>
        <v>110.71639302315823</v>
      </c>
      <c r="BP110" s="14">
        <f t="shared" si="36"/>
        <v>139.01270347631421</v>
      </c>
      <c r="BQ110" s="14">
        <f t="shared" si="37"/>
        <v>153.01274086354275</v>
      </c>
      <c r="BR110" s="14">
        <f t="shared" si="38"/>
        <v>126.59063174693181</v>
      </c>
      <c r="BS110" s="14">
        <f t="shared" si="39"/>
        <v>68.650931969784565</v>
      </c>
      <c r="BT110" s="14">
        <f t="shared" si="40"/>
        <v>0</v>
      </c>
      <c r="BU110" s="14">
        <f t="shared" si="41"/>
        <v>0</v>
      </c>
      <c r="BV110" s="14">
        <f t="shared" si="42"/>
        <v>0</v>
      </c>
      <c r="BW110" s="14">
        <f t="shared" si="43"/>
        <v>0</v>
      </c>
      <c r="BX110" s="14">
        <f t="shared" si="44"/>
        <v>0</v>
      </c>
      <c r="BY110" s="14">
        <f t="shared" si="45"/>
        <v>922.63660852631858</v>
      </c>
      <c r="BZ110" s="14">
        <f t="shared" si="46"/>
        <v>1158.4391956359518</v>
      </c>
      <c r="CA110" s="14">
        <f t="shared" si="47"/>
        <v>1275.1061738628562</v>
      </c>
      <c r="CB110" s="14">
        <f t="shared" si="48"/>
        <v>1054.9219312244318</v>
      </c>
      <c r="CC110" s="14">
        <f t="shared" si="49"/>
        <v>572.09109974820467</v>
      </c>
    </row>
    <row r="111" spans="24:81" x14ac:dyDescent="0.15">
      <c r="X111" s="14">
        <v>107</v>
      </c>
      <c r="Y111" s="30">
        <f t="shared" si="50"/>
        <v>4.2750000000000004</v>
      </c>
      <c r="Z111" s="27">
        <f t="shared" si="28"/>
        <v>8.8000000000000009E-2</v>
      </c>
      <c r="AA111" s="14">
        <f>$Y111*$Z111*其他调用!V110</f>
        <v>1927.7844603618403</v>
      </c>
      <c r="AB111" s="14">
        <f>$Y111*$Z111*其他调用!W110</f>
        <v>2380.8701130509653</v>
      </c>
      <c r="AC111" s="14">
        <f>$Y111*$Z111*其他调用!X110</f>
        <v>2634.770844778121</v>
      </c>
      <c r="AD111" s="14">
        <f>$Y111*$Z111*其他调用!Y110</f>
        <v>2004.804572177876</v>
      </c>
      <c r="AE111" s="14">
        <f>$Y111*$Z111*其他调用!Z110</f>
        <v>1070.9020607129328</v>
      </c>
      <c r="AH111" s="14">
        <v>107</v>
      </c>
      <c r="AI111" s="14">
        <f>SUM(AA$5:AA111)</f>
        <v>21566.811662236418</v>
      </c>
      <c r="AJ111" s="14">
        <f>SUM(AB$5:AB111)</f>
        <v>26766.090094439551</v>
      </c>
      <c r="AK111" s="14">
        <f>SUM(AC$5:AC111)</f>
        <v>29201.794727376393</v>
      </c>
      <c r="AL111" s="14">
        <f>SUM(AD$5:AD111)</f>
        <v>23541.942079326946</v>
      </c>
      <c r="AM111" s="14">
        <f>SUM(AE$5:AE111)</f>
        <v>12652.632493857931</v>
      </c>
      <c r="AR111" s="14">
        <v>107</v>
      </c>
      <c r="AS111" s="27">
        <f t="shared" si="29"/>
        <v>0.11200000000000002</v>
      </c>
      <c r="AT111" s="14">
        <f>求节点(E$28:E$32,$N$28:$N$32,$AR111)*$AS111*其他调用!V110/$E$4</f>
        <v>286.96419399325634</v>
      </c>
      <c r="AU111" s="14">
        <f>求节点(F$28:F$32,$N$28:$N$32,$AR111)*$AS111*其他调用!W110/$E$4</f>
        <v>354.40916090072847</v>
      </c>
      <c r="AV111" s="14">
        <f>求节点(G$28:G$32,$N$28:$N$32,$AR111)*$AS111*其他调用!X110/$E$4</f>
        <v>392.20405982874735</v>
      </c>
      <c r="AW111" s="14">
        <f>求节点(H$28:H$32,$N$28:$N$32,$AR111)*$AS111*其他调用!Y110/$E$4</f>
        <v>298.42917608176782</v>
      </c>
      <c r="AX111" s="14">
        <f>求节点(I$28:I$32,$N$28:$N$32,$AR111)*$AS111*其他调用!Z110/$E$4</f>
        <v>159.41125837300436</v>
      </c>
      <c r="BA111" s="14">
        <v>107</v>
      </c>
      <c r="BB111" s="14">
        <f>SUM(AT$5:AT111)</f>
        <v>3977.5106280985306</v>
      </c>
      <c r="BC111" s="14">
        <f>SUM(AU$5:AU111)</f>
        <v>4988.1659434445355</v>
      </c>
      <c r="BD111" s="14">
        <f>SUM(AV$5:AV111)</f>
        <v>5492.6287552801723</v>
      </c>
      <c r="BE111" s="14">
        <f>SUM(AW$5:AW111)</f>
        <v>4518.1169009794949</v>
      </c>
      <c r="BF111" s="14">
        <f>SUM(AX$5:AX111)</f>
        <v>2447.775657365823</v>
      </c>
      <c r="BI111" s="14">
        <v>107</v>
      </c>
      <c r="BJ111" s="14">
        <f t="shared" si="30"/>
        <v>79.550212561970596</v>
      </c>
      <c r="BK111" s="14">
        <f t="shared" si="31"/>
        <v>99.763318868890693</v>
      </c>
      <c r="BL111" s="14">
        <f t="shared" si="32"/>
        <v>109.85257510560344</v>
      </c>
      <c r="BM111" s="14">
        <f t="shared" si="33"/>
        <v>90.362338019589885</v>
      </c>
      <c r="BN111" s="14">
        <f t="shared" si="34"/>
        <v>48.955513147316445</v>
      </c>
      <c r="BO111" s="14">
        <f t="shared" si="35"/>
        <v>119.32531884295591</v>
      </c>
      <c r="BP111" s="14">
        <f t="shared" si="36"/>
        <v>149.64497830333605</v>
      </c>
      <c r="BQ111" s="14">
        <f t="shared" si="37"/>
        <v>164.77886265840516</v>
      </c>
      <c r="BR111" s="14">
        <f t="shared" si="38"/>
        <v>135.54350702938484</v>
      </c>
      <c r="BS111" s="14">
        <f t="shared" si="39"/>
        <v>73.433269720974693</v>
      </c>
      <c r="BT111" s="14">
        <f t="shared" si="40"/>
        <v>0</v>
      </c>
      <c r="BU111" s="14">
        <f t="shared" si="41"/>
        <v>0</v>
      </c>
      <c r="BV111" s="14">
        <f t="shared" si="42"/>
        <v>0</v>
      </c>
      <c r="BW111" s="14">
        <f t="shared" si="43"/>
        <v>0</v>
      </c>
      <c r="BX111" s="14">
        <f t="shared" si="44"/>
        <v>0</v>
      </c>
      <c r="BY111" s="14">
        <f t="shared" si="45"/>
        <v>994.37765702463264</v>
      </c>
      <c r="BZ111" s="14">
        <f t="shared" si="46"/>
        <v>1247.0414858611339</v>
      </c>
      <c r="CA111" s="14">
        <f t="shared" si="47"/>
        <v>1373.1571888200433</v>
      </c>
      <c r="CB111" s="14">
        <f t="shared" si="48"/>
        <v>1129.5292252448737</v>
      </c>
      <c r="CC111" s="14">
        <f t="shared" si="49"/>
        <v>611.94391434145575</v>
      </c>
    </row>
    <row r="112" spans="24:81" x14ac:dyDescent="0.15">
      <c r="X112" s="14">
        <v>108</v>
      </c>
      <c r="Y112" s="30">
        <f t="shared" si="50"/>
        <v>4.3499999999999996</v>
      </c>
      <c r="Z112" s="27">
        <f t="shared" si="28"/>
        <v>8.8000000000000009E-2</v>
      </c>
      <c r="AA112" s="14">
        <f>$Y112*$Z112*其他调用!V111</f>
        <v>2102.3964405987831</v>
      </c>
      <c r="AB112" s="14">
        <f>$Y112*$Z112*其他调用!W111</f>
        <v>2613.5758534221977</v>
      </c>
      <c r="AC112" s="14">
        <f>$Y112*$Z112*其他调用!X111</f>
        <v>2663.6238896869377</v>
      </c>
      <c r="AD112" s="14">
        <f>$Y112*$Z112*其他调用!Y111</f>
        <v>2191.4944574977012</v>
      </c>
      <c r="AE112" s="14">
        <f>$Y112*$Z112*其他调用!Z111</f>
        <v>1218.4537638136437</v>
      </c>
      <c r="AH112" s="14">
        <v>108</v>
      </c>
      <c r="AI112" s="14">
        <f>SUM(AA$5:AA112)</f>
        <v>23669.2081028352</v>
      </c>
      <c r="AJ112" s="14">
        <f>SUM(AB$5:AB112)</f>
        <v>29379.665947861748</v>
      </c>
      <c r="AK112" s="14">
        <f>SUM(AC$5:AC112)</f>
        <v>31865.418617063329</v>
      </c>
      <c r="AL112" s="14">
        <f>SUM(AD$5:AD112)</f>
        <v>25733.436536824647</v>
      </c>
      <c r="AM112" s="14">
        <f>SUM(AE$5:AE112)</f>
        <v>13871.086257671575</v>
      </c>
      <c r="AR112" s="14">
        <v>108</v>
      </c>
      <c r="AS112" s="27">
        <f t="shared" si="29"/>
        <v>0.11200000000000002</v>
      </c>
      <c r="AT112" s="14">
        <f>求节点(E$28:E$32,$N$28:$N$32,$AR112)*$AS112*其他调用!V111/$E$4</f>
        <v>307.56060782009365</v>
      </c>
      <c r="AU112" s="14">
        <f>求节点(F$28:F$32,$N$28:$N$32,$AR112)*$AS112*其他调用!W111/$E$4</f>
        <v>382.34129517148136</v>
      </c>
      <c r="AV112" s="14">
        <f>求节点(G$28:G$32,$N$28:$N$32,$AR112)*$AS112*其他调用!X111/$E$4</f>
        <v>389.6628469761456</v>
      </c>
      <c r="AW112" s="14">
        <f>求节点(H$28:H$32,$N$28:$N$32,$AR112)*$AS112*其他调用!Y111/$E$4</f>
        <v>320.59480046988318</v>
      </c>
      <c r="AX112" s="14">
        <f>求节点(I$28:I$32,$N$28:$N$32,$AR112)*$AS112*其他调用!Z111/$E$4</f>
        <v>178.24819951296774</v>
      </c>
      <c r="BA112" s="14">
        <v>108</v>
      </c>
      <c r="BB112" s="14">
        <f>SUM(AT$5:AT112)</f>
        <v>4285.0712359186246</v>
      </c>
      <c r="BC112" s="14">
        <f>SUM(AU$5:AU112)</f>
        <v>5370.5072386160173</v>
      </c>
      <c r="BD112" s="14">
        <f>SUM(AV$5:AV112)</f>
        <v>5882.2916022563177</v>
      </c>
      <c r="BE112" s="14">
        <f>SUM(AW$5:AW112)</f>
        <v>4838.7117014493779</v>
      </c>
      <c r="BF112" s="14">
        <f>SUM(AX$5:AX112)</f>
        <v>2626.0238568787909</v>
      </c>
      <c r="BI112" s="14">
        <v>108</v>
      </c>
      <c r="BJ112" s="14">
        <f t="shared" si="30"/>
        <v>85.701424718372465</v>
      </c>
      <c r="BK112" s="14">
        <f t="shared" si="31"/>
        <v>107.41014477232031</v>
      </c>
      <c r="BL112" s="14">
        <f t="shared" si="32"/>
        <v>117.64583204512633</v>
      </c>
      <c r="BM112" s="14">
        <f t="shared" si="33"/>
        <v>96.774234028987536</v>
      </c>
      <c r="BN112" s="14">
        <f t="shared" si="34"/>
        <v>52.520477137575803</v>
      </c>
      <c r="BO112" s="14">
        <f t="shared" si="35"/>
        <v>128.55213707755871</v>
      </c>
      <c r="BP112" s="14">
        <f t="shared" si="36"/>
        <v>161.1152171584805</v>
      </c>
      <c r="BQ112" s="14">
        <f t="shared" si="37"/>
        <v>176.46874806768955</v>
      </c>
      <c r="BR112" s="14">
        <f t="shared" si="38"/>
        <v>145.16135104348135</v>
      </c>
      <c r="BS112" s="14">
        <f t="shared" si="39"/>
        <v>78.780715706363722</v>
      </c>
      <c r="BT112" s="14">
        <f t="shared" si="40"/>
        <v>0</v>
      </c>
      <c r="BU112" s="14">
        <f t="shared" si="41"/>
        <v>0</v>
      </c>
      <c r="BV112" s="14">
        <f t="shared" si="42"/>
        <v>0</v>
      </c>
      <c r="BW112" s="14">
        <f t="shared" si="43"/>
        <v>0</v>
      </c>
      <c r="BX112" s="14">
        <f t="shared" si="44"/>
        <v>0</v>
      </c>
      <c r="BY112" s="14">
        <f t="shared" si="45"/>
        <v>1071.2678089796561</v>
      </c>
      <c r="BZ112" s="14">
        <f t="shared" si="46"/>
        <v>1342.6268096540043</v>
      </c>
      <c r="CA112" s="14">
        <f t="shared" si="47"/>
        <v>1470.5729005640794</v>
      </c>
      <c r="CB112" s="14">
        <f t="shared" si="48"/>
        <v>1209.6779253623445</v>
      </c>
      <c r="CC112" s="14">
        <f t="shared" si="49"/>
        <v>656.50596421969772</v>
      </c>
    </row>
    <row r="113" spans="24:81" x14ac:dyDescent="0.15">
      <c r="X113" s="14">
        <v>109</v>
      </c>
      <c r="Y113" s="30">
        <f t="shared" si="50"/>
        <v>4.4249999999999998</v>
      </c>
      <c r="Z113" s="27">
        <f t="shared" si="28"/>
        <v>8.8000000000000009E-2</v>
      </c>
      <c r="AA113" s="14">
        <f>$Y113*$Z113*其他调用!V112</f>
        <v>2292.1425871225151</v>
      </c>
      <c r="AB113" s="14">
        <f>$Y113*$Z113*其他调用!W112</f>
        <v>2709.9397183753731</v>
      </c>
      <c r="AC113" s="14">
        <f>$Y113*$Z113*其他调用!X112</f>
        <v>2957.6337692702714</v>
      </c>
      <c r="AD113" s="14">
        <f>$Y113*$Z113*其他调用!Y112</f>
        <v>2411.19220539659</v>
      </c>
      <c r="AE113" s="14">
        <f>$Y113*$Z113*其他调用!Z112</f>
        <v>1341.6880648792967</v>
      </c>
      <c r="AH113" s="14">
        <v>109</v>
      </c>
      <c r="AI113" s="14">
        <f>SUM(AA$5:AA113)</f>
        <v>25961.350689957715</v>
      </c>
      <c r="AJ113" s="14">
        <f>SUM(AB$5:AB113)</f>
        <v>32089.605666237119</v>
      </c>
      <c r="AK113" s="14">
        <f>SUM(AC$5:AC113)</f>
        <v>34823.052386333598</v>
      </c>
      <c r="AL113" s="14">
        <f>SUM(AD$5:AD113)</f>
        <v>28144.628742221237</v>
      </c>
      <c r="AM113" s="14">
        <f>SUM(AE$5:AE113)</f>
        <v>15212.774322550871</v>
      </c>
      <c r="AR113" s="14">
        <v>109</v>
      </c>
      <c r="AS113" s="27">
        <f t="shared" si="29"/>
        <v>0.11200000000000002</v>
      </c>
      <c r="AT113" s="14">
        <f>求节点(E$28:E$32,$N$28:$N$32,$AR113)*$AS113*其他调用!V112/$E$4</f>
        <v>329.63529758310438</v>
      </c>
      <c r="AU113" s="14">
        <f>求节点(F$28:F$32,$N$28:$N$32,$AR113)*$AS113*其他调用!W112/$E$4</f>
        <v>389.71911717776294</v>
      </c>
      <c r="AV113" s="14">
        <f>求节点(G$28:G$32,$N$28:$N$32,$AR113)*$AS113*其他调用!X112/$E$4</f>
        <v>425.34024416829794</v>
      </c>
      <c r="AW113" s="14">
        <f>求节点(H$28:H$32,$N$28:$N$32,$AR113)*$AS113*其他调用!Y112/$E$4</f>
        <v>346.75594119724974</v>
      </c>
      <c r="AX113" s="14">
        <f>求节点(I$28:I$32,$N$28:$N$32,$AR113)*$AS113*其他调用!Z112/$E$4</f>
        <v>192.94949058356605</v>
      </c>
      <c r="BA113" s="14">
        <v>109</v>
      </c>
      <c r="BB113" s="14">
        <f>SUM(AT$5:AT113)</f>
        <v>4614.7065335017287</v>
      </c>
      <c r="BC113" s="14">
        <f>SUM(AU$5:AU113)</f>
        <v>5760.2263557937804</v>
      </c>
      <c r="BD113" s="14">
        <f>SUM(AV$5:AV113)</f>
        <v>6307.631846424616</v>
      </c>
      <c r="BE113" s="14">
        <f>SUM(AW$5:AW113)</f>
        <v>5185.4676426466276</v>
      </c>
      <c r="BF113" s="14">
        <f>SUM(AX$5:AX113)</f>
        <v>2818.9733474623567</v>
      </c>
      <c r="BI113" s="14">
        <v>109</v>
      </c>
      <c r="BJ113" s="14">
        <f t="shared" si="30"/>
        <v>92.294130670034548</v>
      </c>
      <c r="BK113" s="14">
        <f t="shared" si="31"/>
        <v>115.20452711587559</v>
      </c>
      <c r="BL113" s="14">
        <f t="shared" si="32"/>
        <v>126.1526369284923</v>
      </c>
      <c r="BM113" s="14">
        <f t="shared" si="33"/>
        <v>103.70935285293254</v>
      </c>
      <c r="BN113" s="14">
        <f t="shared" si="34"/>
        <v>56.379466949247124</v>
      </c>
      <c r="BO113" s="14">
        <f t="shared" si="35"/>
        <v>138.44119600505184</v>
      </c>
      <c r="BP113" s="14">
        <f t="shared" si="36"/>
        <v>172.8067906738134</v>
      </c>
      <c r="BQ113" s="14">
        <f t="shared" si="37"/>
        <v>189.22895539273847</v>
      </c>
      <c r="BR113" s="14">
        <f t="shared" si="38"/>
        <v>155.56402927939882</v>
      </c>
      <c r="BS113" s="14">
        <f t="shared" si="39"/>
        <v>84.569200423870697</v>
      </c>
      <c r="BT113" s="14">
        <f t="shared" si="40"/>
        <v>0</v>
      </c>
      <c r="BU113" s="14">
        <f t="shared" si="41"/>
        <v>0</v>
      </c>
      <c r="BV113" s="14">
        <f t="shared" si="42"/>
        <v>0</v>
      </c>
      <c r="BW113" s="14">
        <f t="shared" si="43"/>
        <v>0</v>
      </c>
      <c r="BX113" s="14">
        <f t="shared" si="44"/>
        <v>0</v>
      </c>
      <c r="BY113" s="14">
        <f t="shared" si="45"/>
        <v>1153.6766333754322</v>
      </c>
      <c r="BZ113" s="14">
        <f t="shared" si="46"/>
        <v>1440.0565889484451</v>
      </c>
      <c r="CA113" s="14">
        <f t="shared" si="47"/>
        <v>1576.907961606154</v>
      </c>
      <c r="CB113" s="14">
        <f t="shared" si="48"/>
        <v>1296.3669106616569</v>
      </c>
      <c r="CC113" s="14">
        <f t="shared" si="49"/>
        <v>704.74333686558919</v>
      </c>
    </row>
    <row r="114" spans="24:81" x14ac:dyDescent="0.15">
      <c r="X114" s="14">
        <v>110</v>
      </c>
      <c r="Y114" s="30">
        <f t="shared" si="50"/>
        <v>4.5</v>
      </c>
      <c r="Z114" s="27">
        <f t="shared" si="28"/>
        <v>8.8000000000000009E-2</v>
      </c>
      <c r="AA114" s="14">
        <f>$Y114*$Z114*其他调用!V113</f>
        <v>2498.2958615869711</v>
      </c>
      <c r="AB114" s="14">
        <f>$Y114*$Z114*其他调用!W113</f>
        <v>3095.5460737671028</v>
      </c>
      <c r="AC114" s="14">
        <f>$Y114*$Z114*其他调用!X113</f>
        <v>3449.3067242458314</v>
      </c>
      <c r="AD114" s="14">
        <f>$Y114*$Z114*其他调用!Y113</f>
        <v>2837.8585715702911</v>
      </c>
      <c r="AE114" s="14">
        <f>$Y114*$Z114*其他调用!Z113</f>
        <v>1528.0333425352505</v>
      </c>
      <c r="AH114" s="14">
        <v>110</v>
      </c>
      <c r="AI114" s="14">
        <f>SUM(AA$5:AA114)</f>
        <v>28459.646551544687</v>
      </c>
      <c r="AJ114" s="14">
        <f>SUM(AB$5:AB114)</f>
        <v>35185.151740004221</v>
      </c>
      <c r="AK114" s="14">
        <f>SUM(AC$5:AC114)</f>
        <v>38272.359110579433</v>
      </c>
      <c r="AL114" s="14">
        <f>SUM(AD$5:AD114)</f>
        <v>30982.487313791527</v>
      </c>
      <c r="AM114" s="14">
        <f>SUM(AE$5:AE114)</f>
        <v>16740.807665086122</v>
      </c>
      <c r="AR114" s="14">
        <v>110</v>
      </c>
      <c r="AS114" s="27">
        <f t="shared" si="29"/>
        <v>0.11200000000000002</v>
      </c>
      <c r="AT114" s="14">
        <f>求节点(E$28:E$32,$N$28:$N$32,$AR114)*$AS114*其他调用!V113/$E$4</f>
        <v>353.29436426482425</v>
      </c>
      <c r="AU114" s="14">
        <f>求节点(F$28:F$32,$N$28:$N$32,$AR114)*$AS114*其他调用!W113/$E$4</f>
        <v>437.75399022969134</v>
      </c>
      <c r="AV114" s="14">
        <f>求节点(G$28:G$32,$N$28:$N$32,$AR114)*$AS114*其他调用!X113/$E$4</f>
        <v>487.78074888324898</v>
      </c>
      <c r="AW114" s="14">
        <f>求节点(H$28:H$32,$N$28:$N$32,$AR114)*$AS114*其他调用!Y113/$E$4</f>
        <v>401.31333335337456</v>
      </c>
      <c r="AX114" s="14">
        <f>求节点(I$28:I$32,$N$28:$N$32,$AR114)*$AS114*其他调用!Z113/$E$4</f>
        <v>216.08552318680313</v>
      </c>
      <c r="BA114" s="14">
        <v>110</v>
      </c>
      <c r="BB114" s="14">
        <f>SUM(AT$5:AT114)</f>
        <v>4968.000897766553</v>
      </c>
      <c r="BC114" s="14">
        <f>SUM(AU$5:AU114)</f>
        <v>6197.9803460234716</v>
      </c>
      <c r="BD114" s="14">
        <f>SUM(AV$5:AV114)</f>
        <v>6795.4125953078646</v>
      </c>
      <c r="BE114" s="14">
        <f>SUM(AW$5:AW114)</f>
        <v>5586.7809760000018</v>
      </c>
      <c r="BF114" s="14">
        <f>SUM(AX$5:AX114)</f>
        <v>3035.0588706491599</v>
      </c>
      <c r="BI114" s="14">
        <v>110</v>
      </c>
      <c r="BJ114" s="14">
        <f t="shared" si="30"/>
        <v>99.360017955331031</v>
      </c>
      <c r="BK114" s="14">
        <f t="shared" si="31"/>
        <v>123.9596069204694</v>
      </c>
      <c r="BL114" s="14">
        <f t="shared" si="32"/>
        <v>135.90825190615726</v>
      </c>
      <c r="BM114" s="14">
        <f t="shared" si="33"/>
        <v>111.73561952000003</v>
      </c>
      <c r="BN114" s="14">
        <f t="shared" si="34"/>
        <v>60.701177412983178</v>
      </c>
      <c r="BO114" s="14">
        <f t="shared" si="35"/>
        <v>149.04002693299657</v>
      </c>
      <c r="BP114" s="14">
        <f t="shared" si="36"/>
        <v>185.93941038070415</v>
      </c>
      <c r="BQ114" s="14">
        <f t="shared" si="37"/>
        <v>203.86237785923592</v>
      </c>
      <c r="BR114" s="14">
        <f t="shared" si="38"/>
        <v>167.60342928000006</v>
      </c>
      <c r="BS114" s="14">
        <f t="shared" si="39"/>
        <v>91.051766119474792</v>
      </c>
      <c r="BT114" s="14">
        <f t="shared" si="40"/>
        <v>0</v>
      </c>
      <c r="BU114" s="14">
        <f t="shared" si="41"/>
        <v>0</v>
      </c>
      <c r="BV114" s="14">
        <f t="shared" si="42"/>
        <v>0</v>
      </c>
      <c r="BW114" s="14">
        <f t="shared" si="43"/>
        <v>0</v>
      </c>
      <c r="BX114" s="14">
        <f t="shared" si="44"/>
        <v>0</v>
      </c>
      <c r="BY114" s="14">
        <f t="shared" si="45"/>
        <v>1242.0002244416382</v>
      </c>
      <c r="BZ114" s="14">
        <f t="shared" si="46"/>
        <v>1549.4950865058677</v>
      </c>
      <c r="CA114" s="14">
        <f t="shared" si="47"/>
        <v>1698.8531488269659</v>
      </c>
      <c r="CB114" s="14">
        <f t="shared" si="48"/>
        <v>1396.6952440000005</v>
      </c>
      <c r="CC114" s="14">
        <f t="shared" si="49"/>
        <v>758.76471766228997</v>
      </c>
    </row>
    <row r="115" spans="24:81" x14ac:dyDescent="0.15">
      <c r="X115" s="14">
        <v>111</v>
      </c>
      <c r="Y115" s="30">
        <f t="shared" si="50"/>
        <v>4.5750000000000002</v>
      </c>
      <c r="Z115" s="27">
        <f t="shared" si="28"/>
        <v>8.8000000000000009E-2</v>
      </c>
      <c r="AA115" s="14">
        <f>$Y115*$Z115*其他调用!V114</f>
        <v>2722.2339927800176</v>
      </c>
      <c r="AB115" s="14">
        <f>$Y115*$Z115*其他调用!W114</f>
        <v>3444.0369526213603</v>
      </c>
      <c r="AC115" s="14">
        <f>$Y115*$Z115*其他调用!X114</f>
        <v>3780.4927935918531</v>
      </c>
      <c r="AD115" s="14">
        <f>$Y115*$Z115*其他调用!Y114</f>
        <v>3118.3578078671103</v>
      </c>
      <c r="AE115" s="14">
        <f>$Y115*$Z115*其他调用!Z114</f>
        <v>1705.0517369029542</v>
      </c>
      <c r="AH115" s="14">
        <v>111</v>
      </c>
      <c r="AI115" s="14">
        <f>SUM(AA$5:AA115)</f>
        <v>31181.880544324704</v>
      </c>
      <c r="AJ115" s="14">
        <f>SUM(AB$5:AB115)</f>
        <v>38629.188692625583</v>
      </c>
      <c r="AK115" s="14">
        <f>SUM(AC$5:AC115)</f>
        <v>42052.851904171286</v>
      </c>
      <c r="AL115" s="14">
        <f>SUM(AD$5:AD115)</f>
        <v>34100.84512165864</v>
      </c>
      <c r="AM115" s="14">
        <f>SUM(AE$5:AE115)</f>
        <v>18445.859401989077</v>
      </c>
      <c r="AR115" s="14">
        <v>111</v>
      </c>
      <c r="AS115" s="27">
        <f t="shared" si="29"/>
        <v>0.11200000000000002</v>
      </c>
      <c r="AT115" s="14">
        <f>求节点(E$28:E$32,$N$28:$N$32,$AR115)*$AS115*其他调用!V114/$E$4</f>
        <v>378.65152408266516</v>
      </c>
      <c r="AU115" s="14">
        <f>求节点(F$28:F$32,$N$28:$N$32,$AR115)*$AS115*其他调用!W114/$E$4</f>
        <v>479.05133965920561</v>
      </c>
      <c r="AV115" s="14">
        <f>求节点(G$28:G$32,$N$28:$N$32,$AR115)*$AS115*其他调用!X114/$E$4</f>
        <v>525.85095986374506</v>
      </c>
      <c r="AW115" s="14">
        <f>求节点(H$28:H$32,$N$28:$N$32,$AR115)*$AS115*其他调用!Y114/$E$4</f>
        <v>433.75071346388017</v>
      </c>
      <c r="AX115" s="14">
        <f>求节点(I$28:I$32,$N$28:$N$32,$AR115)*$AS115*其他调用!Z114/$E$4</f>
        <v>237.16566633523456</v>
      </c>
      <c r="BA115" s="14">
        <v>111</v>
      </c>
      <c r="BB115" s="14">
        <f>SUM(AT$5:AT115)</f>
        <v>5346.6524218492177</v>
      </c>
      <c r="BC115" s="14">
        <f>SUM(AU$5:AU115)</f>
        <v>6677.0316856826776</v>
      </c>
      <c r="BD115" s="14">
        <f>SUM(AV$5:AV115)</f>
        <v>7321.2635551716094</v>
      </c>
      <c r="BE115" s="14">
        <f>SUM(AW$5:AW115)</f>
        <v>6020.5316894638818</v>
      </c>
      <c r="BF115" s="14">
        <f>SUM(AX$5:AX115)</f>
        <v>3272.2245369843945</v>
      </c>
      <c r="BI115" s="14">
        <v>111</v>
      </c>
      <c r="BJ115" s="14">
        <f t="shared" si="30"/>
        <v>106.93304843698434</v>
      </c>
      <c r="BK115" s="14">
        <f t="shared" si="31"/>
        <v>133.54063371365353</v>
      </c>
      <c r="BL115" s="14">
        <f t="shared" si="32"/>
        <v>146.42527110343215</v>
      </c>
      <c r="BM115" s="14">
        <f t="shared" si="33"/>
        <v>120.41063378927761</v>
      </c>
      <c r="BN115" s="14">
        <f t="shared" si="34"/>
        <v>65.444490739687879</v>
      </c>
      <c r="BO115" s="14">
        <f t="shared" si="35"/>
        <v>160.39957265547653</v>
      </c>
      <c r="BP115" s="14">
        <f t="shared" si="36"/>
        <v>200.31095057048032</v>
      </c>
      <c r="BQ115" s="14">
        <f t="shared" si="37"/>
        <v>219.63790665514824</v>
      </c>
      <c r="BR115" s="14">
        <f t="shared" si="38"/>
        <v>180.61595068391645</v>
      </c>
      <c r="BS115" s="14">
        <f t="shared" si="39"/>
        <v>98.166736109531826</v>
      </c>
      <c r="BT115" s="14">
        <f t="shared" si="40"/>
        <v>0</v>
      </c>
      <c r="BU115" s="14">
        <f t="shared" si="41"/>
        <v>0</v>
      </c>
      <c r="BV115" s="14">
        <f t="shared" si="42"/>
        <v>0</v>
      </c>
      <c r="BW115" s="14">
        <f t="shared" si="43"/>
        <v>0</v>
      </c>
      <c r="BX115" s="14">
        <f t="shared" si="44"/>
        <v>0</v>
      </c>
      <c r="BY115" s="14">
        <f t="shared" si="45"/>
        <v>1336.6631054623044</v>
      </c>
      <c r="BZ115" s="14">
        <f t="shared" si="46"/>
        <v>1669.2579214206694</v>
      </c>
      <c r="CA115" s="14">
        <f t="shared" si="47"/>
        <v>1830.3158887929023</v>
      </c>
      <c r="CB115" s="14">
        <f t="shared" si="48"/>
        <v>1505.1329223659704</v>
      </c>
      <c r="CC115" s="14">
        <f t="shared" si="49"/>
        <v>818.05613424609862</v>
      </c>
    </row>
    <row r="116" spans="24:81" x14ac:dyDescent="0.15">
      <c r="X116" s="14">
        <v>112</v>
      </c>
      <c r="Y116" s="30">
        <f t="shared" si="50"/>
        <v>4.6500000000000004</v>
      </c>
      <c r="Z116" s="27">
        <f t="shared" si="28"/>
        <v>8.8000000000000009E-2</v>
      </c>
      <c r="AA116" s="14">
        <f>$Y116*$Z116*其他调用!V115</f>
        <v>2965.447958050886</v>
      </c>
      <c r="AB116" s="14">
        <f>$Y116*$Z116*其他调用!W115</f>
        <v>3718.2424213345525</v>
      </c>
      <c r="AC116" s="14">
        <f>$Y116*$Z116*其他调用!X115</f>
        <v>4055.8335170709074</v>
      </c>
      <c r="AD116" s="14">
        <f>$Y116*$Z116*其他调用!Y115</f>
        <v>3317.7270718979789</v>
      </c>
      <c r="AE116" s="14">
        <f>$Y116*$Z116*其他调用!Z115</f>
        <v>1685.6293660392228</v>
      </c>
      <c r="AH116" s="14">
        <v>112</v>
      </c>
      <c r="AI116" s="14">
        <f>SUM(AA$5:AA116)</f>
        <v>34147.328502375589</v>
      </c>
      <c r="AJ116" s="14">
        <f>SUM(AB$5:AB116)</f>
        <v>42347.431113960134</v>
      </c>
      <c r="AK116" s="14">
        <f>SUM(AC$5:AC116)</f>
        <v>46108.685421242197</v>
      </c>
      <c r="AL116" s="14">
        <f>SUM(AD$5:AD116)</f>
        <v>37418.572193556618</v>
      </c>
      <c r="AM116" s="14">
        <f>SUM(AE$5:AE116)</f>
        <v>20131.488768028299</v>
      </c>
      <c r="AR116" s="14">
        <v>112</v>
      </c>
      <c r="AS116" s="27">
        <f t="shared" si="29"/>
        <v>0.11200000000000002</v>
      </c>
      <c r="AT116" s="14">
        <f>求节点(E$28:E$32,$N$28:$N$32,$AR116)*$AS116*其他调用!V115/$E$4</f>
        <v>405.82865506072733</v>
      </c>
      <c r="AU116" s="14">
        <f>求节点(F$28:F$32,$N$28:$N$32,$AR116)*$AS116*其他调用!W115/$E$4</f>
        <v>508.85038024128772</v>
      </c>
      <c r="AV116" s="14">
        <f>求节点(G$28:G$32,$N$28:$N$32,$AR116)*$AS116*其他调用!X115/$E$4</f>
        <v>555.05053019543209</v>
      </c>
      <c r="AW116" s="14">
        <f>求节点(H$28:H$32,$N$28:$N$32,$AR116)*$AS116*其他调用!Y115/$E$4</f>
        <v>454.03889546990911</v>
      </c>
      <c r="AX116" s="14">
        <f>求节点(I$28:I$32,$N$28:$N$32,$AR116)*$AS116*其他调用!Z115/$E$4</f>
        <v>230.68241568474212</v>
      </c>
      <c r="BA116" s="14">
        <v>112</v>
      </c>
      <c r="BB116" s="14">
        <f>SUM(AT$5:AT116)</f>
        <v>5752.4810769099449</v>
      </c>
      <c r="BC116" s="14">
        <f>SUM(AU$5:AU116)</f>
        <v>7185.8820659239655</v>
      </c>
      <c r="BD116" s="14">
        <f>SUM(AV$5:AV116)</f>
        <v>7876.3140853670411</v>
      </c>
      <c r="BE116" s="14">
        <f>SUM(AW$5:AW116)</f>
        <v>6474.570584933791</v>
      </c>
      <c r="BF116" s="14">
        <f>SUM(AX$5:AX116)</f>
        <v>3502.9069526691364</v>
      </c>
      <c r="BI116" s="14">
        <v>112</v>
      </c>
      <c r="BJ116" s="14">
        <f t="shared" si="30"/>
        <v>115.04962153819888</v>
      </c>
      <c r="BK116" s="14">
        <f t="shared" si="31"/>
        <v>143.71764131847928</v>
      </c>
      <c r="BL116" s="14">
        <f t="shared" si="32"/>
        <v>157.52628170734079</v>
      </c>
      <c r="BM116" s="14">
        <f t="shared" si="33"/>
        <v>129.49141169867579</v>
      </c>
      <c r="BN116" s="14">
        <f t="shared" si="34"/>
        <v>70.058139053382718</v>
      </c>
      <c r="BO116" s="14">
        <f t="shared" si="35"/>
        <v>172.57443230729834</v>
      </c>
      <c r="BP116" s="14">
        <f t="shared" si="36"/>
        <v>215.57646197771896</v>
      </c>
      <c r="BQ116" s="14">
        <f t="shared" si="37"/>
        <v>236.28942256101124</v>
      </c>
      <c r="BR116" s="14">
        <f t="shared" si="38"/>
        <v>194.23711754801371</v>
      </c>
      <c r="BS116" s="14">
        <f t="shared" si="39"/>
        <v>105.08720858007409</v>
      </c>
      <c r="BT116" s="14">
        <f t="shared" si="40"/>
        <v>0</v>
      </c>
      <c r="BU116" s="14">
        <f t="shared" si="41"/>
        <v>0</v>
      </c>
      <c r="BV116" s="14">
        <f t="shared" si="42"/>
        <v>0</v>
      </c>
      <c r="BW116" s="14">
        <f t="shared" si="43"/>
        <v>0</v>
      </c>
      <c r="BX116" s="14">
        <f t="shared" si="44"/>
        <v>0</v>
      </c>
      <c r="BY116" s="14">
        <f t="shared" si="45"/>
        <v>1438.1202692274862</v>
      </c>
      <c r="BZ116" s="14">
        <f t="shared" si="46"/>
        <v>1796.4705164809914</v>
      </c>
      <c r="CA116" s="14">
        <f t="shared" si="47"/>
        <v>1969.0785213417603</v>
      </c>
      <c r="CB116" s="14">
        <f t="shared" si="48"/>
        <v>1618.6426462334477</v>
      </c>
      <c r="CC116" s="14">
        <f t="shared" si="49"/>
        <v>875.72673816728411</v>
      </c>
    </row>
    <row r="117" spans="24:81" x14ac:dyDescent="0.15">
      <c r="X117" s="14">
        <v>113</v>
      </c>
      <c r="Y117" s="30">
        <f t="shared" si="50"/>
        <v>4.7249999999999996</v>
      </c>
      <c r="Z117" s="27">
        <f t="shared" si="28"/>
        <v>8.8000000000000009E-2</v>
      </c>
      <c r="AA117" s="14">
        <f>$Y117*$Z117*其他调用!V116</f>
        <v>3229.551142519349</v>
      </c>
      <c r="AB117" s="14">
        <f>$Y117*$Z117*其他调用!W116</f>
        <v>4038.1702535129571</v>
      </c>
      <c r="AC117" s="14">
        <f>$Y117*$Z117*其他调用!X116</f>
        <v>4439.3155430954521</v>
      </c>
      <c r="AD117" s="14">
        <f>$Y117*$Z117*其他调用!Y116</f>
        <v>3444.8385831619762</v>
      </c>
      <c r="AE117" s="14">
        <f>$Y117*$Z117*其他调用!Z116</f>
        <v>1819.1700222419574</v>
      </c>
      <c r="AH117" s="14">
        <v>113</v>
      </c>
      <c r="AI117" s="14">
        <f>SUM(AA$5:AA117)</f>
        <v>37376.879644894936</v>
      </c>
      <c r="AJ117" s="14">
        <f>SUM(AB$5:AB117)</f>
        <v>46385.601367473093</v>
      </c>
      <c r="AK117" s="14">
        <f>SUM(AC$5:AC117)</f>
        <v>50548.000964337647</v>
      </c>
      <c r="AL117" s="14">
        <f>SUM(AD$5:AD117)</f>
        <v>40863.410776718592</v>
      </c>
      <c r="AM117" s="14">
        <f>SUM(AE$5:AE117)</f>
        <v>21950.658790270256</v>
      </c>
      <c r="AR117" s="14">
        <v>113</v>
      </c>
      <c r="AS117" s="27">
        <f t="shared" si="29"/>
        <v>0.11200000000000002</v>
      </c>
      <c r="AT117" s="14">
        <f>求节点(E$28:E$32,$N$28:$N$32,$AR117)*$AS117*其他调用!V116/$E$4</f>
        <v>434.9563828308888</v>
      </c>
      <c r="AU117" s="14">
        <f>求节点(F$28:F$32,$N$28:$N$32,$AR117)*$AS117*其他调用!W116/$E$4</f>
        <v>543.86131360443881</v>
      </c>
      <c r="AV117" s="14">
        <f>求节点(G$28:G$32,$N$28:$N$32,$AR117)*$AS117*其他调用!X116/$E$4</f>
        <v>597.88761523171081</v>
      </c>
      <c r="AW117" s="14">
        <f>求节点(H$28:H$32,$N$28:$N$32,$AR117)*$AS117*其他调用!Y116/$E$4</f>
        <v>463.95132433157931</v>
      </c>
      <c r="AX117" s="14">
        <f>求节点(I$28:I$32,$N$28:$N$32,$AR117)*$AS117*其他调用!Z116/$E$4</f>
        <v>245.00606360161046</v>
      </c>
      <c r="BA117" s="14">
        <v>113</v>
      </c>
      <c r="BB117" s="14">
        <f>SUM(AT$5:AT117)</f>
        <v>6187.4374597408341</v>
      </c>
      <c r="BC117" s="14">
        <f>SUM(AU$5:AU117)</f>
        <v>7729.7433795284041</v>
      </c>
      <c r="BD117" s="14">
        <f>SUM(AV$5:AV117)</f>
        <v>8474.2017005987527</v>
      </c>
      <c r="BE117" s="14">
        <f>SUM(AW$5:AW117)</f>
        <v>6938.5219092653706</v>
      </c>
      <c r="BF117" s="14">
        <f>SUM(AX$5:AX117)</f>
        <v>3747.913016270747</v>
      </c>
      <c r="BI117" s="14">
        <v>113</v>
      </c>
      <c r="BJ117" s="14">
        <f t="shared" si="30"/>
        <v>123.74874919481665</v>
      </c>
      <c r="BK117" s="14">
        <f t="shared" si="31"/>
        <v>154.59486759056804</v>
      </c>
      <c r="BL117" s="14">
        <f t="shared" si="32"/>
        <v>169.48403401197501</v>
      </c>
      <c r="BM117" s="14">
        <f t="shared" si="33"/>
        <v>138.77043818530737</v>
      </c>
      <c r="BN117" s="14">
        <f t="shared" si="34"/>
        <v>74.958260325414926</v>
      </c>
      <c r="BO117" s="14">
        <f t="shared" si="35"/>
        <v>185.62312379222502</v>
      </c>
      <c r="BP117" s="14">
        <f t="shared" si="36"/>
        <v>231.89230138585214</v>
      </c>
      <c r="BQ117" s="14">
        <f t="shared" si="37"/>
        <v>254.22605101796256</v>
      </c>
      <c r="BR117" s="14">
        <f t="shared" si="38"/>
        <v>208.1556572779611</v>
      </c>
      <c r="BS117" s="14">
        <f t="shared" si="39"/>
        <v>112.4373904881224</v>
      </c>
      <c r="BT117" s="14">
        <f t="shared" si="40"/>
        <v>0</v>
      </c>
      <c r="BU117" s="14">
        <f t="shared" si="41"/>
        <v>0</v>
      </c>
      <c r="BV117" s="14">
        <f t="shared" si="42"/>
        <v>0</v>
      </c>
      <c r="BW117" s="14">
        <f t="shared" si="43"/>
        <v>0</v>
      </c>
      <c r="BX117" s="14">
        <f t="shared" si="44"/>
        <v>0</v>
      </c>
      <c r="BY117" s="14">
        <f t="shared" si="45"/>
        <v>1546.8593649352083</v>
      </c>
      <c r="BZ117" s="14">
        <f t="shared" si="46"/>
        <v>1932.435844882101</v>
      </c>
      <c r="CA117" s="14">
        <f t="shared" si="47"/>
        <v>2118.5504251496882</v>
      </c>
      <c r="CB117" s="14">
        <f t="shared" si="48"/>
        <v>1734.6304773163429</v>
      </c>
      <c r="CC117" s="14">
        <f t="shared" si="49"/>
        <v>936.97825406768675</v>
      </c>
    </row>
    <row r="118" spans="24:81" x14ac:dyDescent="0.15">
      <c r="X118" s="14">
        <v>114</v>
      </c>
      <c r="Y118" s="30">
        <f t="shared" si="50"/>
        <v>4.8</v>
      </c>
      <c r="Z118" s="27">
        <f t="shared" si="28"/>
        <v>8.8000000000000009E-2</v>
      </c>
      <c r="AA118" s="14">
        <f>$Y118*$Z118*其他调用!V117</f>
        <v>3516.2892296695541</v>
      </c>
      <c r="AB118" s="14">
        <f>$Y118*$Z118*其他调用!W117</f>
        <v>4383.4615340886694</v>
      </c>
      <c r="AC118" s="14">
        <f>$Y118*$Z118*其他调用!X117</f>
        <v>4599.5126749673582</v>
      </c>
      <c r="AD118" s="14">
        <f>$Y118*$Z118*其他调用!Y117</f>
        <v>3637.0391286461913</v>
      </c>
      <c r="AE118" s="14">
        <f>$Y118*$Z118*其他调用!Z117</f>
        <v>1973.5974807374275</v>
      </c>
      <c r="AH118" s="14">
        <v>114</v>
      </c>
      <c r="AI118" s="14">
        <f>SUM(AA$5:AA118)</f>
        <v>40893.168874564493</v>
      </c>
      <c r="AJ118" s="14">
        <f>SUM(AB$5:AB118)</f>
        <v>50769.06290156176</v>
      </c>
      <c r="AK118" s="14">
        <f>SUM(AC$5:AC118)</f>
        <v>55147.513639305005</v>
      </c>
      <c r="AL118" s="14">
        <f>SUM(AD$5:AD118)</f>
        <v>44500.449905364781</v>
      </c>
      <c r="AM118" s="14">
        <f>SUM(AE$5:AE118)</f>
        <v>23924.256271007682</v>
      </c>
      <c r="AR118" s="14">
        <v>114</v>
      </c>
      <c r="AS118" s="27">
        <f t="shared" si="29"/>
        <v>0.11200000000000002</v>
      </c>
      <c r="AT118" s="14">
        <f>求节点(E$28:E$32,$N$28:$N$32,$AR118)*$AS118*其他调用!V117/$E$4</f>
        <v>466.17470847891815</v>
      </c>
      <c r="AU118" s="14">
        <f>求节点(F$28:F$32,$N$28:$N$32,$AR118)*$AS118*其他调用!W117/$E$4</f>
        <v>581.14073368599782</v>
      </c>
      <c r="AV118" s="14">
        <f>求节点(G$28:G$32,$N$28:$N$32,$AR118)*$AS118*其他调用!X117/$E$4</f>
        <v>609.78387736309674</v>
      </c>
      <c r="AW118" s="14">
        <f>求节点(H$28:H$32,$N$28:$N$32,$AR118)*$AS118*其他调用!Y117/$E$4</f>
        <v>482.18321781294208</v>
      </c>
      <c r="AX118" s="14">
        <f>求节点(I$28:I$32,$N$28:$N$32,$AR118)*$AS118*其他调用!Z117/$E$4</f>
        <v>261.65118115837106</v>
      </c>
      <c r="BA118" s="14">
        <v>114</v>
      </c>
      <c r="BB118" s="14">
        <f>SUM(AT$5:AT118)</f>
        <v>6653.6121682197527</v>
      </c>
      <c r="BC118" s="14">
        <f>SUM(AU$5:AU118)</f>
        <v>8310.8841132144025</v>
      </c>
      <c r="BD118" s="14">
        <f>SUM(AV$5:AV118)</f>
        <v>9083.9855779618501</v>
      </c>
      <c r="BE118" s="14">
        <f>SUM(AW$5:AW118)</f>
        <v>7420.7051270783122</v>
      </c>
      <c r="BF118" s="14">
        <f>SUM(AX$5:AX118)</f>
        <v>4009.5641974291179</v>
      </c>
      <c r="BI118" s="14">
        <v>114</v>
      </c>
      <c r="BJ118" s="14">
        <f t="shared" si="30"/>
        <v>133.07224336439504</v>
      </c>
      <c r="BK118" s="14">
        <f t="shared" si="31"/>
        <v>166.21768226428802</v>
      </c>
      <c r="BL118" s="14">
        <f t="shared" si="32"/>
        <v>181.67971155923698</v>
      </c>
      <c r="BM118" s="14">
        <f t="shared" si="33"/>
        <v>148.41410254156622</v>
      </c>
      <c r="BN118" s="14">
        <f t="shared" si="34"/>
        <v>80.191283948582338</v>
      </c>
      <c r="BO118" s="14">
        <f t="shared" si="35"/>
        <v>199.60836504659258</v>
      </c>
      <c r="BP118" s="14">
        <f t="shared" si="36"/>
        <v>249.32652339643204</v>
      </c>
      <c r="BQ118" s="14">
        <f t="shared" si="37"/>
        <v>272.5195673388555</v>
      </c>
      <c r="BR118" s="14">
        <f t="shared" si="38"/>
        <v>222.62115381234935</v>
      </c>
      <c r="BS118" s="14">
        <f t="shared" si="39"/>
        <v>120.28692592287352</v>
      </c>
      <c r="BT118" s="14">
        <f t="shared" si="40"/>
        <v>0</v>
      </c>
      <c r="BU118" s="14">
        <f t="shared" si="41"/>
        <v>0</v>
      </c>
      <c r="BV118" s="14">
        <f t="shared" si="42"/>
        <v>0</v>
      </c>
      <c r="BW118" s="14">
        <f t="shared" si="43"/>
        <v>0</v>
      </c>
      <c r="BX118" s="14">
        <f t="shared" si="44"/>
        <v>0</v>
      </c>
      <c r="BY118" s="14">
        <f t="shared" si="45"/>
        <v>1663.4030420549382</v>
      </c>
      <c r="BZ118" s="14">
        <f t="shared" si="46"/>
        <v>2077.7210283036006</v>
      </c>
      <c r="CA118" s="14">
        <f t="shared" si="47"/>
        <v>2270.9963944904625</v>
      </c>
      <c r="CB118" s="14">
        <f t="shared" si="48"/>
        <v>1855.1762817695781</v>
      </c>
      <c r="CC118" s="14">
        <f t="shared" si="49"/>
        <v>1002.3910493572795</v>
      </c>
    </row>
    <row r="119" spans="24:81" x14ac:dyDescent="0.15">
      <c r="X119" s="14">
        <v>115</v>
      </c>
      <c r="Y119" s="30">
        <f t="shared" si="50"/>
        <v>4.875</v>
      </c>
      <c r="Z119" s="27">
        <f t="shared" si="28"/>
        <v>8.8000000000000009E-2</v>
      </c>
      <c r="AA119" s="14">
        <f>$Y119*$Z119*其他调用!V118</f>
        <v>3827.5508811332779</v>
      </c>
      <c r="AB119" s="14">
        <f>$Y119*$Z119*其他调用!W118</f>
        <v>4556.2289246747569</v>
      </c>
      <c r="AC119" s="14">
        <f>$Y119*$Z119*其他调用!X118</f>
        <v>4824.9966944427388</v>
      </c>
      <c r="AD119" s="14">
        <f>$Y119*$Z119*其他调用!Y118</f>
        <v>3878.732275630221</v>
      </c>
      <c r="AE119" s="14">
        <f>$Y119*$Z119*其他调用!Z118</f>
        <v>2114.9969690575631</v>
      </c>
      <c r="AH119" s="14">
        <v>115</v>
      </c>
      <c r="AI119" s="14">
        <f>SUM(AA$5:AA119)</f>
        <v>44720.71975569777</v>
      </c>
      <c r="AJ119" s="14">
        <f>SUM(AB$5:AB119)</f>
        <v>55325.291826236513</v>
      </c>
      <c r="AK119" s="14">
        <f>SUM(AC$5:AC119)</f>
        <v>59972.510333747741</v>
      </c>
      <c r="AL119" s="14">
        <f>SUM(AD$5:AD119)</f>
        <v>48379.182180995005</v>
      </c>
      <c r="AM119" s="14">
        <f>SUM(AE$5:AE119)</f>
        <v>26039.253240065245</v>
      </c>
      <c r="AR119" s="14">
        <v>115</v>
      </c>
      <c r="AS119" s="27">
        <f t="shared" si="29"/>
        <v>0.11200000000000002</v>
      </c>
      <c r="AT119" s="14">
        <f>求节点(E$28:E$32,$N$28:$N$32,$AR119)*$AS119*其他调用!V118/$E$4</f>
        <v>499.63368145329503</v>
      </c>
      <c r="AU119" s="14">
        <f>求节点(F$28:F$32,$N$28:$N$32,$AR119)*$AS119*其他调用!W118/$E$4</f>
        <v>594.75249366383775</v>
      </c>
      <c r="AV119" s="14">
        <f>求节点(G$28:G$32,$N$28:$N$32,$AR119)*$AS119*其他调用!X118/$E$4</f>
        <v>629.8363983421757</v>
      </c>
      <c r="AW119" s="14">
        <f>求节点(H$28:H$32,$N$28:$N$32,$AR119)*$AS119*其他调用!Y118/$E$4</f>
        <v>506.3147026463692</v>
      </c>
      <c r="AX119" s="14">
        <f>求节点(I$28:I$32,$N$28:$N$32,$AR119)*$AS119*其他调用!Z118/$E$4</f>
        <v>276.0835204364185</v>
      </c>
      <c r="BA119" s="14">
        <v>115</v>
      </c>
      <c r="BB119" s="14">
        <f>SUM(AT$5:AT119)</f>
        <v>7153.2458496730478</v>
      </c>
      <c r="BC119" s="14">
        <f>SUM(AU$5:AU119)</f>
        <v>8905.6366068782409</v>
      </c>
      <c r="BD119" s="14">
        <f>SUM(AV$5:AV119)</f>
        <v>9713.8219763040252</v>
      </c>
      <c r="BE119" s="14">
        <f>SUM(AW$5:AW119)</f>
        <v>7927.0198297246816</v>
      </c>
      <c r="BF119" s="14">
        <f>SUM(AX$5:AX119)</f>
        <v>4285.6477178655368</v>
      </c>
      <c r="BI119" s="14">
        <v>115</v>
      </c>
      <c r="BJ119" s="14">
        <f t="shared" si="30"/>
        <v>143.06491699346094</v>
      </c>
      <c r="BK119" s="14">
        <f t="shared" si="31"/>
        <v>178.11273213756479</v>
      </c>
      <c r="BL119" s="14">
        <f t="shared" si="32"/>
        <v>194.27643952608045</v>
      </c>
      <c r="BM119" s="14">
        <f t="shared" si="33"/>
        <v>158.54039659449359</v>
      </c>
      <c r="BN119" s="14">
        <f t="shared" si="34"/>
        <v>85.712954357310721</v>
      </c>
      <c r="BO119" s="14">
        <f t="shared" si="35"/>
        <v>214.59737549019141</v>
      </c>
      <c r="BP119" s="14">
        <f t="shared" si="36"/>
        <v>267.16909820634726</v>
      </c>
      <c r="BQ119" s="14">
        <f t="shared" si="37"/>
        <v>291.41465928912078</v>
      </c>
      <c r="BR119" s="14">
        <f t="shared" si="38"/>
        <v>237.81059489174044</v>
      </c>
      <c r="BS119" s="14">
        <f t="shared" si="39"/>
        <v>128.56943153596609</v>
      </c>
      <c r="BT119" s="14">
        <f t="shared" si="40"/>
        <v>0</v>
      </c>
      <c r="BU119" s="14">
        <f t="shared" si="41"/>
        <v>0</v>
      </c>
      <c r="BV119" s="14">
        <f t="shared" si="42"/>
        <v>0</v>
      </c>
      <c r="BW119" s="14">
        <f t="shared" si="43"/>
        <v>0</v>
      </c>
      <c r="BX119" s="14">
        <f t="shared" si="44"/>
        <v>0</v>
      </c>
      <c r="BY119" s="14">
        <f t="shared" si="45"/>
        <v>1788.311462418262</v>
      </c>
      <c r="BZ119" s="14">
        <f t="shared" si="46"/>
        <v>2226.4091517195602</v>
      </c>
      <c r="CA119" s="14">
        <f t="shared" si="47"/>
        <v>2428.4554940760063</v>
      </c>
      <c r="CB119" s="14">
        <f t="shared" si="48"/>
        <v>1981.7549574311704</v>
      </c>
      <c r="CC119" s="14">
        <f t="shared" si="49"/>
        <v>1071.4119294663842</v>
      </c>
    </row>
    <row r="120" spans="24:81" x14ac:dyDescent="0.15">
      <c r="X120" s="14">
        <v>116</v>
      </c>
      <c r="Y120" s="30">
        <f t="shared" si="50"/>
        <v>4.95</v>
      </c>
      <c r="Z120" s="27">
        <f t="shared" si="28"/>
        <v>8.8000000000000009E-2</v>
      </c>
      <c r="AA120" s="14">
        <f>$Y120*$Z120*其他调用!V119</f>
        <v>4165.3792679968819</v>
      </c>
      <c r="AB120" s="14">
        <f>$Y120*$Z120*其他调用!W119</f>
        <v>5070.6003643970325</v>
      </c>
      <c r="AC120" s="14">
        <f>$Y120*$Z120*其他调用!X119</f>
        <v>5508.2294255383786</v>
      </c>
      <c r="AD120" s="14">
        <f>$Y120*$Z120*其他调用!Y119</f>
        <v>4574.6071890700186</v>
      </c>
      <c r="AE120" s="14">
        <f>$Y120*$Z120*其他调用!Z119</f>
        <v>2444.5614854918244</v>
      </c>
      <c r="AH120" s="14">
        <v>116</v>
      </c>
      <c r="AI120" s="14">
        <f>SUM(AA$5:AA120)</f>
        <v>48886.099023694653</v>
      </c>
      <c r="AJ120" s="14">
        <f>SUM(AB$5:AB120)</f>
        <v>60395.892190633545</v>
      </c>
      <c r="AK120" s="14">
        <f>SUM(AC$5:AC120)</f>
        <v>65480.739759286123</v>
      </c>
      <c r="AL120" s="14">
        <f>SUM(AD$5:AD120)</f>
        <v>52953.789370065024</v>
      </c>
      <c r="AM120" s="14">
        <f>SUM(AE$5:AE120)</f>
        <v>28483.814725557069</v>
      </c>
      <c r="AR120" s="14">
        <v>116</v>
      </c>
      <c r="AS120" s="27">
        <f t="shared" si="29"/>
        <v>0.11200000000000002</v>
      </c>
      <c r="AT120" s="14">
        <f>求节点(E$28:E$32,$N$28:$N$32,$AR120)*$AS120*其他调用!V119/$E$4</f>
        <v>535.49412077094905</v>
      </c>
      <c r="AU120" s="14">
        <f>求节点(F$28:F$32,$N$28:$N$32,$AR120)*$AS120*其他调用!W119/$E$4</f>
        <v>651.86781544130815</v>
      </c>
      <c r="AV120" s="14">
        <f>求节点(G$28:G$32,$N$28:$N$32,$AR120)*$AS120*其他调用!X119/$E$4</f>
        <v>708.12866811329025</v>
      </c>
      <c r="AW120" s="14">
        <f>求节点(H$28:H$32,$N$28:$N$32,$AR120)*$AS120*其他调用!Y119/$E$4</f>
        <v>588.10377086299593</v>
      </c>
      <c r="AX120" s="14">
        <f>求节点(I$28:I$32,$N$28:$N$32,$AR120)*$AS120*其他调用!Z119/$E$4</f>
        <v>314.26869418627678</v>
      </c>
      <c r="BA120" s="14">
        <v>116</v>
      </c>
      <c r="BB120" s="14">
        <f>SUM(AT$5:AT120)</f>
        <v>7688.7399704439968</v>
      </c>
      <c r="BC120" s="14">
        <f>SUM(AU$5:AU120)</f>
        <v>9557.5044223195491</v>
      </c>
      <c r="BD120" s="14">
        <f>SUM(AV$5:AV120)</f>
        <v>10421.950644417315</v>
      </c>
      <c r="BE120" s="14">
        <f>SUM(AW$5:AW120)</f>
        <v>8515.1236005876781</v>
      </c>
      <c r="BF120" s="14">
        <f>SUM(AX$5:AX120)</f>
        <v>4599.9164120518135</v>
      </c>
      <c r="BI120" s="14">
        <v>116</v>
      </c>
      <c r="BJ120" s="14">
        <f t="shared" si="30"/>
        <v>153.77479940887991</v>
      </c>
      <c r="BK120" s="14">
        <f t="shared" si="31"/>
        <v>191.15008844639095</v>
      </c>
      <c r="BL120" s="14">
        <f t="shared" si="32"/>
        <v>208.43901288834627</v>
      </c>
      <c r="BM120" s="14">
        <f t="shared" si="33"/>
        <v>170.30247201175354</v>
      </c>
      <c r="BN120" s="14">
        <f t="shared" si="34"/>
        <v>91.998328241036248</v>
      </c>
      <c r="BO120" s="14">
        <f t="shared" si="35"/>
        <v>230.6621991133199</v>
      </c>
      <c r="BP120" s="14">
        <f t="shared" si="36"/>
        <v>286.72513266958646</v>
      </c>
      <c r="BQ120" s="14">
        <f t="shared" si="37"/>
        <v>312.6585193325194</v>
      </c>
      <c r="BR120" s="14">
        <f t="shared" si="38"/>
        <v>255.45370801763033</v>
      </c>
      <c r="BS120" s="14">
        <f t="shared" si="39"/>
        <v>137.99749236155441</v>
      </c>
      <c r="BT120" s="14">
        <f t="shared" si="40"/>
        <v>0</v>
      </c>
      <c r="BU120" s="14">
        <f t="shared" si="41"/>
        <v>0</v>
      </c>
      <c r="BV120" s="14">
        <f t="shared" si="42"/>
        <v>0</v>
      </c>
      <c r="BW120" s="14">
        <f t="shared" si="43"/>
        <v>0</v>
      </c>
      <c r="BX120" s="14">
        <f t="shared" si="44"/>
        <v>0</v>
      </c>
      <c r="BY120" s="14">
        <f t="shared" si="45"/>
        <v>1922.184992610999</v>
      </c>
      <c r="BZ120" s="14">
        <f t="shared" si="46"/>
        <v>2389.3761055798873</v>
      </c>
      <c r="CA120" s="14">
        <f t="shared" si="47"/>
        <v>2605.4876611043292</v>
      </c>
      <c r="CB120" s="14">
        <f t="shared" si="48"/>
        <v>2128.7809001469195</v>
      </c>
      <c r="CC120" s="14">
        <f t="shared" si="49"/>
        <v>1149.9791030129534</v>
      </c>
    </row>
    <row r="121" spans="24:81" x14ac:dyDescent="0.15">
      <c r="X121" s="14">
        <v>117</v>
      </c>
      <c r="Y121" s="30">
        <f t="shared" si="50"/>
        <v>5.0250000000000004</v>
      </c>
      <c r="Z121" s="27">
        <f t="shared" si="28"/>
        <v>8.8000000000000009E-2</v>
      </c>
      <c r="AA121" s="14">
        <f>$Y121*$Z121*其他调用!V120</f>
        <v>4531.9845208505776</v>
      </c>
      <c r="AB121" s="14">
        <f>$Y121*$Z121*其他调用!W120</f>
        <v>5628.5216618553704</v>
      </c>
      <c r="AC121" s="14">
        <f>$Y121*$Z121*其他调用!X120</f>
        <v>6186.6050496029911</v>
      </c>
      <c r="AD121" s="14">
        <f>$Y121*$Z121*其他调用!Y120</f>
        <v>4965.1261531615191</v>
      </c>
      <c r="AE121" s="14">
        <f>$Y121*$Z121*其他调用!Z120</f>
        <v>2720.30827996157</v>
      </c>
      <c r="AH121" s="14">
        <v>117</v>
      </c>
      <c r="AI121" s="14">
        <f>SUM(AA$5:AA121)</f>
        <v>53418.083544545232</v>
      </c>
      <c r="AJ121" s="14">
        <f>SUM(AB$5:AB121)</f>
        <v>66024.413852488913</v>
      </c>
      <c r="AK121" s="14">
        <f>SUM(AC$5:AC121)</f>
        <v>71667.344808889116</v>
      </c>
      <c r="AL121" s="14">
        <f>SUM(AD$5:AD121)</f>
        <v>57918.91552322654</v>
      </c>
      <c r="AM121" s="14">
        <f>SUM(AE$5:AE121)</f>
        <v>31204.123005518639</v>
      </c>
      <c r="AR121" s="14">
        <v>117</v>
      </c>
      <c r="AS121" s="27">
        <f t="shared" si="29"/>
        <v>0.11200000000000002</v>
      </c>
      <c r="AT121" s="14">
        <f>求节点(E$28:E$32,$N$28:$N$32,$AR121)*$AS121*其他调用!V120/$E$4</f>
        <v>573.9283879865045</v>
      </c>
      <c r="AU121" s="14">
        <f>求节点(F$28:F$32,$N$28:$N$32,$AR121)*$AS121*其他调用!W120/$E$4</f>
        <v>712.79333573925999</v>
      </c>
      <c r="AV121" s="14">
        <f>求节点(G$28:G$32,$N$28:$N$32,$AR121)*$AS121*其他调用!X120/$E$4</f>
        <v>783.46875345492424</v>
      </c>
      <c r="AW121" s="14">
        <f>求节点(H$28:H$32,$N$28:$N$32,$AR121)*$AS121*其他调用!Y120/$E$4</f>
        <v>628.78124056319552</v>
      </c>
      <c r="AX121" s="14">
        <f>求节点(I$28:I$32,$N$28:$N$32,$AR121)*$AS121*其他调用!Z120/$E$4</f>
        <v>344.49856100824945</v>
      </c>
      <c r="BA121" s="14">
        <v>117</v>
      </c>
      <c r="BB121" s="14">
        <f>SUM(AT$5:AT121)</f>
        <v>8262.668358430501</v>
      </c>
      <c r="BC121" s="14">
        <f>SUM(AU$5:AU121)</f>
        <v>10270.297758058809</v>
      </c>
      <c r="BD121" s="14">
        <f>SUM(AV$5:AV121)</f>
        <v>11205.41939787224</v>
      </c>
      <c r="BE121" s="14">
        <f>SUM(AW$5:AW121)</f>
        <v>9143.9048411508738</v>
      </c>
      <c r="BF121" s="14">
        <f>SUM(AX$5:AX121)</f>
        <v>4944.4149730600629</v>
      </c>
      <c r="BI121" s="14">
        <v>117</v>
      </c>
      <c r="BJ121" s="14">
        <f t="shared" si="30"/>
        <v>165.25336716860997</v>
      </c>
      <c r="BK121" s="14">
        <f t="shared" si="31"/>
        <v>205.40595516117614</v>
      </c>
      <c r="BL121" s="14">
        <f t="shared" si="32"/>
        <v>224.10838795744476</v>
      </c>
      <c r="BM121" s="14">
        <f t="shared" si="33"/>
        <v>182.87809682301742</v>
      </c>
      <c r="BN121" s="14">
        <f t="shared" si="34"/>
        <v>98.888299461201228</v>
      </c>
      <c r="BO121" s="14">
        <f t="shared" si="35"/>
        <v>247.88005075291503</v>
      </c>
      <c r="BP121" s="14">
        <f t="shared" si="36"/>
        <v>308.10893274176425</v>
      </c>
      <c r="BQ121" s="14">
        <f t="shared" si="37"/>
        <v>336.16258193616716</v>
      </c>
      <c r="BR121" s="14">
        <f t="shared" si="38"/>
        <v>274.31714523452621</v>
      </c>
      <c r="BS121" s="14">
        <f t="shared" si="39"/>
        <v>148.33244919180189</v>
      </c>
      <c r="BT121" s="14">
        <f t="shared" si="40"/>
        <v>0</v>
      </c>
      <c r="BU121" s="14">
        <f t="shared" si="41"/>
        <v>0</v>
      </c>
      <c r="BV121" s="14">
        <f t="shared" si="42"/>
        <v>0</v>
      </c>
      <c r="BW121" s="14">
        <f t="shared" si="43"/>
        <v>0</v>
      </c>
      <c r="BX121" s="14">
        <f t="shared" si="44"/>
        <v>0</v>
      </c>
      <c r="BY121" s="14">
        <f t="shared" si="45"/>
        <v>2065.6670896076253</v>
      </c>
      <c r="BZ121" s="14">
        <f t="shared" si="46"/>
        <v>2567.5744395147021</v>
      </c>
      <c r="CA121" s="14">
        <f t="shared" si="47"/>
        <v>2801.3548494680599</v>
      </c>
      <c r="CB121" s="14">
        <f t="shared" si="48"/>
        <v>2285.9762102877185</v>
      </c>
      <c r="CC121" s="14">
        <f t="shared" si="49"/>
        <v>1236.1037432650157</v>
      </c>
    </row>
    <row r="122" spans="24:81" x14ac:dyDescent="0.15">
      <c r="X122" s="14">
        <v>118</v>
      </c>
      <c r="Y122" s="30">
        <f t="shared" si="50"/>
        <v>5.0999999999999996</v>
      </c>
      <c r="Z122" s="27">
        <f t="shared" si="28"/>
        <v>8.8000000000000009E-2</v>
      </c>
      <c r="AA122" s="14">
        <f>$Y122*$Z122*其他调用!V121</f>
        <v>4929.7571710593456</v>
      </c>
      <c r="AB122" s="14">
        <f>$Y122*$Z122*其他调用!W121</f>
        <v>6123.9739575039866</v>
      </c>
      <c r="AC122" s="14">
        <f>$Y122*$Z122*其他调用!X121</f>
        <v>6678.1972652889372</v>
      </c>
      <c r="AD122" s="14">
        <f>$Y122*$Z122*其他调用!Y121</f>
        <v>5518.4747211294607</v>
      </c>
      <c r="AE122" s="14">
        <f>$Y122*$Z122*其他调用!Z121</f>
        <v>2914.0506179261088</v>
      </c>
      <c r="AH122" s="14">
        <v>118</v>
      </c>
      <c r="AI122" s="14">
        <f>SUM(AA$5:AA122)</f>
        <v>58347.84071560458</v>
      </c>
      <c r="AJ122" s="14">
        <f>SUM(AB$5:AB122)</f>
        <v>72148.387809992899</v>
      </c>
      <c r="AK122" s="14">
        <f>SUM(AC$5:AC122)</f>
        <v>78345.542074178054</v>
      </c>
      <c r="AL122" s="14">
        <f>SUM(AD$5:AD122)</f>
        <v>63437.390244356</v>
      </c>
      <c r="AM122" s="14">
        <f>SUM(AE$5:AE122)</f>
        <v>34118.173623444745</v>
      </c>
      <c r="AR122" s="14">
        <v>118</v>
      </c>
      <c r="AS122" s="27">
        <f t="shared" si="29"/>
        <v>0.11200000000000002</v>
      </c>
      <c r="AT122" s="14">
        <f>求节点(E$28:E$32,$N$28:$N$32,$AR122)*$AS122*其他调用!V121/$E$4</f>
        <v>615.12121564020367</v>
      </c>
      <c r="AU122" s="14">
        <f>求节点(F$28:F$32,$N$28:$N$32,$AR122)*$AS122*其他调用!W121/$E$4</f>
        <v>764.13222286146004</v>
      </c>
      <c r="AV122" s="14">
        <f>求节点(G$28:G$32,$N$28:$N$32,$AR122)*$AS122*其他调用!X121/$E$4</f>
        <v>833.28664629273737</v>
      </c>
      <c r="AW122" s="14">
        <f>求节点(H$28:H$32,$N$28:$N$32,$AR122)*$AS122*其他调用!Y121/$E$4</f>
        <v>688.57973347426423</v>
      </c>
      <c r="AX122" s="14">
        <f>求节点(I$28:I$32,$N$28:$N$32,$AR122)*$AS122*其他调用!Z121/$E$4</f>
        <v>363.60702897473732</v>
      </c>
      <c r="BA122" s="14">
        <v>118</v>
      </c>
      <c r="BB122" s="14">
        <f>SUM(AT$5:AT122)</f>
        <v>8877.7895740707045</v>
      </c>
      <c r="BC122" s="14">
        <f>SUM(AU$5:AU122)</f>
        <v>11034.429980920269</v>
      </c>
      <c r="BD122" s="14">
        <f>SUM(AV$5:AV122)</f>
        <v>12038.706044164977</v>
      </c>
      <c r="BE122" s="14">
        <f>SUM(AW$5:AW122)</f>
        <v>9832.4845746251376</v>
      </c>
      <c r="BF122" s="14">
        <f>SUM(AX$5:AX122)</f>
        <v>5308.0220020348006</v>
      </c>
      <c r="BI122" s="14">
        <v>118</v>
      </c>
      <c r="BJ122" s="14">
        <f t="shared" si="30"/>
        <v>177.55579148141405</v>
      </c>
      <c r="BK122" s="14">
        <f t="shared" si="31"/>
        <v>220.68859961840536</v>
      </c>
      <c r="BL122" s="14">
        <f t="shared" si="32"/>
        <v>240.77412088329947</v>
      </c>
      <c r="BM122" s="14">
        <f t="shared" si="33"/>
        <v>196.64969149250271</v>
      </c>
      <c r="BN122" s="14">
        <f t="shared" si="34"/>
        <v>106.16044004069599</v>
      </c>
      <c r="BO122" s="14">
        <f t="shared" si="35"/>
        <v>266.33368722212111</v>
      </c>
      <c r="BP122" s="14">
        <f t="shared" si="36"/>
        <v>331.03289942760807</v>
      </c>
      <c r="BQ122" s="14">
        <f t="shared" si="37"/>
        <v>361.16118132494933</v>
      </c>
      <c r="BR122" s="14">
        <f t="shared" si="38"/>
        <v>294.97453723875412</v>
      </c>
      <c r="BS122" s="14">
        <f t="shared" si="39"/>
        <v>159.24066006104403</v>
      </c>
      <c r="BT122" s="14">
        <f t="shared" si="40"/>
        <v>0</v>
      </c>
      <c r="BU122" s="14">
        <f t="shared" si="41"/>
        <v>0</v>
      </c>
      <c r="BV122" s="14">
        <f t="shared" si="42"/>
        <v>0</v>
      </c>
      <c r="BW122" s="14">
        <f t="shared" si="43"/>
        <v>0</v>
      </c>
      <c r="BX122" s="14">
        <f t="shared" si="44"/>
        <v>0</v>
      </c>
      <c r="BY122" s="14">
        <f t="shared" si="45"/>
        <v>2219.4473935176761</v>
      </c>
      <c r="BZ122" s="14">
        <f t="shared" si="46"/>
        <v>2758.6074952300673</v>
      </c>
      <c r="CA122" s="14">
        <f t="shared" si="47"/>
        <v>3009.6765110412443</v>
      </c>
      <c r="CB122" s="14">
        <f t="shared" si="48"/>
        <v>2458.1211436562844</v>
      </c>
      <c r="CC122" s="14">
        <f t="shared" si="49"/>
        <v>1327.0055005087002</v>
      </c>
    </row>
    <row r="123" spans="24:81" x14ac:dyDescent="0.15">
      <c r="X123" s="14">
        <v>119</v>
      </c>
      <c r="Y123" s="30">
        <f t="shared" si="50"/>
        <v>5.1749999999999998</v>
      </c>
      <c r="Z123" s="27">
        <f t="shared" si="28"/>
        <v>8.8000000000000009E-2</v>
      </c>
      <c r="AA123" s="14">
        <f>$Y123*$Z123*其他调用!V122</f>
        <v>5361.2826614051382</v>
      </c>
      <c r="AB123" s="14">
        <f>$Y123*$Z123*其他调用!W122</f>
        <v>6708.2278344585156</v>
      </c>
      <c r="AC123" s="14">
        <f>$Y123*$Z123*其他调用!X122</f>
        <v>7392.6231007532297</v>
      </c>
      <c r="AD123" s="14">
        <f>$Y123*$Z123*其他调用!Y122</f>
        <v>5904.8118870806484</v>
      </c>
      <c r="AE123" s="14">
        <f>$Y123*$Z123*其他调用!Z122</f>
        <v>3009.0391627313361</v>
      </c>
      <c r="AH123" s="14">
        <v>119</v>
      </c>
      <c r="AI123" s="14">
        <f>SUM(AA$5:AA123)</f>
        <v>63709.123377009717</v>
      </c>
      <c r="AJ123" s="14">
        <f>SUM(AB$5:AB123)</f>
        <v>78856.61564445142</v>
      </c>
      <c r="AK123" s="14">
        <f>SUM(AC$5:AC123)</f>
        <v>85738.165174931288</v>
      </c>
      <c r="AL123" s="14">
        <f>SUM(AD$5:AD123)</f>
        <v>69342.202131436643</v>
      </c>
      <c r="AM123" s="14">
        <f>SUM(AE$5:AE123)</f>
        <v>37127.212786176082</v>
      </c>
      <c r="AR123" s="14">
        <v>119</v>
      </c>
      <c r="AS123" s="27">
        <f t="shared" si="29"/>
        <v>0.11200000000000002</v>
      </c>
      <c r="AT123" s="14">
        <f>求节点(E$28:E$32,$N$28:$N$32,$AR123)*$AS123*其他调用!V122/$E$4</f>
        <v>659.27059516620068</v>
      </c>
      <c r="AU123" s="14">
        <f>求节点(F$28:F$32,$N$28:$N$32,$AR123)*$AS123*其他调用!W122/$E$4</f>
        <v>824.90285184382287</v>
      </c>
      <c r="AV123" s="14">
        <f>求节点(G$28:G$32,$N$28:$N$32,$AR123)*$AS123*其他调用!X122/$E$4</f>
        <v>909.06212920988344</v>
      </c>
      <c r="AW123" s="14">
        <f>求节点(H$28:H$32,$N$28:$N$32,$AR123)*$AS123*其他调用!Y122/$E$4</f>
        <v>726.10774193350096</v>
      </c>
      <c r="AX123" s="14">
        <f>求节点(I$28:I$32,$N$28:$N$32,$AR123)*$AS123*其他调用!Z122/$E$4</f>
        <v>370.01799102537291</v>
      </c>
      <c r="BA123" s="14">
        <v>119</v>
      </c>
      <c r="BB123" s="14">
        <f>SUM(AT$5:AT123)</f>
        <v>9537.0601692369055</v>
      </c>
      <c r="BC123" s="14">
        <f>SUM(AU$5:AU123)</f>
        <v>11859.332832764092</v>
      </c>
      <c r="BD123" s="14">
        <f>SUM(AV$5:AV123)</f>
        <v>12947.768173374861</v>
      </c>
      <c r="BE123" s="14">
        <f>SUM(AW$5:AW123)</f>
        <v>10558.592316558639</v>
      </c>
      <c r="BF123" s="14">
        <f>SUM(AX$5:AX123)</f>
        <v>5678.0399930601734</v>
      </c>
      <c r="BI123" s="14">
        <v>119</v>
      </c>
      <c r="BJ123" s="14">
        <f t="shared" si="30"/>
        <v>190.74120338473807</v>
      </c>
      <c r="BK123" s="14">
        <f t="shared" si="31"/>
        <v>237.18665665528178</v>
      </c>
      <c r="BL123" s="14">
        <f t="shared" si="32"/>
        <v>258.95536346749719</v>
      </c>
      <c r="BM123" s="14">
        <f t="shared" si="33"/>
        <v>211.17184633117273</v>
      </c>
      <c r="BN123" s="14">
        <f t="shared" si="34"/>
        <v>113.56079986120344</v>
      </c>
      <c r="BO123" s="14">
        <f t="shared" si="35"/>
        <v>286.11180507710714</v>
      </c>
      <c r="BP123" s="14">
        <f t="shared" si="36"/>
        <v>355.77998498292277</v>
      </c>
      <c r="BQ123" s="14">
        <f t="shared" si="37"/>
        <v>388.43304520124582</v>
      </c>
      <c r="BR123" s="14">
        <f t="shared" si="38"/>
        <v>316.75776949675912</v>
      </c>
      <c r="BS123" s="14">
        <f t="shared" si="39"/>
        <v>170.3411997918052</v>
      </c>
      <c r="BT123" s="14">
        <f t="shared" si="40"/>
        <v>0</v>
      </c>
      <c r="BU123" s="14">
        <f t="shared" si="41"/>
        <v>0</v>
      </c>
      <c r="BV123" s="14">
        <f t="shared" si="42"/>
        <v>0</v>
      </c>
      <c r="BW123" s="14">
        <f t="shared" si="43"/>
        <v>0</v>
      </c>
      <c r="BX123" s="14">
        <f t="shared" si="44"/>
        <v>0</v>
      </c>
      <c r="BY123" s="14">
        <f t="shared" si="45"/>
        <v>2384.2650423092264</v>
      </c>
      <c r="BZ123" s="14">
        <f t="shared" si="46"/>
        <v>2964.833208191023</v>
      </c>
      <c r="CA123" s="14">
        <f t="shared" si="47"/>
        <v>3236.9420433437153</v>
      </c>
      <c r="CB123" s="14">
        <f t="shared" si="48"/>
        <v>2639.6480791396598</v>
      </c>
      <c r="CC123" s="14">
        <f t="shared" si="49"/>
        <v>1419.5099982650434</v>
      </c>
    </row>
    <row r="124" spans="24:81" x14ac:dyDescent="0.15">
      <c r="X124" s="14">
        <v>120</v>
      </c>
      <c r="Y124" s="30">
        <f t="shared" si="50"/>
        <v>5.25</v>
      </c>
      <c r="Z124" s="27">
        <f t="shared" si="28"/>
        <v>8.8000000000000009E-2</v>
      </c>
      <c r="AA124" s="14">
        <f>$Y124*$Z124*其他调用!V123</f>
        <v>5829.3570103695993</v>
      </c>
      <c r="AB124" s="14">
        <f>$Y124*$Z124*其他调用!W123</f>
        <v>7298.9948167898956</v>
      </c>
      <c r="AC124" s="14">
        <f>$Y124*$Z124*其他调用!X123</f>
        <v>7878.5730105473012</v>
      </c>
      <c r="AD124" s="14">
        <f>$Y124*$Z124*其他调用!Y123</f>
        <v>5956.5814459912499</v>
      </c>
      <c r="AE124" s="14">
        <f>$Y124*$Z124*其他调用!Z123</f>
        <v>3222.3297545091441</v>
      </c>
      <c r="AH124" s="14">
        <v>120</v>
      </c>
      <c r="AI124" s="14">
        <f>SUM(AA$5:AA124)</f>
        <v>69538.480387379313</v>
      </c>
      <c r="AJ124" s="14">
        <f>SUM(AB$5:AB124)</f>
        <v>86155.610461241318</v>
      </c>
      <c r="AK124" s="14">
        <f>SUM(AC$5:AC124)</f>
        <v>93616.738185478593</v>
      </c>
      <c r="AL124" s="14">
        <f>SUM(AD$5:AD124)</f>
        <v>75298.783577427894</v>
      </c>
      <c r="AM124" s="14">
        <f>SUM(AE$5:AE124)</f>
        <v>40349.542540685223</v>
      </c>
      <c r="AR124" s="14">
        <v>120</v>
      </c>
      <c r="AS124" s="27">
        <f t="shared" si="29"/>
        <v>0.11200000000000002</v>
      </c>
      <c r="AT124" s="14">
        <f>求节点(E$28:E$32,$N$28:$N$32,$AR124)*$AS124*其他调用!V123/$E$4</f>
        <v>706.58872852964851</v>
      </c>
      <c r="AU124" s="14">
        <f>求节点(F$28:F$32,$N$28:$N$32,$AR124)*$AS124*其他调用!W123/$E$4</f>
        <v>884.72664445938142</v>
      </c>
      <c r="AV124" s="14">
        <f>求节点(G$28:G$32,$N$28:$N$32,$AR124)*$AS124*其他调用!X123/$E$4</f>
        <v>954.97854673300628</v>
      </c>
      <c r="AW124" s="14">
        <f>求节点(H$28:H$32,$N$28:$N$32,$AR124)*$AS124*其他调用!Y123/$E$4</f>
        <v>722.00987224136372</v>
      </c>
      <c r="AX124" s="14">
        <f>求节点(I$28:I$32,$N$28:$N$32,$AR124)*$AS124*其他调用!Z123/$E$4</f>
        <v>390.58542478898721</v>
      </c>
      <c r="BA124" s="14">
        <v>120</v>
      </c>
      <c r="BB124" s="14">
        <f>SUM(AT$5:AT124)</f>
        <v>10243.648897766554</v>
      </c>
      <c r="BC124" s="14">
        <f>SUM(AU$5:AU124)</f>
        <v>12744.059477223473</v>
      </c>
      <c r="BD124" s="14">
        <f>SUM(AV$5:AV124)</f>
        <v>13902.746720107867</v>
      </c>
      <c r="BE124" s="14">
        <f>SUM(AW$5:AW124)</f>
        <v>11280.602188800003</v>
      </c>
      <c r="BF124" s="14">
        <f>SUM(AX$5:AX124)</f>
        <v>6068.6254178491608</v>
      </c>
      <c r="BI124" s="14">
        <v>120</v>
      </c>
      <c r="BJ124" s="14">
        <f t="shared" si="30"/>
        <v>204.87297795533104</v>
      </c>
      <c r="BK124" s="14">
        <f t="shared" si="31"/>
        <v>254.88118954446941</v>
      </c>
      <c r="BL124" s="14">
        <f t="shared" si="32"/>
        <v>278.0549344021573</v>
      </c>
      <c r="BM124" s="14">
        <f t="shared" si="33"/>
        <v>225.61204377600001</v>
      </c>
      <c r="BN124" s="14">
        <f t="shared" si="34"/>
        <v>121.37250835698319</v>
      </c>
      <c r="BO124" s="14">
        <f t="shared" si="35"/>
        <v>307.3094669329966</v>
      </c>
      <c r="BP124" s="14">
        <f t="shared" si="36"/>
        <v>382.32178431670417</v>
      </c>
      <c r="BQ124" s="14">
        <f t="shared" si="37"/>
        <v>417.08240160323601</v>
      </c>
      <c r="BR124" s="14">
        <f t="shared" si="38"/>
        <v>338.4180656640001</v>
      </c>
      <c r="BS124" s="14">
        <f t="shared" si="39"/>
        <v>182.05876253547484</v>
      </c>
      <c r="BT124" s="14">
        <f t="shared" si="40"/>
        <v>0</v>
      </c>
      <c r="BU124" s="14">
        <f t="shared" si="41"/>
        <v>0</v>
      </c>
      <c r="BV124" s="14">
        <f t="shared" si="42"/>
        <v>0</v>
      </c>
      <c r="BW124" s="14">
        <f t="shared" si="43"/>
        <v>0</v>
      </c>
      <c r="BX124" s="14">
        <f t="shared" si="44"/>
        <v>0</v>
      </c>
      <c r="BY124" s="14">
        <f t="shared" si="45"/>
        <v>2560.9122244416385</v>
      </c>
      <c r="BZ124" s="14">
        <f t="shared" si="46"/>
        <v>3186.0148693058682</v>
      </c>
      <c r="CA124" s="14">
        <f t="shared" si="47"/>
        <v>3475.6866800269663</v>
      </c>
      <c r="CB124" s="14">
        <f t="shared" si="48"/>
        <v>2820.1505472000008</v>
      </c>
      <c r="CC124" s="14">
        <f t="shared" si="49"/>
        <v>1517.1563544622902</v>
      </c>
    </row>
    <row r="125" spans="24:81" x14ac:dyDescent="0.15">
      <c r="X125" s="14">
        <v>121</v>
      </c>
      <c r="Y125" s="30">
        <f t="shared" si="50"/>
        <v>5.3250000000000002</v>
      </c>
      <c r="Z125" s="27">
        <f t="shared" si="28"/>
        <v>8.8000000000000009E-2</v>
      </c>
      <c r="AA125" s="14">
        <f>$Y125*$Z125*其他调用!V124</f>
        <v>6337.003720897842</v>
      </c>
      <c r="AB125" s="14">
        <f>$Y125*$Z125*其他调用!W124</f>
        <v>7705.9079422085279</v>
      </c>
      <c r="AC125" s="14">
        <f>$Y125*$Z125*其他调用!X124</f>
        <v>7967.0240079733967</v>
      </c>
      <c r="AD125" s="14">
        <f>$Y125*$Z125*其他调用!Y124</f>
        <v>6445.5024659994051</v>
      </c>
      <c r="AE125" s="14">
        <f>$Y125*$Z125*其他调用!Z124</f>
        <v>3637.0384068145818</v>
      </c>
      <c r="AH125" s="14">
        <v>121</v>
      </c>
      <c r="AI125" s="14">
        <f>SUM(AA$5:AA125)</f>
        <v>75875.48410827716</v>
      </c>
      <c r="AJ125" s="14">
        <f>SUM(AB$5:AB125)</f>
        <v>93861.518403449852</v>
      </c>
      <c r="AK125" s="14">
        <f>SUM(AC$5:AC125)</f>
        <v>101583.76219345198</v>
      </c>
      <c r="AL125" s="14">
        <f>SUM(AD$5:AD125)</f>
        <v>81744.286043427303</v>
      </c>
      <c r="AM125" s="14">
        <f>SUM(AE$5:AE125)</f>
        <v>43986.580947499802</v>
      </c>
      <c r="AR125" s="14">
        <v>121</v>
      </c>
      <c r="AS125" s="27">
        <f t="shared" si="29"/>
        <v>0.11200000000000002</v>
      </c>
      <c r="AT125" s="14">
        <f>求节点(E$28:E$32,$N$28:$N$32,$AR125)*$AS125*其他调用!V124/$E$4</f>
        <v>757.30304816534169</v>
      </c>
      <c r="AU125" s="14">
        <f>求节点(F$28:F$32,$N$28:$N$32,$AR125)*$AS125*其他调用!W124/$E$4</f>
        <v>920.89382151873144</v>
      </c>
      <c r="AV125" s="14">
        <f>求节点(G$28:G$32,$N$28:$N$32,$AR125)*$AS125*其他调用!X124/$E$4</f>
        <v>952.09847299724765</v>
      </c>
      <c r="AW125" s="14">
        <f>求节点(H$28:H$32,$N$28:$N$32,$AR125)*$AS125*其他调用!Y124/$E$4</f>
        <v>770.26918074256662</v>
      </c>
      <c r="AX125" s="14">
        <f>求节点(I$28:I$32,$N$28:$N$32,$AR125)*$AS125*其他调用!Z124/$E$4</f>
        <v>434.64394106192185</v>
      </c>
      <c r="BA125" s="14">
        <v>121</v>
      </c>
      <c r="BB125" s="14">
        <f>SUM(AT$5:AT125)</f>
        <v>11000.951945931896</v>
      </c>
      <c r="BC125" s="14">
        <f>SUM(AU$5:AU125)</f>
        <v>13664.953298742204</v>
      </c>
      <c r="BD125" s="14">
        <f>SUM(AV$5:AV125)</f>
        <v>14854.845193105115</v>
      </c>
      <c r="BE125" s="14">
        <f>SUM(AW$5:AW125)</f>
        <v>12050.87136954257</v>
      </c>
      <c r="BF125" s="14">
        <f>SUM(AX$5:AX125)</f>
        <v>6503.2693589110822</v>
      </c>
      <c r="BI125" s="14">
        <v>121</v>
      </c>
      <c r="BJ125" s="14">
        <f t="shared" si="30"/>
        <v>220.0190389186379</v>
      </c>
      <c r="BK125" s="14">
        <f t="shared" si="31"/>
        <v>273.29906597484398</v>
      </c>
      <c r="BL125" s="14">
        <f t="shared" si="32"/>
        <v>297.09690386210224</v>
      </c>
      <c r="BM125" s="14">
        <f t="shared" si="33"/>
        <v>241.01742739085134</v>
      </c>
      <c r="BN125" s="14">
        <f t="shared" si="34"/>
        <v>130.06538717822161</v>
      </c>
      <c r="BO125" s="14">
        <f t="shared" si="35"/>
        <v>330.02855837795687</v>
      </c>
      <c r="BP125" s="14">
        <f t="shared" si="36"/>
        <v>409.94859896226609</v>
      </c>
      <c r="BQ125" s="14">
        <f t="shared" si="37"/>
        <v>445.64535579315344</v>
      </c>
      <c r="BR125" s="14">
        <f t="shared" si="38"/>
        <v>361.52614108627711</v>
      </c>
      <c r="BS125" s="14">
        <f t="shared" si="39"/>
        <v>195.09808076733245</v>
      </c>
      <c r="BT125" s="14">
        <f t="shared" si="40"/>
        <v>0</v>
      </c>
      <c r="BU125" s="14">
        <f t="shared" si="41"/>
        <v>0</v>
      </c>
      <c r="BV125" s="14">
        <f t="shared" si="42"/>
        <v>0</v>
      </c>
      <c r="BW125" s="14">
        <f t="shared" si="43"/>
        <v>0</v>
      </c>
      <c r="BX125" s="14">
        <f t="shared" si="44"/>
        <v>0</v>
      </c>
      <c r="BY125" s="14">
        <f t="shared" si="45"/>
        <v>2750.2379864829745</v>
      </c>
      <c r="BZ125" s="14">
        <f t="shared" si="46"/>
        <v>3416.2383246855511</v>
      </c>
      <c r="CA125" s="14">
        <f t="shared" si="47"/>
        <v>3713.7112982762792</v>
      </c>
      <c r="CB125" s="14">
        <f t="shared" si="48"/>
        <v>3012.7178423856421</v>
      </c>
      <c r="CC125" s="14">
        <f t="shared" si="49"/>
        <v>1625.8173397277706</v>
      </c>
    </row>
    <row r="126" spans="24:81" x14ac:dyDescent="0.15">
      <c r="X126" s="14">
        <v>122</v>
      </c>
      <c r="Y126" s="30">
        <f t="shared" si="50"/>
        <v>5.4</v>
      </c>
      <c r="Z126" s="27">
        <f t="shared" si="28"/>
        <v>8.8000000000000009E-2</v>
      </c>
      <c r="AA126" s="14">
        <f>$Y126*$Z126*其他调用!V125</f>
        <v>6887.4920316019752</v>
      </c>
      <c r="AB126" s="14">
        <f>$Y126*$Z126*其他调用!W125</f>
        <v>8214.5039196952875</v>
      </c>
      <c r="AC126" s="14">
        <f>$Y126*$Z126*其他调用!X125</f>
        <v>8860.9651813069449</v>
      </c>
      <c r="AD126" s="14">
        <f>$Y126*$Z126*其他调用!Y125</f>
        <v>7295.3632113693038</v>
      </c>
      <c r="AE126" s="14">
        <f>$Y126*$Z126*其他调用!Z125</f>
        <v>3948.3561476120417</v>
      </c>
      <c r="AH126" s="14">
        <v>122</v>
      </c>
      <c r="AI126" s="14">
        <f>SUM(AA$5:AA126)</f>
        <v>82762.976139879131</v>
      </c>
      <c r="AJ126" s="14">
        <f>SUM(AB$5:AB126)</f>
        <v>102076.02232314514</v>
      </c>
      <c r="AK126" s="14">
        <f>SUM(AC$5:AC126)</f>
        <v>110444.72737475894</v>
      </c>
      <c r="AL126" s="14">
        <f>SUM(AD$5:AD126)</f>
        <v>89039.649254796605</v>
      </c>
      <c r="AM126" s="14">
        <f>SUM(AE$5:AE126)</f>
        <v>47934.937095111847</v>
      </c>
      <c r="AR126" s="14">
        <v>122</v>
      </c>
      <c r="AS126" s="27">
        <f t="shared" si="29"/>
        <v>0.11200000000000002</v>
      </c>
      <c r="AT126" s="14">
        <f>求节点(E$28:E$32,$N$28:$N$32,$AR126)*$AS126*其他调用!V125/$E$4</f>
        <v>811.65731012144488</v>
      </c>
      <c r="AU126" s="14">
        <f>求节点(F$28:F$32,$N$28:$N$32,$AR126)*$AS126*其他调用!W125/$E$4</f>
        <v>968.03918245567377</v>
      </c>
      <c r="AV126" s="14">
        <f>求节点(G$28:G$32,$N$28:$N$32,$AR126)*$AS126*其他调用!X125/$E$4</f>
        <v>1044.2214860126028</v>
      </c>
      <c r="AW126" s="14">
        <f>求节点(H$28:H$32,$N$28:$N$32,$AR126)*$AS126*其他调用!Y125/$E$4</f>
        <v>859.72293736675306</v>
      </c>
      <c r="AX126" s="14">
        <f>求节点(I$28:I$32,$N$28:$N$32,$AR126)*$AS126*其他调用!Z125/$E$4</f>
        <v>465.29449550983657</v>
      </c>
      <c r="BA126" s="14">
        <v>122</v>
      </c>
      <c r="BB126" s="14">
        <f>SUM(AT$5:AT126)</f>
        <v>11812.609256053342</v>
      </c>
      <c r="BC126" s="14">
        <f>SUM(AU$5:AU126)</f>
        <v>14632.992481197878</v>
      </c>
      <c r="BD126" s="14">
        <f>SUM(AV$5:AV126)</f>
        <v>15899.066679117717</v>
      </c>
      <c r="BE126" s="14">
        <f>SUM(AW$5:AW126)</f>
        <v>12910.594306909323</v>
      </c>
      <c r="BF126" s="14">
        <f>SUM(AX$5:AX126)</f>
        <v>6968.5638544209187</v>
      </c>
      <c r="BI126" s="14">
        <v>122</v>
      </c>
      <c r="BJ126" s="14">
        <f t="shared" si="30"/>
        <v>236.25218512106676</v>
      </c>
      <c r="BK126" s="14">
        <f t="shared" si="31"/>
        <v>292.65984962395748</v>
      </c>
      <c r="BL126" s="14">
        <f t="shared" si="32"/>
        <v>317.9813335823543</v>
      </c>
      <c r="BM126" s="14">
        <f t="shared" si="33"/>
        <v>258.2118861381864</v>
      </c>
      <c r="BN126" s="14">
        <f t="shared" si="34"/>
        <v>139.37127708841834</v>
      </c>
      <c r="BO126" s="14">
        <f t="shared" si="35"/>
        <v>354.37827768160025</v>
      </c>
      <c r="BP126" s="14">
        <f t="shared" si="36"/>
        <v>438.98977443593628</v>
      </c>
      <c r="BQ126" s="14">
        <f t="shared" si="37"/>
        <v>476.9720003735315</v>
      </c>
      <c r="BR126" s="14">
        <f t="shared" si="38"/>
        <v>387.31782920727966</v>
      </c>
      <c r="BS126" s="14">
        <f t="shared" si="39"/>
        <v>209.05691563262752</v>
      </c>
      <c r="BT126" s="14">
        <f t="shared" si="40"/>
        <v>0</v>
      </c>
      <c r="BU126" s="14">
        <f t="shared" si="41"/>
        <v>0</v>
      </c>
      <c r="BV126" s="14">
        <f t="shared" si="42"/>
        <v>0</v>
      </c>
      <c r="BW126" s="14">
        <f t="shared" si="43"/>
        <v>0</v>
      </c>
      <c r="BX126" s="14">
        <f t="shared" si="44"/>
        <v>0</v>
      </c>
      <c r="BY126" s="14">
        <f t="shared" si="45"/>
        <v>2953.1523140133359</v>
      </c>
      <c r="BZ126" s="14">
        <f t="shared" si="46"/>
        <v>3658.2481202994695</v>
      </c>
      <c r="CA126" s="14">
        <f t="shared" si="47"/>
        <v>3974.7666697794293</v>
      </c>
      <c r="CB126" s="14">
        <f t="shared" si="48"/>
        <v>3227.6485767273307</v>
      </c>
      <c r="CC126" s="14">
        <f t="shared" si="49"/>
        <v>1742.1409636052297</v>
      </c>
    </row>
    <row r="127" spans="24:81" x14ac:dyDescent="0.15">
      <c r="X127" s="14">
        <v>123</v>
      </c>
      <c r="Y127" s="30">
        <f t="shared" si="50"/>
        <v>5.4749999999999996</v>
      </c>
      <c r="Z127" s="27">
        <f t="shared" si="28"/>
        <v>8.8000000000000009E-2</v>
      </c>
      <c r="AA127" s="14">
        <f>$Y127*$Z127*其他调用!V126</f>
        <v>7484.3566159972215</v>
      </c>
      <c r="AB127" s="14">
        <f>$Y127*$Z127*其他调用!W126</f>
        <v>9245.2467539961926</v>
      </c>
      <c r="AC127" s="14">
        <f>$Y127*$Z127*其他调用!X126</f>
        <v>10352.282821112649</v>
      </c>
      <c r="AD127" s="14">
        <f>$Y127*$Z127*其他调用!Y126</f>
        <v>8516.3195306241905</v>
      </c>
      <c r="AE127" s="14">
        <f>$Y127*$Z127*其他调用!Z126</f>
        <v>4585.728624651716</v>
      </c>
      <c r="AH127" s="14">
        <v>123</v>
      </c>
      <c r="AI127" s="14">
        <f>SUM(AA$5:AA127)</f>
        <v>90247.332755876356</v>
      </c>
      <c r="AJ127" s="14">
        <f>SUM(AB$5:AB127)</f>
        <v>111321.26907714133</v>
      </c>
      <c r="AK127" s="14">
        <f>SUM(AC$5:AC127)</f>
        <v>120797.01019587158</v>
      </c>
      <c r="AL127" s="14">
        <f>SUM(AD$5:AD127)</f>
        <v>97555.968785420788</v>
      </c>
      <c r="AM127" s="14">
        <f>SUM(AE$5:AE127)</f>
        <v>52520.665719763565</v>
      </c>
      <c r="AR127" s="14">
        <v>123</v>
      </c>
      <c r="AS127" s="27">
        <f t="shared" si="29"/>
        <v>0.11200000000000002</v>
      </c>
      <c r="AT127" s="14">
        <f>求节点(E$28:E$32,$N$28:$N$32,$AR127)*$AS127*其他调用!V126/$E$4</f>
        <v>869.9127656617776</v>
      </c>
      <c r="AU127" s="14">
        <f>求节点(F$28:F$32,$N$28:$N$32,$AR127)*$AS127*其他调用!W126/$E$4</f>
        <v>1074.5824371602052</v>
      </c>
      <c r="AV127" s="14">
        <f>求节点(G$28:G$32,$N$28:$N$32,$AR127)*$AS127*其他调用!X126/$E$4</f>
        <v>1203.2541261567214</v>
      </c>
      <c r="AW127" s="14">
        <f>求节点(H$28:H$32,$N$28:$N$32,$AR127)*$AS127*其他调用!Y126/$E$4</f>
        <v>989.85864199866069</v>
      </c>
      <c r="AX127" s="14">
        <f>求节点(I$28:I$32,$N$28:$N$32,$AR127)*$AS127*其他调用!Z126/$E$4</f>
        <v>533.00291195619786</v>
      </c>
      <c r="BA127" s="14">
        <v>123</v>
      </c>
      <c r="BB127" s="14">
        <f>SUM(AT$5:AT127)</f>
        <v>12682.52202171512</v>
      </c>
      <c r="BC127" s="14">
        <f>SUM(AU$5:AU127)</f>
        <v>15707.574918358083</v>
      </c>
      <c r="BD127" s="14">
        <f>SUM(AV$5:AV127)</f>
        <v>17102.320805274438</v>
      </c>
      <c r="BE127" s="14">
        <f>SUM(AW$5:AW127)</f>
        <v>13900.452948907983</v>
      </c>
      <c r="BF127" s="14">
        <f>SUM(AX$5:AX127)</f>
        <v>7501.5667663771164</v>
      </c>
      <c r="BI127" s="14">
        <v>123</v>
      </c>
      <c r="BJ127" s="14">
        <f t="shared" si="30"/>
        <v>253.65044043430234</v>
      </c>
      <c r="BK127" s="14">
        <f t="shared" si="31"/>
        <v>314.15149836716159</v>
      </c>
      <c r="BL127" s="14">
        <f t="shared" si="32"/>
        <v>342.04641610548867</v>
      </c>
      <c r="BM127" s="14">
        <f t="shared" si="33"/>
        <v>278.0090589781596</v>
      </c>
      <c r="BN127" s="14">
        <f t="shared" si="34"/>
        <v>150.03133532754231</v>
      </c>
      <c r="BO127" s="14">
        <f t="shared" si="35"/>
        <v>380.47566065145355</v>
      </c>
      <c r="BP127" s="14">
        <f t="shared" si="36"/>
        <v>471.2272475507425</v>
      </c>
      <c r="BQ127" s="14">
        <f t="shared" si="37"/>
        <v>513.06962415823307</v>
      </c>
      <c r="BR127" s="14">
        <f t="shared" si="38"/>
        <v>417.01358846723952</v>
      </c>
      <c r="BS127" s="14">
        <f t="shared" si="39"/>
        <v>225.04700299131349</v>
      </c>
      <c r="BT127" s="14">
        <f t="shared" si="40"/>
        <v>0</v>
      </c>
      <c r="BU127" s="14">
        <f t="shared" si="41"/>
        <v>0</v>
      </c>
      <c r="BV127" s="14">
        <f t="shared" si="42"/>
        <v>0</v>
      </c>
      <c r="BW127" s="14">
        <f t="shared" si="43"/>
        <v>0</v>
      </c>
      <c r="BX127" s="14">
        <f t="shared" si="44"/>
        <v>0</v>
      </c>
      <c r="BY127" s="14">
        <f t="shared" si="45"/>
        <v>3170.63050542878</v>
      </c>
      <c r="BZ127" s="14">
        <f t="shared" si="46"/>
        <v>3926.8937295895203</v>
      </c>
      <c r="CA127" s="14">
        <f t="shared" si="47"/>
        <v>4275.5802013186094</v>
      </c>
      <c r="CB127" s="14">
        <f t="shared" si="48"/>
        <v>3475.1132372269958</v>
      </c>
      <c r="CC127" s="14">
        <f t="shared" si="49"/>
        <v>1875.3916915942791</v>
      </c>
    </row>
    <row r="128" spans="24:81" x14ac:dyDescent="0.15">
      <c r="X128" s="14">
        <v>124</v>
      </c>
      <c r="Y128" s="30">
        <f t="shared" si="50"/>
        <v>5.55</v>
      </c>
      <c r="Z128" s="27">
        <f t="shared" si="28"/>
        <v>8.8000000000000009E-2</v>
      </c>
      <c r="AA128" s="14">
        <f>$Y128*$Z128*其他调用!V127</f>
        <v>8131.4188436107297</v>
      </c>
      <c r="AB128" s="14">
        <f>$Y128*$Z128*其他调用!W127</f>
        <v>10327.466192016724</v>
      </c>
      <c r="AC128" s="14">
        <f>$Y128*$Z128*其他调用!X127</f>
        <v>11175.360569236398</v>
      </c>
      <c r="AD128" s="14">
        <f>$Y128*$Z128*其他调用!Y127</f>
        <v>9120.4583142619813</v>
      </c>
      <c r="AE128" s="14">
        <f>$Y128*$Z128*其他调用!Z127</f>
        <v>4998.5789525710343</v>
      </c>
      <c r="AH128" s="14">
        <v>124</v>
      </c>
      <c r="AI128" s="14">
        <f>SUM(AA$5:AA128)</f>
        <v>98378.751599487092</v>
      </c>
      <c r="AJ128" s="14">
        <f>SUM(AB$5:AB128)</f>
        <v>121648.73526915806</v>
      </c>
      <c r="AK128" s="14">
        <f>SUM(AC$5:AC128)</f>
        <v>131972.37076510797</v>
      </c>
      <c r="AL128" s="14">
        <f>SUM(AD$5:AD128)</f>
        <v>106676.42709968277</v>
      </c>
      <c r="AM128" s="14">
        <f>SUM(AE$5:AE128)</f>
        <v>57519.2446723346</v>
      </c>
      <c r="AR128" s="14">
        <v>124</v>
      </c>
      <c r="AS128" s="27">
        <f t="shared" si="29"/>
        <v>0.11200000000000002</v>
      </c>
      <c r="AT128" s="14">
        <f>求节点(E$28:E$32,$N$28:$N$32,$AR128)*$AS128*其他调用!V127/$E$4</f>
        <v>932.34941695782322</v>
      </c>
      <c r="AU128" s="14">
        <f>求节点(F$28:F$32,$N$28:$N$32,$AR128)*$AS128*其他调用!W127/$E$4</f>
        <v>1184.1484577250953</v>
      </c>
      <c r="AV128" s="14">
        <f>求节点(G$28:G$32,$N$28:$N$32,$AR128)*$AS128*其他调用!X127/$E$4</f>
        <v>1281.3681242367697</v>
      </c>
      <c r="AW128" s="14">
        <f>求节点(H$28:H$32,$N$28:$N$32,$AR128)*$AS128*其他调用!Y127/$E$4</f>
        <v>1045.7527960660748</v>
      </c>
      <c r="AX128" s="14">
        <f>求节点(I$28:I$32,$N$28:$N$32,$AR128)*$AS128*其他调用!Z127/$E$4</f>
        <v>573.13763583943069</v>
      </c>
      <c r="BA128" s="14">
        <v>124</v>
      </c>
      <c r="BB128" s="14">
        <f>SUM(AT$5:AT128)</f>
        <v>13614.871438672943</v>
      </c>
      <c r="BC128" s="14">
        <f>SUM(AU$5:AU128)</f>
        <v>16891.723376083177</v>
      </c>
      <c r="BD128" s="14">
        <f>SUM(AV$5:AV128)</f>
        <v>18383.688929511209</v>
      </c>
      <c r="BE128" s="14">
        <f>SUM(AW$5:AW128)</f>
        <v>14946.205744974059</v>
      </c>
      <c r="BF128" s="14">
        <f>SUM(AX$5:AX128)</f>
        <v>8074.7044022165474</v>
      </c>
      <c r="BI128" s="14">
        <v>124</v>
      </c>
      <c r="BJ128" s="14">
        <f t="shared" si="30"/>
        <v>272.29742877345882</v>
      </c>
      <c r="BK128" s="14">
        <f t="shared" si="31"/>
        <v>337.83446752166344</v>
      </c>
      <c r="BL128" s="14">
        <f t="shared" si="32"/>
        <v>367.67377859022406</v>
      </c>
      <c r="BM128" s="14">
        <f t="shared" si="33"/>
        <v>298.92411489948114</v>
      </c>
      <c r="BN128" s="14">
        <f t="shared" si="34"/>
        <v>161.49408804433091</v>
      </c>
      <c r="BO128" s="14">
        <f t="shared" si="35"/>
        <v>408.44614316018823</v>
      </c>
      <c r="BP128" s="14">
        <f t="shared" si="36"/>
        <v>506.75170128249528</v>
      </c>
      <c r="BQ128" s="14">
        <f t="shared" si="37"/>
        <v>551.51066788533626</v>
      </c>
      <c r="BR128" s="14">
        <f t="shared" si="38"/>
        <v>448.38617234922174</v>
      </c>
      <c r="BS128" s="14">
        <f t="shared" si="39"/>
        <v>242.24113206649639</v>
      </c>
      <c r="BT128" s="14">
        <f t="shared" si="40"/>
        <v>0</v>
      </c>
      <c r="BU128" s="14">
        <f t="shared" si="41"/>
        <v>0</v>
      </c>
      <c r="BV128" s="14">
        <f t="shared" si="42"/>
        <v>0</v>
      </c>
      <c r="BW128" s="14">
        <f t="shared" si="43"/>
        <v>0</v>
      </c>
      <c r="BX128" s="14">
        <f t="shared" si="44"/>
        <v>0</v>
      </c>
      <c r="BY128" s="14">
        <f t="shared" si="45"/>
        <v>3403.7178596682356</v>
      </c>
      <c r="BZ128" s="14">
        <f t="shared" si="46"/>
        <v>4222.9308440207942</v>
      </c>
      <c r="CA128" s="14">
        <f t="shared" si="47"/>
        <v>4595.9222323778022</v>
      </c>
      <c r="CB128" s="14">
        <f t="shared" si="48"/>
        <v>3736.5514362435147</v>
      </c>
      <c r="CC128" s="14">
        <f t="shared" si="49"/>
        <v>2018.6761005541368</v>
      </c>
    </row>
    <row r="129" spans="24:81" x14ac:dyDescent="0.15">
      <c r="X129" s="14">
        <v>125</v>
      </c>
      <c r="Y129" s="30">
        <f t="shared" si="50"/>
        <v>5.625</v>
      </c>
      <c r="Z129" s="27">
        <f t="shared" si="28"/>
        <v>8.8000000000000009E-2</v>
      </c>
      <c r="AA129" s="14">
        <f>$Y129*$Z129*其他调用!V128</f>
        <v>8832.8097256923083</v>
      </c>
      <c r="AB129" s="14">
        <f>$Y129*$Z129*其他调用!W128</f>
        <v>10854.711307440512</v>
      </c>
      <c r="AC129" s="14">
        <f>$Y129*$Z129*其他调用!X128</f>
        <v>12106.360215968685</v>
      </c>
      <c r="AD129" s="14">
        <f>$Y129*$Z129*其他调用!Y128</f>
        <v>9810.8060097789366</v>
      </c>
      <c r="AE129" s="14">
        <f>$Y129*$Z129*其他调用!Z128</f>
        <v>4797.9156406801776</v>
      </c>
      <c r="AH129" s="14">
        <v>125</v>
      </c>
      <c r="AI129" s="14">
        <f>SUM(AA$5:AA129)</f>
        <v>107211.5613251794</v>
      </c>
      <c r="AJ129" s="14">
        <f>SUM(AB$5:AB129)</f>
        <v>132503.44657659857</v>
      </c>
      <c r="AK129" s="14">
        <f>SUM(AC$5:AC129)</f>
        <v>144078.73098107666</v>
      </c>
      <c r="AL129" s="14">
        <f>SUM(AD$5:AD129)</f>
        <v>116487.23310946171</v>
      </c>
      <c r="AM129" s="14">
        <f>SUM(AE$5:AE129)</f>
        <v>62317.160313014778</v>
      </c>
      <c r="AR129" s="14">
        <v>125</v>
      </c>
      <c r="AS129" s="27">
        <f t="shared" si="29"/>
        <v>0.11200000000000002</v>
      </c>
      <c r="AT129" s="14">
        <f>求节点(E$28:E$32,$N$28:$N$32,$AR129)*$AS129*其他调用!V128/$E$4</f>
        <v>999.26736290660472</v>
      </c>
      <c r="AU129" s="14">
        <f>求节点(F$28:F$32,$N$28:$N$32,$AR129)*$AS129*其他调用!W128/$E$4</f>
        <v>1228.0077438720577</v>
      </c>
      <c r="AV129" s="14">
        <f>求节点(G$28:G$32,$N$28:$N$32,$AR129)*$AS129*其他调用!X128/$E$4</f>
        <v>1369.6084284732251</v>
      </c>
      <c r="AW129" s="14">
        <f>求节点(H$28:H$32,$N$28:$N$32,$AR129)*$AS129*其他调用!Y128/$E$4</f>
        <v>1109.9093667628697</v>
      </c>
      <c r="AX129" s="14">
        <f>求节点(I$28:I$32,$N$28:$N$32,$AR129)*$AS129*其他调用!Z128/$E$4</f>
        <v>542.794496723414</v>
      </c>
      <c r="BA129" s="14">
        <v>125</v>
      </c>
      <c r="BB129" s="14">
        <f>SUM(AT$5:AT129)</f>
        <v>14614.138801579547</v>
      </c>
      <c r="BC129" s="14">
        <f>SUM(AU$5:AU129)</f>
        <v>18119.731119955235</v>
      </c>
      <c r="BD129" s="14">
        <f>SUM(AV$5:AV129)</f>
        <v>19753.297357984433</v>
      </c>
      <c r="BE129" s="14">
        <f>SUM(AW$5:AW129)</f>
        <v>16056.115111736928</v>
      </c>
      <c r="BF129" s="14">
        <f>SUM(AX$5:AX129)</f>
        <v>8617.4988989399608</v>
      </c>
      <c r="BI129" s="14">
        <v>125</v>
      </c>
      <c r="BJ129" s="14">
        <f t="shared" si="30"/>
        <v>292.28277603159091</v>
      </c>
      <c r="BK129" s="14">
        <f t="shared" si="31"/>
        <v>362.39462239910461</v>
      </c>
      <c r="BL129" s="14">
        <f t="shared" si="32"/>
        <v>395.06594715968856</v>
      </c>
      <c r="BM129" s="14">
        <f t="shared" si="33"/>
        <v>321.12230223473847</v>
      </c>
      <c r="BN129" s="14">
        <f t="shared" si="34"/>
        <v>172.34997797879919</v>
      </c>
      <c r="BO129" s="14">
        <f t="shared" si="35"/>
        <v>438.4241640473864</v>
      </c>
      <c r="BP129" s="14">
        <f t="shared" si="36"/>
        <v>543.59193359865708</v>
      </c>
      <c r="BQ129" s="14">
        <f t="shared" si="37"/>
        <v>592.59892073953301</v>
      </c>
      <c r="BR129" s="14">
        <f t="shared" si="38"/>
        <v>481.68345335210779</v>
      </c>
      <c r="BS129" s="14">
        <f t="shared" si="39"/>
        <v>258.52496696819878</v>
      </c>
      <c r="BT129" s="14">
        <f t="shared" si="40"/>
        <v>0</v>
      </c>
      <c r="BU129" s="14">
        <f t="shared" si="41"/>
        <v>0</v>
      </c>
      <c r="BV129" s="14">
        <f t="shared" si="42"/>
        <v>0</v>
      </c>
      <c r="BW129" s="14">
        <f t="shared" si="43"/>
        <v>0</v>
      </c>
      <c r="BX129" s="14">
        <f t="shared" si="44"/>
        <v>0</v>
      </c>
      <c r="BY129" s="14">
        <f t="shared" si="45"/>
        <v>3653.5347003948868</v>
      </c>
      <c r="BZ129" s="14">
        <f t="shared" si="46"/>
        <v>4529.9327799888088</v>
      </c>
      <c r="CA129" s="14">
        <f t="shared" si="47"/>
        <v>4938.3243394961082</v>
      </c>
      <c r="CB129" s="14">
        <f t="shared" si="48"/>
        <v>4014.028777934232</v>
      </c>
      <c r="CC129" s="14">
        <f t="shared" si="49"/>
        <v>2154.3747247349902</v>
      </c>
    </row>
    <row r="130" spans="24:81" x14ac:dyDescent="0.15">
      <c r="X130" s="14">
        <v>126</v>
      </c>
      <c r="Y130" s="30">
        <f t="shared" si="50"/>
        <v>5.7</v>
      </c>
      <c r="Z130" s="27">
        <f t="shared" si="28"/>
        <v>8.8000000000000009E-2</v>
      </c>
      <c r="AA130" s="14">
        <f>$Y130*$Z130*其他调用!V129</f>
        <v>9592.9946778109716</v>
      </c>
      <c r="AB130" s="14">
        <f>$Y130*$Z130*其他调用!W129</f>
        <v>12117.098808146606</v>
      </c>
      <c r="AC130" s="14">
        <f>$Y130*$Z130*其他调用!X129</f>
        <v>13052.026188517078</v>
      </c>
      <c r="AD130" s="14">
        <f>$Y130*$Z130*其他调用!Y129</f>
        <v>9836.3723304381074</v>
      </c>
      <c r="AE130" s="14">
        <f>$Y130*$Z130*其他调用!Z129</f>
        <v>5182.9135977672895</v>
      </c>
      <c r="AH130" s="14">
        <v>126</v>
      </c>
      <c r="AI130" s="14">
        <f>SUM(AA$5:AA130)</f>
        <v>116804.55600299037</v>
      </c>
      <c r="AJ130" s="14">
        <f>SUM(AB$5:AB130)</f>
        <v>144620.54538474517</v>
      </c>
      <c r="AK130" s="14">
        <f>SUM(AC$5:AC130)</f>
        <v>157130.75716959374</v>
      </c>
      <c r="AL130" s="14">
        <f>SUM(AD$5:AD130)</f>
        <v>126323.60543989982</v>
      </c>
      <c r="AM130" s="14">
        <f>SUM(AE$5:AE130)</f>
        <v>67500.07391078207</v>
      </c>
      <c r="AR130" s="14">
        <v>126</v>
      </c>
      <c r="AS130" s="27">
        <f t="shared" si="29"/>
        <v>0.11200000000000002</v>
      </c>
      <c r="AT130" s="14">
        <f>求节点(E$28:E$32,$N$28:$N$32,$AR130)*$AS130*其他调用!V129/$E$4</f>
        <v>1070.9882415418947</v>
      </c>
      <c r="AU130" s="14">
        <f>求节点(F$28:F$32,$N$28:$N$32,$AR130)*$AS130*其他调用!W129/$E$4</f>
        <v>1352.7861508297647</v>
      </c>
      <c r="AV130" s="14">
        <f>求节点(G$28:G$32,$N$28:$N$32,$AR130)*$AS130*其他调用!X129/$E$4</f>
        <v>1457.1640082873932</v>
      </c>
      <c r="AW130" s="14">
        <f>求节点(H$28:H$32,$N$28:$N$32,$AR130)*$AS130*其他调用!Y129/$E$4</f>
        <v>1098.1595903200439</v>
      </c>
      <c r="AX130" s="14">
        <f>求节点(I$28:I$32,$N$28:$N$32,$AR130)*$AS130*其他调用!Z129/$E$4</f>
        <v>578.63469193574213</v>
      </c>
      <c r="BA130" s="14">
        <v>126</v>
      </c>
      <c r="BB130" s="14">
        <f>SUM(AT$5:AT130)</f>
        <v>15685.127043121442</v>
      </c>
      <c r="BC130" s="14">
        <f>SUM(AU$5:AU130)</f>
        <v>19472.517270785</v>
      </c>
      <c r="BD130" s="14">
        <f>SUM(AV$5:AV130)</f>
        <v>21210.461366271826</v>
      </c>
      <c r="BE130" s="14">
        <f>SUM(AW$5:AW130)</f>
        <v>17154.274702056973</v>
      </c>
      <c r="BF130" s="14">
        <f>SUM(AX$5:AX130)</f>
        <v>9196.1335908757028</v>
      </c>
      <c r="BI130" s="14">
        <v>126</v>
      </c>
      <c r="BJ130" s="14">
        <f t="shared" si="30"/>
        <v>313.70254086242875</v>
      </c>
      <c r="BK130" s="14">
        <f t="shared" si="31"/>
        <v>389.45034541569987</v>
      </c>
      <c r="BL130" s="14">
        <f t="shared" si="32"/>
        <v>424.20922732543642</v>
      </c>
      <c r="BM130" s="14">
        <f t="shared" si="33"/>
        <v>343.08549404113938</v>
      </c>
      <c r="BN130" s="14">
        <f t="shared" si="34"/>
        <v>183.92267181751401</v>
      </c>
      <c r="BO130" s="14">
        <f t="shared" si="35"/>
        <v>470.55381129364321</v>
      </c>
      <c r="BP130" s="14">
        <f t="shared" si="36"/>
        <v>584.17551812354998</v>
      </c>
      <c r="BQ130" s="14">
        <f t="shared" si="37"/>
        <v>636.31384098815477</v>
      </c>
      <c r="BR130" s="14">
        <f t="shared" si="38"/>
        <v>514.62824106170922</v>
      </c>
      <c r="BS130" s="14">
        <f t="shared" si="39"/>
        <v>275.88400772627108</v>
      </c>
      <c r="BT130" s="14">
        <f t="shared" si="40"/>
        <v>0</v>
      </c>
      <c r="BU130" s="14">
        <f t="shared" si="41"/>
        <v>0</v>
      </c>
      <c r="BV130" s="14">
        <f t="shared" si="42"/>
        <v>0</v>
      </c>
      <c r="BW130" s="14">
        <f t="shared" si="43"/>
        <v>0</v>
      </c>
      <c r="BX130" s="14">
        <f t="shared" si="44"/>
        <v>0</v>
      </c>
      <c r="BY130" s="14">
        <f t="shared" si="45"/>
        <v>3921.2817607803609</v>
      </c>
      <c r="BZ130" s="14">
        <f t="shared" si="46"/>
        <v>4868.1293176962499</v>
      </c>
      <c r="CA130" s="14">
        <f t="shared" si="47"/>
        <v>5302.6153415679564</v>
      </c>
      <c r="CB130" s="14">
        <f t="shared" si="48"/>
        <v>4288.5686755142433</v>
      </c>
      <c r="CC130" s="14">
        <f t="shared" si="49"/>
        <v>2299.0333977189257</v>
      </c>
    </row>
    <row r="131" spans="24:81" x14ac:dyDescent="0.15">
      <c r="X131" s="14">
        <v>127</v>
      </c>
      <c r="Y131" s="30">
        <f t="shared" si="50"/>
        <v>5.7750000000000004</v>
      </c>
      <c r="Z131" s="27">
        <f t="shared" si="28"/>
        <v>8.8000000000000009E-2</v>
      </c>
      <c r="AA131" s="14">
        <f>$Y131*$Z131*其他调用!V130</f>
        <v>10416.800241955088</v>
      </c>
      <c r="AB131" s="14">
        <f>$Y131*$Z131*其他调用!W130</f>
        <v>12904.037751901024</v>
      </c>
      <c r="AC131" s="14">
        <f>$Y131*$Z131*其他调用!X130</f>
        <v>13075.55513028343</v>
      </c>
      <c r="AD131" s="14">
        <f>$Y131*$Z131*其他调用!Y130</f>
        <v>10288.507163294154</v>
      </c>
      <c r="AE131" s="14">
        <f>$Y131*$Z131*其他调用!Z130</f>
        <v>5736.9721886282532</v>
      </c>
      <c r="AH131" s="14">
        <v>127</v>
      </c>
      <c r="AI131" s="14">
        <f>SUM(AA$5:AA131)</f>
        <v>127221.35624494546</v>
      </c>
      <c r="AJ131" s="14">
        <f>SUM(AB$5:AB131)</f>
        <v>157524.58313664619</v>
      </c>
      <c r="AK131" s="14">
        <f>SUM(AC$5:AC131)</f>
        <v>170206.31229987717</v>
      </c>
      <c r="AL131" s="14">
        <f>SUM(AD$5:AD131)</f>
        <v>136612.11260319396</v>
      </c>
      <c r="AM131" s="14">
        <f>SUM(AE$5:AE131)</f>
        <v>73237.04609941032</v>
      </c>
      <c r="AR131" s="14">
        <v>127</v>
      </c>
      <c r="AS131" s="27">
        <f t="shared" si="29"/>
        <v>0.11200000000000002</v>
      </c>
      <c r="AT131" s="14">
        <f>求节点(E$28:E$32,$N$28:$N$32,$AR131)*$AS131*其他调用!V130/$E$4</f>
        <v>1147.8567759730124</v>
      </c>
      <c r="AU131" s="14">
        <f>求节点(F$28:F$32,$N$28:$N$32,$AR131)*$AS131*其他调用!W130/$E$4</f>
        <v>1421.9325346447408</v>
      </c>
      <c r="AV131" s="14">
        <f>求节点(G$28:G$32,$N$28:$N$32,$AR131)*$AS131*其他调用!X130/$E$4</f>
        <v>1440.8325212433531</v>
      </c>
      <c r="AW131" s="14">
        <f>求节点(H$28:H$32,$N$28:$N$32,$AR131)*$AS131*其他调用!Y130/$E$4</f>
        <v>1133.7197976081713</v>
      </c>
      <c r="AX131" s="14">
        <f>求节点(I$28:I$32,$N$28:$N$32,$AR131)*$AS131*其他调用!Z130/$E$4</f>
        <v>632.17324392597834</v>
      </c>
      <c r="BA131" s="14">
        <v>127</v>
      </c>
      <c r="BB131" s="14">
        <f>SUM(AT$5:AT131)</f>
        <v>16832.983819094454</v>
      </c>
      <c r="BC131" s="14">
        <f>SUM(AU$5:AU131)</f>
        <v>20894.44980542974</v>
      </c>
      <c r="BD131" s="14">
        <f>SUM(AV$5:AV131)</f>
        <v>22651.293887515178</v>
      </c>
      <c r="BE131" s="14">
        <f>SUM(AW$5:AW131)</f>
        <v>18287.994499665143</v>
      </c>
      <c r="BF131" s="14">
        <f>SUM(AX$5:AX131)</f>
        <v>9828.3068348016805</v>
      </c>
      <c r="BI131" s="14">
        <v>127</v>
      </c>
      <c r="BJ131" s="14">
        <f t="shared" si="30"/>
        <v>336.65967638188897</v>
      </c>
      <c r="BK131" s="14">
        <f t="shared" si="31"/>
        <v>417.88899610859471</v>
      </c>
      <c r="BL131" s="14">
        <f t="shared" si="32"/>
        <v>453.02587775030344</v>
      </c>
      <c r="BM131" s="14">
        <f t="shared" si="33"/>
        <v>365.75988999330281</v>
      </c>
      <c r="BN131" s="14">
        <f t="shared" si="34"/>
        <v>196.56613669603357</v>
      </c>
      <c r="BO131" s="14">
        <f t="shared" si="35"/>
        <v>504.98951457283357</v>
      </c>
      <c r="BP131" s="14">
        <f t="shared" si="36"/>
        <v>626.83349416289218</v>
      </c>
      <c r="BQ131" s="14">
        <f t="shared" si="37"/>
        <v>679.5388166254553</v>
      </c>
      <c r="BR131" s="14">
        <f t="shared" si="38"/>
        <v>548.63983498995435</v>
      </c>
      <c r="BS131" s="14">
        <f t="shared" si="39"/>
        <v>294.84920504405039</v>
      </c>
      <c r="BT131" s="14">
        <f t="shared" si="40"/>
        <v>0</v>
      </c>
      <c r="BU131" s="14">
        <f t="shared" si="41"/>
        <v>0</v>
      </c>
      <c r="BV131" s="14">
        <f t="shared" si="42"/>
        <v>0</v>
      </c>
      <c r="BW131" s="14">
        <f t="shared" si="43"/>
        <v>0</v>
      </c>
      <c r="BX131" s="14">
        <f t="shared" si="44"/>
        <v>0</v>
      </c>
      <c r="BY131" s="14">
        <f t="shared" si="45"/>
        <v>4208.2459547736134</v>
      </c>
      <c r="BZ131" s="14">
        <f t="shared" si="46"/>
        <v>5223.612451357435</v>
      </c>
      <c r="CA131" s="14">
        <f t="shared" si="47"/>
        <v>5662.8234718787935</v>
      </c>
      <c r="CB131" s="14">
        <f t="shared" si="48"/>
        <v>4571.9986249162857</v>
      </c>
      <c r="CC131" s="14">
        <f t="shared" si="49"/>
        <v>2457.0767087004201</v>
      </c>
    </row>
    <row r="132" spans="24:81" x14ac:dyDescent="0.15">
      <c r="X132" s="14">
        <v>128</v>
      </c>
      <c r="Y132" s="30">
        <f t="shared" si="50"/>
        <v>5.85</v>
      </c>
      <c r="Z132" s="27">
        <f t="shared" si="28"/>
        <v>8.8000000000000009E-2</v>
      </c>
      <c r="AA132" s="14">
        <f>$Y132*$Z132*其他调用!V131</f>
        <v>11309.442921841699</v>
      </c>
      <c r="AB132" s="14">
        <f>$Y132*$Z132*其他调用!W131</f>
        <v>13026.041933769413</v>
      </c>
      <c r="AC132" s="14">
        <f>$Y132*$Z132*其他调用!X131</f>
        <v>13926.240537909247</v>
      </c>
      <c r="AD132" s="14">
        <f>$Y132*$Z132*其他调用!Y131</f>
        <v>11436.99124961195</v>
      </c>
      <c r="AE132" s="14">
        <f>$Y132*$Z132*其他调用!Z131</f>
        <v>6319.2217753034283</v>
      </c>
      <c r="AH132" s="14">
        <v>128</v>
      </c>
      <c r="AI132" s="14">
        <f>SUM(AA$5:AA132)</f>
        <v>138530.79916678715</v>
      </c>
      <c r="AJ132" s="14">
        <f>SUM(AB$5:AB132)</f>
        <v>170550.62507041561</v>
      </c>
      <c r="AK132" s="14">
        <f>SUM(AC$5:AC132)</f>
        <v>184132.55283778641</v>
      </c>
      <c r="AL132" s="14">
        <f>SUM(AD$5:AD132)</f>
        <v>148049.10385280591</v>
      </c>
      <c r="AM132" s="14">
        <f>SUM(AE$5:AE132)</f>
        <v>79556.267874713754</v>
      </c>
      <c r="AR132" s="14">
        <v>128</v>
      </c>
      <c r="AS132" s="27">
        <f t="shared" si="29"/>
        <v>0.11200000000000002</v>
      </c>
      <c r="AT132" s="14">
        <f>求节点(E$28:E$32,$N$28:$N$32,$AR132)*$AS132*其他调用!V131/$E$4</f>
        <v>1230.2424312803714</v>
      </c>
      <c r="AU132" s="14">
        <f>求节点(F$28:F$32,$N$28:$N$32,$AR132)*$AS132*其他调用!W131/$E$4</f>
        <v>1416.9742585296954</v>
      </c>
      <c r="AV132" s="14">
        <f>求节点(G$28:G$32,$N$28:$N$32,$AR132)*$AS132*其他调用!X131/$E$4</f>
        <v>1514.8979606117286</v>
      </c>
      <c r="AW132" s="14">
        <f>求节点(H$28:H$32,$N$28:$N$32,$AR132)*$AS132*其他调用!Y131/$E$4</f>
        <v>1244.1171522499403</v>
      </c>
      <c r="AX132" s="14">
        <f>求节点(I$28:I$32,$N$28:$N$32,$AR132)*$AS132*其他调用!Z131/$E$4</f>
        <v>687.40563212313907</v>
      </c>
      <c r="BA132" s="14">
        <v>128</v>
      </c>
      <c r="BB132" s="14">
        <f>SUM(AT$5:AT132)</f>
        <v>18063.226250374824</v>
      </c>
      <c r="BC132" s="14">
        <f>SUM(AU$5:AU132)</f>
        <v>22311.424063959435</v>
      </c>
      <c r="BD132" s="14">
        <f>SUM(AV$5:AV132)</f>
        <v>24166.191848126906</v>
      </c>
      <c r="BE132" s="14">
        <f>SUM(AW$5:AW132)</f>
        <v>19532.111651915082</v>
      </c>
      <c r="BF132" s="14">
        <f>SUM(AX$5:AX132)</f>
        <v>10515.712466924819</v>
      </c>
      <c r="BI132" s="14">
        <v>128</v>
      </c>
      <c r="BJ132" s="14">
        <f t="shared" si="30"/>
        <v>361.26452500749645</v>
      </c>
      <c r="BK132" s="14">
        <f t="shared" si="31"/>
        <v>446.2284812791886</v>
      </c>
      <c r="BL132" s="14">
        <f t="shared" si="32"/>
        <v>483.323836962538</v>
      </c>
      <c r="BM132" s="14">
        <f t="shared" si="33"/>
        <v>390.64223303830153</v>
      </c>
      <c r="BN132" s="14">
        <f t="shared" si="34"/>
        <v>210.31424933849635</v>
      </c>
      <c r="BO132" s="14">
        <f t="shared" si="35"/>
        <v>541.89678751124472</v>
      </c>
      <c r="BP132" s="14">
        <f t="shared" si="36"/>
        <v>669.34272191878313</v>
      </c>
      <c r="BQ132" s="14">
        <f t="shared" si="37"/>
        <v>724.98575544380719</v>
      </c>
      <c r="BR132" s="14">
        <f t="shared" si="38"/>
        <v>585.96334955745237</v>
      </c>
      <c r="BS132" s="14">
        <f t="shared" si="39"/>
        <v>315.47137400774454</v>
      </c>
      <c r="BT132" s="14">
        <f t="shared" si="40"/>
        <v>0</v>
      </c>
      <c r="BU132" s="14">
        <f t="shared" si="41"/>
        <v>0</v>
      </c>
      <c r="BV132" s="14">
        <f t="shared" si="42"/>
        <v>0</v>
      </c>
      <c r="BW132" s="14">
        <f t="shared" si="43"/>
        <v>0</v>
      </c>
      <c r="BX132" s="14">
        <f t="shared" si="44"/>
        <v>0</v>
      </c>
      <c r="BY132" s="14">
        <f t="shared" si="45"/>
        <v>4515.8065625937061</v>
      </c>
      <c r="BZ132" s="14">
        <f t="shared" si="46"/>
        <v>5577.8560159898589</v>
      </c>
      <c r="CA132" s="14">
        <f t="shared" si="47"/>
        <v>6041.5479620317265</v>
      </c>
      <c r="CB132" s="14">
        <f t="shared" si="48"/>
        <v>4883.0279129787705</v>
      </c>
      <c r="CC132" s="14">
        <f t="shared" si="49"/>
        <v>2628.9281167312047</v>
      </c>
    </row>
    <row r="133" spans="24:81" x14ac:dyDescent="0.15">
      <c r="X133" s="14">
        <v>129</v>
      </c>
      <c r="Y133" s="30">
        <f t="shared" si="50"/>
        <v>5.9249999999999998</v>
      </c>
      <c r="Z133" s="27">
        <f t="shared" si="28"/>
        <v>8.8000000000000009E-2</v>
      </c>
      <c r="AA133" s="14">
        <f>$Y133*$Z133*其他调用!V132</f>
        <v>12276.560297130911</v>
      </c>
      <c r="AB133" s="14">
        <f>$Y133*$Z133*其他调用!W132</f>
        <v>15136.331641998453</v>
      </c>
      <c r="AC133" s="14">
        <f>$Y133*$Z133*其他调用!X132</f>
        <v>16767.798521811816</v>
      </c>
      <c r="AD133" s="14">
        <f>$Y133*$Z133*其他调用!Y132</f>
        <v>13837.575995464318</v>
      </c>
      <c r="AE133" s="14">
        <f>$Y133*$Z133*其他调用!Z132</f>
        <v>7335.6242140997174</v>
      </c>
      <c r="AH133" s="14">
        <v>129</v>
      </c>
      <c r="AI133" s="14">
        <f>SUM(AA$5:AA133)</f>
        <v>150807.35946391805</v>
      </c>
      <c r="AJ133" s="14">
        <f>SUM(AB$5:AB133)</f>
        <v>185686.95671241407</v>
      </c>
      <c r="AK133" s="14">
        <f>SUM(AC$5:AC133)</f>
        <v>200900.35135959822</v>
      </c>
      <c r="AL133" s="14">
        <f>SUM(AD$5:AD133)</f>
        <v>161886.67984827023</v>
      </c>
      <c r="AM133" s="14">
        <f>SUM(AE$5:AE133)</f>
        <v>86891.892088813474</v>
      </c>
      <c r="AR133" s="14">
        <v>129</v>
      </c>
      <c r="AS133" s="27">
        <f t="shared" si="29"/>
        <v>0.11200000000000002</v>
      </c>
      <c r="AT133" s="14">
        <f>求节点(E$28:E$32,$N$28:$N$32,$AR133)*$AS133*其他调用!V132/$E$4</f>
        <v>1318.5411903324339</v>
      </c>
      <c r="AU133" s="14">
        <f>求节点(F$28:F$32,$N$28:$N$32,$AR133)*$AS133*其他调用!W132/$E$4</f>
        <v>1625.6896278325917</v>
      </c>
      <c r="AV133" s="14">
        <f>求节点(G$28:G$32,$N$28:$N$32,$AR133)*$AS133*其他调用!X132/$E$4</f>
        <v>1800.9143023042993</v>
      </c>
      <c r="AW133" s="14">
        <f>求节点(H$28:H$32,$N$28:$N$32,$AR133)*$AS133*其他调用!Y132/$E$4</f>
        <v>1486.1991863176099</v>
      </c>
      <c r="AX133" s="14">
        <f>求节点(I$28:I$32,$N$28:$N$32,$AR133)*$AS133*其他调用!Z132/$E$4</f>
        <v>787.86911390407397</v>
      </c>
      <c r="BA133" s="14">
        <v>129</v>
      </c>
      <c r="BB133" s="14">
        <f>SUM(AT$5:AT133)</f>
        <v>19381.767440707259</v>
      </c>
      <c r="BC133" s="14">
        <f>SUM(AU$5:AU133)</f>
        <v>23937.113691792027</v>
      </c>
      <c r="BD133" s="14">
        <f>SUM(AV$5:AV133)</f>
        <v>25967.106150431206</v>
      </c>
      <c r="BE133" s="14">
        <f>SUM(AW$5:AW133)</f>
        <v>21018.31083823269</v>
      </c>
      <c r="BF133" s="14">
        <f>SUM(AX$5:AX133)</f>
        <v>11303.581580828893</v>
      </c>
      <c r="BI133" s="14">
        <v>129</v>
      </c>
      <c r="BJ133" s="14">
        <f t="shared" si="30"/>
        <v>387.63534881414512</v>
      </c>
      <c r="BK133" s="14">
        <f t="shared" si="31"/>
        <v>478.74227383584036</v>
      </c>
      <c r="BL133" s="14">
        <f t="shared" si="32"/>
        <v>519.34212300862396</v>
      </c>
      <c r="BM133" s="14">
        <f t="shared" si="33"/>
        <v>420.36621676465376</v>
      </c>
      <c r="BN133" s="14">
        <f t="shared" si="34"/>
        <v>226.0716316165778</v>
      </c>
      <c r="BO133" s="14">
        <f t="shared" si="35"/>
        <v>581.45302322121779</v>
      </c>
      <c r="BP133" s="14">
        <f t="shared" si="36"/>
        <v>718.11341075376072</v>
      </c>
      <c r="BQ133" s="14">
        <f t="shared" si="37"/>
        <v>779.01318451293605</v>
      </c>
      <c r="BR133" s="14">
        <f t="shared" si="38"/>
        <v>630.54932514698066</v>
      </c>
      <c r="BS133" s="14">
        <f t="shared" si="39"/>
        <v>339.10744742486679</v>
      </c>
      <c r="BT133" s="14">
        <f t="shared" si="40"/>
        <v>0</v>
      </c>
      <c r="BU133" s="14">
        <f t="shared" si="41"/>
        <v>0</v>
      </c>
      <c r="BV133" s="14">
        <f t="shared" si="42"/>
        <v>0</v>
      </c>
      <c r="BW133" s="14">
        <f t="shared" si="43"/>
        <v>0</v>
      </c>
      <c r="BX133" s="14">
        <f t="shared" si="44"/>
        <v>0</v>
      </c>
      <c r="BY133" s="14">
        <f t="shared" si="45"/>
        <v>4845.4418601768148</v>
      </c>
      <c r="BZ133" s="14">
        <f t="shared" si="46"/>
        <v>5984.2784229480076</v>
      </c>
      <c r="CA133" s="14">
        <f t="shared" si="47"/>
        <v>6491.7765376078014</v>
      </c>
      <c r="CB133" s="14">
        <f t="shared" si="48"/>
        <v>5254.5777095581725</v>
      </c>
      <c r="CC133" s="14">
        <f t="shared" si="49"/>
        <v>2825.8953952072234</v>
      </c>
    </row>
    <row r="134" spans="24:81" x14ac:dyDescent="0.15">
      <c r="X134" s="14">
        <v>130</v>
      </c>
      <c r="Y134" s="30">
        <f t="shared" si="50"/>
        <v>6</v>
      </c>
      <c r="Z134" s="27">
        <f t="shared" ref="Z134:Z164" si="51">$E$44</f>
        <v>8.8000000000000009E-2</v>
      </c>
      <c r="AA134" s="14">
        <f>$Y134*$Z134*其他调用!V133</f>
        <v>13324.244595130513</v>
      </c>
      <c r="AB134" s="14">
        <f>$Y134*$Z134*其他调用!W133</f>
        <v>16717.834258067927</v>
      </c>
      <c r="AC134" s="14">
        <f>$Y134*$Z134*其他调用!X133</f>
        <v>18385.189032037091</v>
      </c>
      <c r="AD134" s="14">
        <f>$Y134*$Z134*其他调用!Y133</f>
        <v>14932.581705806073</v>
      </c>
      <c r="AE134" s="14">
        <f>$Y134*$Z134*其他调用!Z133</f>
        <v>8113.1889415053847</v>
      </c>
      <c r="AH134" s="14">
        <v>130</v>
      </c>
      <c r="AI134" s="14">
        <f>SUM(AA$5:AA134)</f>
        <v>164131.60405904858</v>
      </c>
      <c r="AJ134" s="14">
        <f>SUM(AB$5:AB134)</f>
        <v>202404.79097048199</v>
      </c>
      <c r="AK134" s="14">
        <f>SUM(AC$5:AC134)</f>
        <v>219285.54039163532</v>
      </c>
      <c r="AL134" s="14">
        <f>SUM(AD$5:AD134)</f>
        <v>176819.26155407631</v>
      </c>
      <c r="AM134" s="14">
        <f>SUM(AE$5:AE134)</f>
        <v>95005.081030318863</v>
      </c>
      <c r="AR134" s="14">
        <v>130</v>
      </c>
      <c r="AS134" s="27">
        <f t="shared" ref="AS134:AS164" si="52">$E$43</f>
        <v>0.11200000000000002</v>
      </c>
      <c r="AT134" s="14">
        <f>求节点(E$28:E$32,$N$28:$N$32,$AR134)*$AS134*其他调用!V133/$E$4</f>
        <v>1413.177457059297</v>
      </c>
      <c r="AU134" s="14">
        <f>求节点(F$28:F$32,$N$28:$N$32,$AR134)*$AS134*其他调用!W133/$E$4</f>
        <v>1773.103633431447</v>
      </c>
      <c r="AV134" s="14">
        <f>求节点(G$28:G$32,$N$28:$N$32,$AR134)*$AS134*其他调用!X133/$E$4</f>
        <v>1949.9442912766615</v>
      </c>
      <c r="AW134" s="14">
        <f>求节点(H$28:H$32,$N$28:$N$32,$AR134)*$AS134*其他调用!Y133/$E$4</f>
        <v>1583.758665767311</v>
      </c>
      <c r="AX134" s="14">
        <f>求节点(I$28:I$32,$N$28:$N$32,$AR134)*$AS134*其他调用!Z133/$E$4</f>
        <v>860.48973622026824</v>
      </c>
      <c r="BA134" s="14">
        <v>130</v>
      </c>
      <c r="BB134" s="14">
        <f>SUM(AT$5:AT134)</f>
        <v>20794.944897766556</v>
      </c>
      <c r="BC134" s="14">
        <f>SUM(AU$5:AU134)</f>
        <v>25710.217325223475</v>
      </c>
      <c r="BD134" s="14">
        <f>SUM(AV$5:AV134)</f>
        <v>27917.050441707866</v>
      </c>
      <c r="BE134" s="14">
        <f>SUM(AW$5:AW134)</f>
        <v>22602.069503999999</v>
      </c>
      <c r="BF134" s="14">
        <f>SUM(AX$5:AX134)</f>
        <v>12164.071317049162</v>
      </c>
      <c r="BI134" s="14">
        <v>130</v>
      </c>
      <c r="BJ134" s="14">
        <f t="shared" ref="BJ134:BJ164" si="53">(BB134*$F$58)/$B$5</f>
        <v>415.89889795533099</v>
      </c>
      <c r="BK134" s="14">
        <f t="shared" ref="BK134:BK164" si="54">(BC134*$F$58)/$B$5</f>
        <v>514.20434650446941</v>
      </c>
      <c r="BL134" s="14">
        <f t="shared" ref="BL134:BL164" si="55">(BD134*$F$58)/$B$5</f>
        <v>558.34100883415726</v>
      </c>
      <c r="BM134" s="14">
        <f t="shared" ref="BM134:BM164" si="56">(BE134*$F$58)/$B$5</f>
        <v>452.04139007999981</v>
      </c>
      <c r="BN134" s="14">
        <f t="shared" ref="BN134:BN164" si="57">(BF134*$F$58)/$B$5</f>
        <v>243.28142634098316</v>
      </c>
      <c r="BO134" s="14">
        <f t="shared" ref="BO134:BO164" si="58">(BB134*$F$59)/$B$5</f>
        <v>623.84834693299661</v>
      </c>
      <c r="BP134" s="14">
        <f t="shared" ref="BP134:BP164" si="59">(BC134*$F$59)/$B$5</f>
        <v>771.30651975670423</v>
      </c>
      <c r="BQ134" s="14">
        <f t="shared" ref="BQ134:BQ164" si="60">(BD134*$F$59)/$B$5</f>
        <v>837.5115132512359</v>
      </c>
      <c r="BR134" s="14">
        <f t="shared" ref="BR134:BR164" si="61">(BE134*$F$59)/$B$5</f>
        <v>678.06208511999989</v>
      </c>
      <c r="BS134" s="14">
        <f t="shared" ref="BS134:BS164" si="62">(BF134*$F$59)/$B$5</f>
        <v>364.92213951147482</v>
      </c>
      <c r="BT134" s="14">
        <f t="shared" ref="BT134:BT164" si="63">(BB134*$F$60)/$B$5</f>
        <v>0</v>
      </c>
      <c r="BU134" s="14">
        <f t="shared" ref="BU134:BU164" si="64">(BC134*$F$60)/$B$5</f>
        <v>0</v>
      </c>
      <c r="BV134" s="14">
        <f t="shared" ref="BV134:BV164" si="65">(BD134*$F$60)/$B$5</f>
        <v>0</v>
      </c>
      <c r="BW134" s="14">
        <f t="shared" ref="BW134:BW164" si="66">(BE134*$F$60)/$B$5</f>
        <v>0</v>
      </c>
      <c r="BX134" s="14">
        <f t="shared" ref="BX134:BX164" si="67">(BF134*$F$60)/$B$5</f>
        <v>0</v>
      </c>
      <c r="BY134" s="14">
        <f t="shared" ref="BY134:BY164" si="68">(BB134*$F$62)/$B$5*$I$62</f>
        <v>5198.7362244416381</v>
      </c>
      <c r="BZ134" s="14">
        <f t="shared" ref="BZ134:BZ164" si="69">(BC134*$F$62)/$B$5*$I$62</f>
        <v>6427.5543313058688</v>
      </c>
      <c r="CA134" s="14">
        <f t="shared" ref="CA134:CA164" si="70">(BD134*$F$62)/$B$5*$I$62</f>
        <v>6979.2626104269666</v>
      </c>
      <c r="CB134" s="14">
        <f t="shared" ref="CB134:CB164" si="71">(BE134*$F$62)/$B$5*$I$62</f>
        <v>5650.5173759999998</v>
      </c>
      <c r="CC134" s="14">
        <f t="shared" ref="CC134:CC164" si="72">(BF134*$F$62)/$B$5*$I$62</f>
        <v>3041.0178292622904</v>
      </c>
    </row>
    <row r="135" spans="24:81" x14ac:dyDescent="0.15">
      <c r="X135" s="14">
        <v>131</v>
      </c>
      <c r="Y135" s="30">
        <f t="shared" ref="Y135:Y164" si="73">IF($X135&lt;=$E$28,$J$28+$Y$5,求节点($E$28:$E$32,$J$28:$J$32,$X135)/$E$4)</f>
        <v>6</v>
      </c>
      <c r="Z135" s="27">
        <f t="shared" si="51"/>
        <v>8.8000000000000009E-2</v>
      </c>
      <c r="AA135" s="14">
        <f>$Y135*$Z135*其他调用!V134</f>
        <v>14280.571765403585</v>
      </c>
      <c r="AB135" s="14">
        <f>$Y135*$Z135*其他调用!W134</f>
        <v>17752.194743624841</v>
      </c>
      <c r="AC135" s="14">
        <f>$Y135*$Z135*其他调用!X134</f>
        <v>19367.508247698912</v>
      </c>
      <c r="AD135" s="14">
        <f>$Y135*$Z135*其他调用!Y134</f>
        <v>15950.431674116982</v>
      </c>
      <c r="AE135" s="14">
        <f>$Y135*$Z135*其他调用!Z134</f>
        <v>8199.1036260703895</v>
      </c>
      <c r="AH135" s="14">
        <v>131</v>
      </c>
      <c r="AI135" s="14">
        <f>SUM(AA$5:AA135)</f>
        <v>178412.17582445216</v>
      </c>
      <c r="AJ135" s="14">
        <f>SUM(AB$5:AB135)</f>
        <v>220156.98571410682</v>
      </c>
      <c r="AK135" s="14">
        <f>SUM(AC$5:AC135)</f>
        <v>238653.04863933424</v>
      </c>
      <c r="AL135" s="14">
        <f>SUM(AD$5:AD135)</f>
        <v>192769.6932281933</v>
      </c>
      <c r="AM135" s="14">
        <f>SUM(AE$5:AE135)</f>
        <v>103204.18465638925</v>
      </c>
      <c r="AR135" s="14">
        <v>131</v>
      </c>
      <c r="AS135" s="27">
        <f t="shared" si="52"/>
        <v>0.11200000000000002</v>
      </c>
      <c r="AT135" s="14">
        <f>求节点(E$28:E$32,$N$28:$N$32,$AR135)*$AS135*其他调用!V134/$E$4</f>
        <v>1514.6060963306834</v>
      </c>
      <c r="AU135" s="14">
        <f>求节点(F$28:F$32,$N$28:$N$32,$AR135)*$AS135*其他调用!W134/$E$4</f>
        <v>1882.8085334147563</v>
      </c>
      <c r="AV135" s="14">
        <f>求节点(G$28:G$32,$N$28:$N$32,$AR135)*$AS135*其他调用!X134/$E$4</f>
        <v>2054.1296626347334</v>
      </c>
      <c r="AW135" s="14">
        <f>求节点(H$28:H$32,$N$28:$N$32,$AR135)*$AS135*其他调用!Y134/$E$4</f>
        <v>1691.7124502851345</v>
      </c>
      <c r="AX135" s="14">
        <f>求节点(I$28:I$32,$N$28:$N$32,$AR135)*$AS135*其他调用!Z134/$E$4</f>
        <v>869.60189973473837</v>
      </c>
      <c r="BA135" s="14">
        <v>131</v>
      </c>
      <c r="BB135" s="14">
        <f>SUM(AT$5:AT135)</f>
        <v>22309.550994097241</v>
      </c>
      <c r="BC135" s="14">
        <f>SUM(AU$5:AU135)</f>
        <v>27593.025858638233</v>
      </c>
      <c r="BD135" s="14">
        <f>SUM(AV$5:AV135)</f>
        <v>29971.180104342598</v>
      </c>
      <c r="BE135" s="14">
        <f>SUM(AW$5:AW135)</f>
        <v>24293.781954285132</v>
      </c>
      <c r="BF135" s="14">
        <f>SUM(AX$5:AX135)</f>
        <v>13033.6732167839</v>
      </c>
      <c r="BI135" s="14">
        <v>131</v>
      </c>
      <c r="BJ135" s="14">
        <f t="shared" si="53"/>
        <v>446.19101988194473</v>
      </c>
      <c r="BK135" s="14">
        <f t="shared" si="54"/>
        <v>551.8605171727645</v>
      </c>
      <c r="BL135" s="14">
        <f t="shared" si="55"/>
        <v>599.42360208685182</v>
      </c>
      <c r="BM135" s="14">
        <f t="shared" si="56"/>
        <v>485.87563908570257</v>
      </c>
      <c r="BN135" s="14">
        <f t="shared" si="57"/>
        <v>260.67346433567798</v>
      </c>
      <c r="BO135" s="14">
        <f t="shared" si="58"/>
        <v>669.28652982291726</v>
      </c>
      <c r="BP135" s="14">
        <f t="shared" si="59"/>
        <v>827.79077575914687</v>
      </c>
      <c r="BQ135" s="14">
        <f t="shared" si="60"/>
        <v>899.13540313027784</v>
      </c>
      <c r="BR135" s="14">
        <f t="shared" si="61"/>
        <v>728.81345862855392</v>
      </c>
      <c r="BS135" s="14">
        <f t="shared" si="62"/>
        <v>391.01019650351702</v>
      </c>
      <c r="BT135" s="14">
        <f t="shared" si="63"/>
        <v>0</v>
      </c>
      <c r="BU135" s="14">
        <f t="shared" si="64"/>
        <v>0</v>
      </c>
      <c r="BV135" s="14">
        <f t="shared" si="65"/>
        <v>0</v>
      </c>
      <c r="BW135" s="14">
        <f t="shared" si="66"/>
        <v>0</v>
      </c>
      <c r="BX135" s="14">
        <f t="shared" si="67"/>
        <v>0</v>
      </c>
      <c r="BY135" s="14">
        <f t="shared" si="68"/>
        <v>5577.3877485243102</v>
      </c>
      <c r="BZ135" s="14">
        <f t="shared" si="69"/>
        <v>6898.2564646595583</v>
      </c>
      <c r="CA135" s="14">
        <f t="shared" si="70"/>
        <v>7492.7950260856496</v>
      </c>
      <c r="CB135" s="14">
        <f t="shared" si="71"/>
        <v>6073.445488571283</v>
      </c>
      <c r="CC135" s="14">
        <f t="shared" si="72"/>
        <v>3258.418304195975</v>
      </c>
    </row>
    <row r="136" spans="24:81" x14ac:dyDescent="0.15">
      <c r="X136" s="14">
        <v>132</v>
      </c>
      <c r="Y136" s="30">
        <f t="shared" si="73"/>
        <v>6</v>
      </c>
      <c r="Z136" s="27">
        <f t="shared" si="51"/>
        <v>8.8000000000000009E-2</v>
      </c>
      <c r="AA136" s="14">
        <f>$Y136*$Z136*其他调用!V135</f>
        <v>15305.537848004387</v>
      </c>
      <c r="AB136" s="14">
        <f>$Y136*$Z136*其他调用!W135</f>
        <v>19101.820908623831</v>
      </c>
      <c r="AC136" s="14">
        <f>$Y136*$Z136*其他调用!X135</f>
        <v>21182.631642284101</v>
      </c>
      <c r="AD136" s="14">
        <f>$Y136*$Z136*其他调用!Y135</f>
        <v>16314.22147918377</v>
      </c>
      <c r="AE136" s="14">
        <f>$Y136*$Z136*其他调用!Z135</f>
        <v>8473.7027817291037</v>
      </c>
      <c r="AH136" s="14">
        <v>132</v>
      </c>
      <c r="AI136" s="14">
        <f>SUM(AA$5:AA136)</f>
        <v>193717.71367245656</v>
      </c>
      <c r="AJ136" s="14">
        <f>SUM(AB$5:AB136)</f>
        <v>239258.80662273066</v>
      </c>
      <c r="AK136" s="14">
        <f>SUM(AC$5:AC136)</f>
        <v>259835.68028161835</v>
      </c>
      <c r="AL136" s="14">
        <f>SUM(AD$5:AD136)</f>
        <v>209083.91470737706</v>
      </c>
      <c r="AM136" s="14">
        <f>SUM(AE$5:AE136)</f>
        <v>111677.88743811836</v>
      </c>
      <c r="AR136" s="14">
        <v>132</v>
      </c>
      <c r="AS136" s="27">
        <f t="shared" si="52"/>
        <v>0.11200000000000002</v>
      </c>
      <c r="AT136" s="14">
        <f>求节点(E$28:E$32,$N$28:$N$32,$AR136)*$AS136*其他调用!V135/$E$4</f>
        <v>1623.3146202428898</v>
      </c>
      <c r="AU136" s="14">
        <f>求节点(F$28:F$32,$N$28:$N$32,$AR136)*$AS136*其他调用!W135/$E$4</f>
        <v>2025.9507024298007</v>
      </c>
      <c r="AV136" s="14">
        <f>求节点(G$28:G$32,$N$28:$N$32,$AR136)*$AS136*其他调用!X135/$E$4</f>
        <v>2246.642749939223</v>
      </c>
      <c r="AW136" s="14">
        <f>求节点(H$28:H$32,$N$28:$N$32,$AR136)*$AS136*其他调用!Y135/$E$4</f>
        <v>1730.2962174891879</v>
      </c>
      <c r="AX136" s="14">
        <f>求节点(I$28:I$32,$N$28:$N$32,$AR136)*$AS136*其他调用!Z135/$E$4</f>
        <v>898.72605260763237</v>
      </c>
      <c r="BA136" s="14">
        <v>132</v>
      </c>
      <c r="BB136" s="14">
        <f>SUM(AT$5:AT136)</f>
        <v>23932.865614340131</v>
      </c>
      <c r="BC136" s="14">
        <f>SUM(AU$5:AU136)</f>
        <v>29618.976561068033</v>
      </c>
      <c r="BD136" s="14">
        <f>SUM(AV$5:AV136)</f>
        <v>32217.822854281821</v>
      </c>
      <c r="BE136" s="14">
        <f>SUM(AW$5:AW136)</f>
        <v>26024.078171774319</v>
      </c>
      <c r="BF136" s="14">
        <f>SUM(AX$5:AX136)</f>
        <v>13932.399269391532</v>
      </c>
      <c r="BI136" s="14">
        <v>132</v>
      </c>
      <c r="BJ136" s="14">
        <f t="shared" si="53"/>
        <v>478.65731228680249</v>
      </c>
      <c r="BK136" s="14">
        <f t="shared" si="54"/>
        <v>592.37953122136048</v>
      </c>
      <c r="BL136" s="14">
        <f t="shared" si="55"/>
        <v>644.35645708563629</v>
      </c>
      <c r="BM136" s="14">
        <f t="shared" si="56"/>
        <v>520.48156343548624</v>
      </c>
      <c r="BN136" s="14">
        <f t="shared" si="57"/>
        <v>278.64798538783054</v>
      </c>
      <c r="BO136" s="14">
        <f t="shared" si="58"/>
        <v>717.98596843020391</v>
      </c>
      <c r="BP136" s="14">
        <f t="shared" si="59"/>
        <v>888.56929683204089</v>
      </c>
      <c r="BQ136" s="14">
        <f t="shared" si="60"/>
        <v>966.53468562845467</v>
      </c>
      <c r="BR136" s="14">
        <f t="shared" si="61"/>
        <v>780.72234515322953</v>
      </c>
      <c r="BS136" s="14">
        <f t="shared" si="62"/>
        <v>417.97197808174599</v>
      </c>
      <c r="BT136" s="14">
        <f t="shared" si="63"/>
        <v>0</v>
      </c>
      <c r="BU136" s="14">
        <f t="shared" si="64"/>
        <v>0</v>
      </c>
      <c r="BV136" s="14">
        <f t="shared" si="65"/>
        <v>0</v>
      </c>
      <c r="BW136" s="14">
        <f t="shared" si="66"/>
        <v>0</v>
      </c>
      <c r="BX136" s="14">
        <f t="shared" si="67"/>
        <v>0</v>
      </c>
      <c r="BY136" s="14">
        <f t="shared" si="68"/>
        <v>5983.2164035850328</v>
      </c>
      <c r="BZ136" s="14">
        <f t="shared" si="69"/>
        <v>7404.7441402670083</v>
      </c>
      <c r="CA136" s="14">
        <f t="shared" si="70"/>
        <v>8054.4557135704554</v>
      </c>
      <c r="CB136" s="14">
        <f t="shared" si="71"/>
        <v>6506.0195429435789</v>
      </c>
      <c r="CC136" s="14">
        <f t="shared" si="72"/>
        <v>3483.0998173478829</v>
      </c>
    </row>
    <row r="137" spans="24:81" x14ac:dyDescent="0.15">
      <c r="X137" s="14">
        <v>133</v>
      </c>
      <c r="Y137" s="30">
        <f t="shared" si="73"/>
        <v>6</v>
      </c>
      <c r="Z137" s="27">
        <f t="shared" si="51"/>
        <v>8.8000000000000009E-2</v>
      </c>
      <c r="AA137" s="14">
        <f>$Y137*$Z137*其他调用!V136</f>
        <v>16404.069295336376</v>
      </c>
      <c r="AB137" s="14">
        <f>$Y137*$Z137*其他调用!W136</f>
        <v>20487.161989542477</v>
      </c>
      <c r="AC137" s="14">
        <f>$Y137*$Z137*其他调用!X136</f>
        <v>21201.131360499894</v>
      </c>
      <c r="AD137" s="14">
        <f>$Y137*$Z137*其他调用!Y136</f>
        <v>16479.595030326251</v>
      </c>
      <c r="AE137" s="14">
        <f>$Y137*$Z137*其他调用!Z136</f>
        <v>8942.8144969051264</v>
      </c>
      <c r="AH137" s="14">
        <v>133</v>
      </c>
      <c r="AI137" s="14">
        <f>SUM(AA$5:AA137)</f>
        <v>210121.78296779294</v>
      </c>
      <c r="AJ137" s="14">
        <f>SUM(AB$5:AB137)</f>
        <v>259745.96861227314</v>
      </c>
      <c r="AK137" s="14">
        <f>SUM(AC$5:AC137)</f>
        <v>281036.81164211826</v>
      </c>
      <c r="AL137" s="14">
        <f>SUM(AD$5:AD137)</f>
        <v>225563.50973770331</v>
      </c>
      <c r="AM137" s="14">
        <f>SUM(AE$5:AE137)</f>
        <v>120620.70193502348</v>
      </c>
      <c r="AR137" s="14">
        <v>133</v>
      </c>
      <c r="AS137" s="27">
        <f t="shared" si="52"/>
        <v>0.11200000000000002</v>
      </c>
      <c r="AT137" s="14">
        <f>求节点(E$28:E$32,$N$28:$N$32,$AR137)*$AS137*其他调用!V136/$E$4</f>
        <v>1739.8255313235552</v>
      </c>
      <c r="AU137" s="14">
        <f>求节点(F$28:F$32,$N$28:$N$32,$AR137)*$AS137*其他调用!W136/$E$4</f>
        <v>2172.880817072687</v>
      </c>
      <c r="AV137" s="14">
        <f>求节点(G$28:G$32,$N$28:$N$32,$AR137)*$AS137*其他调用!X136/$E$4</f>
        <v>2248.6048412651403</v>
      </c>
      <c r="AW137" s="14">
        <f>求节点(H$28:H$32,$N$28:$N$32,$AR137)*$AS137*其他调用!Y136/$E$4</f>
        <v>1747.835836549754</v>
      </c>
      <c r="AX137" s="14">
        <f>求节点(I$28:I$32,$N$28:$N$32,$AR137)*$AS137*其他调用!Z136/$E$4</f>
        <v>948.48032542933163</v>
      </c>
      <c r="BA137" s="14">
        <v>133</v>
      </c>
      <c r="BB137" s="14">
        <f>SUM(AT$5:AT137)</f>
        <v>25672.691145663688</v>
      </c>
      <c r="BC137" s="14">
        <f>SUM(AU$5:AU137)</f>
        <v>31791.857378140721</v>
      </c>
      <c r="BD137" s="14">
        <f>SUM(AV$5:AV137)</f>
        <v>34466.427695546961</v>
      </c>
      <c r="BE137" s="14">
        <f>SUM(AW$5:AW137)</f>
        <v>27771.914008324075</v>
      </c>
      <c r="BF137" s="14">
        <f>SUM(AX$5:AX137)</f>
        <v>14880.879594820863</v>
      </c>
      <c r="BI137" s="14">
        <v>133</v>
      </c>
      <c r="BJ137" s="14">
        <f t="shared" si="53"/>
        <v>513.45382291327371</v>
      </c>
      <c r="BK137" s="14">
        <f t="shared" si="54"/>
        <v>635.83714756281427</v>
      </c>
      <c r="BL137" s="14">
        <f t="shared" si="55"/>
        <v>689.32855391093904</v>
      </c>
      <c r="BM137" s="14">
        <f t="shared" si="56"/>
        <v>555.43828016648138</v>
      </c>
      <c r="BN137" s="14">
        <f t="shared" si="57"/>
        <v>297.6175918964172</v>
      </c>
      <c r="BO137" s="14">
        <f t="shared" si="58"/>
        <v>770.18073436991062</v>
      </c>
      <c r="BP137" s="14">
        <f t="shared" si="59"/>
        <v>953.75572134422168</v>
      </c>
      <c r="BQ137" s="14">
        <f t="shared" si="60"/>
        <v>1033.9928308664089</v>
      </c>
      <c r="BR137" s="14">
        <f t="shared" si="61"/>
        <v>833.15742024972224</v>
      </c>
      <c r="BS137" s="14">
        <f t="shared" si="62"/>
        <v>446.42638784462588</v>
      </c>
      <c r="BT137" s="14">
        <f t="shared" si="63"/>
        <v>0</v>
      </c>
      <c r="BU137" s="14">
        <f t="shared" si="64"/>
        <v>0</v>
      </c>
      <c r="BV137" s="14">
        <f t="shared" si="65"/>
        <v>0</v>
      </c>
      <c r="BW137" s="14">
        <f t="shared" si="66"/>
        <v>0</v>
      </c>
      <c r="BX137" s="14">
        <f t="shared" si="67"/>
        <v>0</v>
      </c>
      <c r="BY137" s="14">
        <f t="shared" si="68"/>
        <v>6418.172786415922</v>
      </c>
      <c r="BZ137" s="14">
        <f t="shared" si="69"/>
        <v>7947.9643445351803</v>
      </c>
      <c r="CA137" s="14">
        <f t="shared" si="70"/>
        <v>8616.6069238867403</v>
      </c>
      <c r="CB137" s="14">
        <f t="shared" si="71"/>
        <v>6942.9785020810186</v>
      </c>
      <c r="CC137" s="14">
        <f t="shared" si="72"/>
        <v>3720.2198987052157</v>
      </c>
    </row>
    <row r="138" spans="24:81" x14ac:dyDescent="0.15">
      <c r="X138" s="14">
        <v>134</v>
      </c>
      <c r="Y138" s="30">
        <f t="shared" si="73"/>
        <v>6</v>
      </c>
      <c r="Z138" s="27">
        <f t="shared" si="51"/>
        <v>8.8000000000000009E-2</v>
      </c>
      <c r="AA138" s="14">
        <f>$Y138*$Z138*其他调用!V137</f>
        <v>17581.446148347553</v>
      </c>
      <c r="AB138" s="14">
        <f>$Y138*$Z138*其他调用!W137</f>
        <v>20825.88791195802</v>
      </c>
      <c r="AC138" s="14">
        <f>$Y138*$Z138*其他调用!X137</f>
        <v>21936.625540779161</v>
      </c>
      <c r="AD138" s="14">
        <f>$Y138*$Z138*其他调用!Y137</f>
        <v>17806.961003311433</v>
      </c>
      <c r="AE138" s="14">
        <f>$Y138*$Z138*其他调用!Z137</f>
        <v>9780.4220054628313</v>
      </c>
      <c r="AH138" s="14">
        <v>134</v>
      </c>
      <c r="AI138" s="14">
        <f>SUM(AA$5:AA138)</f>
        <v>227703.22911614049</v>
      </c>
      <c r="AJ138" s="14">
        <f>SUM(AB$5:AB138)</f>
        <v>280571.85652423115</v>
      </c>
      <c r="AK138" s="14">
        <f>SUM(AC$5:AC138)</f>
        <v>302973.43718289741</v>
      </c>
      <c r="AL138" s="14">
        <f>SUM(AD$5:AD138)</f>
        <v>243370.47074101475</v>
      </c>
      <c r="AM138" s="14">
        <f>SUM(AE$5:AE138)</f>
        <v>130401.12394048632</v>
      </c>
      <c r="AR138" s="14">
        <v>134</v>
      </c>
      <c r="AS138" s="27">
        <f t="shared" si="52"/>
        <v>0.11200000000000002</v>
      </c>
      <c r="AT138" s="14">
        <f>求节点(E$28:E$32,$N$28:$N$32,$AR138)*$AS138*其他调用!V137/$E$4</f>
        <v>1864.6988339156496</v>
      </c>
      <c r="AU138" s="14">
        <f>求节点(F$28:F$32,$N$28:$N$32,$AR138)*$AS138*其他调用!W137/$E$4</f>
        <v>2208.8062936925176</v>
      </c>
      <c r="AV138" s="14">
        <f>求节点(G$28:G$32,$N$28:$N$32,$AR138)*$AS138*其他调用!X137/$E$4</f>
        <v>2326.6117997796082</v>
      </c>
      <c r="AW138" s="14">
        <f>求节点(H$28:H$32,$N$28:$N$32,$AR138)*$AS138*其他调用!Y137/$E$4</f>
        <v>1888.6170761087885</v>
      </c>
      <c r="AX138" s="14">
        <f>求节点(I$28:I$32,$N$28:$N$32,$AR138)*$AS138*其他调用!Z137/$E$4</f>
        <v>1037.3174854278761</v>
      </c>
      <c r="BA138" s="14">
        <v>134</v>
      </c>
      <c r="BB138" s="14">
        <f>SUM(AT$5:AT138)</f>
        <v>27537.389979579337</v>
      </c>
      <c r="BC138" s="14">
        <f>SUM(AU$5:AU138)</f>
        <v>34000.663671833237</v>
      </c>
      <c r="BD138" s="14">
        <f>SUM(AV$5:AV138)</f>
        <v>36793.039495326571</v>
      </c>
      <c r="BE138" s="14">
        <f>SUM(AW$5:AW138)</f>
        <v>29660.531084432863</v>
      </c>
      <c r="BF138" s="14">
        <f>SUM(AX$5:AX138)</f>
        <v>15918.197080248739</v>
      </c>
      <c r="BI138" s="14">
        <v>134</v>
      </c>
      <c r="BJ138" s="14">
        <f t="shared" si="53"/>
        <v>550.74779959158661</v>
      </c>
      <c r="BK138" s="14">
        <f t="shared" si="54"/>
        <v>680.01327343666458</v>
      </c>
      <c r="BL138" s="14">
        <f t="shared" si="55"/>
        <v>735.86078990653118</v>
      </c>
      <c r="BM138" s="14">
        <f t="shared" si="56"/>
        <v>593.21062168865706</v>
      </c>
      <c r="BN138" s="14">
        <f t="shared" si="57"/>
        <v>318.36394160497468</v>
      </c>
      <c r="BO138" s="14">
        <f t="shared" si="58"/>
        <v>826.12169938738009</v>
      </c>
      <c r="BP138" s="14">
        <f t="shared" si="59"/>
        <v>1020.0199101549972</v>
      </c>
      <c r="BQ138" s="14">
        <f t="shared" si="60"/>
        <v>1103.7911848597971</v>
      </c>
      <c r="BR138" s="14">
        <f t="shared" si="61"/>
        <v>889.81593253298581</v>
      </c>
      <c r="BS138" s="14">
        <f t="shared" si="62"/>
        <v>477.54591240746214</v>
      </c>
      <c r="BT138" s="14">
        <f t="shared" si="63"/>
        <v>0</v>
      </c>
      <c r="BU138" s="14">
        <f t="shared" si="64"/>
        <v>0</v>
      </c>
      <c r="BV138" s="14">
        <f t="shared" si="65"/>
        <v>0</v>
      </c>
      <c r="BW138" s="14">
        <f t="shared" si="66"/>
        <v>0</v>
      </c>
      <c r="BX138" s="14">
        <f t="shared" si="67"/>
        <v>0</v>
      </c>
      <c r="BY138" s="14">
        <f t="shared" si="68"/>
        <v>6884.3474948948351</v>
      </c>
      <c r="BZ138" s="14">
        <f t="shared" si="69"/>
        <v>8500.1659179583094</v>
      </c>
      <c r="CA138" s="14">
        <f t="shared" si="70"/>
        <v>9198.2598738316428</v>
      </c>
      <c r="CB138" s="14">
        <f t="shared" si="71"/>
        <v>7415.1327711082158</v>
      </c>
      <c r="CC138" s="14">
        <f t="shared" si="72"/>
        <v>3979.5492700621849</v>
      </c>
    </row>
    <row r="139" spans="24:81" x14ac:dyDescent="0.15">
      <c r="X139" s="14">
        <v>135</v>
      </c>
      <c r="Y139" s="30">
        <f t="shared" si="73"/>
        <v>6</v>
      </c>
      <c r="Z139" s="27">
        <f t="shared" si="51"/>
        <v>8.8000000000000009E-2</v>
      </c>
      <c r="AA139" s="14">
        <f>$Y139*$Z139*其他调用!V138</f>
        <v>18843.327414810228</v>
      </c>
      <c r="AB139" s="14">
        <f>$Y139*$Z139*其他调用!W138</f>
        <v>22828.483765878464</v>
      </c>
      <c r="AC139" s="14">
        <f>$Y139*$Z139*其他调用!X138</f>
        <v>24620.042443866245</v>
      </c>
      <c r="AD139" s="14">
        <f>$Y139*$Z139*其他调用!Y138</f>
        <v>20327.848828379749</v>
      </c>
      <c r="AE139" s="14">
        <f>$Y139*$Z139*其他调用!Z138</f>
        <v>11087.075987481265</v>
      </c>
      <c r="AH139" s="14">
        <v>135</v>
      </c>
      <c r="AI139" s="14">
        <f>SUM(AA$5:AA139)</f>
        <v>246546.55653095071</v>
      </c>
      <c r="AJ139" s="14">
        <f>SUM(AB$5:AB139)</f>
        <v>303400.34029010963</v>
      </c>
      <c r="AK139" s="14">
        <f>SUM(AC$5:AC139)</f>
        <v>327593.47962676367</v>
      </c>
      <c r="AL139" s="14">
        <f>SUM(AD$5:AD139)</f>
        <v>263698.31956939452</v>
      </c>
      <c r="AM139" s="14">
        <f>SUM(AE$5:AE139)</f>
        <v>141488.19992796757</v>
      </c>
      <c r="AR139" s="14">
        <v>135</v>
      </c>
      <c r="AS139" s="27">
        <f t="shared" si="52"/>
        <v>0.11200000000000002</v>
      </c>
      <c r="AT139" s="14">
        <f>求节点(E$28:E$32,$N$28:$N$32,$AR139)*$AS139*其他调用!V138/$E$4</f>
        <v>1998.534725813206</v>
      </c>
      <c r="AU139" s="14">
        <f>求节点(F$28:F$32,$N$28:$N$32,$AR139)*$AS139*其他调用!W138/$E$4</f>
        <v>2421.2028236537767</v>
      </c>
      <c r="AV139" s="14">
        <f>求节点(G$28:G$32,$N$28:$N$32,$AR139)*$AS139*其他调用!X138/$E$4</f>
        <v>2611.216622834299</v>
      </c>
      <c r="AW139" s="14">
        <f>求节点(H$28:H$32,$N$28:$N$32,$AR139)*$AS139*其他调用!Y138/$E$4</f>
        <v>2155.9839666463372</v>
      </c>
      <c r="AX139" s="14">
        <f>求节点(I$28:I$32,$N$28:$N$32,$AR139)*$AS139*其他调用!Z138/$E$4</f>
        <v>1175.9019986722556</v>
      </c>
      <c r="BA139" s="14">
        <v>135</v>
      </c>
      <c r="BB139" s="14">
        <f>SUM(AT$5:AT139)</f>
        <v>29535.924705392543</v>
      </c>
      <c r="BC139" s="14">
        <f>SUM(AU$5:AU139)</f>
        <v>36421.866495487011</v>
      </c>
      <c r="BD139" s="14">
        <f>SUM(AV$5:AV139)</f>
        <v>39404.256118160869</v>
      </c>
      <c r="BE139" s="14">
        <f>SUM(AW$5:AW139)</f>
        <v>31816.515051079201</v>
      </c>
      <c r="BF139" s="14">
        <f>SUM(AX$5:AX139)</f>
        <v>17094.099078920994</v>
      </c>
      <c r="BI139" s="14">
        <v>135</v>
      </c>
      <c r="BJ139" s="14">
        <f t="shared" si="53"/>
        <v>590.71849410785069</v>
      </c>
      <c r="BK139" s="14">
        <f t="shared" si="54"/>
        <v>728.43732990974001</v>
      </c>
      <c r="BL139" s="14">
        <f t="shared" si="55"/>
        <v>788.08512236321724</v>
      </c>
      <c r="BM139" s="14">
        <f t="shared" si="56"/>
        <v>636.33030102158386</v>
      </c>
      <c r="BN139" s="14">
        <f t="shared" si="57"/>
        <v>341.88198157841981</v>
      </c>
      <c r="BO139" s="14">
        <f t="shared" si="58"/>
        <v>886.0777411617762</v>
      </c>
      <c r="BP139" s="14">
        <f t="shared" si="59"/>
        <v>1092.6559948646104</v>
      </c>
      <c r="BQ139" s="14">
        <f t="shared" si="60"/>
        <v>1182.1276835448259</v>
      </c>
      <c r="BR139" s="14">
        <f t="shared" si="61"/>
        <v>954.49545153237591</v>
      </c>
      <c r="BS139" s="14">
        <f t="shared" si="62"/>
        <v>512.82297236762975</v>
      </c>
      <c r="BT139" s="14">
        <f t="shared" si="63"/>
        <v>0</v>
      </c>
      <c r="BU139" s="14">
        <f t="shared" si="64"/>
        <v>0</v>
      </c>
      <c r="BV139" s="14">
        <f t="shared" si="65"/>
        <v>0</v>
      </c>
      <c r="BW139" s="14">
        <f t="shared" si="66"/>
        <v>0</v>
      </c>
      <c r="BX139" s="14">
        <f t="shared" si="67"/>
        <v>0</v>
      </c>
      <c r="BY139" s="14">
        <f t="shared" si="68"/>
        <v>7383.9811763481357</v>
      </c>
      <c r="BZ139" s="14">
        <f t="shared" si="69"/>
        <v>9105.4666238717527</v>
      </c>
      <c r="CA139" s="14">
        <f t="shared" si="70"/>
        <v>9851.0640295402172</v>
      </c>
      <c r="CB139" s="14">
        <f t="shared" si="71"/>
        <v>7954.1287627698002</v>
      </c>
      <c r="CC139" s="14">
        <f t="shared" si="72"/>
        <v>4273.5247697302484</v>
      </c>
    </row>
    <row r="140" spans="24:81" x14ac:dyDescent="0.15">
      <c r="X140" s="14">
        <v>136</v>
      </c>
      <c r="Y140" s="30">
        <f t="shared" si="73"/>
        <v>6</v>
      </c>
      <c r="Z140" s="27">
        <f t="shared" si="51"/>
        <v>8.8000000000000009E-2</v>
      </c>
      <c r="AA140" s="14">
        <f>$Y140*$Z140*其他调用!V139</f>
        <v>20195.778269075727</v>
      </c>
      <c r="AB140" s="14">
        <f>$Y140*$Z140*其他调用!W139</f>
        <v>25140.296282650659</v>
      </c>
      <c r="AC140" s="14">
        <f>$Y140*$Z140*其他调用!X139</f>
        <v>28260.114044597682</v>
      </c>
      <c r="AD140" s="14">
        <f>$Y140*$Z140*其他调用!Y139</f>
        <v>22741.199317519608</v>
      </c>
      <c r="AE140" s="14">
        <f>$Y140*$Z140*其他调用!Z139</f>
        <v>12238.532851616006</v>
      </c>
      <c r="AH140" s="14">
        <v>136</v>
      </c>
      <c r="AI140" s="14">
        <f>SUM(AA$5:AA140)</f>
        <v>266742.33480002644</v>
      </c>
      <c r="AJ140" s="14">
        <f>SUM(AB$5:AB140)</f>
        <v>328540.6365727603</v>
      </c>
      <c r="AK140" s="14">
        <f>SUM(AC$5:AC140)</f>
        <v>355853.59367136133</v>
      </c>
      <c r="AL140" s="14">
        <f>SUM(AD$5:AD140)</f>
        <v>286439.51888691413</v>
      </c>
      <c r="AM140" s="14">
        <f>SUM(AE$5:AE140)</f>
        <v>153726.73277958357</v>
      </c>
      <c r="AR140" s="14">
        <v>136</v>
      </c>
      <c r="AS140" s="27">
        <f t="shared" si="52"/>
        <v>0.11200000000000002</v>
      </c>
      <c r="AT140" s="14">
        <f>求节点(E$28:E$32,$N$28:$N$32,$AR140)*$AS140*其他调用!V139/$E$4</f>
        <v>2141.9764830837894</v>
      </c>
      <c r="AU140" s="14">
        <f>求节点(F$28:F$32,$N$28:$N$32,$AR140)*$AS140*其他调用!W139/$E$4</f>
        <v>2666.395060281131</v>
      </c>
      <c r="AV140" s="14">
        <f>求节点(G$28:G$32,$N$28:$N$32,$AR140)*$AS140*其他调用!X139/$E$4</f>
        <v>2997.2848229118758</v>
      </c>
      <c r="AW140" s="14">
        <f>求节点(H$28:H$32,$N$28:$N$32,$AR140)*$AS140*其他调用!Y139/$E$4</f>
        <v>2411.9453821611705</v>
      </c>
      <c r="AX140" s="14">
        <f>求节点(I$28:I$32,$N$28:$N$32,$AR140)*$AS140*其他调用!Z139/$E$4</f>
        <v>1298.0262115350311</v>
      </c>
      <c r="BA140" s="14">
        <v>136</v>
      </c>
      <c r="BB140" s="14">
        <f>SUM(AT$5:AT140)</f>
        <v>31677.901188476331</v>
      </c>
      <c r="BC140" s="14">
        <f>SUM(AU$5:AU140)</f>
        <v>39088.261555768142</v>
      </c>
      <c r="BD140" s="14">
        <f>SUM(AV$5:AV140)</f>
        <v>42401.540941072744</v>
      </c>
      <c r="BE140" s="14">
        <f>SUM(AW$5:AW140)</f>
        <v>34228.460433240369</v>
      </c>
      <c r="BF140" s="14">
        <f>SUM(AX$5:AX140)</f>
        <v>18392.125290456024</v>
      </c>
      <c r="BI140" s="14">
        <v>136</v>
      </c>
      <c r="BJ140" s="14">
        <f t="shared" si="53"/>
        <v>633.55802376952647</v>
      </c>
      <c r="BK140" s="14">
        <f t="shared" si="54"/>
        <v>781.76523111536267</v>
      </c>
      <c r="BL140" s="14">
        <f t="shared" si="55"/>
        <v>848.03081882145466</v>
      </c>
      <c r="BM140" s="14">
        <f t="shared" si="56"/>
        <v>684.56920866480721</v>
      </c>
      <c r="BN140" s="14">
        <f t="shared" si="57"/>
        <v>367.84250580912038</v>
      </c>
      <c r="BO140" s="14">
        <f t="shared" si="58"/>
        <v>950.33703565428982</v>
      </c>
      <c r="BP140" s="14">
        <f t="shared" si="59"/>
        <v>1172.6478466730443</v>
      </c>
      <c r="BQ140" s="14">
        <f t="shared" si="60"/>
        <v>1272.0462282321823</v>
      </c>
      <c r="BR140" s="14">
        <f t="shared" si="61"/>
        <v>1026.853812997211</v>
      </c>
      <c r="BS140" s="14">
        <f t="shared" si="62"/>
        <v>551.76375871368077</v>
      </c>
      <c r="BT140" s="14">
        <f t="shared" si="63"/>
        <v>0</v>
      </c>
      <c r="BU140" s="14">
        <f t="shared" si="64"/>
        <v>0</v>
      </c>
      <c r="BV140" s="14">
        <f t="shared" si="65"/>
        <v>0</v>
      </c>
      <c r="BW140" s="14">
        <f t="shared" si="66"/>
        <v>0</v>
      </c>
      <c r="BX140" s="14">
        <f t="shared" si="67"/>
        <v>0</v>
      </c>
      <c r="BY140" s="14">
        <f t="shared" si="68"/>
        <v>7919.4752971190828</v>
      </c>
      <c r="BZ140" s="14">
        <f t="shared" si="69"/>
        <v>9772.0653889420355</v>
      </c>
      <c r="CA140" s="14">
        <f t="shared" si="70"/>
        <v>10600.385235268186</v>
      </c>
      <c r="CB140" s="14">
        <f t="shared" si="71"/>
        <v>8557.1151083100922</v>
      </c>
      <c r="CC140" s="14">
        <f t="shared" si="72"/>
        <v>4598.0313226140061</v>
      </c>
    </row>
    <row r="141" spans="24:81" x14ac:dyDescent="0.15">
      <c r="X141" s="14">
        <v>137</v>
      </c>
      <c r="Y141" s="30">
        <f t="shared" si="73"/>
        <v>6</v>
      </c>
      <c r="Z141" s="27">
        <f t="shared" si="51"/>
        <v>8.8000000000000009E-2</v>
      </c>
      <c r="AA141" s="14">
        <f>$Y141*$Z141*其他调用!V140</f>
        <v>21645.29920406258</v>
      </c>
      <c r="AB141" s="14">
        <f>$Y141*$Z141*其他调用!W140</f>
        <v>27151.918598717239</v>
      </c>
      <c r="AC141" s="14">
        <f>$Y141*$Z141*其他调用!X140</f>
        <v>29363.939108585</v>
      </c>
      <c r="AD141" s="14">
        <f>$Y141*$Z141*其他调用!Y140</f>
        <v>23944.387455590622</v>
      </c>
      <c r="AE141" s="14">
        <f>$Y141*$Z141*其他调用!Z140</f>
        <v>12726.34734571875</v>
      </c>
      <c r="AH141" s="14">
        <v>137</v>
      </c>
      <c r="AI141" s="14">
        <f>SUM(AA$5:AA141)</f>
        <v>288387.63400408899</v>
      </c>
      <c r="AJ141" s="14">
        <f>SUM(AB$5:AB141)</f>
        <v>355692.55517147755</v>
      </c>
      <c r="AK141" s="14">
        <f>SUM(AC$5:AC141)</f>
        <v>385217.53277994634</v>
      </c>
      <c r="AL141" s="14">
        <f>SUM(AD$5:AD141)</f>
        <v>310383.90634250478</v>
      </c>
      <c r="AM141" s="14">
        <f>SUM(AE$5:AE141)</f>
        <v>166453.08012530231</v>
      </c>
      <c r="AR141" s="14">
        <v>137</v>
      </c>
      <c r="AS141" s="27">
        <f t="shared" si="52"/>
        <v>0.11200000000000002</v>
      </c>
      <c r="AT141" s="14">
        <f>求节点(E$28:E$32,$N$28:$N$32,$AR141)*$AS141*其他调用!V140/$E$4</f>
        <v>2295.7135519460312</v>
      </c>
      <c r="AU141" s="14">
        <f>求节点(F$28:F$32,$N$28:$N$32,$AR141)*$AS141*其他调用!W140/$E$4</f>
        <v>2879.7489422881922</v>
      </c>
      <c r="AV141" s="14">
        <f>求节点(G$28:G$32,$N$28:$N$32,$AR141)*$AS141*其他调用!X140/$E$4</f>
        <v>3114.3571781832579</v>
      </c>
      <c r="AW141" s="14">
        <f>求节点(H$28:H$32,$N$28:$N$32,$AR141)*$AS141*其他调用!Y140/$E$4</f>
        <v>2539.5562452899148</v>
      </c>
      <c r="AX141" s="14">
        <f>求节点(I$28:I$32,$N$28:$N$32,$AR141)*$AS141*其他调用!Z140/$E$4</f>
        <v>1349.7641124247161</v>
      </c>
      <c r="BA141" s="14">
        <v>137</v>
      </c>
      <c r="BB141" s="14">
        <f>SUM(AT$5:AT141)</f>
        <v>33973.614740422359</v>
      </c>
      <c r="BC141" s="14">
        <f>SUM(AU$5:AU141)</f>
        <v>41968.010498056334</v>
      </c>
      <c r="BD141" s="14">
        <f>SUM(AV$5:AV141)</f>
        <v>45515.898119256002</v>
      </c>
      <c r="BE141" s="14">
        <f>SUM(AW$5:AW141)</f>
        <v>36768.016678530286</v>
      </c>
      <c r="BF141" s="14">
        <f>SUM(AX$5:AX141)</f>
        <v>19741.889402880741</v>
      </c>
      <c r="BI141" s="14">
        <v>137</v>
      </c>
      <c r="BJ141" s="14">
        <f t="shared" si="53"/>
        <v>679.47229480844703</v>
      </c>
      <c r="BK141" s="14">
        <f t="shared" si="54"/>
        <v>839.36020996112654</v>
      </c>
      <c r="BL141" s="14">
        <f t="shared" si="55"/>
        <v>910.31796238511981</v>
      </c>
      <c r="BM141" s="14">
        <f t="shared" si="56"/>
        <v>735.36033357060558</v>
      </c>
      <c r="BN141" s="14">
        <f t="shared" si="57"/>
        <v>394.83778805761472</v>
      </c>
      <c r="BO141" s="14">
        <f t="shared" si="58"/>
        <v>1019.2084422126707</v>
      </c>
      <c r="BP141" s="14">
        <f t="shared" si="59"/>
        <v>1259.04031494169</v>
      </c>
      <c r="BQ141" s="14">
        <f t="shared" si="60"/>
        <v>1365.47694357768</v>
      </c>
      <c r="BR141" s="14">
        <f t="shared" si="61"/>
        <v>1103.0405003559085</v>
      </c>
      <c r="BS141" s="14">
        <f t="shared" si="62"/>
        <v>592.25668208642219</v>
      </c>
      <c r="BT141" s="14">
        <f t="shared" si="63"/>
        <v>0</v>
      </c>
      <c r="BU141" s="14">
        <f t="shared" si="64"/>
        <v>0</v>
      </c>
      <c r="BV141" s="14">
        <f t="shared" si="65"/>
        <v>0</v>
      </c>
      <c r="BW141" s="14">
        <f t="shared" si="66"/>
        <v>0</v>
      </c>
      <c r="BX141" s="14">
        <f t="shared" si="67"/>
        <v>0</v>
      </c>
      <c r="BY141" s="14">
        <f t="shared" si="68"/>
        <v>8493.4036851055898</v>
      </c>
      <c r="BZ141" s="14">
        <f t="shared" si="69"/>
        <v>10492.002624514083</v>
      </c>
      <c r="CA141" s="14">
        <f t="shared" si="70"/>
        <v>11378.974529814001</v>
      </c>
      <c r="CB141" s="14">
        <f t="shared" si="71"/>
        <v>9192.0041696325716</v>
      </c>
      <c r="CC141" s="14">
        <f t="shared" si="72"/>
        <v>4935.4723507201852</v>
      </c>
    </row>
    <row r="142" spans="24:81" x14ac:dyDescent="0.15">
      <c r="X142" s="14">
        <v>138</v>
      </c>
      <c r="Y142" s="30">
        <f t="shared" si="73"/>
        <v>6</v>
      </c>
      <c r="Z142" s="27">
        <f t="shared" si="51"/>
        <v>8.8000000000000009E-2</v>
      </c>
      <c r="AA142" s="14">
        <f>$Y142*$Z142*其他调用!V141</f>
        <v>23198.857275572718</v>
      </c>
      <c r="AB142" s="14">
        <f>$Y142*$Z142*其他调用!W141</f>
        <v>28629.961925276471</v>
      </c>
      <c r="AC142" s="14">
        <f>$Y142*$Z142*其他调用!X141</f>
        <v>31366.565399927611</v>
      </c>
      <c r="AD142" s="14">
        <f>$Y142*$Z142*其他调用!Y141</f>
        <v>25244.335263384975</v>
      </c>
      <c r="AE142" s="14">
        <f>$Y142*$Z142*其他调用!Z141</f>
        <v>12647.027020719572</v>
      </c>
      <c r="AH142" s="14">
        <v>138</v>
      </c>
      <c r="AI142" s="14">
        <f>SUM(AA$5:AA142)</f>
        <v>311586.49127966171</v>
      </c>
      <c r="AJ142" s="14">
        <f>SUM(AB$5:AB142)</f>
        <v>384322.51709675405</v>
      </c>
      <c r="AK142" s="14">
        <f>SUM(AC$5:AC142)</f>
        <v>416584.09817987395</v>
      </c>
      <c r="AL142" s="14">
        <f>SUM(AD$5:AD142)</f>
        <v>335628.24160588975</v>
      </c>
      <c r="AM142" s="14">
        <f>SUM(AE$5:AE142)</f>
        <v>179100.10714602188</v>
      </c>
      <c r="AR142" s="14">
        <v>138</v>
      </c>
      <c r="AS142" s="27">
        <f t="shared" si="52"/>
        <v>0.11200000000000002</v>
      </c>
      <c r="AT142" s="14">
        <f>求节点(E$28:E$32,$N$28:$N$32,$AR142)*$AS142*其他调用!V141/$E$4</f>
        <v>2460.4848625607428</v>
      </c>
      <c r="AU142" s="14">
        <f>求节点(F$28:F$32,$N$28:$N$32,$AR142)*$AS142*其他调用!W141/$E$4</f>
        <v>3036.5111132868988</v>
      </c>
      <c r="AV142" s="14">
        <f>求节点(G$28:G$32,$N$28:$N$32,$AR142)*$AS142*其他调用!X141/$E$4</f>
        <v>3326.7569363559592</v>
      </c>
      <c r="AW142" s="14">
        <f>求节点(H$28:H$32,$N$28:$N$32,$AR142)*$AS142*其他调用!Y141/$E$4</f>
        <v>2677.4294976317401</v>
      </c>
      <c r="AX142" s="14">
        <f>求节点(I$28:I$32,$N$28:$N$32,$AR142)*$AS142*其他调用!Z141/$E$4</f>
        <v>1341.351350682379</v>
      </c>
      <c r="BA142" s="14">
        <v>138</v>
      </c>
      <c r="BB142" s="14">
        <f>SUM(AT$5:AT142)</f>
        <v>36434.0996029831</v>
      </c>
      <c r="BC142" s="14">
        <f>SUM(AU$5:AU142)</f>
        <v>45004.521611343233</v>
      </c>
      <c r="BD142" s="14">
        <f>SUM(AV$5:AV142)</f>
        <v>48842.655055611962</v>
      </c>
      <c r="BE142" s="14">
        <f>SUM(AW$5:AW142)</f>
        <v>39445.446176162026</v>
      </c>
      <c r="BF142" s="14">
        <f>SUM(AX$5:AX142)</f>
        <v>21083.240753563121</v>
      </c>
      <c r="BI142" s="14">
        <v>138</v>
      </c>
      <c r="BJ142" s="14">
        <f t="shared" si="53"/>
        <v>728.68199205966187</v>
      </c>
      <c r="BK142" s="14">
        <f t="shared" si="54"/>
        <v>900.09043222686455</v>
      </c>
      <c r="BL142" s="14">
        <f t="shared" si="55"/>
        <v>976.85310111223896</v>
      </c>
      <c r="BM142" s="14">
        <f t="shared" si="56"/>
        <v>788.90892352324033</v>
      </c>
      <c r="BN142" s="14">
        <f t="shared" si="57"/>
        <v>421.66481507126235</v>
      </c>
      <c r="BO142" s="14">
        <f t="shared" si="58"/>
        <v>1093.0229880894929</v>
      </c>
      <c r="BP142" s="14">
        <f t="shared" si="59"/>
        <v>1350.1356483402969</v>
      </c>
      <c r="BQ142" s="14">
        <f t="shared" si="60"/>
        <v>1465.2796516683588</v>
      </c>
      <c r="BR142" s="14">
        <f t="shared" si="61"/>
        <v>1183.3633852848607</v>
      </c>
      <c r="BS142" s="14">
        <f t="shared" si="62"/>
        <v>632.49722260689362</v>
      </c>
      <c r="BT142" s="14">
        <f t="shared" si="63"/>
        <v>0</v>
      </c>
      <c r="BU142" s="14">
        <f t="shared" si="64"/>
        <v>0</v>
      </c>
      <c r="BV142" s="14">
        <f t="shared" si="65"/>
        <v>0</v>
      </c>
      <c r="BW142" s="14">
        <f t="shared" si="66"/>
        <v>0</v>
      </c>
      <c r="BX142" s="14">
        <f t="shared" si="67"/>
        <v>0</v>
      </c>
      <c r="BY142" s="14">
        <f t="shared" si="68"/>
        <v>9108.5249007457751</v>
      </c>
      <c r="BZ142" s="14">
        <f t="shared" si="69"/>
        <v>11251.130402835808</v>
      </c>
      <c r="CA142" s="14">
        <f t="shared" si="70"/>
        <v>12210.66376390299</v>
      </c>
      <c r="CB142" s="14">
        <f t="shared" si="71"/>
        <v>9861.3615440405065</v>
      </c>
      <c r="CC142" s="14">
        <f t="shared" si="72"/>
        <v>5270.8101883907802</v>
      </c>
    </row>
    <row r="143" spans="24:81" x14ac:dyDescent="0.15">
      <c r="X143" s="14">
        <v>139</v>
      </c>
      <c r="Y143" s="30">
        <f t="shared" si="73"/>
        <v>6</v>
      </c>
      <c r="Z143" s="27">
        <f t="shared" si="51"/>
        <v>8.8000000000000009E-2</v>
      </c>
      <c r="AA143" s="14">
        <f>$Y143*$Z143*其他调用!V142</f>
        <v>24863.919589125893</v>
      </c>
      <c r="AB143" s="14">
        <f>$Y143*$Z143*其他调用!W142</f>
        <v>30901.133786607516</v>
      </c>
      <c r="AC143" s="14">
        <f>$Y143*$Z143*其他调用!X142</f>
        <v>33348.666702190101</v>
      </c>
      <c r="AD143" s="14">
        <f>$Y143*$Z143*其他调用!Y142</f>
        <v>25244.043869998743</v>
      </c>
      <c r="AE143" s="14">
        <f>$Y143*$Z143*其他调用!Z142</f>
        <v>13582.200841260023</v>
      </c>
      <c r="AH143" s="14">
        <v>139</v>
      </c>
      <c r="AI143" s="14">
        <f>SUM(AA$5:AA143)</f>
        <v>336450.41086878761</v>
      </c>
      <c r="AJ143" s="14">
        <f>SUM(AB$5:AB143)</f>
        <v>415223.65088336158</v>
      </c>
      <c r="AK143" s="14">
        <f>SUM(AC$5:AC143)</f>
        <v>449932.76488206408</v>
      </c>
      <c r="AL143" s="14">
        <f>SUM(AD$5:AD143)</f>
        <v>360872.28547588852</v>
      </c>
      <c r="AM143" s="14">
        <f>SUM(AE$5:AE143)</f>
        <v>192682.30798728191</v>
      </c>
      <c r="AR143" s="14">
        <v>139</v>
      </c>
      <c r="AS143" s="27">
        <f t="shared" si="52"/>
        <v>0.11200000000000002</v>
      </c>
      <c r="AT143" s="14">
        <f>求节点(E$28:E$32,$N$28:$N$32,$AR143)*$AS143*其他调用!V142/$E$4</f>
        <v>2637.0823806648677</v>
      </c>
      <c r="AU143" s="14">
        <f>求节点(F$28:F$32,$N$28:$N$32,$AR143)*$AS143*其他调用!W142/$E$4</f>
        <v>3277.392977367464</v>
      </c>
      <c r="AV143" s="14">
        <f>求节点(G$28:G$32,$N$28:$N$32,$AR143)*$AS143*其他调用!X142/$E$4</f>
        <v>3536.9798017474354</v>
      </c>
      <c r="AW143" s="14">
        <f>求节点(H$28:H$32,$N$28:$N$32,$AR143)*$AS143*其他调用!Y142/$E$4</f>
        <v>2677.3985922725942</v>
      </c>
      <c r="AX143" s="14">
        <f>求节点(I$28:I$32,$N$28:$N$32,$AR143)*$AS143*其他调用!Z142/$E$4</f>
        <v>1440.5364528609116</v>
      </c>
      <c r="BA143" s="14">
        <v>139</v>
      </c>
      <c r="BB143" s="14">
        <f>SUM(AT$5:AT143)</f>
        <v>39071.18198364797</v>
      </c>
      <c r="BC143" s="14">
        <f>SUM(AU$5:AU143)</f>
        <v>48281.914588710693</v>
      </c>
      <c r="BD143" s="14">
        <f>SUM(AV$5:AV143)</f>
        <v>52379.6348573594</v>
      </c>
      <c r="BE143" s="14">
        <f>SUM(AW$5:AW143)</f>
        <v>42122.844768434617</v>
      </c>
      <c r="BF143" s="14">
        <f>SUM(AX$5:AX143)</f>
        <v>22523.777206424034</v>
      </c>
      <c r="BI143" s="14">
        <v>139</v>
      </c>
      <c r="BJ143" s="14">
        <f t="shared" si="53"/>
        <v>781.42363967295921</v>
      </c>
      <c r="BK143" s="14">
        <f t="shared" si="54"/>
        <v>965.6382917742136</v>
      </c>
      <c r="BL143" s="14">
        <f t="shared" si="55"/>
        <v>1047.5926971471877</v>
      </c>
      <c r="BM143" s="14">
        <f t="shared" si="56"/>
        <v>842.45689536869213</v>
      </c>
      <c r="BN143" s="14">
        <f t="shared" si="57"/>
        <v>450.47554412848058</v>
      </c>
      <c r="BO143" s="14">
        <f t="shared" si="58"/>
        <v>1172.135459509439</v>
      </c>
      <c r="BP143" s="14">
        <f t="shared" si="59"/>
        <v>1448.4574376613207</v>
      </c>
      <c r="BQ143" s="14">
        <f t="shared" si="60"/>
        <v>1571.389045720782</v>
      </c>
      <c r="BR143" s="14">
        <f t="shared" si="61"/>
        <v>1263.6853430530387</v>
      </c>
      <c r="BS143" s="14">
        <f t="shared" si="62"/>
        <v>675.71331619272109</v>
      </c>
      <c r="BT143" s="14">
        <f t="shared" si="63"/>
        <v>0</v>
      </c>
      <c r="BU143" s="14">
        <f t="shared" si="64"/>
        <v>0</v>
      </c>
      <c r="BV143" s="14">
        <f t="shared" si="65"/>
        <v>0</v>
      </c>
      <c r="BW143" s="14">
        <f t="shared" si="66"/>
        <v>0</v>
      </c>
      <c r="BX143" s="14">
        <f t="shared" si="67"/>
        <v>0</v>
      </c>
      <c r="BY143" s="14">
        <f t="shared" si="68"/>
        <v>9767.7954959119925</v>
      </c>
      <c r="BZ143" s="14">
        <f t="shared" si="69"/>
        <v>12070.478647177675</v>
      </c>
      <c r="CA143" s="14">
        <f t="shared" si="70"/>
        <v>13094.90871433985</v>
      </c>
      <c r="CB143" s="14">
        <f t="shared" si="71"/>
        <v>10530.711192108654</v>
      </c>
      <c r="CC143" s="14">
        <f t="shared" si="72"/>
        <v>5630.9443016060086</v>
      </c>
    </row>
    <row r="144" spans="24:81" x14ac:dyDescent="0.15">
      <c r="X144" s="14">
        <v>140</v>
      </c>
      <c r="Y144" s="30">
        <f t="shared" si="73"/>
        <v>6</v>
      </c>
      <c r="Z144" s="27">
        <f t="shared" si="51"/>
        <v>8.8000000000000009E-2</v>
      </c>
      <c r="AA144" s="14">
        <f>$Y144*$Z144*其他调用!V143</f>
        <v>26648.489190260963</v>
      </c>
      <c r="AB144" s="14">
        <f>$Y144*$Z144*其他调用!W143</f>
        <v>32670.889805520539</v>
      </c>
      <c r="AC144" s="14">
        <f>$Y144*$Z144*其他调用!X143</f>
        <v>33385.976941571309</v>
      </c>
      <c r="AD144" s="14">
        <f>$Y144*$Z144*其他调用!Y143</f>
        <v>26764.32233418788</v>
      </c>
      <c r="AE144" s="14">
        <f>$Y144*$Z144*其他调用!Z143</f>
        <v>14770.628334236941</v>
      </c>
      <c r="AH144" s="14">
        <v>140</v>
      </c>
      <c r="AI144" s="14">
        <f>SUM(AA$5:AA144)</f>
        <v>363098.90005904855</v>
      </c>
      <c r="AJ144" s="14">
        <f>SUM(AB$5:AB144)</f>
        <v>447894.54068888212</v>
      </c>
      <c r="AK144" s="14">
        <f>SUM(AC$5:AC144)</f>
        <v>483318.74182363541</v>
      </c>
      <c r="AL144" s="14">
        <f>SUM(AD$5:AD144)</f>
        <v>387636.60781007638</v>
      </c>
      <c r="AM144" s="14">
        <f>SUM(AE$5:AE144)</f>
        <v>207452.93632151885</v>
      </c>
      <c r="AR144" s="14">
        <v>140</v>
      </c>
      <c r="AS144" s="27">
        <f t="shared" si="52"/>
        <v>0.11200000000000002</v>
      </c>
      <c r="AT144" s="14">
        <f>求节点(E$28:E$32,$N$28:$N$32,$AR144)*$AS144*其他调用!V143/$E$4</f>
        <v>2826.3549141185877</v>
      </c>
      <c r="AU144" s="14">
        <f>求节点(F$28:F$32,$N$28:$N$32,$AR144)*$AS144*其他调用!W143/$E$4</f>
        <v>3465.0943733127847</v>
      </c>
      <c r="AV144" s="14">
        <f>求节点(G$28:G$32,$N$28:$N$32,$AR144)*$AS144*其他调用!X143/$E$4</f>
        <v>3540.9369483484725</v>
      </c>
      <c r="AW144" s="14">
        <f>求节点(H$28:H$32,$N$28:$N$32,$AR144)*$AS144*其他调用!Y143/$E$4</f>
        <v>2838.6402475653817</v>
      </c>
      <c r="AX144" s="14">
        <f>求节点(I$28:I$32,$N$28:$N$32,$AR144)*$AS144*其他调用!Z143/$E$4</f>
        <v>1566.5817930251301</v>
      </c>
      <c r="BA144" s="14">
        <v>140</v>
      </c>
      <c r="BB144" s="14">
        <f>SUM(AT$5:AT144)</f>
        <v>41897.536897766557</v>
      </c>
      <c r="BC144" s="14">
        <f>SUM(AU$5:AU144)</f>
        <v>51747.008962023479</v>
      </c>
      <c r="BD144" s="14">
        <f>SUM(AV$5:AV144)</f>
        <v>55920.57180570787</v>
      </c>
      <c r="BE144" s="14">
        <f>SUM(AW$5:AW144)</f>
        <v>44961.485015999999</v>
      </c>
      <c r="BF144" s="14">
        <f>SUM(AX$5:AX144)</f>
        <v>24090.358999449163</v>
      </c>
      <c r="BI144" s="14">
        <v>140</v>
      </c>
      <c r="BJ144" s="14">
        <f t="shared" si="53"/>
        <v>837.95073795533096</v>
      </c>
      <c r="BK144" s="14">
        <f t="shared" si="54"/>
        <v>1034.9401792404692</v>
      </c>
      <c r="BL144" s="14">
        <f t="shared" si="55"/>
        <v>1118.4114361141571</v>
      </c>
      <c r="BM144" s="14">
        <f t="shared" si="56"/>
        <v>899.22970031999978</v>
      </c>
      <c r="BN144" s="14">
        <f t="shared" si="57"/>
        <v>481.80717998898319</v>
      </c>
      <c r="BO144" s="14">
        <f t="shared" si="58"/>
        <v>1256.9261069329966</v>
      </c>
      <c r="BP144" s="14">
        <f t="shared" si="59"/>
        <v>1552.4102688607043</v>
      </c>
      <c r="BQ144" s="14">
        <f t="shared" si="60"/>
        <v>1677.6171541712361</v>
      </c>
      <c r="BR144" s="14">
        <f t="shared" si="61"/>
        <v>1348.84455048</v>
      </c>
      <c r="BS144" s="14">
        <f t="shared" si="62"/>
        <v>722.71076998347485</v>
      </c>
      <c r="BT144" s="14">
        <f t="shared" si="63"/>
        <v>0</v>
      </c>
      <c r="BU144" s="14">
        <f t="shared" si="64"/>
        <v>0</v>
      </c>
      <c r="BV144" s="14">
        <f t="shared" si="65"/>
        <v>0</v>
      </c>
      <c r="BW144" s="14">
        <f t="shared" si="66"/>
        <v>0</v>
      </c>
      <c r="BX144" s="14">
        <f t="shared" si="67"/>
        <v>0</v>
      </c>
      <c r="BY144" s="14">
        <f t="shared" si="68"/>
        <v>10474.384224441639</v>
      </c>
      <c r="BZ144" s="14">
        <f t="shared" si="69"/>
        <v>12936.75224050587</v>
      </c>
      <c r="CA144" s="14">
        <f t="shared" si="70"/>
        <v>13980.142951426968</v>
      </c>
      <c r="CB144" s="14">
        <f t="shared" si="71"/>
        <v>11240.371254</v>
      </c>
      <c r="CC144" s="14">
        <f t="shared" si="72"/>
        <v>6022.5897498622908</v>
      </c>
    </row>
    <row r="145" spans="24:81" x14ac:dyDescent="0.15">
      <c r="X145" s="14">
        <v>141</v>
      </c>
      <c r="Y145" s="30">
        <f t="shared" si="73"/>
        <v>6</v>
      </c>
      <c r="Z145" s="27">
        <f t="shared" si="51"/>
        <v>8.8000000000000009E-2</v>
      </c>
      <c r="AA145" s="14">
        <f>$Y145*$Z145*其他调用!V144</f>
        <v>28561.143530806494</v>
      </c>
      <c r="AB145" s="14">
        <f>$Y145*$Z145*其他调用!W144</f>
        <v>33881.054822797007</v>
      </c>
      <c r="AC145" s="14">
        <f>$Y145*$Z145*其他调用!X144</f>
        <v>36124.543133302141</v>
      </c>
      <c r="AD145" s="14">
        <f>$Y145*$Z145*其他调用!Y144</f>
        <v>30078.863075894657</v>
      </c>
      <c r="AE145" s="14">
        <f>$Y145*$Z145*其他调用!Z144</f>
        <v>16174.363935278287</v>
      </c>
      <c r="AH145" s="14">
        <v>141</v>
      </c>
      <c r="AI145" s="14">
        <f>SUM(AA$5:AA145)</f>
        <v>391660.04358985502</v>
      </c>
      <c r="AJ145" s="14">
        <f>SUM(AB$5:AB145)</f>
        <v>481775.59551167913</v>
      </c>
      <c r="AK145" s="14">
        <f>SUM(AC$5:AC145)</f>
        <v>519443.28495693754</v>
      </c>
      <c r="AL145" s="14">
        <f>SUM(AD$5:AD145)</f>
        <v>417715.47088597104</v>
      </c>
      <c r="AM145" s="14">
        <f>SUM(AE$5:AE145)</f>
        <v>223627.30025679714</v>
      </c>
      <c r="AR145" s="14">
        <v>141</v>
      </c>
      <c r="AS145" s="27">
        <f t="shared" si="52"/>
        <v>0.11200000000000002</v>
      </c>
      <c r="AT145" s="14">
        <f>求节点(E$28:E$32,$N$28:$N$32,$AR145)*$AS145*其他调用!V144/$E$4</f>
        <v>3029.2121926612954</v>
      </c>
      <c r="AU145" s="14">
        <f>求节点(F$28:F$32,$N$28:$N$32,$AR145)*$AS145*其他调用!W144/$E$4</f>
        <v>3593.4452084784707</v>
      </c>
      <c r="AV145" s="14">
        <f>求节点(G$28:G$32,$N$28:$N$32,$AR145)*$AS145*其他调用!X144/$E$4</f>
        <v>3831.3909383805308</v>
      </c>
      <c r="AW145" s="14">
        <f>求节点(H$28:H$32,$N$28:$N$32,$AR145)*$AS145*其他调用!Y144/$E$4</f>
        <v>3190.1824474433729</v>
      </c>
      <c r="AX145" s="14">
        <f>求节点(I$28:I$32,$N$28:$N$32,$AR145)*$AS145*其他调用!Z144/$E$4</f>
        <v>1715.4628416204246</v>
      </c>
      <c r="BA145" s="14">
        <v>141</v>
      </c>
      <c r="BB145" s="14">
        <f>SUM(AT$5:AT145)</f>
        <v>44926.749090427853</v>
      </c>
      <c r="BC145" s="14">
        <f>SUM(AU$5:AU145)</f>
        <v>55340.454170501951</v>
      </c>
      <c r="BD145" s="14">
        <f>SUM(AV$5:AV145)</f>
        <v>59751.9627440884</v>
      </c>
      <c r="BE145" s="14">
        <f>SUM(AW$5:AW145)</f>
        <v>48151.667463443373</v>
      </c>
      <c r="BF145" s="14">
        <f>SUM(AX$5:AX145)</f>
        <v>25805.821841069588</v>
      </c>
      <c r="BI145" s="14">
        <v>141</v>
      </c>
      <c r="BJ145" s="14">
        <f t="shared" si="53"/>
        <v>898.53498180855695</v>
      </c>
      <c r="BK145" s="14">
        <f t="shared" si="54"/>
        <v>1106.8090834100387</v>
      </c>
      <c r="BL145" s="14">
        <f t="shared" si="55"/>
        <v>1195.0392548817676</v>
      </c>
      <c r="BM145" s="14">
        <f t="shared" si="56"/>
        <v>963.03334926886725</v>
      </c>
      <c r="BN145" s="14">
        <f t="shared" si="57"/>
        <v>516.11643682139163</v>
      </c>
      <c r="BO145" s="14">
        <f t="shared" si="58"/>
        <v>1347.8024727128354</v>
      </c>
      <c r="BP145" s="14">
        <f t="shared" si="59"/>
        <v>1660.2136251150582</v>
      </c>
      <c r="BQ145" s="14">
        <f t="shared" si="60"/>
        <v>1792.5588823226522</v>
      </c>
      <c r="BR145" s="14">
        <f t="shared" si="61"/>
        <v>1444.5500239033013</v>
      </c>
      <c r="BS145" s="14">
        <f t="shared" si="62"/>
        <v>774.17465523208762</v>
      </c>
      <c r="BT145" s="14">
        <f t="shared" si="63"/>
        <v>0</v>
      </c>
      <c r="BU145" s="14">
        <f t="shared" si="64"/>
        <v>0</v>
      </c>
      <c r="BV145" s="14">
        <f t="shared" si="65"/>
        <v>0</v>
      </c>
      <c r="BW145" s="14">
        <f t="shared" si="66"/>
        <v>0</v>
      </c>
      <c r="BX145" s="14">
        <f t="shared" si="67"/>
        <v>0</v>
      </c>
      <c r="BY145" s="14">
        <f t="shared" si="68"/>
        <v>11231.687272606963</v>
      </c>
      <c r="BZ145" s="14">
        <f t="shared" si="69"/>
        <v>13835.113542625488</v>
      </c>
      <c r="CA145" s="14">
        <f t="shared" si="70"/>
        <v>14937.990686022098</v>
      </c>
      <c r="CB145" s="14">
        <f t="shared" si="71"/>
        <v>12037.916865860843</v>
      </c>
      <c r="CC145" s="14">
        <f t="shared" si="72"/>
        <v>6451.455460267397</v>
      </c>
    </row>
    <row r="146" spans="24:81" x14ac:dyDescent="0.15">
      <c r="X146" s="14">
        <v>142</v>
      </c>
      <c r="Y146" s="30">
        <f t="shared" si="73"/>
        <v>6</v>
      </c>
      <c r="Z146" s="27">
        <f t="shared" si="51"/>
        <v>8.8000000000000009E-2</v>
      </c>
      <c r="AA146" s="14">
        <f>$Y146*$Z146*其他调用!V145</f>
        <v>30611.075696009575</v>
      </c>
      <c r="AB146" s="14">
        <f>$Y146*$Z146*其他调用!W145</f>
        <v>37679.372711668431</v>
      </c>
      <c r="AC146" s="14">
        <f>$Y146*$Z146*其他调用!X145</f>
        <v>42194.95222983828</v>
      </c>
      <c r="AD146" s="14">
        <f>$Y146*$Z146*其他调用!Y145</f>
        <v>33841.00200307076</v>
      </c>
      <c r="AE146" s="14">
        <f>$Y146*$Z146*其他调用!Z145</f>
        <v>18140.318731495463</v>
      </c>
      <c r="AH146" s="14">
        <v>142</v>
      </c>
      <c r="AI146" s="14">
        <f>SUM(AA$5:AA146)</f>
        <v>422271.11928586458</v>
      </c>
      <c r="AJ146" s="14">
        <f>SUM(AB$5:AB146)</f>
        <v>519454.96822334756</v>
      </c>
      <c r="AK146" s="14">
        <f>SUM(AC$5:AC146)</f>
        <v>561638.23718677578</v>
      </c>
      <c r="AL146" s="14">
        <f>SUM(AD$5:AD146)</f>
        <v>451556.47288904182</v>
      </c>
      <c r="AM146" s="14">
        <f>SUM(AE$5:AE146)</f>
        <v>241767.61898829261</v>
      </c>
      <c r="AR146" s="14">
        <v>142</v>
      </c>
      <c r="AS146" s="27">
        <f t="shared" si="52"/>
        <v>0.11200000000000002</v>
      </c>
      <c r="AT146" s="14">
        <f>求节点(E$28:E$32,$N$28:$N$32,$AR146)*$AS146*其他调用!V145/$E$4</f>
        <v>3246.6292404858641</v>
      </c>
      <c r="AU146" s="14">
        <f>求节点(F$28:F$32,$N$28:$N$32,$AR146)*$AS146*其他调用!W145/$E$4</f>
        <v>3996.2971057830159</v>
      </c>
      <c r="AV146" s="14">
        <f>求节点(G$28:G$32,$N$28:$N$32,$AR146)*$AS146*其他调用!X145/$E$4</f>
        <v>4475.2222061949697</v>
      </c>
      <c r="AW146" s="14">
        <f>求节点(H$28:H$32,$N$28:$N$32,$AR146)*$AS146*其他调用!Y145/$E$4</f>
        <v>3589.1971821438683</v>
      </c>
      <c r="AX146" s="14">
        <f>求节点(I$28:I$32,$N$28:$N$32,$AR146)*$AS146*其他调用!Z145/$E$4</f>
        <v>1923.9731987949733</v>
      </c>
      <c r="BA146" s="14">
        <v>142</v>
      </c>
      <c r="BB146" s="14">
        <f>SUM(AT$5:AT146)</f>
        <v>48173.378330913714</v>
      </c>
      <c r="BC146" s="14">
        <f>SUM(AU$5:AU146)</f>
        <v>59336.751276284966</v>
      </c>
      <c r="BD146" s="14">
        <f>SUM(AV$5:AV146)</f>
        <v>64227.184950283372</v>
      </c>
      <c r="BE146" s="14">
        <f>SUM(AW$5:AW146)</f>
        <v>51740.864645587244</v>
      </c>
      <c r="BF146" s="14">
        <f>SUM(AX$5:AX146)</f>
        <v>27729.795039864563</v>
      </c>
      <c r="BI146" s="14">
        <v>142</v>
      </c>
      <c r="BJ146" s="14">
        <f t="shared" si="53"/>
        <v>963.46756661827408</v>
      </c>
      <c r="BK146" s="14">
        <f t="shared" si="54"/>
        <v>1186.735025525699</v>
      </c>
      <c r="BL146" s="14">
        <f t="shared" si="55"/>
        <v>1284.5436990056671</v>
      </c>
      <c r="BM146" s="14">
        <f t="shared" si="56"/>
        <v>1034.8172929117447</v>
      </c>
      <c r="BN146" s="14">
        <f t="shared" si="57"/>
        <v>554.59590079729116</v>
      </c>
      <c r="BO146" s="14">
        <f t="shared" si="58"/>
        <v>1445.2013499274112</v>
      </c>
      <c r="BP146" s="14">
        <f t="shared" si="59"/>
        <v>1780.1025382885487</v>
      </c>
      <c r="BQ146" s="14">
        <f t="shared" si="60"/>
        <v>1926.8155485085013</v>
      </c>
      <c r="BR146" s="14">
        <f t="shared" si="61"/>
        <v>1552.2259393676172</v>
      </c>
      <c r="BS146" s="14">
        <f t="shared" si="62"/>
        <v>831.8938511959368</v>
      </c>
      <c r="BT146" s="14">
        <f t="shared" si="63"/>
        <v>0</v>
      </c>
      <c r="BU146" s="14">
        <f t="shared" si="64"/>
        <v>0</v>
      </c>
      <c r="BV146" s="14">
        <f t="shared" si="65"/>
        <v>0</v>
      </c>
      <c r="BW146" s="14">
        <f t="shared" si="66"/>
        <v>0</v>
      </c>
      <c r="BX146" s="14">
        <f t="shared" si="67"/>
        <v>0</v>
      </c>
      <c r="BY146" s="14">
        <f t="shared" si="68"/>
        <v>12043.344582728427</v>
      </c>
      <c r="BZ146" s="14">
        <f t="shared" si="69"/>
        <v>14834.187819071241</v>
      </c>
      <c r="CA146" s="14">
        <f t="shared" si="70"/>
        <v>16056.796237570843</v>
      </c>
      <c r="CB146" s="14">
        <f t="shared" si="71"/>
        <v>12935.216161396811</v>
      </c>
      <c r="CC146" s="14">
        <f t="shared" si="72"/>
        <v>6932.4487599661406</v>
      </c>
    </row>
    <row r="147" spans="24:81" x14ac:dyDescent="0.15">
      <c r="X147" s="14">
        <v>143</v>
      </c>
      <c r="Y147" s="30">
        <f t="shared" si="73"/>
        <v>6</v>
      </c>
      <c r="Z147" s="27">
        <f t="shared" si="51"/>
        <v>8.8000000000000009E-2</v>
      </c>
      <c r="AA147" s="14">
        <f>$Y147*$Z147*其他调用!V146</f>
        <v>32808.138590672752</v>
      </c>
      <c r="AB147" s="14">
        <f>$Y147*$Z147*其他调用!W146</f>
        <v>41097.288156114366</v>
      </c>
      <c r="AC147" s="14">
        <f>$Y147*$Z147*其他调用!X146</f>
        <v>44558.465890708627</v>
      </c>
      <c r="AD147" s="14">
        <f>$Y147*$Z147*其他调用!Y146</f>
        <v>36241.007148919896</v>
      </c>
      <c r="AE147" s="14">
        <f>$Y147*$Z147*其他调用!Z146</f>
        <v>19705.7773994581</v>
      </c>
      <c r="AH147" s="14">
        <v>143</v>
      </c>
      <c r="AI147" s="14">
        <f>SUM(AA$5:AA147)</f>
        <v>455079.25787653733</v>
      </c>
      <c r="AJ147" s="14">
        <f>SUM(AB$5:AB147)</f>
        <v>560552.25637946196</v>
      </c>
      <c r="AK147" s="14">
        <f>SUM(AC$5:AC147)</f>
        <v>606196.70307748439</v>
      </c>
      <c r="AL147" s="14">
        <f>SUM(AD$5:AD147)</f>
        <v>487797.48003796174</v>
      </c>
      <c r="AM147" s="14">
        <f>SUM(AE$5:AE147)</f>
        <v>261473.39638775072</v>
      </c>
      <c r="AR147" s="14">
        <v>143</v>
      </c>
      <c r="AS147" s="27">
        <f t="shared" si="52"/>
        <v>0.11200000000000002</v>
      </c>
      <c r="AT147" s="14">
        <f>求节点(E$28:E$32,$N$28:$N$32,$AR147)*$AS147*其他调用!V146/$E$4</f>
        <v>3479.6510626471104</v>
      </c>
      <c r="AU147" s="14">
        <f>求节点(F$28:F$32,$N$28:$N$32,$AR147)*$AS147*其他调用!W146/$E$4</f>
        <v>4358.8032892848578</v>
      </c>
      <c r="AV147" s="14">
        <f>求节点(G$28:G$32,$N$28:$N$32,$AR147)*$AS147*其他调用!X146/$E$4</f>
        <v>4725.8978974993997</v>
      </c>
      <c r="AW147" s="14">
        <f>求节点(H$28:H$32,$N$28:$N$32,$AR147)*$AS147*其他调用!Y146/$E$4</f>
        <v>3843.7431824612017</v>
      </c>
      <c r="AX147" s="14">
        <f>求节点(I$28:I$32,$N$28:$N$32,$AR147)*$AS147*其他调用!Z146/$E$4</f>
        <v>2090.00669388192</v>
      </c>
      <c r="BA147" s="14">
        <v>143</v>
      </c>
      <c r="BB147" s="14">
        <f>SUM(AT$5:AT147)</f>
        <v>51653.029393560828</v>
      </c>
      <c r="BC147" s="14">
        <f>SUM(AU$5:AU147)</f>
        <v>63695.554565569822</v>
      </c>
      <c r="BD147" s="14">
        <f>SUM(AV$5:AV147)</f>
        <v>68953.082847782774</v>
      </c>
      <c r="BE147" s="14">
        <f>SUM(AW$5:AW147)</f>
        <v>55584.607828048443</v>
      </c>
      <c r="BF147" s="14">
        <f>SUM(AX$5:AX147)</f>
        <v>29819.801733746484</v>
      </c>
      <c r="BI147" s="14">
        <v>143</v>
      </c>
      <c r="BJ147" s="14">
        <f t="shared" si="53"/>
        <v>1033.0605878712163</v>
      </c>
      <c r="BK147" s="14">
        <f t="shared" si="54"/>
        <v>1273.9110913113961</v>
      </c>
      <c r="BL147" s="14">
        <f t="shared" si="55"/>
        <v>1379.0616569556553</v>
      </c>
      <c r="BM147" s="14">
        <f t="shared" si="56"/>
        <v>1111.6921565609687</v>
      </c>
      <c r="BN147" s="14">
        <f t="shared" si="57"/>
        <v>596.39603467492952</v>
      </c>
      <c r="BO147" s="14">
        <f t="shared" si="58"/>
        <v>1549.5908818068249</v>
      </c>
      <c r="BP147" s="14">
        <f t="shared" si="59"/>
        <v>1910.8666369670948</v>
      </c>
      <c r="BQ147" s="14">
        <f t="shared" si="60"/>
        <v>2068.5924854334835</v>
      </c>
      <c r="BR147" s="14">
        <f t="shared" si="61"/>
        <v>1667.5382348414532</v>
      </c>
      <c r="BS147" s="14">
        <f t="shared" si="62"/>
        <v>894.5940520123944</v>
      </c>
      <c r="BT147" s="14">
        <f t="shared" si="63"/>
        <v>0</v>
      </c>
      <c r="BU147" s="14">
        <f t="shared" si="64"/>
        <v>0</v>
      </c>
      <c r="BV147" s="14">
        <f t="shared" si="65"/>
        <v>0</v>
      </c>
      <c r="BW147" s="14">
        <f t="shared" si="66"/>
        <v>0</v>
      </c>
      <c r="BX147" s="14">
        <f t="shared" si="67"/>
        <v>0</v>
      </c>
      <c r="BY147" s="14">
        <f t="shared" si="68"/>
        <v>12913.257348390207</v>
      </c>
      <c r="BZ147" s="14">
        <f t="shared" si="69"/>
        <v>15923.888641392456</v>
      </c>
      <c r="CA147" s="14">
        <f t="shared" si="70"/>
        <v>17238.270711945694</v>
      </c>
      <c r="CB147" s="14">
        <f t="shared" si="71"/>
        <v>13896.151957012113</v>
      </c>
      <c r="CC147" s="14">
        <f t="shared" si="72"/>
        <v>7454.9504334366211</v>
      </c>
    </row>
    <row r="148" spans="24:81" x14ac:dyDescent="0.15">
      <c r="X148" s="14">
        <v>144</v>
      </c>
      <c r="Y148" s="30">
        <f t="shared" si="73"/>
        <v>6</v>
      </c>
      <c r="Z148" s="27">
        <f t="shared" si="51"/>
        <v>8.8000000000000009E-2</v>
      </c>
      <c r="AA148" s="14">
        <f>$Y148*$Z148*其他调用!V147</f>
        <v>35162.892296694983</v>
      </c>
      <c r="AB148" s="14">
        <f>$Y148*$Z148*其他调用!W147</f>
        <v>43333.44896825344</v>
      </c>
      <c r="AC148" s="14">
        <f>$Y148*$Z148*其他调用!X147</f>
        <v>47611.451033099271</v>
      </c>
      <c r="AD148" s="14">
        <f>$Y148*$Z148*其他调用!Y147</f>
        <v>38685.755244862557</v>
      </c>
      <c r="AE148" s="14">
        <f>$Y148*$Z148*其他调用!Z147</f>
        <v>19654.757429121477</v>
      </c>
      <c r="AH148" s="14">
        <v>144</v>
      </c>
      <c r="AI148" s="14">
        <f>SUM(AA$5:AA148)</f>
        <v>490242.15017323231</v>
      </c>
      <c r="AJ148" s="14">
        <f>SUM(AB$5:AB148)</f>
        <v>603885.70534771541</v>
      </c>
      <c r="AK148" s="14">
        <f>SUM(AC$5:AC148)</f>
        <v>653808.15411058371</v>
      </c>
      <c r="AL148" s="14">
        <f>SUM(AD$5:AD148)</f>
        <v>526483.23528282426</v>
      </c>
      <c r="AM148" s="14">
        <f>SUM(AE$5:AE148)</f>
        <v>281128.15381687222</v>
      </c>
      <c r="AR148" s="14">
        <v>144</v>
      </c>
      <c r="AS148" s="27">
        <f t="shared" si="52"/>
        <v>0.11200000000000002</v>
      </c>
      <c r="AT148" s="14">
        <f>求节点(E$28:E$32,$N$28:$N$32,$AR148)*$AS148*其他调用!V147/$E$4</f>
        <v>3729.3976678312865</v>
      </c>
      <c r="AU148" s="14">
        <f>求节点(F$28:F$32,$N$28:$N$32,$AR148)*$AS148*其他调用!W147/$E$4</f>
        <v>4595.9718602693047</v>
      </c>
      <c r="AV148" s="14">
        <f>求节点(G$28:G$32,$N$28:$N$32,$AR148)*$AS148*其他调用!X147/$E$4</f>
        <v>5049.6993519953776</v>
      </c>
      <c r="AW148" s="14">
        <f>求节点(H$28:H$32,$N$28:$N$32,$AR148)*$AS148*其他调用!Y147/$E$4</f>
        <v>4103.0346471823923</v>
      </c>
      <c r="AX148" s="14">
        <f>求节点(I$28:I$32,$N$28:$N$32,$AR148)*$AS148*其他调用!Z147/$E$4</f>
        <v>2084.5954849068235</v>
      </c>
      <c r="BA148" s="14">
        <v>144</v>
      </c>
      <c r="BB148" s="14">
        <f>SUM(AT$5:AT148)</f>
        <v>55382.427061392111</v>
      </c>
      <c r="BC148" s="14">
        <f>SUM(AU$5:AU148)</f>
        <v>68291.526425839125</v>
      </c>
      <c r="BD148" s="14">
        <f>SUM(AV$5:AV148)</f>
        <v>74002.782199778158</v>
      </c>
      <c r="BE148" s="14">
        <f>SUM(AW$5:AW148)</f>
        <v>59687.642475230838</v>
      </c>
      <c r="BF148" s="14">
        <f>SUM(AX$5:AX148)</f>
        <v>31904.397218653306</v>
      </c>
      <c r="BI148" s="14">
        <v>144</v>
      </c>
      <c r="BJ148" s="14">
        <f t="shared" si="53"/>
        <v>1107.6485412278421</v>
      </c>
      <c r="BK148" s="14">
        <f t="shared" si="54"/>
        <v>1365.8305285167821</v>
      </c>
      <c r="BL148" s="14">
        <f t="shared" si="55"/>
        <v>1480.0556439955628</v>
      </c>
      <c r="BM148" s="14">
        <f t="shared" si="56"/>
        <v>1193.7528495046165</v>
      </c>
      <c r="BN148" s="14">
        <f t="shared" si="57"/>
        <v>638.08794437306597</v>
      </c>
      <c r="BO148" s="14">
        <f t="shared" si="58"/>
        <v>1661.4728118417631</v>
      </c>
      <c r="BP148" s="14">
        <f t="shared" si="59"/>
        <v>2048.7457927751739</v>
      </c>
      <c r="BQ148" s="14">
        <f t="shared" si="60"/>
        <v>2220.0834659933448</v>
      </c>
      <c r="BR148" s="14">
        <f t="shared" si="61"/>
        <v>1790.6292742569251</v>
      </c>
      <c r="BS148" s="14">
        <f t="shared" si="62"/>
        <v>957.13191655959906</v>
      </c>
      <c r="BT148" s="14">
        <f t="shared" si="63"/>
        <v>0</v>
      </c>
      <c r="BU148" s="14">
        <f t="shared" si="64"/>
        <v>0</v>
      </c>
      <c r="BV148" s="14">
        <f t="shared" si="65"/>
        <v>0</v>
      </c>
      <c r="BW148" s="14">
        <f t="shared" si="66"/>
        <v>0</v>
      </c>
      <c r="BX148" s="14">
        <f t="shared" si="67"/>
        <v>0</v>
      </c>
      <c r="BY148" s="14">
        <f t="shared" si="68"/>
        <v>13845.606765348028</v>
      </c>
      <c r="BZ148" s="14">
        <f t="shared" si="69"/>
        <v>17072.881606459781</v>
      </c>
      <c r="CA148" s="14">
        <f t="shared" si="70"/>
        <v>18500.695549944539</v>
      </c>
      <c r="CB148" s="14">
        <f t="shared" si="71"/>
        <v>14921.910618807709</v>
      </c>
      <c r="CC148" s="14">
        <f t="shared" si="72"/>
        <v>7976.0993046633266</v>
      </c>
    </row>
    <row r="149" spans="24:81" x14ac:dyDescent="0.15">
      <c r="X149" s="14">
        <v>145</v>
      </c>
      <c r="Y149" s="30">
        <f t="shared" si="73"/>
        <v>6</v>
      </c>
      <c r="Z149" s="27">
        <f t="shared" si="51"/>
        <v>8.8000000000000009E-2</v>
      </c>
      <c r="AA149" s="14">
        <f>$Y149*$Z149*其他调用!V148</f>
        <v>37686.65482962058</v>
      </c>
      <c r="AB149" s="14">
        <f>$Y149*$Z149*其他调用!W148</f>
        <v>47427.212661717254</v>
      </c>
      <c r="AC149" s="14">
        <f>$Y149*$Z149*其他调用!X148</f>
        <v>51192.204661819698</v>
      </c>
      <c r="AD149" s="14">
        <f>$Y149*$Z149*其他调用!Y148</f>
        <v>39387.794402105137</v>
      </c>
      <c r="AE149" s="14">
        <f>$Y149*$Z149*其他调用!Z148</f>
        <v>20645.238186933486</v>
      </c>
      <c r="AH149" s="14">
        <v>145</v>
      </c>
      <c r="AI149" s="14">
        <f>SUM(AA$5:AA149)</f>
        <v>527928.80500285293</v>
      </c>
      <c r="AJ149" s="14">
        <f>SUM(AB$5:AB149)</f>
        <v>651312.91800943261</v>
      </c>
      <c r="AK149" s="14">
        <f>SUM(AC$5:AC149)</f>
        <v>705000.35877240344</v>
      </c>
      <c r="AL149" s="14">
        <f>SUM(AD$5:AD149)</f>
        <v>565871.02968492941</v>
      </c>
      <c r="AM149" s="14">
        <f>SUM(AE$5:AE149)</f>
        <v>301773.39200380573</v>
      </c>
      <c r="AR149" s="14">
        <v>145</v>
      </c>
      <c r="AS149" s="27">
        <f t="shared" si="52"/>
        <v>0.11200000000000002</v>
      </c>
      <c r="AT149" s="14">
        <f>求节点(E$28:E$32,$N$28:$N$32,$AR149)*$AS149*其他调用!V148/$E$4</f>
        <v>3997.0694516264252</v>
      </c>
      <c r="AU149" s="14">
        <f>求节点(F$28:F$32,$N$28:$N$32,$AR149)*$AS149*其他调用!W148/$E$4</f>
        <v>5030.1589186669817</v>
      </c>
      <c r="AV149" s="14">
        <f>求节点(G$28:G$32,$N$28:$N$32,$AR149)*$AS149*其他调用!X148/$E$4</f>
        <v>5429.4762520111808</v>
      </c>
      <c r="AW149" s="14">
        <f>求节点(H$28:H$32,$N$28:$N$32,$AR149)*$AS149*其他调用!Y148/$E$4</f>
        <v>4177.4933456778181</v>
      </c>
      <c r="AX149" s="14">
        <f>求节点(I$28:I$32,$N$28:$N$32,$AR149)*$AS149*其他调用!Z148/$E$4</f>
        <v>2189.6464743717333</v>
      </c>
      <c r="BA149" s="14">
        <v>145</v>
      </c>
      <c r="BB149" s="14">
        <f>SUM(AT$5:AT149)</f>
        <v>59379.496513018537</v>
      </c>
      <c r="BC149" s="14">
        <f>SUM(AU$5:AU149)</f>
        <v>73321.685344506113</v>
      </c>
      <c r="BD149" s="14">
        <f>SUM(AV$5:AV149)</f>
        <v>79432.258451789341</v>
      </c>
      <c r="BE149" s="14">
        <f>SUM(AW$5:AW149)</f>
        <v>63865.135820908654</v>
      </c>
      <c r="BF149" s="14">
        <f>SUM(AX$5:AX149)</f>
        <v>34094.043693025043</v>
      </c>
      <c r="BI149" s="14">
        <v>145</v>
      </c>
      <c r="BJ149" s="14">
        <f t="shared" si="53"/>
        <v>1187.5899302603705</v>
      </c>
      <c r="BK149" s="14">
        <f t="shared" si="54"/>
        <v>1466.4337068901218</v>
      </c>
      <c r="BL149" s="14">
        <f t="shared" si="55"/>
        <v>1588.6451690357865</v>
      </c>
      <c r="BM149" s="14">
        <f t="shared" si="56"/>
        <v>1277.3027164181726</v>
      </c>
      <c r="BN149" s="14">
        <f t="shared" si="57"/>
        <v>681.88087386050074</v>
      </c>
      <c r="BO149" s="14">
        <f t="shared" si="58"/>
        <v>1781.3848953905558</v>
      </c>
      <c r="BP149" s="14">
        <f t="shared" si="59"/>
        <v>2199.6505603351834</v>
      </c>
      <c r="BQ149" s="14">
        <f t="shared" si="60"/>
        <v>2382.9677535536803</v>
      </c>
      <c r="BR149" s="14">
        <f t="shared" si="61"/>
        <v>1915.9540746272596</v>
      </c>
      <c r="BS149" s="14">
        <f t="shared" si="62"/>
        <v>1022.8213107907513</v>
      </c>
      <c r="BT149" s="14">
        <f t="shared" si="63"/>
        <v>0</v>
      </c>
      <c r="BU149" s="14">
        <f t="shared" si="64"/>
        <v>0</v>
      </c>
      <c r="BV149" s="14">
        <f t="shared" si="65"/>
        <v>0</v>
      </c>
      <c r="BW149" s="14">
        <f t="shared" si="66"/>
        <v>0</v>
      </c>
      <c r="BX149" s="14">
        <f t="shared" si="67"/>
        <v>0</v>
      </c>
      <c r="BY149" s="14">
        <f t="shared" si="68"/>
        <v>14844.874128254634</v>
      </c>
      <c r="BZ149" s="14">
        <f t="shared" si="69"/>
        <v>18330.421336126528</v>
      </c>
      <c r="CA149" s="14">
        <f t="shared" si="70"/>
        <v>19858.064612947335</v>
      </c>
      <c r="CB149" s="14">
        <f t="shared" si="71"/>
        <v>15966.283955227163</v>
      </c>
      <c r="CC149" s="14">
        <f t="shared" si="72"/>
        <v>8523.5109232562609</v>
      </c>
    </row>
    <row r="150" spans="24:81" x14ac:dyDescent="0.15">
      <c r="X150" s="14">
        <v>146</v>
      </c>
      <c r="Y150" s="30">
        <f t="shared" si="73"/>
        <v>6</v>
      </c>
      <c r="Z150" s="27">
        <f t="shared" si="51"/>
        <v>8.8000000000000009E-2</v>
      </c>
      <c r="AA150" s="14">
        <f>$Y150*$Z150*其他调用!V149</f>
        <v>40391.556538151453</v>
      </c>
      <c r="AB150" s="14">
        <f>$Y150*$Z150*其他调用!W149</f>
        <v>49671.96405679384</v>
      </c>
      <c r="AC150" s="14">
        <f>$Y150*$Z150*其他调用!X149</f>
        <v>51350.917320194567</v>
      </c>
      <c r="AD150" s="14">
        <f>$Y150*$Z150*其他调用!Y149</f>
        <v>40377.753607860875</v>
      </c>
      <c r="AE150" s="14">
        <f>$Y150*$Z150*其他调用!Z149</f>
        <v>21649.514515308325</v>
      </c>
      <c r="AH150" s="14">
        <v>146</v>
      </c>
      <c r="AI150" s="14">
        <f>SUM(AA$5:AA150)</f>
        <v>568320.36154100439</v>
      </c>
      <c r="AJ150" s="14">
        <f>SUM(AB$5:AB150)</f>
        <v>700984.88206622645</v>
      </c>
      <c r="AK150" s="14">
        <f>SUM(AC$5:AC150)</f>
        <v>756351.27609259798</v>
      </c>
      <c r="AL150" s="14">
        <f>SUM(AD$5:AD150)</f>
        <v>606248.78329279029</v>
      </c>
      <c r="AM150" s="14">
        <f>SUM(AE$5:AE150)</f>
        <v>323422.90651911404</v>
      </c>
      <c r="AR150" s="14">
        <v>146</v>
      </c>
      <c r="AS150" s="27">
        <f t="shared" si="52"/>
        <v>0.11200000000000002</v>
      </c>
      <c r="AT150" s="14">
        <f>求节点(E$28:E$32,$N$28:$N$32,$AR150)*$AS150*其他调用!V149/$E$4</f>
        <v>4283.9529661675788</v>
      </c>
      <c r="AU150" s="14">
        <f>求节点(F$28:F$32,$N$28:$N$32,$AR150)*$AS150*其他调用!W149/$E$4</f>
        <v>5268.2386120841957</v>
      </c>
      <c r="AV150" s="14">
        <f>求节点(G$28:G$32,$N$28:$N$32,$AR150)*$AS150*其他调用!X149/$E$4</f>
        <v>5446.3094127479089</v>
      </c>
      <c r="AW150" s="14">
        <f>求节点(H$28:H$32,$N$28:$N$32,$AR150)*$AS150*其他调用!Y149/$E$4</f>
        <v>4282.4890190155475</v>
      </c>
      <c r="AX150" s="14">
        <f>求节点(I$28:I$32,$N$28:$N$32,$AR150)*$AS150*其他调用!Z149/$E$4</f>
        <v>2296.1606304114894</v>
      </c>
      <c r="BA150" s="14">
        <v>146</v>
      </c>
      <c r="BB150" s="14">
        <f>SUM(AT$5:AT150)</f>
        <v>63663.449479186114</v>
      </c>
      <c r="BC150" s="14">
        <f>SUM(AU$5:AU150)</f>
        <v>78589.923956590312</v>
      </c>
      <c r="BD150" s="14">
        <f>SUM(AV$5:AV150)</f>
        <v>84878.567864537254</v>
      </c>
      <c r="BE150" s="14">
        <f>SUM(AW$5:AW150)</f>
        <v>68147.624839924203</v>
      </c>
      <c r="BF150" s="14">
        <f>SUM(AX$5:AX150)</f>
        <v>36390.204323436534</v>
      </c>
      <c r="BI150" s="14">
        <v>146</v>
      </c>
      <c r="BJ150" s="14">
        <f t="shared" si="53"/>
        <v>1273.268989583722</v>
      </c>
      <c r="BK150" s="14">
        <f t="shared" si="54"/>
        <v>1571.7984791318058</v>
      </c>
      <c r="BL150" s="14">
        <f t="shared" si="55"/>
        <v>1697.5713572907448</v>
      </c>
      <c r="BM150" s="14">
        <f t="shared" si="56"/>
        <v>1362.9524967984839</v>
      </c>
      <c r="BN150" s="14">
        <f t="shared" si="57"/>
        <v>727.80408646873047</v>
      </c>
      <c r="BO150" s="14">
        <f t="shared" si="58"/>
        <v>1909.9034843755835</v>
      </c>
      <c r="BP150" s="14">
        <f t="shared" si="59"/>
        <v>2357.6977186977092</v>
      </c>
      <c r="BQ150" s="14">
        <f t="shared" si="60"/>
        <v>2546.3570359361174</v>
      </c>
      <c r="BR150" s="14">
        <f t="shared" si="61"/>
        <v>2044.4287451977259</v>
      </c>
      <c r="BS150" s="14">
        <f t="shared" si="62"/>
        <v>1091.7061297030959</v>
      </c>
      <c r="BT150" s="14">
        <f t="shared" si="63"/>
        <v>0</v>
      </c>
      <c r="BU150" s="14">
        <f t="shared" si="64"/>
        <v>0</v>
      </c>
      <c r="BV150" s="14">
        <f t="shared" si="65"/>
        <v>0</v>
      </c>
      <c r="BW150" s="14">
        <f t="shared" si="66"/>
        <v>0</v>
      </c>
      <c r="BX150" s="14">
        <f t="shared" si="67"/>
        <v>0</v>
      </c>
      <c r="BY150" s="14">
        <f t="shared" si="68"/>
        <v>15915.862369796527</v>
      </c>
      <c r="BZ150" s="14">
        <f t="shared" si="69"/>
        <v>19647.480989147578</v>
      </c>
      <c r="CA150" s="14">
        <f t="shared" si="70"/>
        <v>21219.641966134313</v>
      </c>
      <c r="CB150" s="14">
        <f t="shared" si="71"/>
        <v>17036.906209981051</v>
      </c>
      <c r="CC150" s="14">
        <f t="shared" si="72"/>
        <v>9097.5510808591334</v>
      </c>
    </row>
    <row r="151" spans="24:81" x14ac:dyDescent="0.15">
      <c r="X151" s="14">
        <v>147</v>
      </c>
      <c r="Y151" s="30">
        <f t="shared" si="73"/>
        <v>6</v>
      </c>
      <c r="Z151" s="27">
        <f t="shared" si="51"/>
        <v>8.8000000000000009E-2</v>
      </c>
      <c r="AA151" s="14">
        <f>$Y151*$Z151*其他调用!V150</f>
        <v>43290.598408125035</v>
      </c>
      <c r="AB151" s="14">
        <f>$Y151*$Z151*其他调用!W150</f>
        <v>50776.508274048654</v>
      </c>
      <c r="AC151" s="14">
        <f>$Y151*$Z151*其他调用!X150</f>
        <v>53697.221799824933</v>
      </c>
      <c r="AD151" s="14">
        <f>$Y151*$Z151*其他调用!Y150</f>
        <v>42628.315757641263</v>
      </c>
      <c r="AE151" s="14">
        <f>$Y151*$Z151*其他调用!Z150</f>
        <v>23386.229012303953</v>
      </c>
      <c r="AH151" s="14">
        <v>147</v>
      </c>
      <c r="AI151" s="14">
        <f>SUM(AA$5:AA151)</f>
        <v>611610.95994912938</v>
      </c>
      <c r="AJ151" s="14">
        <f>SUM(AB$5:AB151)</f>
        <v>751761.39034027513</v>
      </c>
      <c r="AK151" s="14">
        <f>SUM(AC$5:AC151)</f>
        <v>810048.49789242295</v>
      </c>
      <c r="AL151" s="14">
        <f>SUM(AD$5:AD151)</f>
        <v>648877.09905043151</v>
      </c>
      <c r="AM151" s="14">
        <f>SUM(AE$5:AE151)</f>
        <v>346809.13553141797</v>
      </c>
      <c r="AR151" s="14">
        <v>147</v>
      </c>
      <c r="AS151" s="27">
        <f t="shared" si="52"/>
        <v>0.11200000000000002</v>
      </c>
      <c r="AT151" s="14">
        <f>求节点(E$28:E$32,$N$28:$N$32,$AR151)*$AS151*其他调用!V150/$E$4</f>
        <v>4591.4271038920497</v>
      </c>
      <c r="AU151" s="14">
        <f>求节点(F$28:F$32,$N$28:$N$32,$AR151)*$AS151*其他调用!W150/$E$4</f>
        <v>5385.3872411869788</v>
      </c>
      <c r="AV151" s="14">
        <f>求节点(G$28:G$32,$N$28:$N$32,$AR151)*$AS151*其他调用!X150/$E$4</f>
        <v>5695.1598878602208</v>
      </c>
      <c r="AW151" s="14">
        <f>求节点(H$28:H$32,$N$28:$N$32,$AR151)*$AS151*其他调用!Y150/$E$4</f>
        <v>4521.1850045983165</v>
      </c>
      <c r="AX151" s="14">
        <f>求节点(I$28:I$32,$N$28:$N$32,$AR151)*$AS151*其他调用!Z150/$E$4</f>
        <v>2480.3576225170859</v>
      </c>
      <c r="BA151" s="14">
        <v>147</v>
      </c>
      <c r="BB151" s="14">
        <f>SUM(AT$5:AT151)</f>
        <v>68254.876583078163</v>
      </c>
      <c r="BC151" s="14">
        <f>SUM(AU$5:AU151)</f>
        <v>83975.311197777293</v>
      </c>
      <c r="BD151" s="14">
        <f>SUM(AV$5:AV151)</f>
        <v>90573.727752397477</v>
      </c>
      <c r="BE151" s="14">
        <f>SUM(AW$5:AW151)</f>
        <v>72668.809844522519</v>
      </c>
      <c r="BF151" s="14">
        <f>SUM(AX$5:AX151)</f>
        <v>38870.561945953617</v>
      </c>
      <c r="BI151" s="14">
        <v>147</v>
      </c>
      <c r="BJ151" s="14">
        <f t="shared" si="53"/>
        <v>1365.0975316615629</v>
      </c>
      <c r="BK151" s="14">
        <f t="shared" si="54"/>
        <v>1679.5062239555457</v>
      </c>
      <c r="BL151" s="14">
        <f t="shared" si="55"/>
        <v>1811.4745550479493</v>
      </c>
      <c r="BM151" s="14">
        <f t="shared" si="56"/>
        <v>1453.37619689045</v>
      </c>
      <c r="BN151" s="14">
        <f t="shared" si="57"/>
        <v>777.41123891907216</v>
      </c>
      <c r="BO151" s="14">
        <f t="shared" si="58"/>
        <v>2047.6462974923447</v>
      </c>
      <c r="BP151" s="14">
        <f t="shared" si="59"/>
        <v>2519.2593359333187</v>
      </c>
      <c r="BQ151" s="14">
        <f t="shared" si="60"/>
        <v>2717.2118325719243</v>
      </c>
      <c r="BR151" s="14">
        <f t="shared" si="61"/>
        <v>2180.0642953356755</v>
      </c>
      <c r="BS151" s="14">
        <f t="shared" si="62"/>
        <v>1166.1168583786084</v>
      </c>
      <c r="BT151" s="14">
        <f t="shared" si="63"/>
        <v>0</v>
      </c>
      <c r="BU151" s="14">
        <f t="shared" si="64"/>
        <v>0</v>
      </c>
      <c r="BV151" s="14">
        <f t="shared" si="65"/>
        <v>0</v>
      </c>
      <c r="BW151" s="14">
        <f t="shared" si="66"/>
        <v>0</v>
      </c>
      <c r="BX151" s="14">
        <f t="shared" si="67"/>
        <v>0</v>
      </c>
      <c r="BY151" s="14">
        <f t="shared" si="68"/>
        <v>17063.719145769541</v>
      </c>
      <c r="BZ151" s="14">
        <f t="shared" si="69"/>
        <v>20993.827799444327</v>
      </c>
      <c r="CA151" s="14">
        <f t="shared" si="70"/>
        <v>22643.431938099369</v>
      </c>
      <c r="CB151" s="14">
        <f t="shared" si="71"/>
        <v>18167.20246113063</v>
      </c>
      <c r="CC151" s="14">
        <f t="shared" si="72"/>
        <v>9717.6404864884043</v>
      </c>
    </row>
    <row r="152" spans="24:81" x14ac:dyDescent="0.15">
      <c r="X152" s="14">
        <v>148</v>
      </c>
      <c r="Y152" s="30">
        <f t="shared" si="73"/>
        <v>6</v>
      </c>
      <c r="Z152" s="27">
        <f t="shared" si="51"/>
        <v>8.8000000000000009E-2</v>
      </c>
      <c r="AA152" s="14">
        <f>$Y152*$Z152*其他调用!V151</f>
        <v>46397.714551145436</v>
      </c>
      <c r="AB152" s="14">
        <f>$Y152*$Z152*其他调用!W151</f>
        <v>57057.186010883903</v>
      </c>
      <c r="AC152" s="14">
        <f>$Y152*$Z152*其他调用!X151</f>
        <v>62063.733596596408</v>
      </c>
      <c r="AD152" s="14">
        <f>$Y152*$Z152*其他调用!Y151</f>
        <v>50857.762318581081</v>
      </c>
      <c r="AE152" s="14">
        <f>$Y152*$Z152*其他调用!Z151</f>
        <v>26522.549173375235</v>
      </c>
      <c r="AH152" s="14">
        <v>148</v>
      </c>
      <c r="AI152" s="14">
        <f>SUM(AA$5:AA152)</f>
        <v>658008.67450027482</v>
      </c>
      <c r="AJ152" s="14">
        <f>SUM(AB$5:AB152)</f>
        <v>808818.57635115902</v>
      </c>
      <c r="AK152" s="14">
        <f>SUM(AC$5:AC152)</f>
        <v>872112.23148901935</v>
      </c>
      <c r="AL152" s="14">
        <f>SUM(AD$5:AD152)</f>
        <v>699734.86136901262</v>
      </c>
      <c r="AM152" s="14">
        <f>SUM(AE$5:AE152)</f>
        <v>373331.68470479321</v>
      </c>
      <c r="AR152" s="14">
        <v>148</v>
      </c>
      <c r="AS152" s="27">
        <f t="shared" si="52"/>
        <v>0.11200000000000002</v>
      </c>
      <c r="AT152" s="14">
        <f>求节点(E$28:E$32,$N$28:$N$32,$AR152)*$AS152*其他调用!V151/$E$4</f>
        <v>4920.9697251214857</v>
      </c>
      <c r="AU152" s="14">
        <f>求节点(F$28:F$32,$N$28:$N$32,$AR152)*$AS152*其他调用!W151/$E$4</f>
        <v>6051.5197284270816</v>
      </c>
      <c r="AV152" s="14">
        <f>求节点(G$28:G$32,$N$28:$N$32,$AR152)*$AS152*其他调用!X151/$E$4</f>
        <v>6582.5171996390136</v>
      </c>
      <c r="AW152" s="14">
        <f>求节点(H$28:H$32,$N$28:$N$32,$AR152)*$AS152*其他调用!Y151/$E$4</f>
        <v>5394.0050943949636</v>
      </c>
      <c r="AX152" s="14">
        <f>求节点(I$28:I$32,$N$28:$N$32,$AR152)*$AS152*其他调用!Z151/$E$4</f>
        <v>2812.997639600404</v>
      </c>
      <c r="BA152" s="14">
        <v>148</v>
      </c>
      <c r="BB152" s="14">
        <f>SUM(AT$5:AT152)</f>
        <v>73175.846308199645</v>
      </c>
      <c r="BC152" s="14">
        <f>SUM(AU$5:AU152)</f>
        <v>90026.830926204377</v>
      </c>
      <c r="BD152" s="14">
        <f>SUM(AV$5:AV152)</f>
        <v>97156.24495203649</v>
      </c>
      <c r="BE152" s="14">
        <f>SUM(AW$5:AW152)</f>
        <v>78062.81493891748</v>
      </c>
      <c r="BF152" s="14">
        <f>SUM(AX$5:AX152)</f>
        <v>41683.559585554023</v>
      </c>
      <c r="BI152" s="14">
        <v>148</v>
      </c>
      <c r="BJ152" s="14">
        <f t="shared" si="53"/>
        <v>1463.5169261639926</v>
      </c>
      <c r="BK152" s="14">
        <f t="shared" si="54"/>
        <v>1800.5366185240873</v>
      </c>
      <c r="BL152" s="14">
        <f t="shared" si="55"/>
        <v>1943.1248990407294</v>
      </c>
      <c r="BM152" s="14">
        <f t="shared" si="56"/>
        <v>1561.2562987783492</v>
      </c>
      <c r="BN152" s="14">
        <f t="shared" si="57"/>
        <v>833.67119171108027</v>
      </c>
      <c r="BO152" s="14">
        <f t="shared" si="58"/>
        <v>2195.2753892459891</v>
      </c>
      <c r="BP152" s="14">
        <f t="shared" si="59"/>
        <v>2700.804927786131</v>
      </c>
      <c r="BQ152" s="14">
        <f t="shared" si="60"/>
        <v>2914.687348561095</v>
      </c>
      <c r="BR152" s="14">
        <f t="shared" si="61"/>
        <v>2341.8844481675242</v>
      </c>
      <c r="BS152" s="14">
        <f t="shared" si="62"/>
        <v>1250.5067875666207</v>
      </c>
      <c r="BT152" s="14">
        <f t="shared" si="63"/>
        <v>0</v>
      </c>
      <c r="BU152" s="14">
        <f t="shared" si="64"/>
        <v>0</v>
      </c>
      <c r="BV152" s="14">
        <f t="shared" si="65"/>
        <v>0</v>
      </c>
      <c r="BW152" s="14">
        <f t="shared" si="66"/>
        <v>0</v>
      </c>
      <c r="BX152" s="14">
        <f t="shared" si="67"/>
        <v>0</v>
      </c>
      <c r="BY152" s="14">
        <f t="shared" si="68"/>
        <v>18293.961577049911</v>
      </c>
      <c r="BZ152" s="14">
        <f t="shared" si="69"/>
        <v>22506.707731551098</v>
      </c>
      <c r="CA152" s="14">
        <f t="shared" si="70"/>
        <v>24289.061238009122</v>
      </c>
      <c r="CB152" s="14">
        <f t="shared" si="71"/>
        <v>19515.70373472937</v>
      </c>
      <c r="CC152" s="14">
        <f t="shared" si="72"/>
        <v>10420.889896388506</v>
      </c>
    </row>
    <row r="153" spans="24:81" x14ac:dyDescent="0.15">
      <c r="X153" s="14">
        <v>149</v>
      </c>
      <c r="Y153" s="30">
        <f t="shared" si="73"/>
        <v>6</v>
      </c>
      <c r="Z153" s="27">
        <f t="shared" si="51"/>
        <v>8.8000000000000009E-2</v>
      </c>
      <c r="AA153" s="14">
        <f>$Y153*$Z153*其他调用!V152</f>
        <v>49727.83917825191</v>
      </c>
      <c r="AB153" s="14">
        <f>$Y153*$Z153*其他调用!W152</f>
        <v>61368.68525033402</v>
      </c>
      <c r="AC153" s="14">
        <f>$Y153*$Z153*其他调用!X152</f>
        <v>66851.404587373312</v>
      </c>
      <c r="AD153" s="14">
        <f>$Y153*$Z153*其他调用!Y152</f>
        <v>53455.487889383243</v>
      </c>
      <c r="AE153" s="14">
        <f>$Y153*$Z153*其他调用!Z152</f>
        <v>28603.565629148889</v>
      </c>
      <c r="AH153" s="14">
        <v>149</v>
      </c>
      <c r="AI153" s="14">
        <f>SUM(AA$5:AA153)</f>
        <v>707736.51367852674</v>
      </c>
      <c r="AJ153" s="14">
        <f>SUM(AB$5:AB153)</f>
        <v>870187.261601493</v>
      </c>
      <c r="AK153" s="14">
        <f>SUM(AC$5:AC153)</f>
        <v>938963.63607639261</v>
      </c>
      <c r="AL153" s="14">
        <f>SUM(AD$5:AD153)</f>
        <v>753190.34925839584</v>
      </c>
      <c r="AM153" s="14">
        <f>SUM(AE$5:AE153)</f>
        <v>401935.25033394212</v>
      </c>
      <c r="AR153" s="14">
        <v>149</v>
      </c>
      <c r="AS153" s="27">
        <f t="shared" si="52"/>
        <v>0.11200000000000002</v>
      </c>
      <c r="AT153" s="14">
        <f>求节点(E$28:E$32,$N$28:$N$32,$AR153)*$AS153*其他调用!V152/$E$4</f>
        <v>5274.1647613297482</v>
      </c>
      <c r="AU153" s="14">
        <f>求节点(F$28:F$32,$N$28:$N$32,$AR153)*$AS153*其他调用!W152/$E$4</f>
        <v>6508.7999507930026</v>
      </c>
      <c r="AV153" s="14">
        <f>求节点(G$28:G$32,$N$28:$N$32,$AR153)*$AS153*其他调用!X152/$E$4</f>
        <v>7090.3004865395942</v>
      </c>
      <c r="AW153" s="14">
        <f>求节点(H$28:H$32,$N$28:$N$32,$AR153)*$AS153*其他调用!Y152/$E$4</f>
        <v>5669.521442813375</v>
      </c>
      <c r="AX153" s="14">
        <f>求节点(I$28:I$32,$N$28:$N$32,$AR153)*$AS153*其他调用!Z152/$E$4</f>
        <v>3033.7115061218519</v>
      </c>
      <c r="BA153" s="14">
        <v>149</v>
      </c>
      <c r="BB153" s="14">
        <f>SUM(AT$5:AT153)</f>
        <v>78450.011069529399</v>
      </c>
      <c r="BC153" s="14">
        <f>SUM(AU$5:AU153)</f>
        <v>96535.630876997384</v>
      </c>
      <c r="BD153" s="14">
        <f>SUM(AV$5:AV153)</f>
        <v>104246.54543857608</v>
      </c>
      <c r="BE153" s="14">
        <f>SUM(AW$5:AW153)</f>
        <v>83732.336381730856</v>
      </c>
      <c r="BF153" s="14">
        <f>SUM(AX$5:AX153)</f>
        <v>44717.271091675873</v>
      </c>
      <c r="BI153" s="14">
        <v>149</v>
      </c>
      <c r="BJ153" s="14">
        <f t="shared" si="53"/>
        <v>1569.0002213905877</v>
      </c>
      <c r="BK153" s="14">
        <f t="shared" si="54"/>
        <v>1930.7126175399474</v>
      </c>
      <c r="BL153" s="14">
        <f t="shared" si="55"/>
        <v>2084.9309087715214</v>
      </c>
      <c r="BM153" s="14">
        <f t="shared" si="56"/>
        <v>1674.6467276346168</v>
      </c>
      <c r="BN153" s="14">
        <f t="shared" si="57"/>
        <v>894.34542183351732</v>
      </c>
      <c r="BO153" s="14">
        <f t="shared" si="58"/>
        <v>2353.5003320858818</v>
      </c>
      <c r="BP153" s="14">
        <f t="shared" si="59"/>
        <v>2896.0689263099216</v>
      </c>
      <c r="BQ153" s="14">
        <f t="shared" si="60"/>
        <v>3127.3963631572824</v>
      </c>
      <c r="BR153" s="14">
        <f t="shared" si="61"/>
        <v>2511.9700914519258</v>
      </c>
      <c r="BS153" s="14">
        <f t="shared" si="62"/>
        <v>1341.5181327502762</v>
      </c>
      <c r="BT153" s="14">
        <f t="shared" si="63"/>
        <v>0</v>
      </c>
      <c r="BU153" s="14">
        <f t="shared" si="64"/>
        <v>0</v>
      </c>
      <c r="BV153" s="14">
        <f t="shared" si="65"/>
        <v>0</v>
      </c>
      <c r="BW153" s="14">
        <f t="shared" si="66"/>
        <v>0</v>
      </c>
      <c r="BX153" s="14">
        <f t="shared" si="67"/>
        <v>0</v>
      </c>
      <c r="BY153" s="14">
        <f t="shared" si="68"/>
        <v>19612.50276738235</v>
      </c>
      <c r="BZ153" s="14">
        <f t="shared" si="69"/>
        <v>24133.907719249346</v>
      </c>
      <c r="CA153" s="14">
        <f t="shared" si="70"/>
        <v>26061.636359644021</v>
      </c>
      <c r="CB153" s="14">
        <f t="shared" si="71"/>
        <v>20933.084095432714</v>
      </c>
      <c r="CC153" s="14">
        <f t="shared" si="72"/>
        <v>11179.317772918968</v>
      </c>
    </row>
    <row r="154" spans="24:81" x14ac:dyDescent="0.15">
      <c r="X154" s="14">
        <v>150</v>
      </c>
      <c r="Y154" s="30">
        <f t="shared" si="73"/>
        <v>6</v>
      </c>
      <c r="Z154" s="27">
        <f t="shared" si="51"/>
        <v>8.8000000000000009E-2</v>
      </c>
      <c r="AA154" s="14">
        <f>$Y154*$Z154*其他调用!V153</f>
        <v>53296.978380521803</v>
      </c>
      <c r="AB154" s="14">
        <f>$Y154*$Z154*其他调用!W153</f>
        <v>65557.02135298909</v>
      </c>
      <c r="AC154" s="14">
        <f>$Y154*$Z154*其他调用!X153</f>
        <v>70925.630227242742</v>
      </c>
      <c r="AD154" s="14">
        <f>$Y154*$Z154*其他调用!Y153</f>
        <v>57327.976183680636</v>
      </c>
      <c r="AE154" s="14">
        <f>$Y154*$Z154*其他调用!Z153</f>
        <v>31927.811502776851</v>
      </c>
      <c r="AH154" s="14">
        <v>150</v>
      </c>
      <c r="AI154" s="14">
        <f>SUM(AA$5:AA154)</f>
        <v>761033.4920590485</v>
      </c>
      <c r="AJ154" s="14">
        <f>SUM(AB$5:AB154)</f>
        <v>935744.28295448213</v>
      </c>
      <c r="AK154" s="14">
        <f>SUM(AC$5:AC154)</f>
        <v>1009889.2663036353</v>
      </c>
      <c r="AL154" s="14">
        <f>SUM(AD$5:AD154)</f>
        <v>810518.32544207643</v>
      </c>
      <c r="AM154" s="14">
        <f>SUM(AE$5:AE154)</f>
        <v>433863.06183671899</v>
      </c>
      <c r="AR154" s="14">
        <v>150</v>
      </c>
      <c r="AS154" s="27">
        <f t="shared" si="52"/>
        <v>0.11200000000000002</v>
      </c>
      <c r="AT154" s="14">
        <f>求节点(E$28:E$32,$N$28:$N$32,$AR154)*$AS154*其他调用!V153/$E$4</f>
        <v>5652.7098282371617</v>
      </c>
      <c r="AU154" s="14">
        <f>求节点(F$28:F$32,$N$28:$N$32,$AR154)*$AS154*其他调用!W153/$E$4</f>
        <v>6953.0174162261164</v>
      </c>
      <c r="AV154" s="14">
        <f>求节点(G$28:G$32,$N$28:$N$32,$AR154)*$AS154*其他调用!X153/$E$4</f>
        <v>7522.4153271318073</v>
      </c>
      <c r="AW154" s="14">
        <f>求节点(H$28:H$32,$N$28:$N$32,$AR154)*$AS154*其他调用!Y153/$E$4</f>
        <v>6080.2398982691584</v>
      </c>
      <c r="AX154" s="14">
        <f>求节点(I$28:I$32,$N$28:$N$32,$AR154)*$AS154*其他调用!Z153/$E$4</f>
        <v>3386.2830381733024</v>
      </c>
      <c r="BA154" s="14">
        <v>150</v>
      </c>
      <c r="BB154" s="14">
        <f>SUM(AT$5:AT154)</f>
        <v>84102.720897766558</v>
      </c>
      <c r="BC154" s="14">
        <f>SUM(AU$5:AU154)</f>
        <v>103488.64829322349</v>
      </c>
      <c r="BD154" s="14">
        <f>SUM(AV$5:AV154)</f>
        <v>111768.96076570789</v>
      </c>
      <c r="BE154" s="14">
        <f>SUM(AW$5:AW154)</f>
        <v>89812.576280000008</v>
      </c>
      <c r="BF154" s="14">
        <f>SUM(AX$5:AX154)</f>
        <v>48103.554129849173</v>
      </c>
      <c r="BI154" s="14">
        <v>150</v>
      </c>
      <c r="BJ154" s="14">
        <f t="shared" si="53"/>
        <v>1682.0544179553308</v>
      </c>
      <c r="BK154" s="14">
        <f t="shared" si="54"/>
        <v>2069.7729658644694</v>
      </c>
      <c r="BL154" s="14">
        <f t="shared" si="55"/>
        <v>2235.3792153141576</v>
      </c>
      <c r="BM154" s="14">
        <f t="shared" si="56"/>
        <v>1796.2515255999999</v>
      </c>
      <c r="BN154" s="14">
        <f t="shared" si="57"/>
        <v>962.07108259698327</v>
      </c>
      <c r="BO154" s="14">
        <f t="shared" si="58"/>
        <v>2523.0816269329966</v>
      </c>
      <c r="BP154" s="14">
        <f t="shared" si="59"/>
        <v>3104.6594487967045</v>
      </c>
      <c r="BQ154" s="14">
        <f t="shared" si="60"/>
        <v>3353.0688229712368</v>
      </c>
      <c r="BR154" s="14">
        <f t="shared" si="61"/>
        <v>2694.3772884</v>
      </c>
      <c r="BS154" s="14">
        <f t="shared" si="62"/>
        <v>1443.1066238954752</v>
      </c>
      <c r="BT154" s="14">
        <f t="shared" si="63"/>
        <v>0</v>
      </c>
      <c r="BU154" s="14">
        <f t="shared" si="64"/>
        <v>0</v>
      </c>
      <c r="BV154" s="14">
        <f t="shared" si="65"/>
        <v>0</v>
      </c>
      <c r="BW154" s="14">
        <f t="shared" si="66"/>
        <v>0</v>
      </c>
      <c r="BX154" s="14">
        <f t="shared" si="67"/>
        <v>0</v>
      </c>
      <c r="BY154" s="14">
        <f t="shared" si="68"/>
        <v>21025.680224441639</v>
      </c>
      <c r="BZ154" s="14">
        <f t="shared" si="69"/>
        <v>25872.162073305873</v>
      </c>
      <c r="CA154" s="14">
        <f t="shared" si="70"/>
        <v>27942.240191426972</v>
      </c>
      <c r="CB154" s="14">
        <f t="shared" si="71"/>
        <v>22453.144070000002</v>
      </c>
      <c r="CC154" s="14">
        <f t="shared" si="72"/>
        <v>12025.888532462293</v>
      </c>
    </row>
    <row r="155" spans="24:81" x14ac:dyDescent="0.15">
      <c r="X155" s="14">
        <v>151</v>
      </c>
      <c r="Y155" s="30">
        <f t="shared" si="73"/>
        <v>6</v>
      </c>
      <c r="Z155" s="27">
        <f t="shared" si="51"/>
        <v>8.8000000000000009E-2</v>
      </c>
      <c r="AA155" s="14">
        <f>$Y155*$Z155*其他调用!V154</f>
        <v>57122.287061613111</v>
      </c>
      <c r="AB155" s="14">
        <f>$Y155*$Z155*其他调用!W154</f>
        <v>70759.221867015498</v>
      </c>
      <c r="AC155" s="14">
        <f>$Y155*$Z155*其他调用!X154</f>
        <v>76702.465555113798</v>
      </c>
      <c r="AD155" s="14">
        <f>$Y155*$Z155*其他调用!Y154</f>
        <v>65300.785539946301</v>
      </c>
      <c r="AE155" s="14">
        <f>$Y155*$Z155*其他调用!Z154</f>
        <v>40255.203241188072</v>
      </c>
      <c r="AH155" s="14">
        <v>151</v>
      </c>
      <c r="AI155" s="14">
        <f>SUM(AA$5:AA155)</f>
        <v>818155.77912066155</v>
      </c>
      <c r="AJ155" s="14">
        <f>SUM(AB$5:AB155)</f>
        <v>1006503.5048214976</v>
      </c>
      <c r="AK155" s="14">
        <f>SUM(AC$5:AC155)</f>
        <v>1086591.7318587492</v>
      </c>
      <c r="AL155" s="14">
        <f>SUM(AD$5:AD155)</f>
        <v>875819.11098202271</v>
      </c>
      <c r="AM155" s="14">
        <f>SUM(AE$5:AE155)</f>
        <v>474118.26507790707</v>
      </c>
      <c r="AR155" s="14">
        <v>151</v>
      </c>
      <c r="AS155" s="27">
        <f t="shared" si="52"/>
        <v>0.11200000000000002</v>
      </c>
      <c r="AT155" s="14">
        <f>求节点(E$28:E$32,$N$28:$N$32,$AR155)*$AS155*其他调用!V154/$E$4</f>
        <v>6058.4243853226035</v>
      </c>
      <c r="AU155" s="14">
        <f>求节点(F$28:F$32,$N$28:$N$32,$AR155)*$AS155*其他调用!W154/$E$4</f>
        <v>7504.7659555925529</v>
      </c>
      <c r="AV155" s="14">
        <f>求节点(G$28:G$32,$N$28:$N$32,$AR155)*$AS155*其他调用!X154/$E$4</f>
        <v>8135.1099831181309</v>
      </c>
      <c r="AW155" s="14">
        <f>求节点(H$28:H$32,$N$28:$N$32,$AR155)*$AS155*其他调用!Y154/$E$4</f>
        <v>6925.840890600366</v>
      </c>
      <c r="AX155" s="14">
        <f>求节点(I$28:I$32,$N$28:$N$32,$AR155)*$AS155*其他调用!Z154/$E$4</f>
        <v>4269.4912528532805</v>
      </c>
      <c r="BA155" s="14">
        <v>151</v>
      </c>
      <c r="BB155" s="14">
        <f>SUM(AT$5:AT155)</f>
        <v>90161.145283089165</v>
      </c>
      <c r="BC155" s="14">
        <f>SUM(AU$5:AU155)</f>
        <v>110993.41424881604</v>
      </c>
      <c r="BD155" s="14">
        <f>SUM(AV$5:AV155)</f>
        <v>119904.07074882602</v>
      </c>
      <c r="BE155" s="14">
        <f>SUM(AW$5:AW155)</f>
        <v>96738.417170600369</v>
      </c>
      <c r="BF155" s="14">
        <f>SUM(AX$5:AX155)</f>
        <v>52373.045382702454</v>
      </c>
      <c r="BI155" s="14">
        <v>151</v>
      </c>
      <c r="BJ155" s="14">
        <f t="shared" si="53"/>
        <v>1803.2229056617828</v>
      </c>
      <c r="BK155" s="14">
        <f t="shared" si="54"/>
        <v>2219.8682849763204</v>
      </c>
      <c r="BL155" s="14">
        <f t="shared" si="55"/>
        <v>2398.0814149765201</v>
      </c>
      <c r="BM155" s="14">
        <f t="shared" si="56"/>
        <v>1934.768343412007</v>
      </c>
      <c r="BN155" s="14">
        <f t="shared" si="57"/>
        <v>1047.4609076540487</v>
      </c>
      <c r="BO155" s="14">
        <f t="shared" si="58"/>
        <v>2704.8343584926747</v>
      </c>
      <c r="BP155" s="14">
        <f t="shared" si="59"/>
        <v>3329.8024274644813</v>
      </c>
      <c r="BQ155" s="14">
        <f t="shared" si="60"/>
        <v>3597.1221224647807</v>
      </c>
      <c r="BR155" s="14">
        <f t="shared" si="61"/>
        <v>2902.1525151180113</v>
      </c>
      <c r="BS155" s="14">
        <f t="shared" si="62"/>
        <v>1571.1913614810735</v>
      </c>
      <c r="BT155" s="14">
        <f t="shared" si="63"/>
        <v>0</v>
      </c>
      <c r="BU155" s="14">
        <f t="shared" si="64"/>
        <v>0</v>
      </c>
      <c r="BV155" s="14">
        <f t="shared" si="65"/>
        <v>0</v>
      </c>
      <c r="BW155" s="14">
        <f t="shared" si="66"/>
        <v>0</v>
      </c>
      <c r="BX155" s="14">
        <f t="shared" si="67"/>
        <v>0</v>
      </c>
      <c r="BY155" s="14">
        <f t="shared" si="68"/>
        <v>22540.286320772291</v>
      </c>
      <c r="BZ155" s="14">
        <f t="shared" si="69"/>
        <v>27748.353562204011</v>
      </c>
      <c r="CA155" s="14">
        <f t="shared" si="70"/>
        <v>29976.017687206506</v>
      </c>
      <c r="CB155" s="14">
        <f t="shared" si="71"/>
        <v>24184.604292650092</v>
      </c>
      <c r="CC155" s="14">
        <f t="shared" si="72"/>
        <v>13093.261345675615</v>
      </c>
    </row>
    <row r="156" spans="24:81" x14ac:dyDescent="0.15">
      <c r="X156" s="14">
        <v>152</v>
      </c>
      <c r="Y156" s="30">
        <f t="shared" si="73"/>
        <v>6</v>
      </c>
      <c r="Z156" s="27">
        <f t="shared" si="51"/>
        <v>8.8000000000000009E-2</v>
      </c>
      <c r="AA156" s="14">
        <f>$Y156*$Z156*其他调用!V155</f>
        <v>61222.151392019026</v>
      </c>
      <c r="AB156" s="14">
        <f>$Y156*$Z156*其他调用!W155</f>
        <v>75074.603816590214</v>
      </c>
      <c r="AC156" s="14">
        <f>$Y156*$Z156*其他调用!X155</f>
        <v>88055.441471303347</v>
      </c>
      <c r="AD156" s="14">
        <f>$Y156*$Z156*其他调用!Y155</f>
        <v>78900.306561914404</v>
      </c>
      <c r="AE156" s="14">
        <f>$Y156*$Z156*其他调用!Z155</f>
        <v>272955.5978421063</v>
      </c>
      <c r="AH156" s="14">
        <v>152</v>
      </c>
      <c r="AI156" s="14">
        <f>SUM(AA$5:AA156)</f>
        <v>879377.93051268056</v>
      </c>
      <c r="AJ156" s="14">
        <f>SUM(AB$5:AB156)</f>
        <v>1081578.1086380878</v>
      </c>
      <c r="AK156" s="14">
        <f>SUM(AC$5:AC156)</f>
        <v>1174647.1733300525</v>
      </c>
      <c r="AL156" s="14">
        <f>SUM(AD$5:AD156)</f>
        <v>954719.4175439371</v>
      </c>
      <c r="AM156" s="14">
        <f>SUM(AE$5:AE156)</f>
        <v>747073.86292001337</v>
      </c>
      <c r="AR156" s="14">
        <v>152</v>
      </c>
      <c r="AS156" s="27">
        <f t="shared" si="52"/>
        <v>0.11200000000000002</v>
      </c>
      <c r="AT156" s="14">
        <f>求节点(E$28:E$32,$N$28:$N$32,$AR156)*$AS156*其他调用!V155/$E$4</f>
        <v>6493.2584809717155</v>
      </c>
      <c r="AU156" s="14">
        <f>求节点(F$28:F$32,$N$28:$N$32,$AR156)*$AS156*其他调用!W155/$E$4</f>
        <v>7962.4579805474477</v>
      </c>
      <c r="AV156" s="14">
        <f>求节点(G$28:G$32,$N$28:$N$32,$AR156)*$AS156*其他调用!X155/$E$4</f>
        <v>9339.2134893806597</v>
      </c>
      <c r="AW156" s="14">
        <f>求节点(H$28:H$32,$N$28:$N$32,$AR156)*$AS156*其他调用!Y155/$E$4</f>
        <v>8368.2143323242562</v>
      </c>
      <c r="AX156" s="14">
        <f>求节点(I$28:I$32,$N$28:$N$32,$AR156)*$AS156*其他调用!Z155/$E$4</f>
        <v>28949.836134768851</v>
      </c>
      <c r="BA156" s="14">
        <v>152</v>
      </c>
      <c r="BB156" s="14">
        <f>SUM(AT$5:AT156)</f>
        <v>96654.403764060873</v>
      </c>
      <c r="BC156" s="14">
        <f>SUM(AU$5:AU156)</f>
        <v>118955.87222936349</v>
      </c>
      <c r="BD156" s="14">
        <f>SUM(AV$5:AV156)</f>
        <v>129243.28423820669</v>
      </c>
      <c r="BE156" s="14">
        <f>SUM(AW$5:AW156)</f>
        <v>105106.63150292463</v>
      </c>
      <c r="BF156" s="14">
        <f>SUM(AX$5:AX156)</f>
        <v>81322.881517471309</v>
      </c>
      <c r="BI156" s="14">
        <v>152</v>
      </c>
      <c r="BJ156" s="14">
        <f t="shared" si="53"/>
        <v>1933.0880752812168</v>
      </c>
      <c r="BK156" s="14">
        <f t="shared" si="54"/>
        <v>2379.1174445872693</v>
      </c>
      <c r="BL156" s="14">
        <f t="shared" si="55"/>
        <v>2584.8656847641332</v>
      </c>
      <c r="BM156" s="14">
        <f t="shared" si="56"/>
        <v>2102.1326300584924</v>
      </c>
      <c r="BN156" s="14">
        <f t="shared" si="57"/>
        <v>1626.4576303494257</v>
      </c>
      <c r="BO156" s="14">
        <f t="shared" si="58"/>
        <v>2899.6321129218259</v>
      </c>
      <c r="BP156" s="14">
        <f t="shared" si="59"/>
        <v>3568.6761668809049</v>
      </c>
      <c r="BQ156" s="14">
        <f t="shared" si="60"/>
        <v>3877.2985271462007</v>
      </c>
      <c r="BR156" s="14">
        <f t="shared" si="61"/>
        <v>3153.1989450877386</v>
      </c>
      <c r="BS156" s="14">
        <f t="shared" si="62"/>
        <v>2439.6864455241393</v>
      </c>
      <c r="BT156" s="14">
        <f t="shared" si="63"/>
        <v>0</v>
      </c>
      <c r="BU156" s="14">
        <f t="shared" si="64"/>
        <v>0</v>
      </c>
      <c r="BV156" s="14">
        <f t="shared" si="65"/>
        <v>0</v>
      </c>
      <c r="BW156" s="14">
        <f t="shared" si="66"/>
        <v>0</v>
      </c>
      <c r="BX156" s="14">
        <f t="shared" si="67"/>
        <v>0</v>
      </c>
      <c r="BY156" s="14">
        <f t="shared" si="68"/>
        <v>24163.600941015218</v>
      </c>
      <c r="BZ156" s="14">
        <f t="shared" si="69"/>
        <v>29738.96805734087</v>
      </c>
      <c r="CA156" s="14">
        <f t="shared" si="70"/>
        <v>32310.821059551672</v>
      </c>
      <c r="CB156" s="14">
        <f t="shared" si="71"/>
        <v>26276.657875731158</v>
      </c>
      <c r="CC156" s="14">
        <f t="shared" si="72"/>
        <v>20330.720379367827</v>
      </c>
    </row>
    <row r="157" spans="24:81" x14ac:dyDescent="0.15">
      <c r="X157" s="14">
        <v>153</v>
      </c>
      <c r="Y157" s="30">
        <f t="shared" si="73"/>
        <v>6</v>
      </c>
      <c r="Z157" s="27">
        <f t="shared" si="51"/>
        <v>8.8000000000000009E-2</v>
      </c>
      <c r="AA157" s="14">
        <f>$Y157*$Z157*其他调用!V156</f>
        <v>65616.277181345504</v>
      </c>
      <c r="AB157" s="14">
        <f>$Y157*$Z157*其他调用!W156</f>
        <v>89720.056393948864</v>
      </c>
      <c r="AC157" s="14">
        <f>$Y157*$Z157*其他调用!X156</f>
        <v>102221.36296558207</v>
      </c>
      <c r="AD157" s="14">
        <f>$Y157*$Z157*其他调用!Y156</f>
        <v>323557.79557413945</v>
      </c>
      <c r="AE157" s="14">
        <f>$Y157*$Z157*其他调用!Z156</f>
        <v>548726.60338630585</v>
      </c>
      <c r="AH157" s="14">
        <v>153</v>
      </c>
      <c r="AI157" s="14">
        <f>SUM(AA$5:AA157)</f>
        <v>944994.20769402606</v>
      </c>
      <c r="AJ157" s="14">
        <f>SUM(AB$5:AB157)</f>
        <v>1171298.1650320366</v>
      </c>
      <c r="AK157" s="14">
        <f>SUM(AC$5:AC157)</f>
        <v>1276868.5362956347</v>
      </c>
      <c r="AL157" s="14">
        <f>SUM(AD$5:AD157)</f>
        <v>1278277.2131180766</v>
      </c>
      <c r="AM157" s="14">
        <f>SUM(AE$5:AE157)</f>
        <v>1295800.4663063192</v>
      </c>
      <c r="AR157" s="14">
        <v>153</v>
      </c>
      <c r="AS157" s="27">
        <f t="shared" si="52"/>
        <v>0.11200000000000002</v>
      </c>
      <c r="AT157" s="14">
        <f>求节点(E$28:E$32,$N$28:$N$32,$AR157)*$AS157*其他调用!V156/$E$4</f>
        <v>6959.3021252942208</v>
      </c>
      <c r="AU157" s="14">
        <f>求节点(F$28:F$32,$N$28:$N$32,$AR157)*$AS157*其他调用!W156/$E$4</f>
        <v>9515.7635569339709</v>
      </c>
      <c r="AV157" s="14">
        <f>求节点(G$28:G$32,$N$28:$N$32,$AR157)*$AS157*其他调用!X156/$E$4</f>
        <v>10841.659708470826</v>
      </c>
      <c r="AW157" s="14">
        <f>求节点(H$28:H$32,$N$28:$N$32,$AR157)*$AS157*其他调用!Y156/$E$4</f>
        <v>34316.735894226913</v>
      </c>
      <c r="AX157" s="14">
        <f>求节点(I$28:I$32,$N$28:$N$32,$AR157)*$AS157*其他调用!Z156/$E$4</f>
        <v>58198.276116729416</v>
      </c>
      <c r="BA157" s="14">
        <v>153</v>
      </c>
      <c r="BB157" s="14">
        <f>SUM(AT$5:AT157)</f>
        <v>103613.7058893551</v>
      </c>
      <c r="BC157" s="14">
        <f>SUM(AU$5:AU157)</f>
        <v>128471.63578629747</v>
      </c>
      <c r="BD157" s="14">
        <f>SUM(AV$5:AV157)</f>
        <v>140084.94394667752</v>
      </c>
      <c r="BE157" s="14">
        <f>SUM(AW$5:AW157)</f>
        <v>139423.36739715154</v>
      </c>
      <c r="BF157" s="14">
        <f>SUM(AX$5:AX157)</f>
        <v>139521.15763420073</v>
      </c>
      <c r="BI157" s="14">
        <v>153</v>
      </c>
      <c r="BJ157" s="14">
        <f t="shared" si="53"/>
        <v>2072.2741177871017</v>
      </c>
      <c r="BK157" s="14">
        <f t="shared" si="54"/>
        <v>2569.432715725949</v>
      </c>
      <c r="BL157" s="14">
        <f t="shared" si="55"/>
        <v>2801.6988789335496</v>
      </c>
      <c r="BM157" s="14">
        <f t="shared" si="56"/>
        <v>2788.4673479430303</v>
      </c>
      <c r="BN157" s="14">
        <f t="shared" si="57"/>
        <v>2790.423152684014</v>
      </c>
      <c r="BO157" s="14">
        <f t="shared" si="58"/>
        <v>3108.4111766806527</v>
      </c>
      <c r="BP157" s="14">
        <f t="shared" si="59"/>
        <v>3854.1490735889238</v>
      </c>
      <c r="BQ157" s="14">
        <f t="shared" si="60"/>
        <v>4202.548318400326</v>
      </c>
      <c r="BR157" s="14">
        <f t="shared" si="61"/>
        <v>4182.7010219145459</v>
      </c>
      <c r="BS157" s="14">
        <f t="shared" si="62"/>
        <v>4185.6347290260219</v>
      </c>
      <c r="BT157" s="14">
        <f t="shared" si="63"/>
        <v>0</v>
      </c>
      <c r="BU157" s="14">
        <f t="shared" si="64"/>
        <v>0</v>
      </c>
      <c r="BV157" s="14">
        <f t="shared" si="65"/>
        <v>0</v>
      </c>
      <c r="BW157" s="14">
        <f t="shared" si="66"/>
        <v>0</v>
      </c>
      <c r="BX157" s="14">
        <f t="shared" si="67"/>
        <v>0</v>
      </c>
      <c r="BY157" s="14">
        <f t="shared" si="68"/>
        <v>25903.426472338775</v>
      </c>
      <c r="BZ157" s="14">
        <f t="shared" si="69"/>
        <v>32117.908946574367</v>
      </c>
      <c r="CA157" s="14">
        <f t="shared" si="70"/>
        <v>35021.235986669381</v>
      </c>
      <c r="CB157" s="14">
        <f t="shared" si="71"/>
        <v>34855.841849287885</v>
      </c>
      <c r="CC157" s="14">
        <f t="shared" si="72"/>
        <v>34880.289408550183</v>
      </c>
    </row>
    <row r="158" spans="24:81" x14ac:dyDescent="0.15">
      <c r="X158" s="14">
        <v>154</v>
      </c>
      <c r="Y158" s="30">
        <f t="shared" si="73"/>
        <v>6</v>
      </c>
      <c r="Z158" s="27">
        <f t="shared" si="51"/>
        <v>8.8000000000000009E-2</v>
      </c>
      <c r="AA158" s="14">
        <f>$Y158*$Z158*其他调用!V157</f>
        <v>70325.784593390083</v>
      </c>
      <c r="AB158" s="14">
        <f>$Y158*$Z158*其他调用!W157</f>
        <v>93286.966833707425</v>
      </c>
      <c r="AC158" s="14">
        <f>$Y158*$Z158*其他调用!X157</f>
        <v>306919.08933966723</v>
      </c>
      <c r="AD158" s="14">
        <f>$Y158*$Z158*其他调用!Y157</f>
        <v>541243.58504479739</v>
      </c>
      <c r="AE158" s="14">
        <f>$Y158*$Z158*其他调用!Z157</f>
        <v>541243.58504479739</v>
      </c>
      <c r="AH158" s="14">
        <v>154</v>
      </c>
      <c r="AI158" s="14">
        <f>SUM(AA$5:AA158)</f>
        <v>1015319.9922874161</v>
      </c>
      <c r="AJ158" s="14">
        <f>SUM(AB$5:AB158)</f>
        <v>1264585.131865744</v>
      </c>
      <c r="AK158" s="14">
        <f>SUM(AC$5:AC158)</f>
        <v>1583787.6256353019</v>
      </c>
      <c r="AL158" s="14">
        <f>SUM(AD$5:AD158)</f>
        <v>1819520.7981628738</v>
      </c>
      <c r="AM158" s="14">
        <f>SUM(AE$5:AE158)</f>
        <v>1837044.0513511165</v>
      </c>
      <c r="AR158" s="14">
        <v>154</v>
      </c>
      <c r="AS158" s="27">
        <f t="shared" si="52"/>
        <v>0.11200000000000002</v>
      </c>
      <c r="AT158" s="14">
        <f>求节点(E$28:E$32,$N$28:$N$32,$AR158)*$AS158*其他调用!V157/$E$4</f>
        <v>7458.7953356625858</v>
      </c>
      <c r="AU158" s="14">
        <f>求节点(F$28:F$32,$N$28:$N$32,$AR158)*$AS158*其他调用!W157/$E$4</f>
        <v>9894.0722399386668</v>
      </c>
      <c r="AV158" s="14">
        <f>求节点(G$28:G$32,$N$28:$N$32,$AR158)*$AS158*其他调用!X157/$E$4</f>
        <v>32552.024626934406</v>
      </c>
      <c r="AW158" s="14">
        <f>求节点(H$28:H$32,$N$28:$N$32,$AR158)*$AS158*其他调用!Y157/$E$4</f>
        <v>57404.622656266394</v>
      </c>
      <c r="AX158" s="14">
        <f>求节点(I$28:I$32,$N$28:$N$32,$AR158)*$AS158*其他调用!Z157/$E$4</f>
        <v>57404.622656266394</v>
      </c>
      <c r="BA158" s="14">
        <v>154</v>
      </c>
      <c r="BB158" s="14">
        <f>SUM(AT$5:AT158)</f>
        <v>111072.50122501768</v>
      </c>
      <c r="BC158" s="14">
        <f>SUM(AU$5:AU158)</f>
        <v>138365.70802623613</v>
      </c>
      <c r="BD158" s="14">
        <f>SUM(AV$5:AV158)</f>
        <v>172636.96857361193</v>
      </c>
      <c r="BE158" s="14">
        <f>SUM(AW$5:AW158)</f>
        <v>196827.99005341792</v>
      </c>
      <c r="BF158" s="14">
        <f>SUM(AX$5:AX158)</f>
        <v>196925.78029046714</v>
      </c>
      <c r="BI158" s="14">
        <v>154</v>
      </c>
      <c r="BJ158" s="14">
        <f t="shared" si="53"/>
        <v>2221.4500245003533</v>
      </c>
      <c r="BK158" s="14">
        <f t="shared" si="54"/>
        <v>2767.314160524722</v>
      </c>
      <c r="BL158" s="14">
        <f t="shared" si="55"/>
        <v>3452.7393714722375</v>
      </c>
      <c r="BM158" s="14">
        <f t="shared" si="56"/>
        <v>3936.559801068358</v>
      </c>
      <c r="BN158" s="14">
        <f t="shared" si="57"/>
        <v>3938.5156058093417</v>
      </c>
      <c r="BO158" s="14">
        <f t="shared" si="58"/>
        <v>3332.1750367505301</v>
      </c>
      <c r="BP158" s="14">
        <f t="shared" si="59"/>
        <v>4150.9712407870838</v>
      </c>
      <c r="BQ158" s="14">
        <f t="shared" si="60"/>
        <v>5179.1090572083576</v>
      </c>
      <c r="BR158" s="14">
        <f t="shared" si="61"/>
        <v>5904.8397016025374</v>
      </c>
      <c r="BS158" s="14">
        <f t="shared" si="62"/>
        <v>5907.7734087140143</v>
      </c>
      <c r="BT158" s="14">
        <f t="shared" si="63"/>
        <v>0</v>
      </c>
      <c r="BU158" s="14">
        <f t="shared" si="64"/>
        <v>0</v>
      </c>
      <c r="BV158" s="14">
        <f t="shared" si="65"/>
        <v>0</v>
      </c>
      <c r="BW158" s="14">
        <f t="shared" si="66"/>
        <v>0</v>
      </c>
      <c r="BX158" s="14">
        <f t="shared" si="67"/>
        <v>0</v>
      </c>
      <c r="BY158" s="14">
        <f t="shared" si="68"/>
        <v>27768.12530625442</v>
      </c>
      <c r="BZ158" s="14">
        <f t="shared" si="69"/>
        <v>34591.427006559032</v>
      </c>
      <c r="CA158" s="14">
        <f t="shared" si="70"/>
        <v>43159.242143402982</v>
      </c>
      <c r="CB158" s="14">
        <f t="shared" si="71"/>
        <v>49206.997513354479</v>
      </c>
      <c r="CC158" s="14">
        <f t="shared" si="72"/>
        <v>49231.445072616785</v>
      </c>
    </row>
    <row r="159" spans="24:81" x14ac:dyDescent="0.15">
      <c r="X159" s="14">
        <v>155</v>
      </c>
      <c r="Y159" s="30">
        <f t="shared" si="73"/>
        <v>6</v>
      </c>
      <c r="Z159" s="27">
        <f t="shared" si="51"/>
        <v>8.8000000000000009E-2</v>
      </c>
      <c r="AA159" s="14">
        <f>$Y159*$Z159*其他调用!V158</f>
        <v>75373.309659241277</v>
      </c>
      <c r="AB159" s="14">
        <f>$Y159*$Z159*其他调用!W158</f>
        <v>251567.1320686439</v>
      </c>
      <c r="AC159" s="14">
        <f>$Y159*$Z159*其他调用!X158</f>
        <v>502686.89447703626</v>
      </c>
      <c r="AD159" s="14">
        <f>$Y159*$Z159*其他调用!Y158</f>
        <v>557218.37031723734</v>
      </c>
      <c r="AE159" s="14">
        <f>$Y159*$Z159*其他调用!Z158</f>
        <v>564778.82584156923</v>
      </c>
      <c r="AH159" s="14">
        <v>155</v>
      </c>
      <c r="AI159" s="14">
        <f>SUM(AA$5:AA159)</f>
        <v>1090693.3019466575</v>
      </c>
      <c r="AJ159" s="14">
        <f>SUM(AB$5:AB159)</f>
        <v>1516152.2639343878</v>
      </c>
      <c r="AK159" s="14">
        <f>SUM(AC$5:AC159)</f>
        <v>2086474.5201123382</v>
      </c>
      <c r="AL159" s="14">
        <f>SUM(AD$5:AD159)</f>
        <v>2376739.1684801113</v>
      </c>
      <c r="AM159" s="14">
        <f>SUM(AE$5:AE159)</f>
        <v>2401822.8771926858</v>
      </c>
      <c r="AR159" s="14">
        <v>155</v>
      </c>
      <c r="AS159" s="27">
        <f t="shared" si="52"/>
        <v>0.11200000000000002</v>
      </c>
      <c r="AT159" s="14">
        <f>求节点(E$28:E$32,$N$28:$N$32,$AR159)*$AS159*其他调用!V158/$E$4</f>
        <v>7994.1389032528632</v>
      </c>
      <c r="AU159" s="14">
        <f>求节点(F$28:F$32,$N$28:$N$32,$AR159)*$AS159*其他调用!W158/$E$4</f>
        <v>26681.362492128901</v>
      </c>
      <c r="AV159" s="14">
        <f>求节点(G$28:G$32,$N$28:$N$32,$AR159)*$AS159*其他调用!X158/$E$4</f>
        <v>53315.276686958401</v>
      </c>
      <c r="AW159" s="14">
        <f>求节点(H$28:H$32,$N$28:$N$32,$AR159)*$AS159*其他调用!Y158/$E$4</f>
        <v>59098.918063949415</v>
      </c>
      <c r="AX159" s="14">
        <f>求节点(I$28:I$32,$N$28:$N$32,$AR159)*$AS159*其他调用!Z158/$E$4</f>
        <v>59900.784558954314</v>
      </c>
      <c r="BA159" s="14">
        <v>155</v>
      </c>
      <c r="BB159" s="14">
        <f>SUM(AT$5:AT159)</f>
        <v>119066.64012827055</v>
      </c>
      <c r="BC159" s="14">
        <f>SUM(AU$5:AU159)</f>
        <v>165047.07051836501</v>
      </c>
      <c r="BD159" s="14">
        <f>SUM(AV$5:AV159)</f>
        <v>225952.24526057031</v>
      </c>
      <c r="BE159" s="14">
        <f>SUM(AW$5:AW159)</f>
        <v>255926.90811736733</v>
      </c>
      <c r="BF159" s="14">
        <f>SUM(AX$5:AX159)</f>
        <v>256826.56484942144</v>
      </c>
      <c r="BI159" s="14">
        <v>155</v>
      </c>
      <c r="BJ159" s="14">
        <f t="shared" si="53"/>
        <v>2381.3328025654105</v>
      </c>
      <c r="BK159" s="14">
        <f t="shared" si="54"/>
        <v>3300.9414103672993</v>
      </c>
      <c r="BL159" s="14">
        <f t="shared" si="55"/>
        <v>4519.0449052114054</v>
      </c>
      <c r="BM159" s="14">
        <f t="shared" si="56"/>
        <v>5118.5381623473459</v>
      </c>
      <c r="BN159" s="14">
        <f t="shared" si="57"/>
        <v>5136.5312969884271</v>
      </c>
      <c r="BO159" s="14">
        <f t="shared" si="58"/>
        <v>3571.9992038481164</v>
      </c>
      <c r="BP159" s="14">
        <f t="shared" si="59"/>
        <v>4951.4121155509501</v>
      </c>
      <c r="BQ159" s="14">
        <f t="shared" si="60"/>
        <v>6778.567357817109</v>
      </c>
      <c r="BR159" s="14">
        <f t="shared" si="61"/>
        <v>7677.8072435210197</v>
      </c>
      <c r="BS159" s="14">
        <f t="shared" si="62"/>
        <v>7704.7969454826425</v>
      </c>
      <c r="BT159" s="14">
        <f t="shared" si="63"/>
        <v>0</v>
      </c>
      <c r="BU159" s="14">
        <f t="shared" si="64"/>
        <v>0</v>
      </c>
      <c r="BV159" s="14">
        <f t="shared" si="65"/>
        <v>0</v>
      </c>
      <c r="BW159" s="14">
        <f t="shared" si="66"/>
        <v>0</v>
      </c>
      <c r="BX159" s="14">
        <f t="shared" si="67"/>
        <v>0</v>
      </c>
      <c r="BY159" s="14">
        <f t="shared" si="68"/>
        <v>29766.660032067637</v>
      </c>
      <c r="BZ159" s="14">
        <f t="shared" si="69"/>
        <v>41261.767629591253</v>
      </c>
      <c r="CA159" s="14">
        <f t="shared" si="70"/>
        <v>56488.061315142579</v>
      </c>
      <c r="CB159" s="14">
        <f t="shared" si="71"/>
        <v>63981.727029341841</v>
      </c>
      <c r="CC159" s="14">
        <f t="shared" si="72"/>
        <v>64206.64121235536</v>
      </c>
    </row>
    <row r="160" spans="24:81" x14ac:dyDescent="0.15">
      <c r="X160" s="14">
        <v>156</v>
      </c>
      <c r="Y160" s="30">
        <f t="shared" si="73"/>
        <v>6</v>
      </c>
      <c r="Z160" s="27">
        <f t="shared" si="51"/>
        <v>8.8000000000000009E-2</v>
      </c>
      <c r="AA160" s="14">
        <f>$Y160*$Z160*其他调用!V159</f>
        <v>80783.113076302907</v>
      </c>
      <c r="AB160" s="14">
        <f>$Y160*$Z160*其他调用!W159</f>
        <v>197661.27744526995</v>
      </c>
      <c r="AC160" s="14">
        <f>$Y160*$Z160*其他调用!X159</f>
        <v>276743.04359686986</v>
      </c>
      <c r="AD160" s="14">
        <f>$Y160*$Z160*其他调用!Y159</f>
        <v>313236.63176348974</v>
      </c>
      <c r="AE160" s="14">
        <f>$Y160*$Z160*其他调用!Z159</f>
        <v>313779.28354480688</v>
      </c>
      <c r="AH160" s="14">
        <v>156</v>
      </c>
      <c r="AI160" s="14">
        <f>SUM(AA$5:AA160)</f>
        <v>1171476.4150229604</v>
      </c>
      <c r="AJ160" s="14">
        <f>SUM(AB$5:AB160)</f>
        <v>1713813.5413796578</v>
      </c>
      <c r="AK160" s="14">
        <f>SUM(AC$5:AC160)</f>
        <v>2363217.5637092083</v>
      </c>
      <c r="AL160" s="14">
        <f>SUM(AD$5:AD160)</f>
        <v>2689975.8002436012</v>
      </c>
      <c r="AM160" s="14">
        <f>SUM(AE$5:AE160)</f>
        <v>2715602.1607374926</v>
      </c>
      <c r="AR160" s="14">
        <v>156</v>
      </c>
      <c r="AS160" s="27">
        <f t="shared" si="52"/>
        <v>0.11200000000000002</v>
      </c>
      <c r="AT160" s="14">
        <f>求节点(E$28:E$32,$N$28:$N$32,$AR160)*$AS160*其他调用!V159/$E$4</f>
        <v>8567.9059323351576</v>
      </c>
      <c r="AU160" s="14">
        <f>求节点(F$28:F$32,$N$28:$N$32,$AR160)*$AS160*其他调用!W159/$E$4</f>
        <v>20964.074880558936</v>
      </c>
      <c r="AV160" s="14">
        <f>求节点(G$28:G$32,$N$28:$N$32,$AR160)*$AS160*其他调用!X159/$E$4</f>
        <v>29351.534926940745</v>
      </c>
      <c r="AW160" s="14">
        <f>求节点(H$28:H$32,$N$28:$N$32,$AR160)*$AS160*其他调用!Y159/$E$4</f>
        <v>33222.067005218618</v>
      </c>
      <c r="AX160" s="14">
        <f>求节点(I$28:I$32,$N$28:$N$32,$AR160)*$AS160*其他调用!Z159/$E$4</f>
        <v>33279.620982024971</v>
      </c>
      <c r="BA160" s="14">
        <v>156</v>
      </c>
      <c r="BB160" s="14">
        <f>SUM(AT$5:AT160)</f>
        <v>127634.5460606057</v>
      </c>
      <c r="BC160" s="14">
        <f>SUM(AU$5:AU160)</f>
        <v>186011.14539892395</v>
      </c>
      <c r="BD160" s="14">
        <f>SUM(AV$5:AV160)</f>
        <v>255303.78018751106</v>
      </c>
      <c r="BE160" s="14">
        <f>SUM(AW$5:AW160)</f>
        <v>289148.97512258595</v>
      </c>
      <c r="BF160" s="14">
        <f>SUM(AX$5:AX160)</f>
        <v>290106.18583144643</v>
      </c>
      <c r="BI160" s="14">
        <v>156</v>
      </c>
      <c r="BJ160" s="14">
        <f t="shared" si="53"/>
        <v>2552.6909212121136</v>
      </c>
      <c r="BK160" s="14">
        <f t="shared" si="54"/>
        <v>3720.2229079784784</v>
      </c>
      <c r="BL160" s="14">
        <f t="shared" si="55"/>
        <v>5106.0756037502197</v>
      </c>
      <c r="BM160" s="14">
        <f t="shared" si="56"/>
        <v>5782.9795024517171</v>
      </c>
      <c r="BN160" s="14">
        <f t="shared" si="57"/>
        <v>5802.1237166289275</v>
      </c>
      <c r="BO160" s="14">
        <f t="shared" si="58"/>
        <v>3829.0363818181709</v>
      </c>
      <c r="BP160" s="14">
        <f t="shared" si="59"/>
        <v>5580.3343619677189</v>
      </c>
      <c r="BQ160" s="14">
        <f t="shared" si="60"/>
        <v>7659.1134056253313</v>
      </c>
      <c r="BR160" s="14">
        <f t="shared" si="61"/>
        <v>8674.4692536775783</v>
      </c>
      <c r="BS160" s="14">
        <f t="shared" si="62"/>
        <v>8703.1855749433926</v>
      </c>
      <c r="BT160" s="14">
        <f t="shared" si="63"/>
        <v>0</v>
      </c>
      <c r="BU160" s="14">
        <f t="shared" si="64"/>
        <v>0</v>
      </c>
      <c r="BV160" s="14">
        <f t="shared" si="65"/>
        <v>0</v>
      </c>
      <c r="BW160" s="14">
        <f t="shared" si="66"/>
        <v>0</v>
      </c>
      <c r="BX160" s="14">
        <f t="shared" si="67"/>
        <v>0</v>
      </c>
      <c r="BY160" s="14">
        <f t="shared" si="68"/>
        <v>31908.636515151426</v>
      </c>
      <c r="BZ160" s="14">
        <f t="shared" si="69"/>
        <v>46502.786349730988</v>
      </c>
      <c r="CA160" s="14">
        <f t="shared" si="70"/>
        <v>63825.945046877765</v>
      </c>
      <c r="CB160" s="14">
        <f t="shared" si="71"/>
        <v>72287.243780646488</v>
      </c>
      <c r="CC160" s="14">
        <f t="shared" si="72"/>
        <v>72526.546457861608</v>
      </c>
    </row>
    <row r="161" spans="24:81" x14ac:dyDescent="0.15">
      <c r="X161" s="14">
        <v>157</v>
      </c>
      <c r="Y161" s="30">
        <f t="shared" si="73"/>
        <v>6</v>
      </c>
      <c r="Z161" s="27">
        <f t="shared" si="51"/>
        <v>8.8000000000000009E-2</v>
      </c>
      <c r="AA161" s="14">
        <f>$Y161*$Z161*其他调用!V160</f>
        <v>86581.196816249823</v>
      </c>
      <c r="AB161" s="14">
        <f>$Y161*$Z161*其他调用!W160</f>
        <v>126107.39536279885</v>
      </c>
      <c r="AC161" s="14">
        <f>$Y161*$Z161*其他调用!X160</f>
        <v>172992.99563872922</v>
      </c>
      <c r="AD161" s="14">
        <f>$Y161*$Z161*其他调用!Y160</f>
        <v>195805.25879988042</v>
      </c>
      <c r="AE161" s="14">
        <f>$Y161*$Z161*其他调用!Z160</f>
        <v>187702.15149423142</v>
      </c>
      <c r="AH161" s="14">
        <v>157</v>
      </c>
      <c r="AI161" s="14">
        <f>SUM(AA$5:AA161)</f>
        <v>1258057.6118392101</v>
      </c>
      <c r="AJ161" s="14">
        <f>SUM(AB$5:AB161)</f>
        <v>1839920.9367424566</v>
      </c>
      <c r="AK161" s="14">
        <f>SUM(AC$5:AC161)</f>
        <v>2536210.5593479373</v>
      </c>
      <c r="AL161" s="14">
        <f>SUM(AD$5:AD161)</f>
        <v>2885781.0590434815</v>
      </c>
      <c r="AM161" s="14">
        <f>SUM(AE$5:AE161)</f>
        <v>2903304.3122317242</v>
      </c>
      <c r="AR161" s="14">
        <v>157</v>
      </c>
      <c r="AS161" s="27">
        <f t="shared" si="52"/>
        <v>0.11200000000000002</v>
      </c>
      <c r="AT161" s="14">
        <f>求节点(E$28:E$32,$N$28:$N$32,$AR161)*$AS161*其他调用!V160/$E$4</f>
        <v>9182.8542077840721</v>
      </c>
      <c r="AU161" s="14">
        <f>求节点(F$28:F$32,$N$28:$N$32,$AR161)*$AS161*其他调用!W160/$E$4</f>
        <v>13375.026780902908</v>
      </c>
      <c r="AV161" s="14">
        <f>求节点(G$28:G$32,$N$28:$N$32,$AR161)*$AS161*其他调用!X160/$E$4</f>
        <v>18347.741961683401</v>
      </c>
      <c r="AW161" s="14">
        <f>求节点(H$28:H$32,$N$28:$N$32,$AR161)*$AS161*其他调用!Y160/$E$4</f>
        <v>20767.224418169135</v>
      </c>
      <c r="AX161" s="14">
        <f>求节点(I$28:I$32,$N$28:$N$32,$AR161)*$AS161*其他调用!Z160/$E$4</f>
        <v>19907.803946357879</v>
      </c>
      <c r="BA161" s="14">
        <v>157</v>
      </c>
      <c r="BB161" s="14">
        <f>SUM(AT$5:AT161)</f>
        <v>136817.40026838979</v>
      </c>
      <c r="BC161" s="14">
        <f>SUM(AU$5:AU161)</f>
        <v>199386.17217982686</v>
      </c>
      <c r="BD161" s="14">
        <f>SUM(AV$5:AV161)</f>
        <v>273651.52214919444</v>
      </c>
      <c r="BE161" s="14">
        <f>SUM(AW$5:AW161)</f>
        <v>309916.19954075507</v>
      </c>
      <c r="BF161" s="14">
        <f>SUM(AX$5:AX161)</f>
        <v>310013.98977780429</v>
      </c>
      <c r="BI161" s="14">
        <v>157</v>
      </c>
      <c r="BJ161" s="14">
        <f t="shared" si="53"/>
        <v>2736.3480053677949</v>
      </c>
      <c r="BK161" s="14">
        <f t="shared" si="54"/>
        <v>3987.7234435965365</v>
      </c>
      <c r="BL161" s="14">
        <f t="shared" si="55"/>
        <v>5473.030442983888</v>
      </c>
      <c r="BM161" s="14">
        <f t="shared" si="56"/>
        <v>6198.3239908150999</v>
      </c>
      <c r="BN161" s="14">
        <f t="shared" si="57"/>
        <v>6200.2797955560845</v>
      </c>
      <c r="BO161" s="14">
        <f t="shared" si="58"/>
        <v>4104.5220080516938</v>
      </c>
      <c r="BP161" s="14">
        <f t="shared" si="59"/>
        <v>5981.5851653948057</v>
      </c>
      <c r="BQ161" s="14">
        <f t="shared" si="60"/>
        <v>8209.5456644758342</v>
      </c>
      <c r="BR161" s="14">
        <f t="shared" si="61"/>
        <v>9297.4859862226513</v>
      </c>
      <c r="BS161" s="14">
        <f t="shared" si="62"/>
        <v>9300.4196933341282</v>
      </c>
      <c r="BT161" s="14">
        <f t="shared" si="63"/>
        <v>0</v>
      </c>
      <c r="BU161" s="14">
        <f t="shared" si="64"/>
        <v>0</v>
      </c>
      <c r="BV161" s="14">
        <f t="shared" si="65"/>
        <v>0</v>
      </c>
      <c r="BW161" s="14">
        <f t="shared" si="66"/>
        <v>0</v>
      </c>
      <c r="BX161" s="14">
        <f t="shared" si="67"/>
        <v>0</v>
      </c>
      <c r="BY161" s="14">
        <f t="shared" si="68"/>
        <v>34204.350067097446</v>
      </c>
      <c r="BZ161" s="14">
        <f t="shared" si="69"/>
        <v>49846.543044956714</v>
      </c>
      <c r="CA161" s="14">
        <f t="shared" si="70"/>
        <v>68412.88053729861</v>
      </c>
      <c r="CB161" s="14">
        <f t="shared" si="71"/>
        <v>77479.049885188768</v>
      </c>
      <c r="CC161" s="14">
        <f t="shared" si="72"/>
        <v>77503.497444451074</v>
      </c>
    </row>
    <row r="162" spans="24:81" x14ac:dyDescent="0.15">
      <c r="X162" s="14">
        <v>158</v>
      </c>
      <c r="Y162" s="30">
        <f t="shared" si="73"/>
        <v>6</v>
      </c>
      <c r="Z162" s="27">
        <f t="shared" si="51"/>
        <v>8.8000000000000009E-2</v>
      </c>
      <c r="AA162" s="14">
        <f>$Y162*$Z162*其他调用!V161</f>
        <v>92795.429102291106</v>
      </c>
      <c r="AB162" s="14">
        <f>$Y162*$Z162*其他调用!W161</f>
        <v>135158.55977942384</v>
      </c>
      <c r="AC162" s="14">
        <f>$Y162*$Z162*其他调用!X161</f>
        <v>185409.30193025107</v>
      </c>
      <c r="AD162" s="14">
        <f>$Y162*$Z162*其他调用!Y161</f>
        <v>209858.88020676811</v>
      </c>
      <c r="AE162" s="14">
        <f>$Y162*$Z162*其他调用!Z161</f>
        <v>209858.88020676811</v>
      </c>
      <c r="AH162" s="14">
        <v>158</v>
      </c>
      <c r="AI162" s="14">
        <f>SUM(AA$5:AA162)</f>
        <v>1350853.0409415013</v>
      </c>
      <c r="AJ162" s="14">
        <f>SUM(AB$5:AB162)</f>
        <v>1975079.4965218804</v>
      </c>
      <c r="AK162" s="14">
        <f>SUM(AC$5:AC162)</f>
        <v>2721619.8612781884</v>
      </c>
      <c r="AL162" s="14">
        <f>SUM(AD$5:AD162)</f>
        <v>3095639.9392502494</v>
      </c>
      <c r="AM162" s="14">
        <f>SUM(AE$5:AE162)</f>
        <v>3113163.1924384921</v>
      </c>
      <c r="AR162" s="14">
        <v>158</v>
      </c>
      <c r="AS162" s="27">
        <f t="shared" si="52"/>
        <v>0.11200000000000002</v>
      </c>
      <c r="AT162" s="14">
        <f>求节点(E$28:E$32,$N$28:$N$32,$AR162)*$AS162*其他调用!V161/$E$4</f>
        <v>9841.9394502429968</v>
      </c>
      <c r="AU162" s="14">
        <f>求节点(F$28:F$32,$N$28:$N$32,$AR162)*$AS162*其他调用!W161/$E$4</f>
        <v>14334.998764484348</v>
      </c>
      <c r="AV162" s="14">
        <f>求节点(G$28:G$32,$N$28:$N$32,$AR162)*$AS162*其他调用!X161/$E$4</f>
        <v>19664.622931996328</v>
      </c>
      <c r="AW162" s="14">
        <f>求节点(H$28:H$32,$N$28:$N$32,$AR162)*$AS162*其他调用!Y161/$E$4</f>
        <v>22257.760021929953</v>
      </c>
      <c r="AX162" s="14">
        <f>求节点(I$28:I$32,$N$28:$N$32,$AR162)*$AS162*其他调用!Z161/$E$4</f>
        <v>22257.760021929953</v>
      </c>
      <c r="BA162" s="14">
        <v>158</v>
      </c>
      <c r="BB162" s="14">
        <f>SUM(AT$5:AT162)</f>
        <v>146659.33971863278</v>
      </c>
      <c r="BC162" s="14">
        <f>SUM(AU$5:AU162)</f>
        <v>213721.17094431119</v>
      </c>
      <c r="BD162" s="14">
        <f>SUM(AV$5:AV162)</f>
        <v>293316.14508119074</v>
      </c>
      <c r="BE162" s="14">
        <f>SUM(AW$5:AW162)</f>
        <v>332173.95956268505</v>
      </c>
      <c r="BF162" s="14">
        <f>SUM(AX$5:AX162)</f>
        <v>332271.74979973427</v>
      </c>
      <c r="BI162" s="14">
        <v>158</v>
      </c>
      <c r="BJ162" s="14">
        <f t="shared" si="53"/>
        <v>2933.1867943726547</v>
      </c>
      <c r="BK162" s="14">
        <f t="shared" si="54"/>
        <v>4274.4234188862229</v>
      </c>
      <c r="BL162" s="14">
        <f t="shared" si="55"/>
        <v>5866.3229016238129</v>
      </c>
      <c r="BM162" s="14">
        <f t="shared" si="56"/>
        <v>6643.4791912536994</v>
      </c>
      <c r="BN162" s="14">
        <f t="shared" si="57"/>
        <v>6645.434995994683</v>
      </c>
      <c r="BO162" s="14">
        <f t="shared" si="58"/>
        <v>4399.7801915589826</v>
      </c>
      <c r="BP162" s="14">
        <f t="shared" si="59"/>
        <v>6411.6351283293352</v>
      </c>
      <c r="BQ162" s="14">
        <f t="shared" si="60"/>
        <v>8799.484352435722</v>
      </c>
      <c r="BR162" s="14">
        <f t="shared" si="61"/>
        <v>9965.2187868805522</v>
      </c>
      <c r="BS162" s="14">
        <f t="shared" si="62"/>
        <v>9968.1524939920273</v>
      </c>
      <c r="BT162" s="14">
        <f t="shared" si="63"/>
        <v>0</v>
      </c>
      <c r="BU162" s="14">
        <f t="shared" si="64"/>
        <v>0</v>
      </c>
      <c r="BV162" s="14">
        <f t="shared" si="65"/>
        <v>0</v>
      </c>
      <c r="BW162" s="14">
        <f t="shared" si="66"/>
        <v>0</v>
      </c>
      <c r="BX162" s="14">
        <f t="shared" si="67"/>
        <v>0</v>
      </c>
      <c r="BY162" s="14">
        <f t="shared" si="68"/>
        <v>36664.834929658195</v>
      </c>
      <c r="BZ162" s="14">
        <f t="shared" si="69"/>
        <v>53430.292736077798</v>
      </c>
      <c r="CA162" s="14">
        <f t="shared" si="70"/>
        <v>73329.036270297685</v>
      </c>
      <c r="CB162" s="14">
        <f t="shared" si="71"/>
        <v>83043.489890671262</v>
      </c>
      <c r="CC162" s="14">
        <f t="shared" si="72"/>
        <v>83067.937449933554</v>
      </c>
    </row>
    <row r="163" spans="24:81" x14ac:dyDescent="0.15">
      <c r="X163" s="14">
        <v>159</v>
      </c>
      <c r="Y163" s="30">
        <f t="shared" si="73"/>
        <v>6</v>
      </c>
      <c r="Z163" s="27">
        <f t="shared" si="51"/>
        <v>8.8000000000000009E-2</v>
      </c>
      <c r="AA163" s="14">
        <f>$Y163*$Z163*其他调用!V162</f>
        <v>99455.678356503573</v>
      </c>
      <c r="AB163" s="14">
        <f>$Y163*$Z163*其他调用!W162</f>
        <v>144859.35760621179</v>
      </c>
      <c r="AC163" s="14">
        <f>$Y163*$Z163*其他调用!X162</f>
        <v>198716.76951622273</v>
      </c>
      <c r="AD163" s="14">
        <f>$Y163*$Z163*其他调用!Y162</f>
        <v>224921.17868319692</v>
      </c>
      <c r="AE163" s="14">
        <f>$Y163*$Z163*其他调用!Z162</f>
        <v>224921.17868319692</v>
      </c>
      <c r="AH163" s="14">
        <v>159</v>
      </c>
      <c r="AI163" s="14">
        <f>SUM(AA$5:AA163)</f>
        <v>1450308.7192980049</v>
      </c>
      <c r="AJ163" s="14">
        <f>SUM(AB$5:AB163)</f>
        <v>2119938.8541280921</v>
      </c>
      <c r="AK163" s="14">
        <f>SUM(AC$5:AC163)</f>
        <v>2920336.6307944111</v>
      </c>
      <c r="AL163" s="14">
        <f>SUM(AD$5:AD163)</f>
        <v>3320561.1179334465</v>
      </c>
      <c r="AM163" s="14">
        <f>SUM(AE$5:AE163)</f>
        <v>3338084.3711216892</v>
      </c>
      <c r="AR163" s="14">
        <v>159</v>
      </c>
      <c r="AS163" s="27">
        <f t="shared" si="52"/>
        <v>0.11200000000000002</v>
      </c>
      <c r="AT163" s="14">
        <f>求节点(E$28:E$32,$N$28:$N$32,$AR163)*$AS163*其他调用!V162/$E$4</f>
        <v>10548.329522659471</v>
      </c>
      <c r="AU163" s="14">
        <f>求节点(F$28:F$32,$N$28:$N$32,$AR163)*$AS163*其他调用!W162/$E$4</f>
        <v>15363.871261264889</v>
      </c>
      <c r="AV163" s="14">
        <f>求节点(G$28:G$32,$N$28:$N$32,$AR163)*$AS163*其他调用!X162/$E$4</f>
        <v>21076.021009296353</v>
      </c>
      <c r="AW163" s="14">
        <f>求节点(H$28:H$32,$N$28:$N$32,$AR163)*$AS163*其他调用!Y162/$E$4</f>
        <v>23855.276527005735</v>
      </c>
      <c r="AX163" s="14">
        <f>求节点(I$28:I$32,$N$28:$N$32,$AR163)*$AS163*其他调用!Z162/$E$4</f>
        <v>23855.276527005735</v>
      </c>
      <c r="BA163" s="14">
        <v>159</v>
      </c>
      <c r="BB163" s="14">
        <f>SUM(AT$5:AT163)</f>
        <v>157207.66924129226</v>
      </c>
      <c r="BC163" s="14">
        <f>SUM(AU$5:AU163)</f>
        <v>229085.04220557609</v>
      </c>
      <c r="BD163" s="14">
        <f>SUM(AV$5:AV163)</f>
        <v>314392.1660904871</v>
      </c>
      <c r="BE163" s="14">
        <f>SUM(AW$5:AW163)</f>
        <v>356029.23608969076</v>
      </c>
      <c r="BF163" s="14">
        <f>SUM(AX$5:AX163)</f>
        <v>356127.02632673999</v>
      </c>
      <c r="BI163" s="14">
        <v>159</v>
      </c>
      <c r="BJ163" s="14">
        <f t="shared" si="53"/>
        <v>3144.1533848258446</v>
      </c>
      <c r="BK163" s="14">
        <f t="shared" si="54"/>
        <v>4581.7008441115204</v>
      </c>
      <c r="BL163" s="14">
        <f t="shared" si="55"/>
        <v>6287.8433218097398</v>
      </c>
      <c r="BM163" s="14">
        <f t="shared" si="56"/>
        <v>7120.5847217938135</v>
      </c>
      <c r="BN163" s="14">
        <f t="shared" si="57"/>
        <v>7122.540526534799</v>
      </c>
      <c r="BO163" s="14">
        <f t="shared" si="58"/>
        <v>4716.2300772387671</v>
      </c>
      <c r="BP163" s="14">
        <f t="shared" si="59"/>
        <v>6872.5512661672819</v>
      </c>
      <c r="BQ163" s="14">
        <f t="shared" si="60"/>
        <v>9431.7649827146124</v>
      </c>
      <c r="BR163" s="14">
        <f t="shared" si="61"/>
        <v>10680.877082690724</v>
      </c>
      <c r="BS163" s="14">
        <f t="shared" si="62"/>
        <v>10683.810789802199</v>
      </c>
      <c r="BT163" s="14">
        <f t="shared" si="63"/>
        <v>0</v>
      </c>
      <c r="BU163" s="14">
        <f t="shared" si="64"/>
        <v>0</v>
      </c>
      <c r="BV163" s="14">
        <f t="shared" si="65"/>
        <v>0</v>
      </c>
      <c r="BW163" s="14">
        <f t="shared" si="66"/>
        <v>0</v>
      </c>
      <c r="BX163" s="14">
        <f t="shared" si="67"/>
        <v>0</v>
      </c>
      <c r="BY163" s="14">
        <f t="shared" si="68"/>
        <v>39301.917310323064</v>
      </c>
      <c r="BZ163" s="14">
        <f t="shared" si="69"/>
        <v>57271.260551394022</v>
      </c>
      <c r="CA163" s="14">
        <f t="shared" si="70"/>
        <v>78598.041522621774</v>
      </c>
      <c r="CB163" s="14">
        <f t="shared" si="71"/>
        <v>89007.309022422691</v>
      </c>
      <c r="CC163" s="14">
        <f t="shared" si="72"/>
        <v>89031.756581685011</v>
      </c>
    </row>
    <row r="164" spans="24:81" x14ac:dyDescent="0.15">
      <c r="X164" s="14">
        <v>160</v>
      </c>
      <c r="Y164" s="30">
        <f t="shared" si="73"/>
        <v>6</v>
      </c>
      <c r="Z164" s="27">
        <f t="shared" si="51"/>
        <v>8.8000000000000009E-2</v>
      </c>
      <c r="AA164" s="14">
        <f>$Y164*$Z164*其他调用!V163</f>
        <v>106593.95676104361</v>
      </c>
      <c r="AB164" s="14">
        <f>$Y164*$Z164*其他调用!W163</f>
        <v>155256.41528238967</v>
      </c>
      <c r="AC164" s="14">
        <f>$Y164*$Z164*其他调用!X163</f>
        <v>212979.36012842486</v>
      </c>
      <c r="AD164" s="14">
        <f>$Y164*$Z164*其他调用!Y163</f>
        <v>241064.55047503041</v>
      </c>
      <c r="AE164" s="14">
        <f>$Y164*$Z164*其他调用!Z163</f>
        <v>241064.55047503041</v>
      </c>
      <c r="AH164" s="14">
        <v>160</v>
      </c>
      <c r="AI164" s="14">
        <f>SUM(AA$5:AA164)</f>
        <v>1556902.6760590484</v>
      </c>
      <c r="AJ164" s="14">
        <f>SUM(AB$5:AB164)</f>
        <v>2275195.2694104817</v>
      </c>
      <c r="AK164" s="14">
        <f>SUM(AC$5:AC164)</f>
        <v>3133315.9909228361</v>
      </c>
      <c r="AL164" s="14">
        <f>SUM(AD$5:AD164)</f>
        <v>3561625.6684084767</v>
      </c>
      <c r="AM164" s="14">
        <f>SUM(AE$5:AE164)</f>
        <v>3579148.9215967194</v>
      </c>
      <c r="AR164" s="14">
        <v>160</v>
      </c>
      <c r="AS164" s="27">
        <f t="shared" si="52"/>
        <v>0.11200000000000002</v>
      </c>
      <c r="AT164" s="14">
        <f>求节点(E$28:E$32,$N$28:$N$32,$AR164)*$AS164*其他调用!V163/$E$4</f>
        <v>11305.419656474323</v>
      </c>
      <c r="AU164" s="14">
        <f>求节点(F$28:F$32,$N$28:$N$32,$AR164)*$AS164*其他调用!W163/$E$4</f>
        <v>16466.589499647391</v>
      </c>
      <c r="AV164" s="14">
        <f>求节点(G$28:G$32,$N$28:$N$32,$AR164)*$AS164*其他调用!X163/$E$4</f>
        <v>22588.720013620819</v>
      </c>
      <c r="AW164" s="14">
        <f>求节点(H$28:H$32,$N$28:$N$32,$AR164)*$AS164*其他调用!Y163/$E$4</f>
        <v>25567.452323109286</v>
      </c>
      <c r="AX164" s="14">
        <f>求节点(I$28:I$32,$N$28:$N$32,$AR164)*$AS164*其他调用!Z163/$E$4</f>
        <v>25567.452323109286</v>
      </c>
      <c r="BA164" s="14">
        <v>160</v>
      </c>
      <c r="BB164" s="14">
        <f>SUM(AT$5:AT164)</f>
        <v>168513.08889776657</v>
      </c>
      <c r="BC164" s="14">
        <f>SUM(AU$5:AU164)</f>
        <v>245551.63170522347</v>
      </c>
      <c r="BD164" s="14">
        <f>SUM(AV$5:AV164)</f>
        <v>336980.88610410789</v>
      </c>
      <c r="BE164" s="14">
        <f>SUM(AW$5:AW164)</f>
        <v>381596.68841280002</v>
      </c>
      <c r="BF164" s="14">
        <f>SUM(AX$5:AX164)</f>
        <v>381694.47864984925</v>
      </c>
      <c r="BI164" s="14">
        <v>160</v>
      </c>
      <c r="BJ164" s="14">
        <f t="shared" si="53"/>
        <v>3370.2617779553307</v>
      </c>
      <c r="BK164" s="14">
        <f t="shared" si="54"/>
        <v>4911.0326341044683</v>
      </c>
      <c r="BL164" s="14">
        <f t="shared" si="55"/>
        <v>6739.6177220821573</v>
      </c>
      <c r="BM164" s="14">
        <f t="shared" si="56"/>
        <v>7631.9337682559981</v>
      </c>
      <c r="BN164" s="14">
        <f t="shared" si="57"/>
        <v>7633.8895729969836</v>
      </c>
      <c r="BO164" s="14">
        <f t="shared" si="58"/>
        <v>5055.3926669329976</v>
      </c>
      <c r="BP164" s="14">
        <f t="shared" si="59"/>
        <v>7366.5489511567039</v>
      </c>
      <c r="BQ164" s="14">
        <f t="shared" si="60"/>
        <v>10109.426583123237</v>
      </c>
      <c r="BR164" s="14">
        <f t="shared" si="61"/>
        <v>11447.900652384</v>
      </c>
      <c r="BS164" s="14">
        <f t="shared" si="62"/>
        <v>11450.834359495477</v>
      </c>
      <c r="BT164" s="14">
        <f t="shared" si="63"/>
        <v>0</v>
      </c>
      <c r="BU164" s="14">
        <f t="shared" si="64"/>
        <v>0</v>
      </c>
      <c r="BV164" s="14">
        <f t="shared" si="65"/>
        <v>0</v>
      </c>
      <c r="BW164" s="14">
        <f t="shared" si="66"/>
        <v>0</v>
      </c>
      <c r="BX164" s="14">
        <f t="shared" si="67"/>
        <v>0</v>
      </c>
      <c r="BY164" s="14">
        <f t="shared" si="68"/>
        <v>42128.272224441644</v>
      </c>
      <c r="BZ164" s="14">
        <f t="shared" si="69"/>
        <v>61387.907926305867</v>
      </c>
      <c r="CA164" s="14">
        <f t="shared" si="70"/>
        <v>84245.221526026988</v>
      </c>
      <c r="CB164" s="14">
        <f t="shared" si="71"/>
        <v>95399.172103199991</v>
      </c>
      <c r="CC164" s="14">
        <f t="shared" si="72"/>
        <v>95423.619662462312</v>
      </c>
    </row>
  </sheetData>
  <mergeCells count="24">
    <mergeCell ref="BY3:CC3"/>
    <mergeCell ref="C16:C17"/>
    <mergeCell ref="H16:J16"/>
    <mergeCell ref="D17:E17"/>
    <mergeCell ref="BB3:BF3"/>
    <mergeCell ref="BI3:BI4"/>
    <mergeCell ref="AR3:AR4"/>
    <mergeCell ref="AS3:AS4"/>
    <mergeCell ref="AT3:AX3"/>
    <mergeCell ref="BA3:BA4"/>
    <mergeCell ref="D39:E39"/>
    <mergeCell ref="BT3:BX3"/>
    <mergeCell ref="X3:X4"/>
    <mergeCell ref="Y3:Y4"/>
    <mergeCell ref="Z3:Z4"/>
    <mergeCell ref="AA3:AE3"/>
    <mergeCell ref="AH3:AH4"/>
    <mergeCell ref="AI3:AM3"/>
    <mergeCell ref="D18:E18"/>
    <mergeCell ref="E26:I26"/>
    <mergeCell ref="J26:L26"/>
    <mergeCell ref="M26:O26"/>
    <mergeCell ref="BJ3:BN3"/>
    <mergeCell ref="BO3:BS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AC865-3E34-41DE-8A8D-B34FC7C6BF26}">
  <sheetPr codeName="Sheet6"/>
  <dimension ref="C1:BJ98"/>
  <sheetViews>
    <sheetView zoomScaleNormal="100" workbookViewId="0">
      <selection activeCell="Z12" sqref="M12:Z12"/>
    </sheetView>
  </sheetViews>
  <sheetFormatPr defaultRowHeight="11.25" x14ac:dyDescent="0.15"/>
  <cols>
    <col min="1" max="1" width="9" style="5"/>
    <col min="2" max="2" width="9" style="5" customWidth="1"/>
    <col min="3" max="3" width="13.875" style="5" bestFit="1" customWidth="1"/>
    <col min="4" max="4" width="9" style="5" customWidth="1"/>
    <col min="5" max="7" width="9" style="5"/>
    <col min="8" max="8" width="10.5" style="5" bestFit="1" customWidth="1"/>
    <col min="9" max="14" width="9" style="5"/>
    <col min="15" max="15" width="13.875" style="5" bestFit="1" customWidth="1"/>
    <col min="16" max="34" width="9" style="5" customWidth="1"/>
    <col min="35" max="35" width="13.875" style="5" bestFit="1" customWidth="1"/>
    <col min="36" max="36" width="13.875" style="5" customWidth="1"/>
    <col min="37" max="38" width="23.875" style="5" bestFit="1" customWidth="1"/>
    <col min="39" max="39" width="20.5" style="5" bestFit="1" customWidth="1"/>
    <col min="40" max="41" width="9.75" style="5" bestFit="1" customWidth="1"/>
    <col min="42" max="42" width="9" style="5" customWidth="1"/>
    <col min="43" max="43" width="17.25" style="5" bestFit="1" customWidth="1"/>
    <col min="44" max="44" width="17.25" style="5" customWidth="1"/>
    <col min="45" max="45" width="13.875" style="5" bestFit="1" customWidth="1"/>
    <col min="46" max="46" width="17.25" style="5" bestFit="1" customWidth="1"/>
    <col min="47" max="51" width="9" style="5"/>
    <col min="52" max="52" width="4.5" style="11" customWidth="1"/>
    <col min="53" max="53" width="9" style="5"/>
    <col min="54" max="54" width="10.5" style="5" bestFit="1" customWidth="1"/>
    <col min="55" max="55" width="10.5" style="5" customWidth="1"/>
    <col min="56" max="16384" width="9" style="5"/>
  </cols>
  <sheetData>
    <row r="1" spans="3:62" x14ac:dyDescent="0.15">
      <c r="O1" s="5" t="s">
        <v>236</v>
      </c>
      <c r="P1" s="5" t="s">
        <v>201</v>
      </c>
      <c r="Q1" s="5" t="s">
        <v>237</v>
      </c>
      <c r="BA1" s="5" t="s">
        <v>216</v>
      </c>
    </row>
    <row r="2" spans="3:62" x14ac:dyDescent="0.15">
      <c r="M2" s="21"/>
      <c r="N2" s="21" t="s">
        <v>224</v>
      </c>
      <c r="O2" s="20">
        <v>0.1</v>
      </c>
      <c r="P2" s="20">
        <v>0.2</v>
      </c>
      <c r="Q2" s="20">
        <v>0.1</v>
      </c>
      <c r="T2" s="20"/>
      <c r="U2" s="20"/>
      <c r="V2" s="20"/>
      <c r="W2" s="20"/>
      <c r="X2" s="20"/>
      <c r="Y2" s="21"/>
      <c r="Z2" s="21"/>
      <c r="AA2" s="21"/>
      <c r="AB2" s="21"/>
      <c r="AC2" s="21"/>
      <c r="AD2" s="21"/>
      <c r="AE2" s="21"/>
      <c r="AF2" s="21"/>
      <c r="AG2" s="21"/>
      <c r="AH2" s="21"/>
      <c r="AJ2" s="20"/>
      <c r="AK2" s="21"/>
      <c r="AL2" s="21"/>
      <c r="AM2" s="21"/>
      <c r="AN2" s="21"/>
      <c r="AO2" s="21"/>
      <c r="AP2" s="21"/>
      <c r="AS2" s="20"/>
      <c r="AT2" s="21"/>
    </row>
    <row r="4" spans="3:62" x14ac:dyDescent="0.15">
      <c r="BD4" s="16"/>
      <c r="BE4" s="16"/>
      <c r="BF4" s="16"/>
      <c r="BG4" s="16"/>
      <c r="BH4" s="16"/>
    </row>
    <row r="5" spans="3:62" x14ac:dyDescent="0.15">
      <c r="P5" s="53" t="s">
        <v>336</v>
      </c>
      <c r="Q5" s="53"/>
      <c r="R5" s="53" t="s">
        <v>231</v>
      </c>
      <c r="S5" s="53"/>
      <c r="T5" s="53"/>
      <c r="U5" s="53"/>
      <c r="V5" s="53" t="s">
        <v>239</v>
      </c>
      <c r="W5" s="53"/>
      <c r="X5" s="53"/>
      <c r="Y5" s="53"/>
      <c r="Z5" s="53" t="s">
        <v>240</v>
      </c>
      <c r="AA5" s="53"/>
      <c r="AB5" s="53"/>
      <c r="AC5" s="53"/>
      <c r="AD5" s="53" t="s">
        <v>238</v>
      </c>
      <c r="AE5" s="53"/>
      <c r="AF5" s="53"/>
      <c r="AG5" s="53"/>
      <c r="AJ5" s="53" t="s">
        <v>296</v>
      </c>
      <c r="AK5" s="53"/>
      <c r="AL5" s="53"/>
      <c r="AM5" s="53"/>
      <c r="BD5" s="52" t="s">
        <v>217</v>
      </c>
      <c r="BE5" s="52"/>
      <c r="BF5" s="52"/>
      <c r="BG5" s="52"/>
      <c r="BH5" s="52"/>
    </row>
    <row r="6" spans="3:62" x14ac:dyDescent="0.15">
      <c r="C6" s="8" t="s">
        <v>195</v>
      </c>
      <c r="D6" s="8" t="s">
        <v>0</v>
      </c>
      <c r="E6" s="8" t="s">
        <v>1</v>
      </c>
      <c r="F6" s="8" t="s">
        <v>2</v>
      </c>
      <c r="G6" s="8" t="s">
        <v>3</v>
      </c>
      <c r="L6" s="5" t="s">
        <v>127</v>
      </c>
      <c r="M6" s="8" t="s">
        <v>141</v>
      </c>
      <c r="N6" s="8" t="s">
        <v>132</v>
      </c>
      <c r="O6" s="8" t="s">
        <v>225</v>
      </c>
      <c r="P6" s="8" t="s">
        <v>328</v>
      </c>
      <c r="Q6" s="8" t="s">
        <v>339</v>
      </c>
      <c r="R6" s="8" t="s">
        <v>227</v>
      </c>
      <c r="S6" s="8" t="s">
        <v>228</v>
      </c>
      <c r="T6" s="8" t="s">
        <v>229</v>
      </c>
      <c r="U6" s="8" t="s">
        <v>230</v>
      </c>
      <c r="V6" s="8" t="s">
        <v>227</v>
      </c>
      <c r="W6" s="8" t="s">
        <v>228</v>
      </c>
      <c r="X6" s="8" t="s">
        <v>229</v>
      </c>
      <c r="Y6" s="8" t="s">
        <v>230</v>
      </c>
      <c r="Z6" s="8" t="s">
        <v>227</v>
      </c>
      <c r="AA6" s="8" t="s">
        <v>228</v>
      </c>
      <c r="AB6" s="8" t="s">
        <v>229</v>
      </c>
      <c r="AC6" s="8" t="s">
        <v>230</v>
      </c>
      <c r="AD6" s="8" t="s">
        <v>227</v>
      </c>
      <c r="AE6" s="8" t="s">
        <v>228</v>
      </c>
      <c r="AF6" s="8" t="s">
        <v>229</v>
      </c>
      <c r="AG6" s="8" t="s">
        <v>230</v>
      </c>
      <c r="AH6" s="8"/>
      <c r="AI6" s="8" t="s">
        <v>226</v>
      </c>
      <c r="AJ6" s="8" t="s">
        <v>285</v>
      </c>
      <c r="AK6" s="8" t="s">
        <v>293</v>
      </c>
      <c r="AL6" s="8" t="s">
        <v>294</v>
      </c>
      <c r="AM6" s="8" t="s">
        <v>295</v>
      </c>
      <c r="AN6" s="8" t="s">
        <v>302</v>
      </c>
      <c r="AO6" s="8" t="s">
        <v>303</v>
      </c>
      <c r="AP6" s="8"/>
      <c r="AQ6" s="8" t="s">
        <v>234</v>
      </c>
      <c r="AR6" s="8" t="s">
        <v>344</v>
      </c>
      <c r="AS6" s="8" t="s">
        <v>235</v>
      </c>
      <c r="AT6" s="8"/>
      <c r="BB6" s="5" t="s">
        <v>196</v>
      </c>
      <c r="BC6" s="5" t="s">
        <v>218</v>
      </c>
      <c r="BD6" s="5" t="s">
        <v>127</v>
      </c>
      <c r="BE6" s="5" t="s">
        <v>128</v>
      </c>
      <c r="BF6" s="5" t="s">
        <v>129</v>
      </c>
      <c r="BG6" s="5" t="s">
        <v>130</v>
      </c>
      <c r="BH6" s="5" t="s">
        <v>131</v>
      </c>
    </row>
    <row r="7" spans="3:62" x14ac:dyDescent="0.15">
      <c r="C7" s="8" t="s">
        <v>144</v>
      </c>
      <c r="D7" s="8">
        <v>100</v>
      </c>
      <c r="E7" s="8">
        <v>500</v>
      </c>
      <c r="F7" s="8">
        <v>2500</v>
      </c>
      <c r="G7" s="8">
        <v>25000</v>
      </c>
      <c r="M7" s="8">
        <v>10</v>
      </c>
      <c r="N7" s="8">
        <f>求节点(节奏总纲!$O$4:$O$163,节奏总纲!$P$4:$P$163,$M7)</f>
        <v>1</v>
      </c>
      <c r="O7" s="8">
        <f>IF(M7&lt;=节奏预期!$B$1,0,INDEX(其他调用!$C$4:$C$163,$M7)*O$2-INDEX(其他调用!$C$4:$C$163,节奏预期!$B$1)*O$2)</f>
        <v>0</v>
      </c>
      <c r="P7" s="8">
        <v>1</v>
      </c>
      <c r="Q7" s="8">
        <f>1-P7</f>
        <v>0</v>
      </c>
      <c r="R7" s="8">
        <f>$P7*$O7*D$27/SUM($D$27:$G$27)+$Q7*$O7*D$35/SUM($D$35:$G$35)</f>
        <v>0</v>
      </c>
      <c r="S7" s="8">
        <f t="shared" ref="S7:U7" si="0">$P7*$O7*E$27/SUM($D$27:$G$27)+$Q7*$O7*E$35/SUM($D$35:$G$35)</f>
        <v>0</v>
      </c>
      <c r="T7" s="8">
        <f t="shared" si="0"/>
        <v>0</v>
      </c>
      <c r="U7" s="8">
        <f t="shared" si="0"/>
        <v>0</v>
      </c>
      <c r="V7" s="8">
        <f>R7/D$7</f>
        <v>0</v>
      </c>
      <c r="W7" s="8">
        <f>S7/E$7</f>
        <v>0</v>
      </c>
      <c r="X7" s="8">
        <f>T7/F$7</f>
        <v>0</v>
      </c>
      <c r="Y7" s="8">
        <f>U7/G$7</f>
        <v>0</v>
      </c>
      <c r="Z7" s="8">
        <f>求节点(精英野怪!$BI$5:$BI$164,精英野怪!BJ$5:BJ$164,M7)</f>
        <v>0</v>
      </c>
      <c r="AA7" s="8">
        <f>求节点(精英野怪!$BI$5:$BI$164,精英野怪!BO$5:BO$164,M7)</f>
        <v>0</v>
      </c>
      <c r="AB7" s="8">
        <f>求节点(精英野怪!$BI$5:$BI$164,精英野怪!BT$5:BT$164,M7)</f>
        <v>0</v>
      </c>
      <c r="AC7" s="8">
        <v>0</v>
      </c>
      <c r="AD7" s="8">
        <f>V7+Z7</f>
        <v>0</v>
      </c>
      <c r="AE7" s="8">
        <f t="shared" ref="AE7:AG7" si="1">W7+AA7</f>
        <v>0</v>
      </c>
      <c r="AF7" s="8">
        <f t="shared" si="1"/>
        <v>0</v>
      </c>
      <c r="AG7" s="8">
        <f t="shared" si="1"/>
        <v>0</v>
      </c>
      <c r="AH7" s="8"/>
      <c r="AI7" s="8">
        <f>IF(M7&lt;=节奏预期!$B$1,0,INDEX(其他调用!$C$4:$C$163,$M7)*P$2-INDEX(其他调用!$C$4:$C$163,节奏预期!$B$1)*P$2)</f>
        <v>0</v>
      </c>
      <c r="AJ7" s="8">
        <f>求节点(阵旗升级!$Z$5:$Z$164,阵旗升级!$AA$5:$AA$164,M7)</f>
        <v>11</v>
      </c>
      <c r="AK7" s="8">
        <f>IF(M7=10,AI7/AJ7,(AI7-AI6)/AJ7+AK6)</f>
        <v>0</v>
      </c>
      <c r="AL7" s="8">
        <f>求节点(精英野怪!$AH$5:$AH$164,精英野怪!AI$5:AI$164,M7)</f>
        <v>0</v>
      </c>
      <c r="AM7" s="8">
        <f>AK7+AL7</f>
        <v>0</v>
      </c>
      <c r="AN7" s="8" t="e">
        <f>AK7/$AM7</f>
        <v>#DIV/0!</v>
      </c>
      <c r="AO7" s="8" t="e">
        <f>AL7/$AM7</f>
        <v>#DIV/0!</v>
      </c>
      <c r="AP7" s="8"/>
      <c r="AQ7" s="8">
        <f>IF(M7&lt;=节奏预期!$B$1,0,INDEX(其他调用!$C$4:$C$163,$M7)*Q$2-INDEX(其他调用!$C$4:$C$163,节奏预期!$B$1)*Q$2)</f>
        <v>0</v>
      </c>
      <c r="AR7" s="8">
        <f>求节点(精英野怪!$BI$5:$BI$164,精英野怪!$BY$5:$BY$164,$M7)</f>
        <v>0</v>
      </c>
      <c r="AS7" s="8">
        <f>AQ7/$D$16+AR7</f>
        <v>0</v>
      </c>
      <c r="AT7" s="8"/>
      <c r="BB7" s="5" t="s">
        <v>197</v>
      </c>
      <c r="BC7" s="5">
        <f>G7</f>
        <v>25000</v>
      </c>
      <c r="BD7" s="5">
        <v>0.04</v>
      </c>
      <c r="BE7" s="5">
        <v>0.16</v>
      </c>
      <c r="BF7" s="5">
        <v>0.8</v>
      </c>
      <c r="BG7" s="5">
        <v>2.4</v>
      </c>
      <c r="BH7" s="5">
        <v>4</v>
      </c>
      <c r="BI7" s="5">
        <f>BC7*BH7</f>
        <v>100000</v>
      </c>
      <c r="BJ7" s="5">
        <f>BI7/SUM($BI$7:$BI$10)</f>
        <v>0.64308681672025725</v>
      </c>
    </row>
    <row r="8" spans="3:62" x14ac:dyDescent="0.15">
      <c r="C8" s="8" t="s">
        <v>321</v>
      </c>
      <c r="D8" s="8">
        <v>100</v>
      </c>
      <c r="E8" s="8">
        <v>750</v>
      </c>
      <c r="F8" s="8">
        <v>4000</v>
      </c>
      <c r="G8" s="8">
        <v>25000</v>
      </c>
      <c r="M8" s="8">
        <v>20</v>
      </c>
      <c r="N8" s="8">
        <f>求节点(节奏总纲!$O$4:$O$163,节奏总纲!$P$4:$P$163,$M8)</f>
        <v>3</v>
      </c>
      <c r="O8" s="8">
        <f>IF(M8&lt;=节奏预期!$B$1,0,INDEX(其他调用!$C$4:$C$163,$M8)*O$2-INDEX(其他调用!$C$4:$C$163,节奏预期!$B$1)*O$2)</f>
        <v>0</v>
      </c>
      <c r="P8" s="8">
        <v>1</v>
      </c>
      <c r="Q8" s="8">
        <f t="shared" ref="Q8:Q22" si="2">1-P8</f>
        <v>0</v>
      </c>
      <c r="R8" s="8">
        <f>$P8*($O8-$O7)*D$27/SUM($D$27:$G$27)+$Q8*($O8-$O7)*D$35/SUM($D$35:$G$35)+R7</f>
        <v>0</v>
      </c>
      <c r="S8" s="8">
        <f t="shared" ref="S8:U8" si="3">$P8*($O8-$O7)*E$27/SUM($D$27:$G$27)+$Q8*($O8-$O7)*E$35/SUM($D$35:$G$35)+S7</f>
        <v>0</v>
      </c>
      <c r="T8" s="8">
        <f t="shared" si="3"/>
        <v>0</v>
      </c>
      <c r="U8" s="8">
        <f t="shared" si="3"/>
        <v>0</v>
      </c>
      <c r="V8" s="8">
        <f t="shared" ref="V8:V22" si="4">R8/D$7</f>
        <v>0</v>
      </c>
      <c r="W8" s="8">
        <f t="shared" ref="W8:W22" si="5">S8/E$7</f>
        <v>0</v>
      </c>
      <c r="X8" s="8">
        <f t="shared" ref="X8:X22" si="6">T8/F$7</f>
        <v>0</v>
      </c>
      <c r="Y8" s="8">
        <f t="shared" ref="Y8:Y22" si="7">U8/G$7</f>
        <v>0</v>
      </c>
      <c r="Z8" s="8">
        <f>求节点(精英野怪!$BI$5:$BI$164,精英野怪!BJ$5:BJ$164,M8)</f>
        <v>0</v>
      </c>
      <c r="AA8" s="8">
        <f>求节点(精英野怪!$BI$5:$BI$164,精英野怪!BO$5:BO$164,M8)</f>
        <v>0</v>
      </c>
      <c r="AB8" s="8">
        <f>求节点(精英野怪!$BI$5:$BI$164,精英野怪!BT$5:BT$164,M8)</f>
        <v>0</v>
      </c>
      <c r="AC8" s="8">
        <v>0</v>
      </c>
      <c r="AD8" s="8">
        <f t="shared" ref="AD8:AD22" si="8">V8+Z8</f>
        <v>0</v>
      </c>
      <c r="AE8" s="8">
        <f t="shared" ref="AE8:AE22" si="9">W8+AA8</f>
        <v>0</v>
      </c>
      <c r="AF8" s="8">
        <f t="shared" ref="AF8:AF22" si="10">X8+AB8</f>
        <v>0</v>
      </c>
      <c r="AG8" s="8">
        <f t="shared" ref="AG8:AG22" si="11">Y8+AC8</f>
        <v>0</v>
      </c>
      <c r="AH8" s="8"/>
      <c r="AI8" s="8">
        <f>IF(M8&lt;=节奏预期!$B$1,0,INDEX(其他调用!$C$4:$C$163,$M8)*P$2-INDEX(其他调用!$C$4:$C$163,节奏预期!$B$1)*P$2)</f>
        <v>0</v>
      </c>
      <c r="AJ8" s="8">
        <f>求节点(阵旗升级!$Z$5:$Z$164,阵旗升级!$AA$5:$AA$164,M8)</f>
        <v>11</v>
      </c>
      <c r="AK8" s="8">
        <f t="shared" ref="AK8:AK22" si="12">IF(M8=10,AI8/AJ8,(AI8-AI7)/AJ8+AK7)</f>
        <v>0</v>
      </c>
      <c r="AL8" s="8">
        <f>求节点(精英野怪!$AH$5:$AH$164,精英野怪!AI$5:AI$164,M8)</f>
        <v>0</v>
      </c>
      <c r="AM8" s="8">
        <f t="shared" ref="AM8:AM22" si="13">AK8+AL8</f>
        <v>0</v>
      </c>
      <c r="AN8" s="8" t="e">
        <f t="shared" ref="AN8:AN22" si="14">AK8/$AM8</f>
        <v>#DIV/0!</v>
      </c>
      <c r="AO8" s="8" t="e">
        <f t="shared" ref="AO8:AO22" si="15">AL8/$AM8</f>
        <v>#DIV/0!</v>
      </c>
      <c r="AP8" s="8"/>
      <c r="AQ8" s="8">
        <f>IF(M8&lt;=节奏预期!$B$1,0,INDEX(其他调用!$C$4:$C$163,$M8)*Q$2-INDEX(其他调用!$C$4:$C$163,节奏预期!$B$1)*Q$2)</f>
        <v>0</v>
      </c>
      <c r="AR8" s="8">
        <f>求节点(精英野怪!$BI$5:$BI$164,精英野怪!$BY$5:$BY$164,$M8)</f>
        <v>0</v>
      </c>
      <c r="AS8" s="8">
        <f t="shared" ref="AS8:AS22" si="16">AQ8/$D$16+AR8</f>
        <v>0</v>
      </c>
      <c r="AT8" s="8"/>
      <c r="BB8" s="5" t="s">
        <v>198</v>
      </c>
      <c r="BC8" s="5">
        <f>F7</f>
        <v>2500</v>
      </c>
      <c r="BD8" s="5">
        <v>0.1</v>
      </c>
      <c r="BE8" s="5">
        <v>0.4</v>
      </c>
      <c r="BF8" s="5">
        <v>2.25</v>
      </c>
      <c r="BG8" s="5">
        <v>7</v>
      </c>
      <c r="BH8" s="5">
        <v>13</v>
      </c>
      <c r="BI8" s="5">
        <f t="shared" ref="BI8:BI12" si="17">BC8*BH8</f>
        <v>32500</v>
      </c>
      <c r="BJ8" s="5">
        <f t="shared" ref="BJ8:BJ10" si="18">BI8/SUM($BI$7:$BI$10)</f>
        <v>0.20900321543408359</v>
      </c>
    </row>
    <row r="9" spans="3:62" x14ac:dyDescent="0.15">
      <c r="C9" s="8" t="s">
        <v>143</v>
      </c>
      <c r="D9" s="8">
        <v>100</v>
      </c>
      <c r="E9" s="8">
        <v>1000</v>
      </c>
      <c r="F9" s="8">
        <v>5000</v>
      </c>
      <c r="G9" s="8">
        <v>25000</v>
      </c>
      <c r="M9" s="8">
        <v>30</v>
      </c>
      <c r="N9" s="8">
        <f>求节点(节奏总纲!$O$4:$O$163,节奏总纲!$P$4:$P$163,$M9)</f>
        <v>7</v>
      </c>
      <c r="O9" s="8">
        <f>IF(M9&lt;=节奏预期!$B$1,0,INDEX(其他调用!$C$4:$C$163,$M9)*O$2-INDEX(其他调用!$C$4:$C$163,节奏预期!$B$1)*O$2)</f>
        <v>0</v>
      </c>
      <c r="P9" s="8">
        <v>1</v>
      </c>
      <c r="Q9" s="8">
        <f t="shared" si="2"/>
        <v>0</v>
      </c>
      <c r="R9" s="8">
        <f t="shared" ref="R9:R22" si="19">$P9*($O9-$O8)*D$27/SUM($D$27:$G$27)+$Q9*($O9-$O8)*D$35/SUM($D$35:$G$35)+R8</f>
        <v>0</v>
      </c>
      <c r="S9" s="8">
        <f t="shared" ref="S9:S22" si="20">$P9*($O9-$O8)*E$27/SUM($D$27:$G$27)+$Q9*($O9-$O8)*E$35/SUM($D$35:$G$35)+S8</f>
        <v>0</v>
      </c>
      <c r="T9" s="8">
        <f t="shared" ref="T9:T22" si="21">$P9*($O9-$O8)*F$27/SUM($D$27:$G$27)+$Q9*($O9-$O8)*F$35/SUM($D$35:$G$35)+T8</f>
        <v>0</v>
      </c>
      <c r="U9" s="8">
        <f t="shared" ref="U9:U22" si="22">$P9*($O9-$O8)*G$27/SUM($D$27:$G$27)+$Q9*($O9-$O8)*G$35/SUM($D$35:$G$35)+U8</f>
        <v>0</v>
      </c>
      <c r="V9" s="8">
        <f t="shared" si="4"/>
        <v>0</v>
      </c>
      <c r="W9" s="8">
        <f t="shared" si="5"/>
        <v>0</v>
      </c>
      <c r="X9" s="8">
        <f t="shared" si="6"/>
        <v>0</v>
      </c>
      <c r="Y9" s="8">
        <f t="shared" si="7"/>
        <v>0</v>
      </c>
      <c r="Z9" s="8">
        <f>求节点(精英野怪!$BI$5:$BI$164,精英野怪!BJ$5:BJ$164,M9)</f>
        <v>0</v>
      </c>
      <c r="AA9" s="8">
        <f>求节点(精英野怪!$BI$5:$BI$164,精英野怪!BO$5:BO$164,M9)</f>
        <v>0</v>
      </c>
      <c r="AB9" s="8">
        <f>求节点(精英野怪!$BI$5:$BI$164,精英野怪!BT$5:BT$164,M9)</f>
        <v>0</v>
      </c>
      <c r="AC9" s="8">
        <v>0</v>
      </c>
      <c r="AD9" s="8">
        <f t="shared" si="8"/>
        <v>0</v>
      </c>
      <c r="AE9" s="8">
        <f t="shared" si="9"/>
        <v>0</v>
      </c>
      <c r="AF9" s="8">
        <f t="shared" si="10"/>
        <v>0</v>
      </c>
      <c r="AG9" s="8">
        <f t="shared" si="11"/>
        <v>0</v>
      </c>
      <c r="AH9" s="8"/>
      <c r="AI9" s="8">
        <f>IF(M9&lt;=节奏预期!$B$1,0,INDEX(其他调用!$C$4:$C$163,$M9)*P$2-INDEX(其他调用!$C$4:$C$163,节奏预期!$B$1)*P$2)</f>
        <v>0</v>
      </c>
      <c r="AJ9" s="8">
        <f>求节点(阵旗升级!$Z$5:$Z$164,阵旗升级!$AA$5:$AA$164,M9)</f>
        <v>11</v>
      </c>
      <c r="AK9" s="8">
        <f t="shared" si="12"/>
        <v>0</v>
      </c>
      <c r="AL9" s="8">
        <f>求节点(精英野怪!$AH$5:$AH$164,精英野怪!AI$5:AI$164,M9)</f>
        <v>0</v>
      </c>
      <c r="AM9" s="8">
        <f t="shared" si="13"/>
        <v>0</v>
      </c>
      <c r="AN9" s="8" t="e">
        <f t="shared" si="14"/>
        <v>#DIV/0!</v>
      </c>
      <c r="AO9" s="8" t="e">
        <f t="shared" si="15"/>
        <v>#DIV/0!</v>
      </c>
      <c r="AP9" s="8"/>
      <c r="AQ9" s="8">
        <f>IF(M9&lt;=节奏预期!$B$1,0,INDEX(其他调用!$C$4:$C$163,$M9)*Q$2-INDEX(其他调用!$C$4:$C$163,节奏预期!$B$1)*Q$2)</f>
        <v>0</v>
      </c>
      <c r="AR9" s="8">
        <f>求节点(精英野怪!$BI$5:$BI$164,精英野怪!$BY$5:$BY$164,$M9)</f>
        <v>0</v>
      </c>
      <c r="AS9" s="8">
        <f t="shared" si="16"/>
        <v>0</v>
      </c>
      <c r="AT9" s="8"/>
      <c r="BB9" s="5" t="s">
        <v>199</v>
      </c>
      <c r="BC9" s="5">
        <f>E7</f>
        <v>500</v>
      </c>
      <c r="BD9" s="5">
        <v>0.36</v>
      </c>
      <c r="BE9" s="5">
        <v>1.44</v>
      </c>
      <c r="BF9" s="5">
        <v>7.2</v>
      </c>
      <c r="BG9" s="5">
        <v>21.6</v>
      </c>
      <c r="BH9" s="5">
        <v>36</v>
      </c>
      <c r="BI9" s="5">
        <f t="shared" si="17"/>
        <v>18000</v>
      </c>
      <c r="BJ9" s="5">
        <f t="shared" si="18"/>
        <v>0.1157556270096463</v>
      </c>
    </row>
    <row r="10" spans="3:62" x14ac:dyDescent="0.15">
      <c r="C10" s="8" t="s">
        <v>194</v>
      </c>
      <c r="D10" s="8"/>
      <c r="E10" s="8">
        <v>10</v>
      </c>
      <c r="F10" s="8">
        <v>30</v>
      </c>
      <c r="G10" s="8">
        <v>50</v>
      </c>
      <c r="M10" s="8">
        <v>40</v>
      </c>
      <c r="N10" s="8">
        <f>求节点(节奏总纲!$O$4:$O$163,节奏总纲!$P$4:$P$163,$M10)</f>
        <v>15</v>
      </c>
      <c r="O10" s="8">
        <f>IF(M10&lt;=节奏预期!$B$1,0,INDEX(其他调用!$C$4:$C$163,$M10)*O$2-INDEX(其他调用!$C$4:$C$163,节奏预期!$B$1)*O$2)</f>
        <v>0</v>
      </c>
      <c r="P10" s="8">
        <v>1</v>
      </c>
      <c r="Q10" s="8">
        <f t="shared" si="2"/>
        <v>0</v>
      </c>
      <c r="R10" s="8">
        <f t="shared" si="19"/>
        <v>0</v>
      </c>
      <c r="S10" s="8">
        <f t="shared" si="20"/>
        <v>0</v>
      </c>
      <c r="T10" s="8">
        <f t="shared" si="21"/>
        <v>0</v>
      </c>
      <c r="U10" s="8">
        <f t="shared" si="22"/>
        <v>0</v>
      </c>
      <c r="V10" s="8">
        <f t="shared" si="4"/>
        <v>0</v>
      </c>
      <c r="W10" s="8">
        <f t="shared" si="5"/>
        <v>0</v>
      </c>
      <c r="X10" s="8">
        <f t="shared" si="6"/>
        <v>0</v>
      </c>
      <c r="Y10" s="8">
        <f t="shared" si="7"/>
        <v>0</v>
      </c>
      <c r="Z10" s="8">
        <f>求节点(精英野怪!$BI$5:$BI$164,精英野怪!BJ$5:BJ$164,M10)</f>
        <v>0</v>
      </c>
      <c r="AA10" s="8">
        <f>求节点(精英野怪!$BI$5:$BI$164,精英野怪!BO$5:BO$164,M10)</f>
        <v>0</v>
      </c>
      <c r="AB10" s="8">
        <f>求节点(精英野怪!$BI$5:$BI$164,精英野怪!BT$5:BT$164,M10)</f>
        <v>0</v>
      </c>
      <c r="AC10" s="8">
        <v>0</v>
      </c>
      <c r="AD10" s="8">
        <f t="shared" si="8"/>
        <v>0</v>
      </c>
      <c r="AE10" s="8">
        <f t="shared" si="9"/>
        <v>0</v>
      </c>
      <c r="AF10" s="8">
        <f t="shared" si="10"/>
        <v>0</v>
      </c>
      <c r="AG10" s="8">
        <f t="shared" si="11"/>
        <v>0</v>
      </c>
      <c r="AH10" s="8"/>
      <c r="AI10" s="8">
        <f>IF(M10&lt;=节奏预期!$B$1,0,INDEX(其他调用!$C$4:$C$163,$M10)*P$2-INDEX(其他调用!$C$4:$C$163,节奏预期!$B$1)*P$2)</f>
        <v>0</v>
      </c>
      <c r="AJ10" s="8">
        <f>求节点(阵旗升级!$Z$5:$Z$164,阵旗升级!$AA$5:$AA$164,M10)</f>
        <v>11</v>
      </c>
      <c r="AK10" s="8">
        <f t="shared" si="12"/>
        <v>0</v>
      </c>
      <c r="AL10" s="8">
        <f>求节点(精英野怪!$AH$5:$AH$164,精英野怪!AI$5:AI$164,M10)</f>
        <v>0</v>
      </c>
      <c r="AM10" s="8">
        <f t="shared" si="13"/>
        <v>0</v>
      </c>
      <c r="AN10" s="8" t="e">
        <f t="shared" si="14"/>
        <v>#DIV/0!</v>
      </c>
      <c r="AO10" s="8" t="e">
        <f t="shared" si="15"/>
        <v>#DIV/0!</v>
      </c>
      <c r="AP10" s="8"/>
      <c r="AQ10" s="8">
        <f>IF(M10&lt;=节奏预期!$B$1,0,INDEX(其他调用!$C$4:$C$163,$M10)*Q$2-INDEX(其他调用!$C$4:$C$163,节奏预期!$B$1)*Q$2)</f>
        <v>0</v>
      </c>
      <c r="AR10" s="8">
        <f>求节点(精英野怪!$BI$5:$BI$164,精英野怪!$BY$5:$BY$164,$M10)</f>
        <v>0</v>
      </c>
      <c r="AS10" s="8">
        <f t="shared" si="16"/>
        <v>0</v>
      </c>
      <c r="AT10" s="8"/>
      <c r="BB10" s="5" t="s">
        <v>200</v>
      </c>
      <c r="BC10" s="5">
        <f>D7</f>
        <v>100</v>
      </c>
      <c r="BD10" s="5">
        <v>0.5</v>
      </c>
      <c r="BE10" s="5">
        <v>2</v>
      </c>
      <c r="BF10" s="5">
        <v>10</v>
      </c>
      <c r="BG10" s="5">
        <v>30</v>
      </c>
      <c r="BH10" s="5">
        <v>50</v>
      </c>
      <c r="BI10" s="5">
        <f t="shared" si="17"/>
        <v>5000</v>
      </c>
      <c r="BJ10" s="5">
        <f t="shared" si="18"/>
        <v>3.215434083601286E-2</v>
      </c>
    </row>
    <row r="11" spans="3:62" x14ac:dyDescent="0.15">
      <c r="C11" s="8"/>
      <c r="D11" s="8"/>
      <c r="E11" s="8"/>
      <c r="F11" s="8"/>
      <c r="G11" s="8"/>
      <c r="M11" s="8">
        <v>50</v>
      </c>
      <c r="N11" s="8">
        <f>求节点(节奏总纲!$O$4:$O$163,节奏总纲!$P$4:$P$163,$M11)</f>
        <v>31</v>
      </c>
      <c r="O11" s="8">
        <f>IF(M11&lt;=节奏预期!$B$1,0,INDEX(其他调用!$C$4:$C$163,$M11)*O$2-INDEX(其他调用!$C$4:$C$163,节奏预期!$B$1)*O$2)</f>
        <v>0</v>
      </c>
      <c r="P11" s="8">
        <v>1</v>
      </c>
      <c r="Q11" s="8">
        <f t="shared" si="2"/>
        <v>0</v>
      </c>
      <c r="R11" s="8">
        <f t="shared" si="19"/>
        <v>0</v>
      </c>
      <c r="S11" s="8">
        <f t="shared" si="20"/>
        <v>0</v>
      </c>
      <c r="T11" s="8">
        <f t="shared" si="21"/>
        <v>0</v>
      </c>
      <c r="U11" s="8">
        <f t="shared" si="22"/>
        <v>0</v>
      </c>
      <c r="V11" s="8">
        <f t="shared" si="4"/>
        <v>0</v>
      </c>
      <c r="W11" s="8">
        <f t="shared" si="5"/>
        <v>0</v>
      </c>
      <c r="X11" s="8">
        <f t="shared" si="6"/>
        <v>0</v>
      </c>
      <c r="Y11" s="8">
        <f t="shared" si="7"/>
        <v>0</v>
      </c>
      <c r="Z11" s="8">
        <f>求节点(精英野怪!$BI$5:$BI$164,精英野怪!BJ$5:BJ$164,M11)</f>
        <v>0</v>
      </c>
      <c r="AA11" s="8">
        <f>求节点(精英野怪!$BI$5:$BI$164,精英野怪!BO$5:BO$164,M11)</f>
        <v>0</v>
      </c>
      <c r="AB11" s="8">
        <f>求节点(精英野怪!$BI$5:$BI$164,精英野怪!BT$5:BT$164,M11)</f>
        <v>0</v>
      </c>
      <c r="AC11" s="8">
        <v>0</v>
      </c>
      <c r="AD11" s="8">
        <f t="shared" si="8"/>
        <v>0</v>
      </c>
      <c r="AE11" s="8">
        <f t="shared" si="9"/>
        <v>0</v>
      </c>
      <c r="AF11" s="8">
        <f t="shared" si="10"/>
        <v>0</v>
      </c>
      <c r="AG11" s="8">
        <f t="shared" si="11"/>
        <v>0</v>
      </c>
      <c r="AH11" s="8"/>
      <c r="AI11" s="8">
        <f>IF(M11&lt;=节奏预期!$B$1,0,INDEX(其他调用!$C$4:$C$163,$M11)*P$2-INDEX(其他调用!$C$4:$C$163,节奏预期!$B$1)*P$2)</f>
        <v>0</v>
      </c>
      <c r="AJ11" s="8">
        <f>求节点(阵旗升级!$Z$5:$Z$164,阵旗升级!$AA$5:$AA$164,M11)</f>
        <v>11</v>
      </c>
      <c r="AK11" s="8">
        <f t="shared" si="12"/>
        <v>0</v>
      </c>
      <c r="AL11" s="8">
        <f>求节点(精英野怪!$AH$5:$AH$164,精英野怪!AI$5:AI$164,M11)</f>
        <v>0</v>
      </c>
      <c r="AM11" s="8">
        <f t="shared" si="13"/>
        <v>0</v>
      </c>
      <c r="AN11" s="8" t="e">
        <f t="shared" si="14"/>
        <v>#DIV/0!</v>
      </c>
      <c r="AO11" s="8" t="e">
        <f t="shared" si="15"/>
        <v>#DIV/0!</v>
      </c>
      <c r="AP11" s="8"/>
      <c r="AQ11" s="8">
        <f>IF(M11&lt;=节奏预期!$B$1,0,INDEX(其他调用!$C$4:$C$163,$M11)*Q$2-INDEX(其他调用!$C$4:$C$163,节奏预期!$B$1)*Q$2)</f>
        <v>0</v>
      </c>
      <c r="AR11" s="8">
        <f>求节点(精英野怪!$BI$5:$BI$164,精英野怪!$BY$5:$BY$164,$M11)</f>
        <v>0</v>
      </c>
      <c r="AS11" s="8">
        <f t="shared" si="16"/>
        <v>0</v>
      </c>
      <c r="AT11" s="8"/>
      <c r="BB11" s="5" t="s">
        <v>201</v>
      </c>
      <c r="BC11" s="5">
        <f>D20</f>
        <v>0</v>
      </c>
      <c r="BD11" s="5">
        <v>24.4</v>
      </c>
      <c r="BE11" s="5">
        <v>97.6</v>
      </c>
      <c r="BF11" s="5">
        <v>704</v>
      </c>
      <c r="BG11" s="5">
        <v>2112</v>
      </c>
      <c r="BH11" s="5">
        <v>3952</v>
      </c>
      <c r="BI11" s="5">
        <f t="shared" si="17"/>
        <v>0</v>
      </c>
      <c r="BJ11" s="5">
        <f>BI11/SUM($BI$7:$BI$12)</f>
        <v>0</v>
      </c>
    </row>
    <row r="12" spans="3:62" x14ac:dyDescent="0.15">
      <c r="C12" s="8"/>
      <c r="D12" s="8"/>
      <c r="E12" s="8"/>
      <c r="F12" s="8"/>
      <c r="G12" s="8"/>
      <c r="M12" s="8">
        <v>60</v>
      </c>
      <c r="N12" s="8">
        <f>求节点(节奏总纲!$O$4:$O$163,节奏总纲!$P$4:$P$163,$M12)</f>
        <v>63</v>
      </c>
      <c r="O12" s="8">
        <f>IF(M12&lt;=节奏预期!$B$1,0,INDEX(其他调用!$C$4:$C$163,$M12)*O$2-INDEX(其他调用!$C$4:$C$163,节奏预期!$B$1)*O$2)</f>
        <v>0</v>
      </c>
      <c r="P12" s="8">
        <v>1</v>
      </c>
      <c r="Q12" s="8">
        <f t="shared" si="2"/>
        <v>0</v>
      </c>
      <c r="R12" s="8">
        <f t="shared" si="19"/>
        <v>0</v>
      </c>
      <c r="S12" s="8">
        <f t="shared" si="20"/>
        <v>0</v>
      </c>
      <c r="T12" s="8">
        <f t="shared" si="21"/>
        <v>0</v>
      </c>
      <c r="U12" s="8">
        <f t="shared" si="22"/>
        <v>0</v>
      </c>
      <c r="V12" s="8">
        <f t="shared" si="4"/>
        <v>0</v>
      </c>
      <c r="W12" s="8">
        <f t="shared" si="5"/>
        <v>0</v>
      </c>
      <c r="X12" s="8">
        <f t="shared" si="6"/>
        <v>0</v>
      </c>
      <c r="Y12" s="8">
        <f t="shared" si="7"/>
        <v>0</v>
      </c>
      <c r="Z12" s="8">
        <f>求节点(精英野怪!$BI$5:$BI$164,精英野怪!BJ$5:BJ$164,M12)</f>
        <v>0</v>
      </c>
      <c r="AA12" s="8">
        <f>求节点(精英野怪!$BI$5:$BI$164,精英野怪!BO$5:BO$164,M12)</f>
        <v>0</v>
      </c>
      <c r="AB12" s="8">
        <f>求节点(精英野怪!$BI$5:$BI$164,精英野怪!BT$5:BT$164,M12)</f>
        <v>0</v>
      </c>
      <c r="AC12" s="8">
        <v>0</v>
      </c>
      <c r="AD12" s="8">
        <f t="shared" si="8"/>
        <v>0</v>
      </c>
      <c r="AE12" s="8">
        <f t="shared" si="9"/>
        <v>0</v>
      </c>
      <c r="AF12" s="8">
        <f t="shared" si="10"/>
        <v>0</v>
      </c>
      <c r="AG12" s="8">
        <f t="shared" si="11"/>
        <v>0</v>
      </c>
      <c r="AH12" s="8"/>
      <c r="AI12" s="8">
        <f>IF(M12&lt;=节奏预期!$B$1,0,INDEX(其他调用!$C$4:$C$163,$M12)*P$2-INDEX(其他调用!$C$4:$C$163,节奏预期!$B$1)*P$2)</f>
        <v>0</v>
      </c>
      <c r="AJ12" s="8">
        <f>求节点(阵旗升级!$Z$5:$Z$164,阵旗升级!$AA$5:$AA$164,M12)</f>
        <v>11</v>
      </c>
      <c r="AK12" s="8">
        <f t="shared" si="12"/>
        <v>0</v>
      </c>
      <c r="AL12" s="8">
        <f>求节点(精英野怪!$AH$5:$AH$164,精英野怪!AI$5:AI$164,M12)</f>
        <v>0</v>
      </c>
      <c r="AM12" s="8">
        <f t="shared" si="13"/>
        <v>0</v>
      </c>
      <c r="AN12" s="8" t="e">
        <f t="shared" si="14"/>
        <v>#DIV/0!</v>
      </c>
      <c r="AO12" s="8" t="e">
        <f t="shared" si="15"/>
        <v>#DIV/0!</v>
      </c>
      <c r="AP12" s="8"/>
      <c r="AQ12" s="8">
        <f>IF(M12&lt;=节奏预期!$B$1,0,INDEX(其他调用!$C$4:$C$163,$M12)*Q$2-INDEX(其他调用!$C$4:$C$163,节奏预期!$B$1)*Q$2)</f>
        <v>0</v>
      </c>
      <c r="AR12" s="8">
        <f>求节点(精英野怪!$BI$5:$BI$164,精英野怪!$BY$5:$BY$164,$M12)</f>
        <v>0</v>
      </c>
      <c r="AS12" s="8">
        <f t="shared" si="16"/>
        <v>0</v>
      </c>
      <c r="AT12" s="8"/>
      <c r="BB12" s="5" t="s">
        <v>202</v>
      </c>
      <c r="BC12" s="5">
        <f>D16</f>
        <v>100</v>
      </c>
      <c r="BD12" s="5">
        <v>1</v>
      </c>
      <c r="BE12" s="5">
        <v>4</v>
      </c>
      <c r="BF12" s="5">
        <v>30</v>
      </c>
      <c r="BG12" s="5">
        <v>110</v>
      </c>
      <c r="BH12" s="5">
        <v>400</v>
      </c>
      <c r="BI12" s="5">
        <f t="shared" si="17"/>
        <v>40000</v>
      </c>
      <c r="BJ12" s="5">
        <f>BI12/SUM($BI$7:$BI$12)</f>
        <v>0.20460358056265984</v>
      </c>
    </row>
    <row r="13" spans="3:62" x14ac:dyDescent="0.15">
      <c r="C13" s="8"/>
      <c r="D13" s="8"/>
      <c r="E13" s="8"/>
      <c r="F13" s="8"/>
      <c r="G13" s="8"/>
      <c r="M13" s="8">
        <v>70</v>
      </c>
      <c r="N13" s="8">
        <f>求节点(节奏总纲!$O$4:$O$163,节奏总纲!$P$4:$P$163,$M13)</f>
        <v>127</v>
      </c>
      <c r="O13" s="8">
        <f>IF(M13&lt;=节奏预期!$B$1,0,INDEX(其他调用!$C$4:$C$163,$M13)*O$2-INDEX(其他调用!$C$4:$C$163,节奏预期!$B$1)*O$2)</f>
        <v>32037.493310626887</v>
      </c>
      <c r="P13" s="8">
        <v>1</v>
      </c>
      <c r="Q13" s="8">
        <f t="shared" si="2"/>
        <v>0</v>
      </c>
      <c r="R13" s="8">
        <f>$P13*($O13-$O12)*D$27/SUM($D$27:$G$27)+$Q13*($O13-$O12)*D$35/SUM($D$35:$G$35)+R12</f>
        <v>9259.3911302389843</v>
      </c>
      <c r="S13" s="8">
        <f t="shared" si="20"/>
        <v>8889.0154850294257</v>
      </c>
      <c r="T13" s="8">
        <f t="shared" si="21"/>
        <v>13889.086695358477</v>
      </c>
      <c r="U13" s="8">
        <f t="shared" si="22"/>
        <v>0</v>
      </c>
      <c r="V13" s="8">
        <f t="shared" si="4"/>
        <v>92.593911302389841</v>
      </c>
      <c r="W13" s="8">
        <f t="shared" si="5"/>
        <v>17.77803097005885</v>
      </c>
      <c r="X13" s="8">
        <f t="shared" si="6"/>
        <v>5.5556346781433907</v>
      </c>
      <c r="Y13" s="8">
        <f t="shared" si="7"/>
        <v>0</v>
      </c>
      <c r="Z13" s="8">
        <f>求节点(精英野怪!$BI$5:$BI$164,精英野怪!BJ$5:BJ$164,M13)</f>
        <v>0.44161795533103226</v>
      </c>
      <c r="AA13" s="8">
        <f>求节点(精英野怪!$BI$5:$BI$164,精英野怪!BO$5:BO$164,M13)</f>
        <v>0.66242693299654853</v>
      </c>
      <c r="AB13" s="8">
        <f>求节点(精英野怪!$BI$5:$BI$164,精英野怪!BT$5:BT$164,M13)</f>
        <v>0</v>
      </c>
      <c r="AC13" s="8">
        <v>0</v>
      </c>
      <c r="AD13" s="8">
        <f t="shared" si="8"/>
        <v>93.035529257720867</v>
      </c>
      <c r="AE13" s="8">
        <f t="shared" si="9"/>
        <v>18.4404579030554</v>
      </c>
      <c r="AF13" s="8">
        <f t="shared" si="10"/>
        <v>5.5556346781433907</v>
      </c>
      <c r="AG13" s="8">
        <f t="shared" si="11"/>
        <v>0</v>
      </c>
      <c r="AH13" s="8"/>
      <c r="AI13" s="8">
        <f>IF(M13&lt;=节奏预期!$B$1,0,INDEX(其他调用!$C$4:$C$163,$M13)*P$2-INDEX(其他调用!$C$4:$C$163,节奏预期!$B$1)*P$2)</f>
        <v>64074.986621253775</v>
      </c>
      <c r="AJ13" s="8">
        <f>求节点(阵旗升级!$Z$5:$Z$164,阵旗升级!$AA$5:$AA$164,M13)</f>
        <v>11</v>
      </c>
      <c r="AK13" s="8">
        <f t="shared" si="12"/>
        <v>5824.9987837503431</v>
      </c>
      <c r="AL13" s="8">
        <f>求节点(精英野怪!$AH$5:$AH$164,精英野怪!AI$5:AI$164,M13)</f>
        <v>52.047830449728806</v>
      </c>
      <c r="AM13" s="8">
        <f t="shared" si="13"/>
        <v>5877.0466142000723</v>
      </c>
      <c r="AN13" s="8">
        <f t="shared" si="14"/>
        <v>0.99114387993384778</v>
      </c>
      <c r="AO13" s="8">
        <f t="shared" si="15"/>
        <v>8.8561200661521483E-3</v>
      </c>
      <c r="AP13" s="8"/>
      <c r="AQ13" s="8">
        <f>IF(M13&lt;=节奏预期!$B$1,0,INDEX(其他调用!$C$4:$C$163,$M13)*Q$2-INDEX(其他调用!$C$4:$C$163,节奏预期!$B$1)*Q$2)</f>
        <v>32037.493310626887</v>
      </c>
      <c r="AR13" s="8">
        <f>求节点(精英野怪!$BI$5:$BI$164,精英野怪!$BY$5:$BY$164,$M13)</f>
        <v>5.5202244416379038</v>
      </c>
      <c r="AS13" s="8">
        <f t="shared" si="16"/>
        <v>325.89515754790676</v>
      </c>
      <c r="AT13" s="8"/>
    </row>
    <row r="14" spans="3:62" x14ac:dyDescent="0.15">
      <c r="C14" s="8"/>
      <c r="D14" s="46"/>
      <c r="E14" s="46"/>
      <c r="F14" s="46"/>
      <c r="G14" s="46"/>
      <c r="M14" s="8">
        <v>80</v>
      </c>
      <c r="N14" s="8">
        <f>求节点(节奏总纲!$O$4:$O$163,节奏总纲!$P$4:$P$163,$M14)</f>
        <v>255</v>
      </c>
      <c r="O14" s="8">
        <f>IF(M14&lt;=节奏预期!$B$1,0,INDEX(其他调用!$C$4:$C$163,$M14)*O$2-INDEX(其他调用!$C$4:$C$163,节奏预期!$B$1)*O$2)</f>
        <v>84163.650006806129</v>
      </c>
      <c r="P14" s="8">
        <v>0.9</v>
      </c>
      <c r="Q14" s="8">
        <f t="shared" si="2"/>
        <v>9.9999999999999978E-2</v>
      </c>
      <c r="R14" s="8">
        <f t="shared" si="19"/>
        <v>22818.218016528383</v>
      </c>
      <c r="S14" s="8">
        <f t="shared" si="20"/>
        <v>21905.48929586725</v>
      </c>
      <c r="T14" s="8">
        <f t="shared" si="21"/>
        <v>35530.480942197057</v>
      </c>
      <c r="U14" s="8">
        <f t="shared" si="22"/>
        <v>3909.4617522134422</v>
      </c>
      <c r="V14" s="8">
        <f t="shared" si="4"/>
        <v>228.18218016528382</v>
      </c>
      <c r="W14" s="8">
        <f t="shared" si="5"/>
        <v>43.810978591734496</v>
      </c>
      <c r="X14" s="8">
        <f t="shared" si="6"/>
        <v>14.212192376878823</v>
      </c>
      <c r="Y14" s="8">
        <f t="shared" si="7"/>
        <v>0.1563784700885377</v>
      </c>
      <c r="Z14" s="8">
        <f>求节点(精英野怪!$BI$5:$BI$164,精英野怪!BJ$5:BJ$164,M14)</f>
        <v>7.0361779553310324</v>
      </c>
      <c r="AA14" s="8">
        <f>求节点(精英野怪!$BI$5:$BI$164,精英野怪!BO$5:BO$164,M14)</f>
        <v>10.554266932996551</v>
      </c>
      <c r="AB14" s="8">
        <f>求节点(精英野怪!$BI$5:$BI$164,精英野怪!BT$5:BT$164,M14)</f>
        <v>0</v>
      </c>
      <c r="AC14" s="8">
        <v>0</v>
      </c>
      <c r="AD14" s="8">
        <f t="shared" si="8"/>
        <v>235.21835812061485</v>
      </c>
      <c r="AE14" s="8">
        <f t="shared" si="9"/>
        <v>54.365245524731051</v>
      </c>
      <c r="AF14" s="8">
        <f t="shared" si="10"/>
        <v>14.212192376878823</v>
      </c>
      <c r="AG14" s="8">
        <f t="shared" si="11"/>
        <v>0.1563784700885377</v>
      </c>
      <c r="AH14" s="8"/>
      <c r="AI14" s="8">
        <f>IF(M14&lt;=节奏预期!$B$1,0,INDEX(其他调用!$C$4:$C$163,$M14)*P$2-INDEX(其他调用!$C$4:$C$163,节奏预期!$B$1)*P$2)</f>
        <v>168327.30001361226</v>
      </c>
      <c r="AJ14" s="8">
        <f>求节点(阵旗升级!$Z$5:$Z$164,阵旗升级!$AA$5:$AA$164,M14)</f>
        <v>7.333333333333333</v>
      </c>
      <c r="AK14" s="8">
        <f t="shared" si="12"/>
        <v>20041.223337253774</v>
      </c>
      <c r="AL14" s="8">
        <f>求节点(精英野怪!$AH$5:$AH$164,精英野怪!AI$5:AI$164,M14)</f>
        <v>1065.0429451893929</v>
      </c>
      <c r="AM14" s="8">
        <f t="shared" si="13"/>
        <v>21106.266282443168</v>
      </c>
      <c r="AN14" s="8">
        <f t="shared" si="14"/>
        <v>0.94953901694705101</v>
      </c>
      <c r="AO14" s="8">
        <f t="shared" si="15"/>
        <v>5.0460983052948966E-2</v>
      </c>
      <c r="AP14" s="8"/>
      <c r="AQ14" s="8">
        <f>IF(M14&lt;=节奏预期!$B$1,0,INDEX(其他调用!$C$4:$C$163,$M14)*Q$2-INDEX(其他调用!$C$4:$C$163,节奏预期!$B$1)*Q$2)</f>
        <v>84163.650006806129</v>
      </c>
      <c r="AR14" s="8">
        <f>求节点(精英野怪!$BI$5:$BI$164,精英野怪!$BY$5:$BY$164,$M14)</f>
        <v>87.952224441637924</v>
      </c>
      <c r="AS14" s="8">
        <f t="shared" si="16"/>
        <v>929.5887245096992</v>
      </c>
      <c r="AT14" s="8"/>
    </row>
    <row r="15" spans="3:62" x14ac:dyDescent="0.15">
      <c r="M15" s="8">
        <v>90</v>
      </c>
      <c r="N15" s="8">
        <f>求节点(节奏总纲!$O$4:$O$163,节奏总纲!$P$4:$P$163,$M15)</f>
        <v>511</v>
      </c>
      <c r="O15" s="8">
        <f>IF(M15&lt;=节奏预期!$B$1,0,INDEX(其他调用!$C$4:$C$163,$M15)*O$2-INDEX(其他调用!$C$4:$C$163,节奏预期!$B$1)*O$2)</f>
        <v>178365.4708259434</v>
      </c>
      <c r="P15" s="8">
        <v>0.8</v>
      </c>
      <c r="Q15" s="8">
        <f t="shared" si="2"/>
        <v>0.19999999999999996</v>
      </c>
      <c r="R15" s="8">
        <f t="shared" si="19"/>
        <v>44598.985835982086</v>
      </c>
      <c r="S15" s="8">
        <f t="shared" si="20"/>
        <v>42815.026402542804</v>
      </c>
      <c r="T15" s="8">
        <f t="shared" si="21"/>
        <v>72911.723712334468</v>
      </c>
      <c r="U15" s="8">
        <f t="shared" si="22"/>
        <v>18039.734875084028</v>
      </c>
      <c r="V15" s="8">
        <f t="shared" si="4"/>
        <v>445.98985835982086</v>
      </c>
      <c r="W15" s="8">
        <f t="shared" si="5"/>
        <v>85.630052805085612</v>
      </c>
      <c r="X15" s="8">
        <f t="shared" si="6"/>
        <v>29.164689484933788</v>
      </c>
      <c r="Y15" s="8">
        <f t="shared" si="7"/>
        <v>0.72158939500336117</v>
      </c>
      <c r="Z15" s="8">
        <f>求节点(精英野怪!$BI$5:$BI$164,精英野怪!BJ$5:BJ$164,M15)</f>
        <v>20.225297955331037</v>
      </c>
      <c r="AA15" s="8">
        <f>求节点(精英野怪!$BI$5:$BI$164,精英野怪!BO$5:BO$164,M15)</f>
        <v>30.337946932996555</v>
      </c>
      <c r="AB15" s="8">
        <f>求节点(精英野怪!$BI$5:$BI$164,精英野怪!BT$5:BT$164,M15)</f>
        <v>0</v>
      </c>
      <c r="AC15" s="8">
        <v>0</v>
      </c>
      <c r="AD15" s="8">
        <f t="shared" si="8"/>
        <v>466.21515631515189</v>
      </c>
      <c r="AE15" s="8">
        <f t="shared" si="9"/>
        <v>115.96799973808217</v>
      </c>
      <c r="AF15" s="8">
        <f t="shared" si="10"/>
        <v>29.164689484933788</v>
      </c>
      <c r="AG15" s="8">
        <f t="shared" si="11"/>
        <v>0.72158939500336117</v>
      </c>
      <c r="AH15" s="8"/>
      <c r="AI15" s="8">
        <f>IF(M15&lt;=节奏预期!$B$1,0,INDEX(其他调用!$C$4:$C$163,$M15)*P$2-INDEX(其他调用!$C$4:$C$163,节奏预期!$B$1)*P$2)</f>
        <v>356730.94165188679</v>
      </c>
      <c r="AJ15" s="8">
        <f>求节点(阵旗升级!$Z$5:$Z$164,阵旗升级!$AA$5:$AA$164,M15)</f>
        <v>5.5</v>
      </c>
      <c r="AK15" s="8">
        <f t="shared" si="12"/>
        <v>54296.430907849142</v>
      </c>
      <c r="AL15" s="8">
        <f>求节点(精英野怪!$AH$5:$AH$164,精英野怪!AI$5:AI$164,M15)</f>
        <v>3868.249174668721</v>
      </c>
      <c r="AM15" s="8">
        <f t="shared" si="13"/>
        <v>58164.680082517865</v>
      </c>
      <c r="AN15" s="8">
        <f t="shared" si="14"/>
        <v>0.9334948774895544</v>
      </c>
      <c r="AO15" s="8">
        <f t="shared" si="15"/>
        <v>6.6505122510445519E-2</v>
      </c>
      <c r="AP15" s="8"/>
      <c r="AQ15" s="8">
        <f>IF(M15&lt;=节奏预期!$B$1,0,INDEX(其他调用!$C$4:$C$163,$M15)*Q$2-INDEX(其他调用!$C$4:$C$163,节奏预期!$B$1)*Q$2)</f>
        <v>178365.4708259434</v>
      </c>
      <c r="AR15" s="8">
        <f>求节点(精英野怪!$BI$5:$BI$164,精英野怪!$BY$5:$BY$164,$M15)</f>
        <v>252.81622444163798</v>
      </c>
      <c r="AS15" s="8">
        <f t="shared" si="16"/>
        <v>2036.4709327010721</v>
      </c>
      <c r="AT15" s="8"/>
    </row>
    <row r="16" spans="3:62" x14ac:dyDescent="0.15">
      <c r="C16" s="8" t="s">
        <v>205</v>
      </c>
      <c r="D16" s="8">
        <v>100</v>
      </c>
      <c r="M16" s="8">
        <v>100</v>
      </c>
      <c r="N16" s="8">
        <f>求节点(节奏总纲!$O$4:$O$163,节奏总纲!$P$4:$P$163,$M16)</f>
        <v>1023</v>
      </c>
      <c r="O16" s="8">
        <f>IF(M16&lt;=节奏预期!$B$1,0,INDEX(其他调用!$C$4:$C$163,$M16)*O$2-INDEX(其他调用!$C$4:$C$163,节奏预期!$B$1)*O$2)</f>
        <v>351172.52813535125</v>
      </c>
      <c r="P16" s="8">
        <v>0.7</v>
      </c>
      <c r="Q16" s="8">
        <f t="shared" si="2"/>
        <v>0.30000000000000004</v>
      </c>
      <c r="R16" s="8">
        <f t="shared" si="19"/>
        <v>79559.951187596394</v>
      </c>
      <c r="S16" s="8">
        <f t="shared" si="20"/>
        <v>76377.553140092539</v>
      </c>
      <c r="T16" s="8">
        <f t="shared" si="21"/>
        <v>138313.70103796152</v>
      </c>
      <c r="U16" s="8">
        <f t="shared" si="22"/>
        <v>56921.322769700797</v>
      </c>
      <c r="V16" s="8">
        <f t="shared" si="4"/>
        <v>795.59951187596391</v>
      </c>
      <c r="W16" s="8">
        <f t="shared" si="5"/>
        <v>152.75510628018509</v>
      </c>
      <c r="X16" s="8">
        <f t="shared" si="6"/>
        <v>55.325480415184607</v>
      </c>
      <c r="Y16" s="8">
        <f t="shared" si="7"/>
        <v>2.276852910788032</v>
      </c>
      <c r="Z16" s="8">
        <f>求节点(精英野怪!$BI$5:$BI$164,精英野怪!BJ$5:BJ$164,M16)</f>
        <v>46.603537955331042</v>
      </c>
      <c r="AA16" s="8">
        <f>求节点(精英野怪!$BI$5:$BI$164,精英野怪!BO$5:BO$164,M16)</f>
        <v>69.905306932996581</v>
      </c>
      <c r="AB16" s="8">
        <f>求节点(精英野怪!$BI$5:$BI$164,精英野怪!BT$5:BT$164,M16)</f>
        <v>0</v>
      </c>
      <c r="AC16" s="8">
        <v>0</v>
      </c>
      <c r="AD16" s="8">
        <f t="shared" si="8"/>
        <v>842.20304983129495</v>
      </c>
      <c r="AE16" s="8">
        <f t="shared" si="9"/>
        <v>222.66041321318167</v>
      </c>
      <c r="AF16" s="8">
        <f t="shared" si="10"/>
        <v>55.325480415184607</v>
      </c>
      <c r="AG16" s="8">
        <f t="shared" si="11"/>
        <v>2.276852910788032</v>
      </c>
      <c r="AH16" s="8"/>
      <c r="AI16" s="8">
        <f>IF(M16&lt;=节奏预期!$B$1,0,INDEX(其他调用!$C$4:$C$163,$M16)*P$2-INDEX(其他调用!$C$4:$C$163,节奏预期!$B$1)*P$2)</f>
        <v>702345.05627070251</v>
      </c>
      <c r="AJ16" s="8">
        <f>求节点(阵旗升级!$Z$5:$Z$164,阵旗升级!$AA$5:$AA$164,M16)</f>
        <v>4.4000000000000004</v>
      </c>
      <c r="AK16" s="8">
        <f t="shared" si="12"/>
        <v>132845.09332121635</v>
      </c>
      <c r="AL16" s="8">
        <f>求节点(精英野怪!$AH$5:$AH$164,精英野怪!AI$5:AI$164,M16)</f>
        <v>11029.093633627377</v>
      </c>
      <c r="AM16" s="8">
        <f t="shared" si="13"/>
        <v>143874.18695484372</v>
      </c>
      <c r="AN16" s="8">
        <f t="shared" si="14"/>
        <v>0.92334209584733251</v>
      </c>
      <c r="AO16" s="8">
        <f t="shared" si="15"/>
        <v>7.6657904152667516E-2</v>
      </c>
      <c r="AP16" s="8"/>
      <c r="AQ16" s="8">
        <f>IF(M16&lt;=节奏预期!$B$1,0,INDEX(其他调用!$C$4:$C$163,$M16)*Q$2-INDEX(其他调用!$C$4:$C$163,节奏预期!$B$1)*Q$2)</f>
        <v>351172.52813535125</v>
      </c>
      <c r="AR16" s="8">
        <f>求节点(精英野怪!$BI$5:$BI$164,精英野怪!$BY$5:$BY$164,$M16)</f>
        <v>582.54422444163811</v>
      </c>
      <c r="AS16" s="8">
        <f t="shared" si="16"/>
        <v>4094.2695057951505</v>
      </c>
      <c r="AT16" s="8"/>
    </row>
    <row r="17" spans="3:46" x14ac:dyDescent="0.15">
      <c r="M17" s="8">
        <v>110</v>
      </c>
      <c r="N17" s="8">
        <f>求节点(节奏总纲!$O$4:$O$163,节奏总纲!$P$4:$P$163,$M17)</f>
        <v>2047</v>
      </c>
      <c r="O17" s="8">
        <f>IF(M17&lt;=节奏预期!$B$1,0,INDEX(其他调用!$C$4:$C$163,$M17)*O$2-INDEX(其他调用!$C$4:$C$163,节奏预期!$B$1)*O$2)</f>
        <v>673982.32444684382</v>
      </c>
      <c r="P17" s="8">
        <v>0.6</v>
      </c>
      <c r="Q17" s="8">
        <f t="shared" si="2"/>
        <v>0.4</v>
      </c>
      <c r="R17" s="8">
        <f t="shared" si="19"/>
        <v>135538.52858265291</v>
      </c>
      <c r="S17" s="8">
        <f t="shared" si="20"/>
        <v>130116.98743934679</v>
      </c>
      <c r="T17" s="8">
        <f t="shared" si="21"/>
        <v>254562.54676169553</v>
      </c>
      <c r="U17" s="8">
        <f t="shared" si="22"/>
        <v>153764.26166314859</v>
      </c>
      <c r="V17" s="8">
        <f t="shared" si="4"/>
        <v>1355.3852858265291</v>
      </c>
      <c r="W17" s="8">
        <f t="shared" si="5"/>
        <v>260.23397487869357</v>
      </c>
      <c r="X17" s="8">
        <f t="shared" si="6"/>
        <v>101.82501870467821</v>
      </c>
      <c r="Y17" s="8">
        <f t="shared" si="7"/>
        <v>6.1505704665259433</v>
      </c>
      <c r="Z17" s="8">
        <f>求节点(精英野怪!$BI$5:$BI$164,精英野怪!BJ$5:BJ$164,M17)</f>
        <v>99.360017955331031</v>
      </c>
      <c r="AA17" s="8">
        <f>求节点(精英野怪!$BI$5:$BI$164,精英野怪!BO$5:BO$164,M17)</f>
        <v>149.04002693299657</v>
      </c>
      <c r="AB17" s="8">
        <f>求节点(精英野怪!$BI$5:$BI$164,精英野怪!BT$5:BT$164,M17)</f>
        <v>0</v>
      </c>
      <c r="AC17" s="8">
        <v>0</v>
      </c>
      <c r="AD17" s="8">
        <f t="shared" si="8"/>
        <v>1454.74530378186</v>
      </c>
      <c r="AE17" s="8">
        <f t="shared" si="9"/>
        <v>409.27400181169014</v>
      </c>
      <c r="AF17" s="8">
        <f t="shared" si="10"/>
        <v>101.82501870467821</v>
      </c>
      <c r="AG17" s="8">
        <f t="shared" si="11"/>
        <v>6.1505704665259433</v>
      </c>
      <c r="AH17" s="8"/>
      <c r="AI17" s="8">
        <f>IF(M17&lt;=节奏预期!$B$1,0,INDEX(其他调用!$C$4:$C$163,$M17)*P$2-INDEX(其他调用!$C$4:$C$163,节奏预期!$B$1)*P$2)</f>
        <v>1347964.6488936876</v>
      </c>
      <c r="AJ17" s="8">
        <f>求节点(阵旗升级!$Z$5:$Z$164,阵旗升级!$AA$5:$AA$164,M17)</f>
        <v>3.6666666666666665</v>
      </c>
      <c r="AK17" s="8">
        <f t="shared" si="12"/>
        <v>308923.16403657594</v>
      </c>
      <c r="AL17" s="8">
        <f>求节点(精英野怪!$AH$5:$AH$164,精英野怪!AI$5:AI$164,M17)</f>
        <v>28459.646551544687</v>
      </c>
      <c r="AM17" s="8">
        <f t="shared" si="13"/>
        <v>337382.8105881206</v>
      </c>
      <c r="AN17" s="8">
        <f t="shared" si="14"/>
        <v>0.91564583120896337</v>
      </c>
      <c r="AO17" s="8">
        <f t="shared" si="15"/>
        <v>8.4354168791036688E-2</v>
      </c>
      <c r="AP17" s="8"/>
      <c r="AQ17" s="8">
        <f>IF(M17&lt;=节奏预期!$B$1,0,INDEX(其他调用!$C$4:$C$163,$M17)*Q$2-INDEX(其他调用!$C$4:$C$163,节奏预期!$B$1)*Q$2)</f>
        <v>673982.32444684382</v>
      </c>
      <c r="AR17" s="8">
        <f>求节点(精英野怪!$BI$5:$BI$164,精英野怪!$BY$5:$BY$164,$M17)</f>
        <v>1242.0002244416382</v>
      </c>
      <c r="AS17" s="8">
        <f t="shared" si="16"/>
        <v>7981.8234689100764</v>
      </c>
      <c r="AT17" s="8"/>
    </row>
    <row r="18" spans="3:46" x14ac:dyDescent="0.15">
      <c r="M18" s="8">
        <v>120</v>
      </c>
      <c r="N18" s="8">
        <f>求节点(节奏总纲!$O$4:$O$163,节奏总纲!$P$4:$P$163,$M18)</f>
        <v>4095</v>
      </c>
      <c r="O18" s="8">
        <f>IF(M18&lt;=节奏预期!$B$1,0,INDEX(其他调用!$C$4:$C$163,$M18)*O$2-INDEX(其他调用!$C$4:$C$163,节奏预期!$B$1)*O$2)</f>
        <v>1286688.585114555</v>
      </c>
      <c r="P18" s="8">
        <v>0.5</v>
      </c>
      <c r="Q18" s="8">
        <f t="shared" si="2"/>
        <v>0.5</v>
      </c>
      <c r="R18" s="8">
        <f t="shared" si="19"/>
        <v>224079.89573116606</v>
      </c>
      <c r="S18" s="8">
        <f t="shared" si="20"/>
        <v>215116.69990191943</v>
      </c>
      <c r="T18" s="8">
        <f t="shared" si="21"/>
        <v>463962.88006792916</v>
      </c>
      <c r="U18" s="8">
        <f t="shared" si="22"/>
        <v>383529.10941354022</v>
      </c>
      <c r="V18" s="8">
        <f t="shared" si="4"/>
        <v>2240.7989573116606</v>
      </c>
      <c r="W18" s="8">
        <f t="shared" si="5"/>
        <v>430.23339980383889</v>
      </c>
      <c r="X18" s="8">
        <f t="shared" si="6"/>
        <v>185.58515202717166</v>
      </c>
      <c r="Y18" s="8">
        <f t="shared" si="7"/>
        <v>15.341164376541609</v>
      </c>
      <c r="Z18" s="8">
        <f>求节点(精英野怪!$BI$5:$BI$164,精英野怪!BJ$5:BJ$164,M18)</f>
        <v>204.87297795533104</v>
      </c>
      <c r="AA18" s="8">
        <f>求节点(精英野怪!$BI$5:$BI$164,精英野怪!BO$5:BO$164,M18)</f>
        <v>307.3094669329966</v>
      </c>
      <c r="AB18" s="8">
        <f>求节点(精英野怪!$BI$5:$BI$164,精英野怪!BT$5:BT$164,M18)</f>
        <v>0</v>
      </c>
      <c r="AC18" s="8">
        <v>0</v>
      </c>
      <c r="AD18" s="8">
        <f t="shared" si="8"/>
        <v>2445.6719352669916</v>
      </c>
      <c r="AE18" s="8">
        <f t="shared" si="9"/>
        <v>737.54286673683555</v>
      </c>
      <c r="AF18" s="8">
        <f t="shared" si="10"/>
        <v>185.58515202717166</v>
      </c>
      <c r="AG18" s="8">
        <f t="shared" si="11"/>
        <v>15.341164376541609</v>
      </c>
      <c r="AH18" s="8"/>
      <c r="AI18" s="8">
        <f>IF(M18&lt;=节奏预期!$B$1,0,INDEX(其他调用!$C$4:$C$163,$M18)*P$2-INDEX(其他调用!$C$4:$C$163,节奏预期!$B$1)*P$2)</f>
        <v>2573377.1702291099</v>
      </c>
      <c r="AJ18" s="8">
        <f>求节点(阵旗升级!$Z$5:$Z$164,阵旗升级!$AA$5:$AA$164,M18)</f>
        <v>3.1428571428571428</v>
      </c>
      <c r="AK18" s="8">
        <f t="shared" si="12"/>
        <v>698827.14809784666</v>
      </c>
      <c r="AL18" s="8">
        <f>求节点(精英野怪!$AH$5:$AH$164,精英野怪!AI$5:AI$164,M18)</f>
        <v>69538.480387379313</v>
      </c>
      <c r="AM18" s="8">
        <f t="shared" si="13"/>
        <v>768365.62848522596</v>
      </c>
      <c r="AN18" s="8">
        <f t="shared" si="14"/>
        <v>0.90949818965162577</v>
      </c>
      <c r="AO18" s="8">
        <f t="shared" si="15"/>
        <v>9.0501810348374262E-2</v>
      </c>
      <c r="AP18" s="8"/>
      <c r="AQ18" s="8">
        <f>IF(M18&lt;=节奏预期!$B$1,0,INDEX(其他调用!$C$4:$C$163,$M18)*Q$2-INDEX(其他调用!$C$4:$C$163,节奏预期!$B$1)*Q$2)</f>
        <v>1286688.585114555</v>
      </c>
      <c r="AR18" s="8">
        <f>求节点(精英野怪!$BI$5:$BI$164,精英野怪!$BY$5:$BY$164,$M18)</f>
        <v>2560.9122244416385</v>
      </c>
      <c r="AS18" s="8">
        <f t="shared" si="16"/>
        <v>15427.798075587187</v>
      </c>
      <c r="AT18" s="8"/>
    </row>
    <row r="19" spans="3:46" x14ac:dyDescent="0.15">
      <c r="M19" s="8">
        <v>130</v>
      </c>
      <c r="N19" s="8">
        <f>求节点(节奏总纲!$O$4:$O$163,节奏总纲!$P$4:$P$163,$M19)</f>
        <v>8191</v>
      </c>
      <c r="O19" s="8">
        <f>IF(M19&lt;=节奏预期!$B$1,0,INDEX(其他调用!$C$4:$C$163,$M19)*O$2-INDEX(其他调用!$C$4:$C$163,节奏预期!$B$1)*O$2)</f>
        <v>2462939.1298863175</v>
      </c>
      <c r="P19" s="8">
        <v>0.4</v>
      </c>
      <c r="Q19" s="8">
        <f t="shared" si="2"/>
        <v>0.6</v>
      </c>
      <c r="R19" s="8">
        <f t="shared" si="19"/>
        <v>360062.61767009815</v>
      </c>
      <c r="S19" s="8">
        <f t="shared" si="20"/>
        <v>345660.11296329426</v>
      </c>
      <c r="T19" s="8">
        <f t="shared" si="21"/>
        <v>844374.54469209164</v>
      </c>
      <c r="U19" s="8">
        <f t="shared" si="22"/>
        <v>912841.85456083331</v>
      </c>
      <c r="V19" s="8">
        <f t="shared" si="4"/>
        <v>3600.6261767009814</v>
      </c>
      <c r="W19" s="8">
        <f t="shared" si="5"/>
        <v>691.32022592658848</v>
      </c>
      <c r="X19" s="8">
        <f t="shared" si="6"/>
        <v>337.74981787683663</v>
      </c>
      <c r="Y19" s="8">
        <f t="shared" si="7"/>
        <v>36.513674182433334</v>
      </c>
      <c r="Z19" s="8">
        <f>求节点(精英野怪!$BI$5:$BI$164,精英野怪!BJ$5:BJ$164,M19)</f>
        <v>415.89889795533099</v>
      </c>
      <c r="AA19" s="8">
        <f>求节点(精英野怪!$BI$5:$BI$164,精英野怪!BO$5:BO$164,M19)</f>
        <v>623.84834693299661</v>
      </c>
      <c r="AB19" s="8">
        <f>求节点(精英野怪!$BI$5:$BI$164,精英野怪!BT$5:BT$164,M19)</f>
        <v>0</v>
      </c>
      <c r="AC19" s="8">
        <v>0</v>
      </c>
      <c r="AD19" s="8">
        <f t="shared" si="8"/>
        <v>4016.5250746563124</v>
      </c>
      <c r="AE19" s="8">
        <f t="shared" si="9"/>
        <v>1315.1685728595851</v>
      </c>
      <c r="AF19" s="8">
        <f t="shared" si="10"/>
        <v>337.74981787683663</v>
      </c>
      <c r="AG19" s="8">
        <f t="shared" si="11"/>
        <v>36.513674182433334</v>
      </c>
      <c r="AH19" s="8"/>
      <c r="AI19" s="8">
        <f>IF(M19&lt;=节奏预期!$B$1,0,INDEX(其他调用!$C$4:$C$163,$M19)*P$2-INDEX(其他调用!$C$4:$C$163,节奏预期!$B$1)*P$2)</f>
        <v>4925878.2597726351</v>
      </c>
      <c r="AJ19" s="8">
        <f>求节点(阵旗升级!$Z$5:$Z$164,阵旗升级!$AA$5:$AA$164,M19)</f>
        <v>2.75</v>
      </c>
      <c r="AK19" s="8">
        <f t="shared" si="12"/>
        <v>1554282.0897500375</v>
      </c>
      <c r="AL19" s="8">
        <f>求节点(精英野怪!$AH$5:$AH$164,精英野怪!AI$5:AI$164,M19)</f>
        <v>164131.60405904858</v>
      </c>
      <c r="AM19" s="8">
        <f t="shared" si="13"/>
        <v>1718413.693809086</v>
      </c>
      <c r="AN19" s="8">
        <f t="shared" si="14"/>
        <v>0.90448655952267842</v>
      </c>
      <c r="AO19" s="8">
        <f t="shared" si="15"/>
        <v>9.5513440477321659E-2</v>
      </c>
      <c r="AP19" s="8"/>
      <c r="AQ19" s="8">
        <f>IF(M19&lt;=节奏预期!$B$1,0,INDEX(其他调用!$C$4:$C$163,$M19)*Q$2-INDEX(其他调用!$C$4:$C$163,节奏预期!$B$1)*Q$2)</f>
        <v>2462939.1298863175</v>
      </c>
      <c r="AR19" s="8">
        <f>求节点(精英野怪!$BI$5:$BI$164,精英野怪!$BY$5:$BY$164,$M19)</f>
        <v>5198.7362244416381</v>
      </c>
      <c r="AS19" s="8">
        <f t="shared" si="16"/>
        <v>29828.127523304815</v>
      </c>
      <c r="AT19" s="8"/>
    </row>
    <row r="20" spans="3:46" x14ac:dyDescent="0.15">
      <c r="M20" s="8">
        <v>140</v>
      </c>
      <c r="N20" s="8">
        <f>求节点(节奏总纲!$O$4:$O$163,节奏总纲!$P$4:$P$163,$M20)</f>
        <v>16383</v>
      </c>
      <c r="O20" s="8">
        <f>IF(M20&lt;=节奏预期!$B$1,0,INDEX(其他调用!$C$4:$C$163,$M20)*O$2-INDEX(其他调用!$C$4:$C$163,节奏预期!$B$1)*O$2)</f>
        <v>4741625.3104810435</v>
      </c>
      <c r="P20" s="8">
        <v>0.3</v>
      </c>
      <c r="Q20" s="8">
        <f t="shared" si="2"/>
        <v>0.7</v>
      </c>
      <c r="R20" s="8">
        <f t="shared" si="19"/>
        <v>557636.56396443851</v>
      </c>
      <c r="S20" s="8">
        <f t="shared" si="20"/>
        <v>535331.10140586109</v>
      </c>
      <c r="T20" s="8">
        <f t="shared" si="21"/>
        <v>1539505.5457376791</v>
      </c>
      <c r="U20" s="8">
        <f t="shared" si="22"/>
        <v>2109152.0993730645</v>
      </c>
      <c r="V20" s="8">
        <f t="shared" si="4"/>
        <v>5576.3656396443848</v>
      </c>
      <c r="W20" s="8">
        <f t="shared" si="5"/>
        <v>1070.6622028117222</v>
      </c>
      <c r="X20" s="8">
        <f t="shared" si="6"/>
        <v>615.80221829507161</v>
      </c>
      <c r="Y20" s="8">
        <f t="shared" si="7"/>
        <v>84.366083974922574</v>
      </c>
      <c r="Z20" s="8">
        <f>求节点(精英野怪!$BI$5:$BI$164,精英野怪!BJ$5:BJ$164,M20)</f>
        <v>837.95073795533096</v>
      </c>
      <c r="AA20" s="8">
        <f>求节点(精英野怪!$BI$5:$BI$164,精英野怪!BO$5:BO$164,M20)</f>
        <v>1256.9261069329966</v>
      </c>
      <c r="AB20" s="8">
        <f>求节点(精英野怪!$BI$5:$BI$164,精英野怪!BT$5:BT$164,M20)</f>
        <v>0</v>
      </c>
      <c r="AC20" s="8">
        <v>0</v>
      </c>
      <c r="AD20" s="8">
        <f t="shared" si="8"/>
        <v>6414.3163775997155</v>
      </c>
      <c r="AE20" s="8">
        <f t="shared" si="9"/>
        <v>2327.5883097447186</v>
      </c>
      <c r="AF20" s="8">
        <f t="shared" si="10"/>
        <v>615.80221829507161</v>
      </c>
      <c r="AG20" s="8">
        <f t="shared" si="11"/>
        <v>84.366083974922574</v>
      </c>
      <c r="AH20" s="8"/>
      <c r="AI20" s="8">
        <f>IF(M20&lt;=节奏预期!$B$1,0,INDEX(其他调用!$C$4:$C$163,$M20)*P$2-INDEX(其他调用!$C$4:$C$163,节奏预期!$B$1)*P$2)</f>
        <v>9483250.6209620871</v>
      </c>
      <c r="AJ20" s="8">
        <f>求节点(阵旗升级!$Z$5:$Z$164,阵旗升级!$AA$5:$AA$164,M20)</f>
        <v>2.75</v>
      </c>
      <c r="AK20" s="8">
        <f t="shared" si="12"/>
        <v>3211508.4029098386</v>
      </c>
      <c r="AL20" s="8">
        <f>求节点(精英野怪!$AH$5:$AH$164,精英野怪!AI$5:AI$164,M20)</f>
        <v>363098.90005904855</v>
      </c>
      <c r="AM20" s="8">
        <f t="shared" si="13"/>
        <v>3574607.3029688871</v>
      </c>
      <c r="AN20" s="8">
        <f t="shared" si="14"/>
        <v>0.89842271631978232</v>
      </c>
      <c r="AO20" s="8">
        <f t="shared" si="15"/>
        <v>0.10157728368021771</v>
      </c>
      <c r="AP20" s="8"/>
      <c r="AQ20" s="8">
        <f>IF(M20&lt;=节奏预期!$B$1,0,INDEX(其他调用!$C$4:$C$163,$M20)*Q$2-INDEX(其他调用!$C$4:$C$163,节奏预期!$B$1)*Q$2)</f>
        <v>4741625.3104810435</v>
      </c>
      <c r="AR20" s="8">
        <f>求节点(精英野怪!$BI$5:$BI$164,精英野怪!$BY$5:$BY$164,$M20)</f>
        <v>10474.384224441639</v>
      </c>
      <c r="AS20" s="8">
        <f t="shared" si="16"/>
        <v>57890.637329252073</v>
      </c>
      <c r="AT20" s="8"/>
    </row>
    <row r="21" spans="3:46" x14ac:dyDescent="0.15">
      <c r="M21" s="8">
        <v>150</v>
      </c>
      <c r="N21" s="8">
        <f>求节点(节奏总纲!$O$4:$O$163,节奏总纲!$P$4:$P$163,$M21)</f>
        <v>32767</v>
      </c>
      <c r="O21" s="8">
        <f>IF(M21&lt;=节奏预期!$B$1,0,INDEX(其他调用!$C$4:$C$163,$M21)*O$2-INDEX(其他调用!$C$4:$C$163,节奏预期!$B$1)*O$2)</f>
        <v>9188290.8358815722</v>
      </c>
      <c r="P21" s="8">
        <v>0.2</v>
      </c>
      <c r="Q21" s="8">
        <f t="shared" si="2"/>
        <v>0.8</v>
      </c>
      <c r="R21" s="8">
        <f t="shared" si="19"/>
        <v>814669.25329394883</v>
      </c>
      <c r="S21" s="8">
        <f t="shared" si="20"/>
        <v>782082.483162191</v>
      </c>
      <c r="T21" s="8">
        <f t="shared" si="21"/>
        <v>2814387.6848120503</v>
      </c>
      <c r="U21" s="8">
        <f t="shared" si="22"/>
        <v>4777151.414613382</v>
      </c>
      <c r="V21" s="8">
        <f t="shared" si="4"/>
        <v>8146.692532939488</v>
      </c>
      <c r="W21" s="8">
        <f t="shared" si="5"/>
        <v>1564.164966324382</v>
      </c>
      <c r="X21" s="8">
        <f t="shared" si="6"/>
        <v>1125.7550739248202</v>
      </c>
      <c r="Y21" s="8">
        <f t="shared" si="7"/>
        <v>191.08605658453527</v>
      </c>
      <c r="Z21" s="8">
        <f>求节点(精英野怪!$BI$5:$BI$164,精英野怪!BJ$5:BJ$164,M21)</f>
        <v>1682.0544179553308</v>
      </c>
      <c r="AA21" s="8">
        <f>求节点(精英野怪!$BI$5:$BI$164,精英野怪!BO$5:BO$164,M21)</f>
        <v>2523.0816269329966</v>
      </c>
      <c r="AB21" s="8">
        <f>求节点(精英野怪!$BI$5:$BI$164,精英野怪!BT$5:BT$164,M21)</f>
        <v>0</v>
      </c>
      <c r="AC21" s="8">
        <v>0</v>
      </c>
      <c r="AD21" s="8">
        <f t="shared" si="8"/>
        <v>9828.7469508948197</v>
      </c>
      <c r="AE21" s="8">
        <f t="shared" si="9"/>
        <v>4087.2465932573787</v>
      </c>
      <c r="AF21" s="8">
        <f t="shared" si="10"/>
        <v>1125.7550739248202</v>
      </c>
      <c r="AG21" s="8">
        <f t="shared" si="11"/>
        <v>191.08605658453527</v>
      </c>
      <c r="AH21" s="8"/>
      <c r="AI21" s="8">
        <f>IF(M21&lt;=节奏预期!$B$1,0,INDEX(其他调用!$C$4:$C$163,$M21)*P$2-INDEX(其他调用!$C$4:$C$163,节奏预期!$B$1)*P$2)</f>
        <v>18376581.671763144</v>
      </c>
      <c r="AJ21" s="8">
        <f>求节点(阵旗升级!$Z$5:$Z$164,阵旗升级!$AA$5:$AA$164,M21)</f>
        <v>2.75</v>
      </c>
      <c r="AK21" s="8">
        <f t="shared" si="12"/>
        <v>6445446.9668374956</v>
      </c>
      <c r="AL21" s="8">
        <f>求节点(精英野怪!$AH$5:$AH$164,精英野怪!AI$5:AI$164,M21)</f>
        <v>761033.4920590485</v>
      </c>
      <c r="AM21" s="8">
        <f t="shared" si="13"/>
        <v>7206480.4588965438</v>
      </c>
      <c r="AN21" s="8">
        <f t="shared" si="14"/>
        <v>0.89439595425260088</v>
      </c>
      <c r="AO21" s="8">
        <f t="shared" si="15"/>
        <v>0.10560404574739914</v>
      </c>
      <c r="AP21" s="8"/>
      <c r="AQ21" s="8">
        <f>IF(M21&lt;=节奏预期!$B$1,0,INDEX(其他调用!$C$4:$C$163,$M21)*Q$2-INDEX(其他调用!$C$4:$C$163,节奏预期!$B$1)*Q$2)</f>
        <v>9188290.8358815722</v>
      </c>
      <c r="AR21" s="8">
        <f>求节点(精英野怪!$BI$5:$BI$164,精英野怪!$BY$5:$BY$164,$M21)</f>
        <v>21025.680224441639</v>
      </c>
      <c r="AS21" s="8">
        <f t="shared" si="16"/>
        <v>112908.58858325737</v>
      </c>
      <c r="AT21" s="8"/>
    </row>
    <row r="22" spans="3:46" x14ac:dyDescent="0.15">
      <c r="M22" s="8">
        <v>160</v>
      </c>
      <c r="N22" s="8">
        <f>求节点(节奏总纲!$O$4:$O$163,节奏总纲!$P$4:$P$163,$M22)</f>
        <v>65535</v>
      </c>
      <c r="O22" s="8">
        <f>IF(M22&lt;=节奏预期!$B$1,0,INDEX(其他调用!$C$4:$C$163,$M22)*O$2-INDEX(其他调用!$C$4:$C$163,节奏预期!$B$1)*O$2)</f>
        <v>17902414.111149885</v>
      </c>
      <c r="P22" s="8">
        <v>0.1</v>
      </c>
      <c r="Q22" s="8">
        <f t="shared" si="2"/>
        <v>0.9</v>
      </c>
      <c r="R22" s="8">
        <f t="shared" si="19"/>
        <v>1066522.5271456342</v>
      </c>
      <c r="S22" s="8">
        <f t="shared" si="20"/>
        <v>1023861.626059809</v>
      </c>
      <c r="T22" s="8">
        <f t="shared" si="21"/>
        <v>5152845.3325249478</v>
      </c>
      <c r="U22" s="8">
        <f t="shared" si="22"/>
        <v>10659184.625419494</v>
      </c>
      <c r="V22" s="8">
        <f t="shared" si="4"/>
        <v>10665.225271456342</v>
      </c>
      <c r="W22" s="8">
        <f t="shared" si="5"/>
        <v>2047.7232521196181</v>
      </c>
      <c r="X22" s="8">
        <f t="shared" si="6"/>
        <v>2061.1381330099794</v>
      </c>
      <c r="Y22" s="8">
        <f t="shared" si="7"/>
        <v>426.36738501677974</v>
      </c>
      <c r="Z22" s="8">
        <f>求节点(精英野怪!$BI$5:$BI$164,精英野怪!BJ$5:BJ$164,M22)</f>
        <v>3370.2617779553307</v>
      </c>
      <c r="AA22" s="8">
        <f>求节点(精英野怪!$BI$5:$BI$164,精英野怪!BO$5:BO$164,M22)</f>
        <v>5055.3926669329976</v>
      </c>
      <c r="AB22" s="8">
        <f>求节点(精英野怪!$BI$5:$BI$164,精英野怪!BT$5:BT$164,M22)</f>
        <v>0</v>
      </c>
      <c r="AC22" s="8">
        <v>0</v>
      </c>
      <c r="AD22" s="8">
        <f t="shared" si="8"/>
        <v>14035.487049411673</v>
      </c>
      <c r="AE22" s="8">
        <f t="shared" si="9"/>
        <v>7103.1159190526159</v>
      </c>
      <c r="AF22" s="8">
        <f t="shared" si="10"/>
        <v>2061.1381330099794</v>
      </c>
      <c r="AG22" s="8">
        <f t="shared" si="11"/>
        <v>426.36738501677974</v>
      </c>
      <c r="AH22" s="8"/>
      <c r="AI22" s="8">
        <f>IF(M22&lt;=节奏预期!$B$1,0,INDEX(其他调用!$C$4:$C$163,$M22)*P$2-INDEX(其他调用!$C$4:$C$163,节奏预期!$B$1)*P$2)</f>
        <v>35804828.22229977</v>
      </c>
      <c r="AJ22" s="8">
        <f>求节点(阵旗升级!$Z$5:$Z$164,阵旗升级!$AA$5:$AA$164,M22)</f>
        <v>2.75</v>
      </c>
      <c r="AK22" s="8">
        <f t="shared" si="12"/>
        <v>12782991.167032633</v>
      </c>
      <c r="AL22" s="8">
        <f>求节点(精英野怪!$AH$5:$AH$164,精英野怪!AI$5:AI$164,M22)</f>
        <v>1556902.6760590484</v>
      </c>
      <c r="AM22" s="8">
        <f t="shared" si="13"/>
        <v>14339893.843091682</v>
      </c>
      <c r="AN22" s="8">
        <f t="shared" si="14"/>
        <v>0.89142857728970604</v>
      </c>
      <c r="AO22" s="8">
        <f t="shared" si="15"/>
        <v>0.10857142271029394</v>
      </c>
      <c r="AP22" s="8"/>
      <c r="AQ22" s="8">
        <f>IF(M22&lt;=节奏预期!$B$1,0,INDEX(其他调用!$C$4:$C$163,$M22)*Q$2-INDEX(其他调用!$C$4:$C$163,节奏预期!$B$1)*Q$2)</f>
        <v>17902414.111149885</v>
      </c>
      <c r="AR22" s="8">
        <f>求节点(精英野怪!$BI$5:$BI$164,精英野怪!$BY$5:$BY$164,$M22)</f>
        <v>42128.272224441644</v>
      </c>
      <c r="AS22" s="8">
        <f t="shared" si="16"/>
        <v>221152.41333594048</v>
      </c>
      <c r="AT22" s="8"/>
    </row>
    <row r="23" spans="3:46" x14ac:dyDescent="0.15">
      <c r="C23" s="8" t="s">
        <v>322</v>
      </c>
      <c r="D23" s="8" t="s">
        <v>325</v>
      </c>
      <c r="E23" s="8" t="s">
        <v>324</v>
      </c>
      <c r="F23" s="8" t="s">
        <v>323</v>
      </c>
      <c r="G23" s="8" t="s">
        <v>333</v>
      </c>
      <c r="H23" s="8" t="s">
        <v>326</v>
      </c>
      <c r="I23" s="8" t="s">
        <v>327</v>
      </c>
      <c r="J23" s="8" t="s">
        <v>331</v>
      </c>
    </row>
    <row r="24" spans="3:46" x14ac:dyDescent="0.15">
      <c r="C24" s="8" t="s">
        <v>329</v>
      </c>
      <c r="D24" s="8">
        <v>0.25</v>
      </c>
      <c r="E24" s="8">
        <v>0.12</v>
      </c>
      <c r="F24" s="8">
        <v>0.15</v>
      </c>
      <c r="G24" s="8">
        <v>0</v>
      </c>
      <c r="H24" s="8">
        <v>0.12</v>
      </c>
      <c r="I24" s="8">
        <v>0.25</v>
      </c>
      <c r="J24" s="8">
        <f>1-SUM(D24:I24)</f>
        <v>0.10999999999999999</v>
      </c>
      <c r="P24" s="53" t="s">
        <v>336</v>
      </c>
      <c r="Q24" s="53"/>
      <c r="R24" s="53" t="s">
        <v>231</v>
      </c>
      <c r="S24" s="53"/>
      <c r="T24" s="53"/>
      <c r="U24" s="53"/>
      <c r="V24" s="53" t="s">
        <v>232</v>
      </c>
      <c r="W24" s="53"/>
      <c r="X24" s="53"/>
      <c r="Y24" s="53"/>
      <c r="Z24" s="53" t="s">
        <v>240</v>
      </c>
      <c r="AA24" s="53"/>
      <c r="AB24" s="53"/>
      <c r="AC24" s="53"/>
      <c r="AD24" s="53" t="s">
        <v>238</v>
      </c>
      <c r="AE24" s="53"/>
      <c r="AF24" s="53"/>
      <c r="AG24" s="53"/>
      <c r="AJ24" s="53" t="s">
        <v>296</v>
      </c>
      <c r="AK24" s="53"/>
      <c r="AL24" s="53"/>
      <c r="AM24" s="53"/>
    </row>
    <row r="25" spans="3:46" x14ac:dyDescent="0.15">
      <c r="C25" s="8" t="s">
        <v>330</v>
      </c>
      <c r="D25" s="8">
        <v>1</v>
      </c>
      <c r="E25" s="8">
        <f>2/10</f>
        <v>0.2</v>
      </c>
      <c r="F25" s="8">
        <f>1.5/30</f>
        <v>0.05</v>
      </c>
      <c r="G25" s="8">
        <v>0</v>
      </c>
      <c r="H25" s="8">
        <v>1</v>
      </c>
      <c r="I25" s="8">
        <v>10</v>
      </c>
      <c r="J25" s="8">
        <v>1</v>
      </c>
      <c r="L25" s="5" t="s">
        <v>128</v>
      </c>
      <c r="M25" s="8" t="s">
        <v>141</v>
      </c>
      <c r="N25" s="8" t="s">
        <v>132</v>
      </c>
      <c r="O25" s="8" t="s">
        <v>225</v>
      </c>
      <c r="P25" s="8" t="s">
        <v>328</v>
      </c>
      <c r="Q25" s="8" t="s">
        <v>339</v>
      </c>
      <c r="R25" s="8" t="s">
        <v>227</v>
      </c>
      <c r="S25" s="8" t="s">
        <v>228</v>
      </c>
      <c r="T25" s="8" t="s">
        <v>229</v>
      </c>
      <c r="U25" s="8" t="s">
        <v>230</v>
      </c>
      <c r="V25" s="8" t="s">
        <v>227</v>
      </c>
      <c r="W25" s="8" t="s">
        <v>228</v>
      </c>
      <c r="X25" s="8" t="s">
        <v>229</v>
      </c>
      <c r="Y25" s="8" t="s">
        <v>230</v>
      </c>
      <c r="Z25" s="8" t="s">
        <v>227</v>
      </c>
      <c r="AA25" s="8" t="s">
        <v>228</v>
      </c>
      <c r="AB25" s="8" t="s">
        <v>229</v>
      </c>
      <c r="AC25" s="8" t="s">
        <v>230</v>
      </c>
      <c r="AD25" s="8" t="s">
        <v>227</v>
      </c>
      <c r="AE25" s="8" t="s">
        <v>228</v>
      </c>
      <c r="AF25" s="8" t="s">
        <v>229</v>
      </c>
      <c r="AG25" s="8" t="s">
        <v>230</v>
      </c>
      <c r="AH25" s="8"/>
      <c r="AI25" s="8" t="s">
        <v>226</v>
      </c>
      <c r="AJ25" s="8" t="s">
        <v>233</v>
      </c>
      <c r="AK25" s="8" t="s">
        <v>291</v>
      </c>
      <c r="AL25" s="8" t="s">
        <v>292</v>
      </c>
      <c r="AM25" s="8" t="s">
        <v>295</v>
      </c>
      <c r="AN25" s="8" t="s">
        <v>302</v>
      </c>
      <c r="AO25" s="8" t="s">
        <v>303</v>
      </c>
      <c r="AP25" s="8"/>
      <c r="AQ25" s="8" t="s">
        <v>234</v>
      </c>
      <c r="AR25" s="8" t="s">
        <v>344</v>
      </c>
      <c r="AS25" s="8" t="s">
        <v>235</v>
      </c>
      <c r="AT25" s="8"/>
    </row>
    <row r="26" spans="3:46" x14ac:dyDescent="0.15">
      <c r="C26" s="8" t="s">
        <v>334</v>
      </c>
      <c r="D26" s="8">
        <f>D9*D25</f>
        <v>100</v>
      </c>
      <c r="E26" s="8">
        <f>E9*E25</f>
        <v>200</v>
      </c>
      <c r="F26" s="8">
        <f>F9*F25</f>
        <v>250</v>
      </c>
      <c r="G26" s="8">
        <f>G9*G25</f>
        <v>0</v>
      </c>
      <c r="H26" s="8">
        <f>D16</f>
        <v>100</v>
      </c>
      <c r="I26" s="8">
        <f>I25*阵旗升级!$AA$5</f>
        <v>110</v>
      </c>
      <c r="J26" s="8">
        <v>500</v>
      </c>
      <c r="M26" s="8">
        <v>10</v>
      </c>
      <c r="N26" s="8">
        <f>求节点(节奏总纲!$O$4:$O$163,节奏总纲!$Q$4:$Q$163,$M26)</f>
        <v>0.8548</v>
      </c>
      <c r="O26" s="8">
        <f>IF(M26&lt;=节奏预期!$B$1,0,INDEX(其他调用!$D$4:$D$163,$M26)*O$2-INDEX(其他调用!$D$4:$D$163,节奏预期!$B$1)*O$2)</f>
        <v>0</v>
      </c>
      <c r="P26" s="8">
        <v>1</v>
      </c>
      <c r="Q26" s="8">
        <f>1-P26</f>
        <v>0</v>
      </c>
      <c r="R26" s="8">
        <f>$P26*$O26*D$27/SUM($D$27:$G$27)+$Q26*$O26*D$35/SUM($D$35:$G$35)</f>
        <v>0</v>
      </c>
      <c r="S26" s="8">
        <f t="shared" ref="S26" si="23">$P26*$O26*E$27/SUM($D$27:$G$27)+$Q26*$O26*E$35/SUM($D$35:$G$35)</f>
        <v>0</v>
      </c>
      <c r="T26" s="8">
        <f t="shared" ref="T26" si="24">$P26*$O26*F$27/SUM($D$27:$G$27)+$Q26*$O26*F$35/SUM($D$35:$G$35)</f>
        <v>0</v>
      </c>
      <c r="U26" s="8">
        <f t="shared" ref="U26" si="25">$P26*$O26*G$27/SUM($D$27:$G$27)+$Q26*$O26*G$35/SUM($D$35:$G$35)</f>
        <v>0</v>
      </c>
      <c r="V26" s="8">
        <f>R26/D$7</f>
        <v>0</v>
      </c>
      <c r="W26" s="8">
        <f t="shared" ref="W26:W41" si="26">S26/E$7</f>
        <v>0</v>
      </c>
      <c r="X26" s="8">
        <f t="shared" ref="X26:X41" si="27">T26/F$7</f>
        <v>0</v>
      </c>
      <c r="Y26" s="8">
        <f t="shared" ref="Y26:Y41" si="28">U26/G$7</f>
        <v>0</v>
      </c>
      <c r="Z26" s="8">
        <f>求节点(精英野怪!$BI$5:$BI$164,精英野怪!BK$5:BK$164,M26)</f>
        <v>0</v>
      </c>
      <c r="AA26" s="8">
        <f>求节点(精英野怪!$BI$5:$BI$164,精英野怪!BP$5:BP$164,M26)</f>
        <v>0</v>
      </c>
      <c r="AB26" s="8">
        <f>求节点(精英野怪!$BI$5:$BI$164,精英野怪!BU$5:BU$164,M26)</f>
        <v>0</v>
      </c>
      <c r="AC26" s="8">
        <v>0</v>
      </c>
      <c r="AD26" s="8">
        <f>V26+Z26</f>
        <v>0</v>
      </c>
      <c r="AE26" s="8">
        <f t="shared" ref="AE26:AE41" si="29">W26+AA26</f>
        <v>0</v>
      </c>
      <c r="AF26" s="8">
        <f t="shared" ref="AF26:AF41" si="30">X26+AB26</f>
        <v>0</v>
      </c>
      <c r="AG26" s="8">
        <f t="shared" ref="AG26:AG41" si="31">Y26+AC26</f>
        <v>0</v>
      </c>
      <c r="AH26" s="8"/>
      <c r="AI26" s="8">
        <f>IF(M26&lt;=节奏预期!$B$1,0,INDEX(其他调用!$D$4:$D$163,$M26)*P$2-INDEX(其他调用!$D$4:$D$163,节奏预期!$B$1)*P$2)</f>
        <v>0</v>
      </c>
      <c r="AJ26" s="8">
        <f>SQRT(1/M26*10)</f>
        <v>1</v>
      </c>
      <c r="AK26" s="8">
        <f>IF(M26=10,AI26/AJ26,(AI26-AI25)/AJ26+AK25)</f>
        <v>0</v>
      </c>
      <c r="AL26" s="8">
        <f>求节点(精英野怪!$AH$5:$AH$164,精英野怪!AJ$5:AJ$164,M26)</f>
        <v>0</v>
      </c>
      <c r="AM26" s="8">
        <f>AK26+AL26</f>
        <v>0</v>
      </c>
      <c r="AN26" s="8" t="e">
        <f>AK26/$AM26</f>
        <v>#DIV/0!</v>
      </c>
      <c r="AO26" s="8" t="e">
        <f>AL26/$AM26</f>
        <v>#DIV/0!</v>
      </c>
      <c r="AP26" s="8"/>
      <c r="AQ26" s="8">
        <f>IF(M26&lt;=节奏预期!$B$1,0,INDEX(其他调用!$D$4:$D$163,$M26)*Q$2-INDEX(其他调用!$D$4:$D$163,节奏预期!$B$1)*Q$2)</f>
        <v>0</v>
      </c>
      <c r="AR26" s="8">
        <f>求节点(精英野怪!$BI$5:$BI$164,精英野怪!$BZ$5:$BZ$164,$M26)</f>
        <v>0</v>
      </c>
      <c r="AS26" s="8">
        <f t="shared" ref="AS26:AS41" si="32">AQ26/$D$16</f>
        <v>0</v>
      </c>
      <c r="AT26" s="8"/>
    </row>
    <row r="27" spans="3:46" x14ac:dyDescent="0.15">
      <c r="C27" s="8" t="s">
        <v>337</v>
      </c>
      <c r="D27" s="8">
        <f>D24*D26</f>
        <v>25</v>
      </c>
      <c r="E27" s="8">
        <f t="shared" ref="E27" si="33">E24*E26</f>
        <v>24</v>
      </c>
      <c r="F27" s="8">
        <f t="shared" ref="F27:G27" si="34">F24*F26</f>
        <v>37.5</v>
      </c>
      <c r="G27" s="8">
        <f t="shared" si="34"/>
        <v>0</v>
      </c>
      <c r="H27" s="8">
        <f t="shared" ref="H27" si="35">H24*H26</f>
        <v>12</v>
      </c>
      <c r="I27" s="8">
        <f t="shared" ref="I27" si="36">I24*I26</f>
        <v>27.5</v>
      </c>
      <c r="J27" s="8">
        <f t="shared" ref="J27" si="37">J24*J26</f>
        <v>54.999999999999993</v>
      </c>
      <c r="M27" s="8">
        <v>20</v>
      </c>
      <c r="N27" s="8">
        <f>求节点(节奏总纲!$O$4:$O$163,节奏总纲!$Q$4:$Q$163,$M27)</f>
        <v>2.6036999999999999</v>
      </c>
      <c r="O27" s="8">
        <f>IF(M27&lt;=节奏预期!$B$1,0,INDEX(其他调用!$D$4:$D$163,$M27)*O$2-INDEX(其他调用!$D$4:$D$163,节奏预期!$B$1)*O$2)</f>
        <v>0</v>
      </c>
      <c r="P27" s="8">
        <v>1</v>
      </c>
      <c r="Q27" s="8">
        <f t="shared" ref="Q27:Q41" si="38">1-P27</f>
        <v>0</v>
      </c>
      <c r="R27" s="8">
        <f>$P27*($O27-$O26)*D$27/SUM($D$27:$G$27)+$Q27*($O27-$O26)*D$35/SUM($D$35:$G$35)+R26</f>
        <v>0</v>
      </c>
      <c r="S27" s="8">
        <f t="shared" ref="S27:S41" si="39">$P27*($O27-$O26)*E$27/SUM($D$27:$G$27)+$Q27*($O27-$O26)*E$35/SUM($D$35:$G$35)+S26</f>
        <v>0</v>
      </c>
      <c r="T27" s="8">
        <f t="shared" ref="T27:T41" si="40">$P27*($O27-$O26)*F$27/SUM($D$27:$G$27)+$Q27*($O27-$O26)*F$35/SUM($D$35:$G$35)+T26</f>
        <v>0</v>
      </c>
      <c r="U27" s="8">
        <f t="shared" ref="U27:U41" si="41">$P27*($O27-$O26)*G$27/SUM($D$27:$G$27)+$Q27*($O27-$O26)*G$35/SUM($D$35:$G$35)+U26</f>
        <v>0</v>
      </c>
      <c r="V27" s="8">
        <f t="shared" ref="V27:V41" si="42">R27/D$7</f>
        <v>0</v>
      </c>
      <c r="W27" s="8">
        <f t="shared" si="26"/>
        <v>0</v>
      </c>
      <c r="X27" s="8">
        <f t="shared" si="27"/>
        <v>0</v>
      </c>
      <c r="Y27" s="8">
        <f t="shared" si="28"/>
        <v>0</v>
      </c>
      <c r="Z27" s="8">
        <f>求节点(精英野怪!$BI$5:$BI$164,精英野怪!BK$5:BK$164,M27)</f>
        <v>0</v>
      </c>
      <c r="AA27" s="8">
        <f>求节点(精英野怪!$BI$5:$BI$164,精英野怪!BP$5:BP$164,M27)</f>
        <v>0</v>
      </c>
      <c r="AB27" s="8">
        <f>求节点(精英野怪!$BI$5:$BI$164,精英野怪!BU$5:BU$164,M27)</f>
        <v>0</v>
      </c>
      <c r="AC27" s="8">
        <v>0</v>
      </c>
      <c r="AD27" s="8">
        <f t="shared" ref="AD27:AD41" si="43">V27+Z27</f>
        <v>0</v>
      </c>
      <c r="AE27" s="8">
        <f t="shared" si="29"/>
        <v>0</v>
      </c>
      <c r="AF27" s="8">
        <f t="shared" si="30"/>
        <v>0</v>
      </c>
      <c r="AG27" s="8">
        <f t="shared" si="31"/>
        <v>0</v>
      </c>
      <c r="AH27" s="8"/>
      <c r="AI27" s="8">
        <f>IF(M27&lt;=节奏预期!$B$1,0,INDEX(其他调用!$D$4:$D$163,$M27)*P$2-INDEX(其他调用!$D$4:$D$163,节奏预期!$B$1)*P$2)</f>
        <v>0</v>
      </c>
      <c r="AJ27" s="8">
        <f t="shared" ref="AJ27:AJ41" si="44">SQRT(1/M27*10)</f>
        <v>0.70710678118654757</v>
      </c>
      <c r="AK27" s="8">
        <f t="shared" ref="AK27:AK41" si="45">IF(M27=10,AI27/AJ27,(AI27-AI26)/AJ27+AK26)</f>
        <v>0</v>
      </c>
      <c r="AL27" s="8">
        <f>求节点(精英野怪!$AH$5:$AH$164,精英野怪!AJ$5:AJ$164,M27)</f>
        <v>0</v>
      </c>
      <c r="AM27" s="8">
        <f t="shared" ref="AM27:AM41" si="46">AK27+AL27</f>
        <v>0</v>
      </c>
      <c r="AN27" s="8" t="e">
        <f t="shared" ref="AN27:AN41" si="47">AK27/$AM27</f>
        <v>#DIV/0!</v>
      </c>
      <c r="AO27" s="8" t="e">
        <f t="shared" ref="AO27:AO41" si="48">AL27/$AM27</f>
        <v>#DIV/0!</v>
      </c>
      <c r="AP27" s="8"/>
      <c r="AQ27" s="8">
        <f>IF(M27&lt;=节奏预期!$B$1,0,INDEX(其他调用!$D$4:$D$163,$M27)*Q$2-INDEX(其他调用!$D$4:$D$163,节奏预期!$B$1)*Q$2)</f>
        <v>0</v>
      </c>
      <c r="AR27" s="8">
        <f>求节点(精英野怪!$BI$5:$BI$164,精英野怪!$BZ$5:$BZ$164,$M27)</f>
        <v>0</v>
      </c>
      <c r="AS27" s="8">
        <f t="shared" si="32"/>
        <v>0</v>
      </c>
      <c r="AT27" s="8"/>
    </row>
    <row r="28" spans="3:46" x14ac:dyDescent="0.15">
      <c r="C28" s="8" t="s">
        <v>335</v>
      </c>
      <c r="D28" s="8">
        <f>SUMPRODUCT(D24:J24,D26:J26)</f>
        <v>181</v>
      </c>
      <c r="E28" s="8"/>
      <c r="F28" s="8"/>
      <c r="G28" s="8"/>
      <c r="H28" s="8"/>
      <c r="I28" s="8"/>
      <c r="J28" s="8"/>
      <c r="M28" s="8">
        <v>30</v>
      </c>
      <c r="N28" s="8">
        <f>求节点(节奏总纲!$O$4:$O$163,节奏总纲!$Q$4:$Q$163,$M28)</f>
        <v>6.1025999999999998</v>
      </c>
      <c r="O28" s="8">
        <f>IF(M28&lt;=节奏预期!$B$1,0,INDEX(其他调用!$D$4:$D$163,$M28)*O$2-INDEX(其他调用!$D$4:$D$163,节奏预期!$B$1)*O$2)</f>
        <v>0</v>
      </c>
      <c r="P28" s="8">
        <v>1</v>
      </c>
      <c r="Q28" s="8">
        <f t="shared" si="38"/>
        <v>0</v>
      </c>
      <c r="R28" s="8">
        <f t="shared" ref="R28:R41" si="49">$P28*($O28-$O27)*D$27/SUM($D$27:$G$27)+$Q28*($O28-$O27)*D$35/SUM($D$35:$G$35)+R27</f>
        <v>0</v>
      </c>
      <c r="S28" s="8">
        <f t="shared" si="39"/>
        <v>0</v>
      </c>
      <c r="T28" s="8">
        <f t="shared" si="40"/>
        <v>0</v>
      </c>
      <c r="U28" s="8">
        <f t="shared" si="41"/>
        <v>0</v>
      </c>
      <c r="V28" s="8">
        <f t="shared" si="42"/>
        <v>0</v>
      </c>
      <c r="W28" s="8">
        <f t="shared" si="26"/>
        <v>0</v>
      </c>
      <c r="X28" s="8">
        <f t="shared" si="27"/>
        <v>0</v>
      </c>
      <c r="Y28" s="8">
        <f t="shared" si="28"/>
        <v>0</v>
      </c>
      <c r="Z28" s="8">
        <f>求节点(精英野怪!$BI$5:$BI$164,精英野怪!BK$5:BK$164,M28)</f>
        <v>0</v>
      </c>
      <c r="AA28" s="8">
        <f>求节点(精英野怪!$BI$5:$BI$164,精英野怪!BP$5:BP$164,M28)</f>
        <v>0</v>
      </c>
      <c r="AB28" s="8">
        <f>求节点(精英野怪!$BI$5:$BI$164,精英野怪!BU$5:BU$164,M28)</f>
        <v>0</v>
      </c>
      <c r="AC28" s="8">
        <v>0</v>
      </c>
      <c r="AD28" s="8">
        <f t="shared" si="43"/>
        <v>0</v>
      </c>
      <c r="AE28" s="8">
        <f t="shared" si="29"/>
        <v>0</v>
      </c>
      <c r="AF28" s="8">
        <f t="shared" si="30"/>
        <v>0</v>
      </c>
      <c r="AG28" s="8">
        <f t="shared" si="31"/>
        <v>0</v>
      </c>
      <c r="AH28" s="8"/>
      <c r="AI28" s="8">
        <f>IF(M28&lt;=节奏预期!$B$1,0,INDEX(其他调用!$D$4:$D$163,$M28)*P$2-INDEX(其他调用!$D$4:$D$163,节奏预期!$B$1)*P$2)</f>
        <v>0</v>
      </c>
      <c r="AJ28" s="8">
        <f t="shared" si="44"/>
        <v>0.57735026918962573</v>
      </c>
      <c r="AK28" s="8">
        <f t="shared" si="45"/>
        <v>0</v>
      </c>
      <c r="AL28" s="8">
        <f>求节点(精英野怪!$AH$5:$AH$164,精英野怪!AJ$5:AJ$164,M28)</f>
        <v>0</v>
      </c>
      <c r="AM28" s="8">
        <f t="shared" si="46"/>
        <v>0</v>
      </c>
      <c r="AN28" s="8" t="e">
        <f t="shared" si="47"/>
        <v>#DIV/0!</v>
      </c>
      <c r="AO28" s="8" t="e">
        <f t="shared" si="48"/>
        <v>#DIV/0!</v>
      </c>
      <c r="AP28" s="8"/>
      <c r="AQ28" s="8">
        <f>IF(M28&lt;=节奏预期!$B$1,0,INDEX(其他调用!$D$4:$D$163,$M28)*Q$2-INDEX(其他调用!$D$4:$D$163,节奏预期!$B$1)*Q$2)</f>
        <v>0</v>
      </c>
      <c r="AR28" s="8">
        <f>求节点(精英野怪!$BI$5:$BI$164,精英野怪!$BZ$5:$BZ$164,$M28)</f>
        <v>0</v>
      </c>
      <c r="AS28" s="8">
        <f t="shared" si="32"/>
        <v>0</v>
      </c>
      <c r="AT28" s="8"/>
    </row>
    <row r="29" spans="3:46" x14ac:dyDescent="0.15">
      <c r="M29" s="8">
        <v>40</v>
      </c>
      <c r="N29" s="8">
        <f>求节点(节奏总纲!$O$4:$O$163,节奏总纲!$Q$4:$Q$163,$M29)</f>
        <v>13.059000000000001</v>
      </c>
      <c r="O29" s="8">
        <f>IF(M29&lt;=节奏预期!$B$1,0,INDEX(其他调用!$D$4:$D$163,$M29)*O$2-INDEX(其他调用!$D$4:$D$163,节奏预期!$B$1)*O$2)</f>
        <v>0</v>
      </c>
      <c r="P29" s="8">
        <v>1</v>
      </c>
      <c r="Q29" s="8">
        <f t="shared" si="38"/>
        <v>0</v>
      </c>
      <c r="R29" s="8">
        <f t="shared" si="49"/>
        <v>0</v>
      </c>
      <c r="S29" s="8">
        <f t="shared" si="39"/>
        <v>0</v>
      </c>
      <c r="T29" s="8">
        <f t="shared" si="40"/>
        <v>0</v>
      </c>
      <c r="U29" s="8">
        <f t="shared" si="41"/>
        <v>0</v>
      </c>
      <c r="V29" s="8">
        <f t="shared" si="42"/>
        <v>0</v>
      </c>
      <c r="W29" s="8">
        <f t="shared" si="26"/>
        <v>0</v>
      </c>
      <c r="X29" s="8">
        <f t="shared" si="27"/>
        <v>0</v>
      </c>
      <c r="Y29" s="8">
        <f t="shared" si="28"/>
        <v>0</v>
      </c>
      <c r="Z29" s="8">
        <f>求节点(精英野怪!$BI$5:$BI$164,精英野怪!BK$5:BK$164,M29)</f>
        <v>0</v>
      </c>
      <c r="AA29" s="8">
        <f>求节点(精英野怪!$BI$5:$BI$164,精英野怪!BP$5:BP$164,M29)</f>
        <v>0</v>
      </c>
      <c r="AB29" s="8">
        <f>求节点(精英野怪!$BI$5:$BI$164,精英野怪!BU$5:BU$164,M29)</f>
        <v>0</v>
      </c>
      <c r="AC29" s="8">
        <v>0</v>
      </c>
      <c r="AD29" s="8">
        <f t="shared" si="43"/>
        <v>0</v>
      </c>
      <c r="AE29" s="8">
        <f t="shared" si="29"/>
        <v>0</v>
      </c>
      <c r="AF29" s="8">
        <f t="shared" si="30"/>
        <v>0</v>
      </c>
      <c r="AG29" s="8">
        <f t="shared" si="31"/>
        <v>0</v>
      </c>
      <c r="AH29" s="8"/>
      <c r="AI29" s="8">
        <f>IF(M29&lt;=节奏预期!$B$1,0,INDEX(其他调用!$D$4:$D$163,$M29)*P$2-INDEX(其他调用!$D$4:$D$163,节奏预期!$B$1)*P$2)</f>
        <v>0</v>
      </c>
      <c r="AJ29" s="8">
        <f t="shared" si="44"/>
        <v>0.5</v>
      </c>
      <c r="AK29" s="8">
        <f t="shared" si="45"/>
        <v>0</v>
      </c>
      <c r="AL29" s="8">
        <f>求节点(精英野怪!$AH$5:$AH$164,精英野怪!AJ$5:AJ$164,M29)</f>
        <v>0</v>
      </c>
      <c r="AM29" s="8">
        <f t="shared" si="46"/>
        <v>0</v>
      </c>
      <c r="AN29" s="8" t="e">
        <f t="shared" si="47"/>
        <v>#DIV/0!</v>
      </c>
      <c r="AO29" s="8" t="e">
        <f t="shared" si="48"/>
        <v>#DIV/0!</v>
      </c>
      <c r="AP29" s="8"/>
      <c r="AQ29" s="8">
        <f>IF(M29&lt;=节奏预期!$B$1,0,INDEX(其他调用!$D$4:$D$163,$M29)*Q$2-INDEX(其他调用!$D$4:$D$163,节奏预期!$B$1)*Q$2)</f>
        <v>0</v>
      </c>
      <c r="AR29" s="8">
        <f>求节点(精英野怪!$BI$5:$BI$164,精英野怪!$BZ$5:$BZ$164,$M29)</f>
        <v>0</v>
      </c>
      <c r="AS29" s="8">
        <f t="shared" si="32"/>
        <v>0</v>
      </c>
      <c r="AT29" s="8"/>
    </row>
    <row r="30" spans="3:46" x14ac:dyDescent="0.15">
      <c r="M30" s="8">
        <v>50</v>
      </c>
      <c r="N30" s="8">
        <f>求节点(节奏总纲!$O$4:$O$163,节奏总纲!$Q$4:$Q$163,$M30)</f>
        <v>27.0351</v>
      </c>
      <c r="O30" s="8">
        <f>IF(M30&lt;=节奏预期!$B$1,0,INDEX(其他调用!$D$4:$D$163,$M30)*O$2-INDEX(其他调用!$D$4:$D$163,节奏预期!$B$1)*O$2)</f>
        <v>0</v>
      </c>
      <c r="P30" s="8">
        <v>1</v>
      </c>
      <c r="Q30" s="8">
        <f t="shared" si="38"/>
        <v>0</v>
      </c>
      <c r="R30" s="8">
        <f t="shared" si="49"/>
        <v>0</v>
      </c>
      <c r="S30" s="8">
        <f t="shared" si="39"/>
        <v>0</v>
      </c>
      <c r="T30" s="8">
        <f t="shared" si="40"/>
        <v>0</v>
      </c>
      <c r="U30" s="8">
        <f t="shared" si="41"/>
        <v>0</v>
      </c>
      <c r="V30" s="8">
        <f t="shared" si="42"/>
        <v>0</v>
      </c>
      <c r="W30" s="8">
        <f t="shared" si="26"/>
        <v>0</v>
      </c>
      <c r="X30" s="8">
        <f t="shared" si="27"/>
        <v>0</v>
      </c>
      <c r="Y30" s="8">
        <f t="shared" si="28"/>
        <v>0</v>
      </c>
      <c r="Z30" s="8">
        <f>求节点(精英野怪!$BI$5:$BI$164,精英野怪!BK$5:BK$164,M30)</f>
        <v>0</v>
      </c>
      <c r="AA30" s="8">
        <f>求节点(精英野怪!$BI$5:$BI$164,精英野怪!BP$5:BP$164,M30)</f>
        <v>0</v>
      </c>
      <c r="AB30" s="8">
        <f>求节点(精英野怪!$BI$5:$BI$164,精英野怪!BU$5:BU$164,M30)</f>
        <v>0</v>
      </c>
      <c r="AC30" s="8">
        <v>0</v>
      </c>
      <c r="AD30" s="8">
        <f t="shared" si="43"/>
        <v>0</v>
      </c>
      <c r="AE30" s="8">
        <f t="shared" si="29"/>
        <v>0</v>
      </c>
      <c r="AF30" s="8">
        <f t="shared" si="30"/>
        <v>0</v>
      </c>
      <c r="AG30" s="8">
        <f t="shared" si="31"/>
        <v>0</v>
      </c>
      <c r="AH30" s="8"/>
      <c r="AI30" s="8">
        <f>IF(M30&lt;=节奏预期!$B$1,0,INDEX(其他调用!$D$4:$D$163,$M30)*P$2-INDEX(其他调用!$D$4:$D$163,节奏预期!$B$1)*P$2)</f>
        <v>0</v>
      </c>
      <c r="AJ30" s="8">
        <f t="shared" si="44"/>
        <v>0.44721359549995793</v>
      </c>
      <c r="AK30" s="8">
        <f t="shared" si="45"/>
        <v>0</v>
      </c>
      <c r="AL30" s="8">
        <f>求节点(精英野怪!$AH$5:$AH$164,精英野怪!AJ$5:AJ$164,M30)</f>
        <v>0</v>
      </c>
      <c r="AM30" s="8">
        <f t="shared" si="46"/>
        <v>0</v>
      </c>
      <c r="AN30" s="8" t="e">
        <f t="shared" si="47"/>
        <v>#DIV/0!</v>
      </c>
      <c r="AO30" s="8" t="e">
        <f t="shared" si="48"/>
        <v>#DIV/0!</v>
      </c>
      <c r="AP30" s="8"/>
      <c r="AQ30" s="8">
        <f>IF(M30&lt;=节奏预期!$B$1,0,INDEX(其他调用!$D$4:$D$163,$M30)*Q$2-INDEX(其他调用!$D$4:$D$163,节奏预期!$B$1)*Q$2)</f>
        <v>0</v>
      </c>
      <c r="AR30" s="8">
        <f>求节点(精英野怪!$BI$5:$BI$164,精英野怪!$BZ$5:$BZ$164,$M30)</f>
        <v>0</v>
      </c>
      <c r="AS30" s="8">
        <f t="shared" si="32"/>
        <v>0</v>
      </c>
      <c r="AT30" s="8"/>
    </row>
    <row r="31" spans="3:46" x14ac:dyDescent="0.15">
      <c r="C31" s="8" t="s">
        <v>332</v>
      </c>
      <c r="D31" s="8" t="s">
        <v>325</v>
      </c>
      <c r="E31" s="8" t="s">
        <v>324</v>
      </c>
      <c r="F31" s="8" t="s">
        <v>323</v>
      </c>
      <c r="G31" s="8" t="s">
        <v>333</v>
      </c>
      <c r="H31" s="8" t="s">
        <v>326</v>
      </c>
      <c r="I31" s="8" t="s">
        <v>327</v>
      </c>
      <c r="M31" s="8">
        <v>60</v>
      </c>
      <c r="N31" s="8">
        <f>求节点(节奏总纲!$O$4:$O$163,节奏总纲!$Q$4:$Q$163,$M31)</f>
        <v>54.589500000000001</v>
      </c>
      <c r="O31" s="8">
        <f>IF(M31&lt;=节奏预期!$B$1,0,INDEX(其他调用!$D$4:$D$163,$M31)*O$2-INDEX(其他调用!$D$4:$D$163,节奏预期!$B$1)*O$2)</f>
        <v>0</v>
      </c>
      <c r="P31" s="8">
        <v>1</v>
      </c>
      <c r="Q31" s="8">
        <f t="shared" si="38"/>
        <v>0</v>
      </c>
      <c r="R31" s="8">
        <f t="shared" si="49"/>
        <v>0</v>
      </c>
      <c r="S31" s="8">
        <f t="shared" si="39"/>
        <v>0</v>
      </c>
      <c r="T31" s="8">
        <f t="shared" si="40"/>
        <v>0</v>
      </c>
      <c r="U31" s="8">
        <f t="shared" si="41"/>
        <v>0</v>
      </c>
      <c r="V31" s="8">
        <f t="shared" si="42"/>
        <v>0</v>
      </c>
      <c r="W31" s="8">
        <f t="shared" si="26"/>
        <v>0</v>
      </c>
      <c r="X31" s="8">
        <f t="shared" si="27"/>
        <v>0</v>
      </c>
      <c r="Y31" s="8">
        <f t="shared" si="28"/>
        <v>0</v>
      </c>
      <c r="Z31" s="8">
        <f>求节点(精英野怪!$BI$5:$BI$164,精英野怪!BK$5:BK$164,M31)</f>
        <v>0</v>
      </c>
      <c r="AA31" s="8">
        <f>求节点(精英野怪!$BI$5:$BI$164,精英野怪!BP$5:BP$164,M31)</f>
        <v>0</v>
      </c>
      <c r="AB31" s="8">
        <f>求节点(精英野怪!$BI$5:$BI$164,精英野怪!BU$5:BU$164,M31)</f>
        <v>0</v>
      </c>
      <c r="AC31" s="8">
        <v>0</v>
      </c>
      <c r="AD31" s="8">
        <f t="shared" si="43"/>
        <v>0</v>
      </c>
      <c r="AE31" s="8">
        <f t="shared" si="29"/>
        <v>0</v>
      </c>
      <c r="AF31" s="8">
        <f t="shared" si="30"/>
        <v>0</v>
      </c>
      <c r="AG31" s="8">
        <f t="shared" si="31"/>
        <v>0</v>
      </c>
      <c r="AH31" s="8"/>
      <c r="AI31" s="8">
        <f>IF(M31&lt;=节奏预期!$B$1,0,INDEX(其他调用!$D$4:$D$163,$M31)*P$2-INDEX(其他调用!$D$4:$D$163,节奏预期!$B$1)*P$2)</f>
        <v>0</v>
      </c>
      <c r="AJ31" s="8">
        <f t="shared" si="44"/>
        <v>0.40824829046386302</v>
      </c>
      <c r="AK31" s="8">
        <f t="shared" si="45"/>
        <v>0</v>
      </c>
      <c r="AL31" s="8">
        <f>求节点(精英野怪!$AH$5:$AH$164,精英野怪!AJ$5:AJ$164,M31)</f>
        <v>0</v>
      </c>
      <c r="AM31" s="8">
        <f t="shared" si="46"/>
        <v>0</v>
      </c>
      <c r="AN31" s="8" t="e">
        <f t="shared" si="47"/>
        <v>#DIV/0!</v>
      </c>
      <c r="AO31" s="8" t="e">
        <f t="shared" si="48"/>
        <v>#DIV/0!</v>
      </c>
      <c r="AP31" s="8"/>
      <c r="AQ31" s="8">
        <f>IF(M31&lt;=节奏预期!$B$1,0,INDEX(其他调用!$D$4:$D$163,$M31)*Q$2-INDEX(其他调用!$D$4:$D$163,节奏预期!$B$1)*Q$2)</f>
        <v>0</v>
      </c>
      <c r="AR31" s="8">
        <f>求节点(精英野怪!$BI$5:$BI$164,精英野怪!$BZ$5:$BZ$164,$M31)</f>
        <v>0</v>
      </c>
      <c r="AS31" s="8">
        <f t="shared" si="32"/>
        <v>0</v>
      </c>
      <c r="AT31" s="8"/>
    </row>
    <row r="32" spans="3:46" x14ac:dyDescent="0.15">
      <c r="C32" s="8" t="s">
        <v>329</v>
      </c>
      <c r="D32" s="8">
        <v>0</v>
      </c>
      <c r="E32" s="8">
        <v>0</v>
      </c>
      <c r="F32" s="8">
        <v>0.3</v>
      </c>
      <c r="G32" s="8">
        <v>0.2</v>
      </c>
      <c r="H32" s="8">
        <v>0.2</v>
      </c>
      <c r="I32" s="8">
        <v>0.3</v>
      </c>
      <c r="M32" s="8">
        <v>70</v>
      </c>
      <c r="N32" s="8">
        <f>求节点(节奏总纲!$O$4:$O$163,节奏总纲!$Q$4:$Q$163,$M32)</f>
        <v>109.9693</v>
      </c>
      <c r="O32" s="8">
        <f>IF(M32&lt;=节奏预期!$B$1,0,INDEX(其他调用!$D$4:$D$163,$M32)*O$2-INDEX(其他调用!$D$4:$D$163,节奏预期!$B$1)*O$2)</f>
        <v>41910.830654605241</v>
      </c>
      <c r="P32" s="8">
        <v>1</v>
      </c>
      <c r="Q32" s="8">
        <f t="shared" si="38"/>
        <v>0</v>
      </c>
      <c r="R32" s="8">
        <f t="shared" si="49"/>
        <v>12112.956836591109</v>
      </c>
      <c r="S32" s="8">
        <f t="shared" si="39"/>
        <v>11628.438563127467</v>
      </c>
      <c r="T32" s="8">
        <f t="shared" si="40"/>
        <v>18169.435254886666</v>
      </c>
      <c r="U32" s="8">
        <f t="shared" si="41"/>
        <v>0</v>
      </c>
      <c r="V32" s="8">
        <f t="shared" si="42"/>
        <v>121.1295683659111</v>
      </c>
      <c r="W32" s="8">
        <f t="shared" si="26"/>
        <v>23.256877126254935</v>
      </c>
      <c r="X32" s="8">
        <f t="shared" si="27"/>
        <v>7.2677741019546662</v>
      </c>
      <c r="Y32" s="8">
        <f t="shared" si="28"/>
        <v>0</v>
      </c>
      <c r="Z32" s="8">
        <f>求节点(精英野怪!$BI$5:$BI$164,精英野怪!BK$5:BK$164,M32)</f>
        <v>1.538330376469413</v>
      </c>
      <c r="AA32" s="8">
        <f>求节点(精英野怪!$BI$5:$BI$164,精英野怪!BP$5:BP$164,M32)</f>
        <v>2.3074955647041202</v>
      </c>
      <c r="AB32" s="8">
        <f>求节点(精英野怪!$BI$5:$BI$164,精英野怪!BU$5:BU$164,M32)</f>
        <v>0</v>
      </c>
      <c r="AC32" s="8">
        <v>0</v>
      </c>
      <c r="AD32" s="8">
        <f t="shared" si="43"/>
        <v>122.66789874238052</v>
      </c>
      <c r="AE32" s="8">
        <f t="shared" si="29"/>
        <v>25.564372690959054</v>
      </c>
      <c r="AF32" s="8">
        <f t="shared" si="30"/>
        <v>7.2677741019546662</v>
      </c>
      <c r="AG32" s="8">
        <f t="shared" si="31"/>
        <v>0</v>
      </c>
      <c r="AH32" s="8"/>
      <c r="AI32" s="8">
        <f>IF(M32&lt;=节奏预期!$B$1,0,INDEX(其他调用!$D$4:$D$163,$M32)*P$2-INDEX(其他调用!$D$4:$D$163,节奏预期!$B$1)*P$2)</f>
        <v>83821.661309210482</v>
      </c>
      <c r="AJ32" s="8">
        <f t="shared" si="44"/>
        <v>0.3779644730092272</v>
      </c>
      <c r="AK32" s="8">
        <f t="shared" si="45"/>
        <v>221771.27030445571</v>
      </c>
      <c r="AL32" s="8">
        <f>求节点(精英野怪!$AH$5:$AH$164,精英野怪!AJ$5:AJ$164,M32)</f>
        <v>65.957050671698141</v>
      </c>
      <c r="AM32" s="8">
        <f t="shared" si="46"/>
        <v>221837.2273551274</v>
      </c>
      <c r="AN32" s="8">
        <f t="shared" si="47"/>
        <v>0.99970267816877234</v>
      </c>
      <c r="AO32" s="8">
        <f t="shared" si="48"/>
        <v>2.9732183122768214E-4</v>
      </c>
      <c r="AP32" s="8"/>
      <c r="AQ32" s="8">
        <f>IF(M32&lt;=节奏预期!$B$1,0,INDEX(其他调用!$D$4:$D$163,$M32)*Q$2-INDEX(其他调用!$D$4:$D$163,节奏预期!$B$1)*Q$2)</f>
        <v>41910.830654605241</v>
      </c>
      <c r="AR32" s="8">
        <f>求节点(精英野怪!$BI$5:$BI$164,精英野怪!$BZ$5:$BZ$164,$M32)</f>
        <v>19.229129705867667</v>
      </c>
      <c r="AS32" s="8">
        <f t="shared" si="32"/>
        <v>419.1083065460524</v>
      </c>
      <c r="AT32" s="8"/>
    </row>
    <row r="33" spans="3:46" x14ac:dyDescent="0.15">
      <c r="C33" s="8" t="s">
        <v>330</v>
      </c>
      <c r="D33" s="8">
        <v>0</v>
      </c>
      <c r="E33" s="8">
        <v>0</v>
      </c>
      <c r="F33" s="8">
        <f>2/30</f>
        <v>6.6666666666666666E-2</v>
      </c>
      <c r="G33" s="8">
        <f>1.5/50</f>
        <v>0.03</v>
      </c>
      <c r="H33" s="8">
        <v>5</v>
      </c>
      <c r="I33" s="8">
        <v>60</v>
      </c>
      <c r="M33" s="8">
        <v>80</v>
      </c>
      <c r="N33" s="8">
        <f>求节点(节奏总纲!$O$4:$O$163,节奏总纲!$Q$4:$Q$163,$M33)</f>
        <v>221.08500000000001</v>
      </c>
      <c r="O33" s="8">
        <f>IF(M33&lt;=节奏预期!$B$1,0,INDEX(其他调用!$D$4:$D$163,$M33)*O$2-INDEX(其他调用!$D$4:$D$163,节奏预期!$B$1)*O$2)</f>
        <v>111530.60435417641</v>
      </c>
      <c r="P33" s="8">
        <v>0.85</v>
      </c>
      <c r="Q33" s="8">
        <f t="shared" si="38"/>
        <v>0.15000000000000002</v>
      </c>
      <c r="R33" s="8">
        <f t="shared" si="49"/>
        <v>29216.080433306568</v>
      </c>
      <c r="S33" s="8">
        <f t="shared" si="39"/>
        <v>28047.437215974311</v>
      </c>
      <c r="T33" s="8">
        <f t="shared" si="40"/>
        <v>46434.862163693775</v>
      </c>
      <c r="U33" s="8">
        <f t="shared" si="41"/>
        <v>7832.2245412017583</v>
      </c>
      <c r="V33" s="8">
        <f t="shared" si="42"/>
        <v>292.1608043330657</v>
      </c>
      <c r="W33" s="8">
        <f t="shared" si="26"/>
        <v>56.094874431948618</v>
      </c>
      <c r="X33" s="8">
        <f t="shared" si="27"/>
        <v>18.573944865477511</v>
      </c>
      <c r="Y33" s="8">
        <f t="shared" si="28"/>
        <v>0.31328898164807034</v>
      </c>
      <c r="Z33" s="8">
        <f>求节点(精英野怪!$BI$5:$BI$164,精英野怪!BK$5:BK$164,M33)</f>
        <v>9.8764525044694107</v>
      </c>
      <c r="AA33" s="8">
        <f>求节点(精英野怪!$BI$5:$BI$164,精英野怪!BP$5:BP$164,M33)</f>
        <v>14.81467875670412</v>
      </c>
      <c r="AB33" s="8">
        <f>求节点(精英野怪!$BI$5:$BI$164,精英野怪!BU$5:BU$164,M33)</f>
        <v>0</v>
      </c>
      <c r="AC33" s="8">
        <v>0</v>
      </c>
      <c r="AD33" s="8">
        <f t="shared" si="43"/>
        <v>302.0372568375351</v>
      </c>
      <c r="AE33" s="8">
        <f t="shared" si="29"/>
        <v>70.909553188652737</v>
      </c>
      <c r="AF33" s="8">
        <f t="shared" si="30"/>
        <v>18.573944865477511</v>
      </c>
      <c r="AG33" s="8">
        <f t="shared" si="31"/>
        <v>0.31328898164807034</v>
      </c>
      <c r="AH33" s="8"/>
      <c r="AI33" s="8">
        <f>IF(M33&lt;=节奏预期!$B$1,0,INDEX(其他调用!$D$4:$D$163,$M33)*P$2-INDEX(其他调用!$D$4:$D$163,节奏预期!$B$1)*P$2)</f>
        <v>223061.20870835282</v>
      </c>
      <c r="AJ33" s="8">
        <f t="shared" si="44"/>
        <v>0.35355339059327379</v>
      </c>
      <c r="AK33" s="8">
        <f t="shared" si="45"/>
        <v>615600.18300557276</v>
      </c>
      <c r="AL33" s="8">
        <f>求节点(精英野怪!$AH$5:$AH$164,精英野怪!AJ$5:AJ$164,M33)</f>
        <v>1347.4644899720486</v>
      </c>
      <c r="AM33" s="8">
        <f t="shared" si="46"/>
        <v>616947.64749554486</v>
      </c>
      <c r="AN33" s="8">
        <f t="shared" si="47"/>
        <v>0.99781591761401145</v>
      </c>
      <c r="AO33" s="8">
        <f t="shared" si="48"/>
        <v>2.184082385988479E-3</v>
      </c>
      <c r="AP33" s="8"/>
      <c r="AQ33" s="8">
        <f>IF(M33&lt;=节奏预期!$B$1,0,INDEX(其他调用!$D$4:$D$163,$M33)*Q$2-INDEX(其他调用!$D$4:$D$163,节奏预期!$B$1)*Q$2)</f>
        <v>111530.60435417641</v>
      </c>
      <c r="AR33" s="8">
        <f>求节点(精英野怪!$BI$5:$BI$164,精英野怪!$BZ$5:$BZ$164,$M33)</f>
        <v>123.45565630586765</v>
      </c>
      <c r="AS33" s="8">
        <f t="shared" si="32"/>
        <v>1115.306043541764</v>
      </c>
      <c r="AT33" s="8"/>
    </row>
    <row r="34" spans="3:46" x14ac:dyDescent="0.15">
      <c r="C34" s="8" t="s">
        <v>334</v>
      </c>
      <c r="D34" s="8">
        <f t="shared" ref="D34:E34" si="50">D7*D33</f>
        <v>0</v>
      </c>
      <c r="E34" s="8">
        <f t="shared" si="50"/>
        <v>0</v>
      </c>
      <c r="F34" s="8">
        <f>F7*F33</f>
        <v>166.66666666666666</v>
      </c>
      <c r="G34" s="8">
        <f>G7*G33</f>
        <v>750</v>
      </c>
      <c r="H34" s="8">
        <f>D16*H33</f>
        <v>500</v>
      </c>
      <c r="I34" s="8">
        <f>I33*阵旗升级!$AA$5</f>
        <v>660</v>
      </c>
      <c r="M34" s="8">
        <v>90</v>
      </c>
      <c r="N34" s="8">
        <f>求节点(节奏总纲!$O$4:$O$163,节奏总纲!$Q$4:$Q$163,$M34)</f>
        <v>438.13140000000004</v>
      </c>
      <c r="O34" s="8">
        <f>IF(M34&lt;=节奏预期!$B$1,0,INDEX(其他调用!$D$4:$D$163,$M34)*O$2-INDEX(其他调用!$D$4:$D$163,节奏预期!$B$1)*O$2)</f>
        <v>237785.78165065398</v>
      </c>
      <c r="P34" s="8">
        <v>0.7</v>
      </c>
      <c r="Q34" s="8">
        <f t="shared" si="38"/>
        <v>0.30000000000000004</v>
      </c>
      <c r="R34" s="8">
        <f t="shared" si="49"/>
        <v>54759.035377680644</v>
      </c>
      <c r="S34" s="8">
        <f t="shared" si="39"/>
        <v>52568.673962573419</v>
      </c>
      <c r="T34" s="8">
        <f t="shared" si="40"/>
        <v>94218.432877490704</v>
      </c>
      <c r="U34" s="8">
        <f t="shared" si="41"/>
        <v>36239.639432909215</v>
      </c>
      <c r="V34" s="8">
        <f t="shared" si="42"/>
        <v>547.59035377680641</v>
      </c>
      <c r="W34" s="8">
        <f t="shared" si="26"/>
        <v>105.13734792514684</v>
      </c>
      <c r="X34" s="8">
        <f t="shared" si="27"/>
        <v>37.687373150996279</v>
      </c>
      <c r="Y34" s="8">
        <f t="shared" si="28"/>
        <v>1.4495855773163686</v>
      </c>
      <c r="Z34" s="8">
        <f>求节点(精英野怪!$BI$5:$BI$164,精英野怪!BK$5:BK$164,M34)</f>
        <v>26.16361436046941</v>
      </c>
      <c r="AA34" s="8">
        <f>求节点(精英野怪!$BI$5:$BI$164,精英野怪!BP$5:BP$164,M34)</f>
        <v>39.245421540704122</v>
      </c>
      <c r="AB34" s="8">
        <f>求节点(精英野怪!$BI$5:$BI$164,精英野怪!BU$5:BU$164,M34)</f>
        <v>0</v>
      </c>
      <c r="AC34" s="8">
        <v>0</v>
      </c>
      <c r="AD34" s="8">
        <f t="shared" si="43"/>
        <v>573.75396813727582</v>
      </c>
      <c r="AE34" s="8">
        <f t="shared" si="29"/>
        <v>144.38276946585097</v>
      </c>
      <c r="AF34" s="8">
        <f t="shared" si="30"/>
        <v>37.687373150996279</v>
      </c>
      <c r="AG34" s="8">
        <f t="shared" si="31"/>
        <v>1.4495855773163686</v>
      </c>
      <c r="AH34" s="8"/>
      <c r="AI34" s="8">
        <f>IF(M34&lt;=节奏预期!$B$1,0,INDEX(其他调用!$D$4:$D$163,$M34)*P$2-INDEX(其他调用!$D$4:$D$163,节奏预期!$B$1)*P$2)</f>
        <v>475571.56330130796</v>
      </c>
      <c r="AJ34" s="8">
        <f t="shared" si="44"/>
        <v>0.33333333333333337</v>
      </c>
      <c r="AK34" s="8">
        <f t="shared" si="45"/>
        <v>1373131.2467844381</v>
      </c>
      <c r="AL34" s="8">
        <f>求节点(精英野怪!$AH$5:$AH$164,精英野怪!AJ$5:AJ$164,M34)</f>
        <v>4804.9144435559601</v>
      </c>
      <c r="AM34" s="8">
        <f t="shared" si="46"/>
        <v>1377936.1612279941</v>
      </c>
      <c r="AN34" s="8">
        <f t="shared" si="47"/>
        <v>0.9965129629523084</v>
      </c>
      <c r="AO34" s="8">
        <f t="shared" si="48"/>
        <v>3.4870370476915991E-3</v>
      </c>
      <c r="AP34" s="8"/>
      <c r="AQ34" s="8">
        <f>IF(M34&lt;=节奏预期!$B$1,0,INDEX(其他调用!$D$4:$D$163,$M34)*Q$2-INDEX(其他调用!$D$4:$D$163,节奏预期!$B$1)*Q$2)</f>
        <v>237785.78165065398</v>
      </c>
      <c r="AR34" s="8">
        <f>求节点(精英野怪!$BI$5:$BI$164,精英野怪!$BZ$5:$BZ$164,$M34)</f>
        <v>327.04517950586768</v>
      </c>
      <c r="AS34" s="8">
        <f t="shared" si="32"/>
        <v>2377.8578165065396</v>
      </c>
      <c r="AT34" s="8"/>
    </row>
    <row r="35" spans="3:46" x14ac:dyDescent="0.15">
      <c r="C35" s="8" t="s">
        <v>337</v>
      </c>
      <c r="D35" s="8">
        <f t="shared" ref="D35" si="51">D32*D34</f>
        <v>0</v>
      </c>
      <c r="E35" s="8">
        <f t="shared" ref="E35" si="52">E32*E34</f>
        <v>0</v>
      </c>
      <c r="F35" s="8">
        <f t="shared" ref="F35" si="53">F32*F34</f>
        <v>49.999999999999993</v>
      </c>
      <c r="G35" s="8">
        <f t="shared" ref="G35" si="54">G32*G34</f>
        <v>150</v>
      </c>
      <c r="H35" s="8">
        <f t="shared" ref="H35" si="55">H32*H34</f>
        <v>100</v>
      </c>
      <c r="I35" s="8">
        <f t="shared" ref="I35" si="56">I32*I34</f>
        <v>198</v>
      </c>
      <c r="M35" s="8">
        <v>100</v>
      </c>
      <c r="N35" s="8">
        <f>求节点(节奏总纲!$O$4:$O$163,节奏总纲!$Q$4:$Q$163,$M35)</f>
        <v>875.38110000000006</v>
      </c>
      <c r="O35" s="8">
        <f>IF(M35&lt;=节奏预期!$B$1,0,INDEX(其他调用!$D$4:$D$163,$M35)*O$2-INDEX(其他调用!$D$4:$D$163,节奏预期!$B$1)*O$2)</f>
        <v>476651.50952765933</v>
      </c>
      <c r="P35" s="8">
        <v>0.55000000000000004</v>
      </c>
      <c r="Q35" s="8">
        <f t="shared" si="38"/>
        <v>0.44999999999999996</v>
      </c>
      <c r="R35" s="8">
        <f t="shared" si="49"/>
        <v>92729.021022869361</v>
      </c>
      <c r="S35" s="8">
        <f t="shared" si="39"/>
        <v>89019.860181954587</v>
      </c>
      <c r="T35" s="8">
        <f t="shared" si="40"/>
        <v>178045.80573143688</v>
      </c>
      <c r="U35" s="8">
        <f t="shared" si="41"/>
        <v>116856.82259139851</v>
      </c>
      <c r="V35" s="8">
        <f t="shared" si="42"/>
        <v>927.29021022869358</v>
      </c>
      <c r="W35" s="8">
        <f t="shared" si="26"/>
        <v>178.03972036390917</v>
      </c>
      <c r="X35" s="8">
        <f t="shared" si="27"/>
        <v>71.218322292574754</v>
      </c>
      <c r="Y35" s="8">
        <f t="shared" si="28"/>
        <v>4.6742729036559405</v>
      </c>
      <c r="Z35" s="8">
        <f>求节点(精英野怪!$BI$5:$BI$164,精英野怪!BK$5:BK$164,M35)</f>
        <v>58.974831848469407</v>
      </c>
      <c r="AA35" s="8">
        <f>求节点(精英野怪!$BI$5:$BI$164,精英野怪!BP$5:BP$164,M35)</f>
        <v>88.462247772704131</v>
      </c>
      <c r="AB35" s="8">
        <f>求节点(精英野怪!$BI$5:$BI$164,精英野怪!BU$5:BU$164,M35)</f>
        <v>0</v>
      </c>
      <c r="AC35" s="8">
        <v>0</v>
      </c>
      <c r="AD35" s="8">
        <f t="shared" si="43"/>
        <v>986.265042077163</v>
      </c>
      <c r="AE35" s="8">
        <f t="shared" si="29"/>
        <v>266.5019681366133</v>
      </c>
      <c r="AF35" s="8">
        <f t="shared" si="30"/>
        <v>71.218322292574754</v>
      </c>
      <c r="AG35" s="8">
        <f t="shared" si="31"/>
        <v>4.6742729036559405</v>
      </c>
      <c r="AH35" s="8"/>
      <c r="AI35" s="8">
        <f>IF(M35&lt;=节奏预期!$B$1,0,INDEX(其他调用!$D$4:$D$163,$M35)*P$2-INDEX(其他调用!$D$4:$D$163,节奏预期!$B$1)*P$2)</f>
        <v>953303.01905531867</v>
      </c>
      <c r="AJ35" s="8">
        <f t="shared" si="44"/>
        <v>0.31622776601683794</v>
      </c>
      <c r="AK35" s="8">
        <f t="shared" si="45"/>
        <v>2883850.7568750647</v>
      </c>
      <c r="AL35" s="8">
        <f>求节点(精英野怪!$AH$5:$AH$164,精英野怪!AJ$5:AJ$164,M35)</f>
        <v>13717.59791918074</v>
      </c>
      <c r="AM35" s="8">
        <f t="shared" si="46"/>
        <v>2897568.3547942452</v>
      </c>
      <c r="AN35" s="8">
        <f t="shared" si="47"/>
        <v>0.99526582422240917</v>
      </c>
      <c r="AO35" s="8">
        <f t="shared" si="48"/>
        <v>4.7341757775908686E-3</v>
      </c>
      <c r="AP35" s="8"/>
      <c r="AQ35" s="8">
        <f>IF(M35&lt;=节奏预期!$B$1,0,INDEX(其他调用!$D$4:$D$163,$M35)*Q$2-INDEX(其他调用!$D$4:$D$163,节奏预期!$B$1)*Q$2)</f>
        <v>476651.50952765933</v>
      </c>
      <c r="AR35" s="8">
        <f>求节点(精英野怪!$BI$5:$BI$164,精英野怪!$BZ$5:$BZ$164,$M35)</f>
        <v>737.18539810586776</v>
      </c>
      <c r="AS35" s="8">
        <f t="shared" si="32"/>
        <v>4766.5150952765935</v>
      </c>
      <c r="AT35" s="8"/>
    </row>
    <row r="36" spans="3:46" x14ac:dyDescent="0.15">
      <c r="C36" s="8" t="s">
        <v>335</v>
      </c>
      <c r="D36" s="8">
        <f>SUMPRODUCT(D32:I32,D34:I34)</f>
        <v>498</v>
      </c>
      <c r="E36" s="46"/>
      <c r="F36" s="46"/>
      <c r="G36" s="46"/>
      <c r="H36" s="46"/>
      <c r="I36" s="46"/>
      <c r="J36" s="16"/>
      <c r="M36" s="8">
        <v>110</v>
      </c>
      <c r="N36" s="8">
        <f>求节点(节奏总纲!$O$4:$O$163,节奏总纲!$Q$4:$Q$163,$M36)</f>
        <v>1741.3829000000001</v>
      </c>
      <c r="O36" s="8">
        <f>IF(M36&lt;=节奏预期!$B$1,0,INDEX(其他调用!$D$4:$D$163,$M36)*O$2-INDEX(其他调用!$D$4:$D$163,节奏预期!$B$1)*O$2)</f>
        <v>926863.66114029055</v>
      </c>
      <c r="P36" s="8">
        <v>0.4</v>
      </c>
      <c r="Q36" s="8">
        <f t="shared" si="38"/>
        <v>0.6</v>
      </c>
      <c r="R36" s="8">
        <f t="shared" si="49"/>
        <v>144776.66860814465</v>
      </c>
      <c r="S36" s="8">
        <f t="shared" si="39"/>
        <v>138985.60186381888</v>
      </c>
      <c r="T36" s="8">
        <f t="shared" si="40"/>
        <v>323649.09985124448</v>
      </c>
      <c r="U36" s="8">
        <f t="shared" si="41"/>
        <v>319452.29081708251</v>
      </c>
      <c r="V36" s="8">
        <f t="shared" si="42"/>
        <v>1447.7666860814466</v>
      </c>
      <c r="W36" s="8">
        <f t="shared" si="26"/>
        <v>277.97120372763777</v>
      </c>
      <c r="X36" s="8">
        <f t="shared" si="27"/>
        <v>129.45963994049779</v>
      </c>
      <c r="Y36" s="8">
        <f t="shared" si="28"/>
        <v>12.778091632683301</v>
      </c>
      <c r="Z36" s="8">
        <f>求节点(精英野怪!$BI$5:$BI$164,精英野怪!BK$5:BK$164,M36)</f>
        <v>123.9596069204694</v>
      </c>
      <c r="AA36" s="8">
        <f>求节点(精英野怪!$BI$5:$BI$164,精英野怪!BP$5:BP$164,M36)</f>
        <v>185.93941038070415</v>
      </c>
      <c r="AB36" s="8">
        <f>求节点(精英野怪!$BI$5:$BI$164,精英野怪!BU$5:BU$164,M36)</f>
        <v>0</v>
      </c>
      <c r="AC36" s="8">
        <v>0</v>
      </c>
      <c r="AD36" s="8">
        <f t="shared" si="43"/>
        <v>1571.726293001916</v>
      </c>
      <c r="AE36" s="8">
        <f t="shared" si="29"/>
        <v>463.91061410834192</v>
      </c>
      <c r="AF36" s="8">
        <f t="shared" si="30"/>
        <v>129.45963994049779</v>
      </c>
      <c r="AG36" s="8">
        <f t="shared" si="31"/>
        <v>12.778091632683301</v>
      </c>
      <c r="AH36" s="8"/>
      <c r="AI36" s="8">
        <f>IF(M36&lt;=节奏预期!$B$1,0,INDEX(其他调用!$D$4:$D$163,$M36)*P$2-INDEX(其他调用!$D$4:$D$163,节奏预期!$B$1)*P$2)</f>
        <v>1853727.3222805811</v>
      </c>
      <c r="AJ36" s="8">
        <f t="shared" si="44"/>
        <v>0.30151134457776363</v>
      </c>
      <c r="AK36" s="8">
        <f t="shared" si="45"/>
        <v>5870220.3227904579</v>
      </c>
      <c r="AL36" s="8">
        <f>求节点(精英野怪!$AH$5:$AH$164,精英野怪!AJ$5:AJ$164,M36)</f>
        <v>35185.151740004221</v>
      </c>
      <c r="AM36" s="8">
        <f t="shared" si="46"/>
        <v>5905405.4745304622</v>
      </c>
      <c r="AN36" s="8">
        <f t="shared" si="47"/>
        <v>0.99404187368813957</v>
      </c>
      <c r="AO36" s="8">
        <f t="shared" si="48"/>
        <v>5.9581263118603702E-3</v>
      </c>
      <c r="AP36" s="8"/>
      <c r="AQ36" s="8">
        <f>IF(M36&lt;=节奏预期!$B$1,0,INDEX(其他调用!$D$4:$D$163,$M36)*Q$2-INDEX(其他调用!$D$4:$D$163,节奏预期!$B$1)*Q$2)</f>
        <v>926863.66114029055</v>
      </c>
      <c r="AR36" s="8">
        <f>求节点(精英野怪!$BI$5:$BI$164,精英野怪!$BZ$5:$BZ$164,$M36)</f>
        <v>1549.4950865058677</v>
      </c>
      <c r="AS36" s="8">
        <f t="shared" si="32"/>
        <v>9268.6366114029061</v>
      </c>
      <c r="AT36" s="8"/>
    </row>
    <row r="37" spans="3:46" x14ac:dyDescent="0.15">
      <c r="C37" s="8" t="s">
        <v>338</v>
      </c>
      <c r="D37" s="60">
        <f>SUM(D35:G35)/$D$36</f>
        <v>0.40160642570281124</v>
      </c>
      <c r="E37" s="61"/>
      <c r="F37" s="61"/>
      <c r="G37" s="62"/>
      <c r="H37" s="46">
        <f>H35/D36</f>
        <v>0.20080321285140562</v>
      </c>
      <c r="I37" s="46">
        <f>I35/D36</f>
        <v>0.39759036144578314</v>
      </c>
      <c r="M37" s="8">
        <v>120</v>
      </c>
      <c r="N37" s="8">
        <f>求节点(节奏总纲!$O$4:$O$163,节奏总纲!$Q$4:$Q$163,$M37)</f>
        <v>3486.0735</v>
      </c>
      <c r="O37" s="8">
        <f>IF(M37&lt;=节奏预期!$B$1,0,INDEX(其他调用!$D$4:$D$163,$M37)*O$2-INDEX(其他调用!$D$4:$D$163,节奏预期!$B$1)*O$2)</f>
        <v>1800772.3010593222</v>
      </c>
      <c r="P37" s="8">
        <v>0.25</v>
      </c>
      <c r="Q37" s="8">
        <f t="shared" si="38"/>
        <v>0.75</v>
      </c>
      <c r="R37" s="8">
        <f t="shared" si="49"/>
        <v>207920.35646356602</v>
      </c>
      <c r="S37" s="8">
        <f t="shared" si="39"/>
        <v>199603.5422050234</v>
      </c>
      <c r="T37" s="8">
        <f t="shared" si="40"/>
        <v>582222.50161919487</v>
      </c>
      <c r="U37" s="8">
        <f t="shared" si="41"/>
        <v>811025.9007715378</v>
      </c>
      <c r="V37" s="8">
        <f t="shared" si="42"/>
        <v>2079.2035646356603</v>
      </c>
      <c r="W37" s="8">
        <f t="shared" si="26"/>
        <v>399.20708441004683</v>
      </c>
      <c r="X37" s="8">
        <f t="shared" si="27"/>
        <v>232.88900064767796</v>
      </c>
      <c r="Y37" s="8">
        <f t="shared" si="28"/>
        <v>32.441036030861511</v>
      </c>
      <c r="Z37" s="8">
        <f>求节点(精英野怪!$BI$5:$BI$164,精英野怪!BK$5:BK$164,M37)</f>
        <v>254.88118954446941</v>
      </c>
      <c r="AA37" s="8">
        <f>求节点(精英野怪!$BI$5:$BI$164,精英野怪!BP$5:BP$164,M37)</f>
        <v>382.32178431670417</v>
      </c>
      <c r="AB37" s="8">
        <f>求节点(精英野怪!$BI$5:$BI$164,精英野怪!BU$5:BU$164,M37)</f>
        <v>0</v>
      </c>
      <c r="AC37" s="8">
        <v>0</v>
      </c>
      <c r="AD37" s="8">
        <f t="shared" si="43"/>
        <v>2334.0847541801295</v>
      </c>
      <c r="AE37" s="8">
        <f t="shared" si="29"/>
        <v>781.52886872675094</v>
      </c>
      <c r="AF37" s="8">
        <f t="shared" si="30"/>
        <v>232.88900064767796</v>
      </c>
      <c r="AG37" s="8">
        <f t="shared" si="31"/>
        <v>32.441036030861511</v>
      </c>
      <c r="AH37" s="8"/>
      <c r="AI37" s="8">
        <f>IF(M37&lt;=节奏预期!$B$1,0,INDEX(其他调用!$D$4:$D$163,$M37)*P$2-INDEX(其他调用!$D$4:$D$163,节奏预期!$B$1)*P$2)</f>
        <v>3601544.6021186444</v>
      </c>
      <c r="AJ37" s="8">
        <f t="shared" si="44"/>
        <v>0.28867513459481287</v>
      </c>
      <c r="AK37" s="8">
        <f t="shared" si="45"/>
        <v>11924836.98484317</v>
      </c>
      <c r="AL37" s="8">
        <f>求节点(精英野怪!$AH$5:$AH$164,精英野怪!AJ$5:AJ$164,M37)</f>
        <v>86155.610461241318</v>
      </c>
      <c r="AM37" s="8">
        <f t="shared" si="46"/>
        <v>12010992.595304411</v>
      </c>
      <c r="AN37" s="8">
        <f t="shared" si="47"/>
        <v>0.99282693667674704</v>
      </c>
      <c r="AO37" s="8">
        <f t="shared" si="48"/>
        <v>7.1730633232529907E-3</v>
      </c>
      <c r="AP37" s="8"/>
      <c r="AQ37" s="8">
        <f>IF(M37&lt;=节奏预期!$B$1,0,INDEX(其他调用!$D$4:$D$163,$M37)*Q$2-INDEX(其他调用!$D$4:$D$163,节奏预期!$B$1)*Q$2)</f>
        <v>1800772.3010593222</v>
      </c>
      <c r="AR37" s="8">
        <f>求节点(精英野怪!$BI$5:$BI$164,精英野怪!$BZ$5:$BZ$164,$M37)</f>
        <v>3186.0148693058682</v>
      </c>
      <c r="AS37" s="8">
        <f t="shared" si="32"/>
        <v>18007.723010593221</v>
      </c>
      <c r="AT37" s="8"/>
    </row>
    <row r="38" spans="3:46" x14ac:dyDescent="0.15">
      <c r="M38" s="8">
        <v>130</v>
      </c>
      <c r="N38" s="8">
        <f>求节点(节奏总纲!$O$4:$O$163,节奏总纲!$Q$4:$Q$163,$M38)</f>
        <v>6941.8725000000004</v>
      </c>
      <c r="O38" s="8">
        <f>IF(M38&lt;=节奏预期!$B$1,0,INDEX(其他调用!$D$4:$D$163,$M38)*O$2-INDEX(其他调用!$D$4:$D$163,节奏预期!$B$1)*O$2)</f>
        <v>3483105.7437090226</v>
      </c>
      <c r="P38" s="8">
        <v>0.1</v>
      </c>
      <c r="Q38" s="8">
        <f t="shared" si="38"/>
        <v>0.9</v>
      </c>
      <c r="R38" s="8">
        <f t="shared" si="49"/>
        <v>256542.7102973724</v>
      </c>
      <c r="S38" s="8">
        <f t="shared" si="39"/>
        <v>246281.00188547751</v>
      </c>
      <c r="T38" s="8">
        <f t="shared" si="40"/>
        <v>1033681.056966087</v>
      </c>
      <c r="U38" s="8">
        <f t="shared" si="41"/>
        <v>1946600.9745600857</v>
      </c>
      <c r="V38" s="8">
        <f t="shared" si="42"/>
        <v>2565.4271029737238</v>
      </c>
      <c r="W38" s="8">
        <f t="shared" si="26"/>
        <v>492.56200377095502</v>
      </c>
      <c r="X38" s="8">
        <f t="shared" si="27"/>
        <v>413.47242278643478</v>
      </c>
      <c r="Y38" s="8">
        <f t="shared" si="28"/>
        <v>77.864038982403429</v>
      </c>
      <c r="Z38" s="8">
        <f>求节点(精英野怪!$BI$5:$BI$164,精英野怪!BK$5:BK$164,M38)</f>
        <v>514.20434650446941</v>
      </c>
      <c r="AA38" s="8">
        <f>求节点(精英野怪!$BI$5:$BI$164,精英野怪!BP$5:BP$164,M38)</f>
        <v>771.30651975670423</v>
      </c>
      <c r="AB38" s="8">
        <f>求节点(精英野怪!$BI$5:$BI$164,精英野怪!BU$5:BU$164,M38)</f>
        <v>0</v>
      </c>
      <c r="AC38" s="8">
        <v>0</v>
      </c>
      <c r="AD38" s="8">
        <f t="shared" si="43"/>
        <v>3079.6314494781932</v>
      </c>
      <c r="AE38" s="8">
        <f t="shared" si="29"/>
        <v>1263.8685235276594</v>
      </c>
      <c r="AF38" s="8">
        <f t="shared" si="30"/>
        <v>413.47242278643478</v>
      </c>
      <c r="AG38" s="8">
        <f t="shared" si="31"/>
        <v>77.864038982403429</v>
      </c>
      <c r="AH38" s="8"/>
      <c r="AI38" s="8">
        <f>IF(M38&lt;=节奏预期!$B$1,0,INDEX(其他调用!$D$4:$D$163,$M38)*P$2-INDEX(其他调用!$D$4:$D$163,节奏预期!$B$1)*P$2)</f>
        <v>6966211.4874180453</v>
      </c>
      <c r="AJ38" s="8">
        <f t="shared" si="44"/>
        <v>0.27735009811261457</v>
      </c>
      <c r="AK38" s="8">
        <f t="shared" si="45"/>
        <v>24056315.96464587</v>
      </c>
      <c r="AL38" s="8">
        <f>求节点(精英野怪!$AH$5:$AH$164,精英野怪!AJ$5:AJ$164,M38)</f>
        <v>202404.79097048199</v>
      </c>
      <c r="AM38" s="8">
        <f t="shared" si="46"/>
        <v>24258720.755616352</v>
      </c>
      <c r="AN38" s="8">
        <f t="shared" si="47"/>
        <v>0.99165641119292647</v>
      </c>
      <c r="AO38" s="8">
        <f t="shared" si="48"/>
        <v>8.3435888070734921E-3</v>
      </c>
      <c r="AP38" s="8"/>
      <c r="AQ38" s="8">
        <f>IF(M38&lt;=节奏预期!$B$1,0,INDEX(其他调用!$D$4:$D$163,$M38)*Q$2-INDEX(其他调用!$D$4:$D$163,节奏预期!$B$1)*Q$2)</f>
        <v>3483105.7437090226</v>
      </c>
      <c r="AR38" s="8">
        <f>求节点(精英野怪!$BI$5:$BI$164,精英野怪!$BZ$5:$BZ$164,$M38)</f>
        <v>6427.5543313058688</v>
      </c>
      <c r="AS38" s="8">
        <f t="shared" si="32"/>
        <v>34831.057437090225</v>
      </c>
      <c r="AT38" s="8"/>
    </row>
    <row r="39" spans="3:46" x14ac:dyDescent="0.15">
      <c r="D39" s="16"/>
      <c r="E39" s="16"/>
      <c r="F39" s="16"/>
      <c r="G39" s="16"/>
      <c r="H39" s="16"/>
      <c r="M39" s="8">
        <v>140</v>
      </c>
      <c r="N39" s="8">
        <f>求节点(节奏总纲!$O$4:$O$163,节奏总纲!$Q$4:$Q$163,$M39)</f>
        <v>13881.315900000001</v>
      </c>
      <c r="O39" s="8">
        <f>IF(M39&lt;=节奏预期!$B$1,0,INDEX(其他调用!$D$4:$D$163,$M39)*O$2-INDEX(其他调用!$D$4:$D$163,节奏预期!$B$1)*O$2)</f>
        <v>6787579.2024864368</v>
      </c>
      <c r="P39" s="8">
        <v>0</v>
      </c>
      <c r="Q39" s="8">
        <f t="shared" si="38"/>
        <v>1</v>
      </c>
      <c r="R39" s="8">
        <f t="shared" si="49"/>
        <v>256542.7102973724</v>
      </c>
      <c r="S39" s="8">
        <f t="shared" si="39"/>
        <v>246281.00188547751</v>
      </c>
      <c r="T39" s="8">
        <f t="shared" si="40"/>
        <v>1859799.4216604405</v>
      </c>
      <c r="U39" s="8">
        <f t="shared" si="41"/>
        <v>4424956.0686431462</v>
      </c>
      <c r="V39" s="8">
        <f t="shared" si="42"/>
        <v>2565.4271029737238</v>
      </c>
      <c r="W39" s="8">
        <f t="shared" si="26"/>
        <v>492.56200377095502</v>
      </c>
      <c r="X39" s="8">
        <f t="shared" si="27"/>
        <v>743.91976866417622</v>
      </c>
      <c r="Y39" s="8">
        <f t="shared" si="28"/>
        <v>176.99824274572586</v>
      </c>
      <c r="Z39" s="8">
        <f>求节点(精英野怪!$BI$5:$BI$164,精英野怪!BK$5:BK$164,M39)</f>
        <v>1034.9401792404692</v>
      </c>
      <c r="AA39" s="8">
        <f>求节点(精英野怪!$BI$5:$BI$164,精英野怪!BP$5:BP$164,M39)</f>
        <v>1552.4102688607043</v>
      </c>
      <c r="AB39" s="8">
        <f>求节点(精英野怪!$BI$5:$BI$164,精英野怪!BU$5:BU$164,M39)</f>
        <v>0</v>
      </c>
      <c r="AC39" s="8">
        <v>0</v>
      </c>
      <c r="AD39" s="8">
        <f t="shared" si="43"/>
        <v>3600.367282214193</v>
      </c>
      <c r="AE39" s="8">
        <f t="shared" si="29"/>
        <v>2044.9722726316593</v>
      </c>
      <c r="AF39" s="8">
        <f t="shared" si="30"/>
        <v>743.91976866417622</v>
      </c>
      <c r="AG39" s="8">
        <f t="shared" si="31"/>
        <v>176.99824274572586</v>
      </c>
      <c r="AH39" s="8"/>
      <c r="AI39" s="8">
        <f>IF(M39&lt;=节奏预期!$B$1,0,INDEX(其他调用!$D$4:$D$163,$M39)*P$2-INDEX(其他调用!$D$4:$D$163,节奏预期!$B$1)*P$2)</f>
        <v>13575158.404972874</v>
      </c>
      <c r="AJ39" s="8">
        <f t="shared" si="44"/>
        <v>0.2672612419124244</v>
      </c>
      <c r="AK39" s="8">
        <f t="shared" si="45"/>
        <v>48784731.017511763</v>
      </c>
      <c r="AL39" s="8">
        <f>求节点(精英野怪!$AH$5:$AH$164,精英野怪!AJ$5:AJ$164,M39)</f>
        <v>447894.54068888212</v>
      </c>
      <c r="AM39" s="8">
        <f t="shared" si="46"/>
        <v>49232625.558200642</v>
      </c>
      <c r="AN39" s="8">
        <f t="shared" si="47"/>
        <v>0.99090248517907298</v>
      </c>
      <c r="AO39" s="8">
        <f t="shared" si="48"/>
        <v>9.0975148209270478E-3</v>
      </c>
      <c r="AP39" s="8"/>
      <c r="AQ39" s="8">
        <f>IF(M39&lt;=节奏预期!$B$1,0,INDEX(其他调用!$D$4:$D$163,$M39)*Q$2-INDEX(其他调用!$D$4:$D$163,节奏预期!$B$1)*Q$2)</f>
        <v>6787579.2024864368</v>
      </c>
      <c r="AR39" s="8">
        <f>求节点(精英野怪!$BI$5:$BI$164,精英野怪!$BZ$5:$BZ$164,$M39)</f>
        <v>12936.75224050587</v>
      </c>
      <c r="AS39" s="8">
        <f t="shared" si="32"/>
        <v>67875.792024864364</v>
      </c>
      <c r="AT39" s="8"/>
    </row>
    <row r="40" spans="3:46" x14ac:dyDescent="0.15">
      <c r="M40" s="8">
        <v>150</v>
      </c>
      <c r="N40" s="8">
        <f>求节点(节奏总纲!$O$4:$O$163,节奏总纲!$Q$4:$Q$163,$M40)</f>
        <v>27671.731500000002</v>
      </c>
      <c r="O40" s="8">
        <f>IF(M40&lt;=节奏预期!$B$1,0,INDEX(其他调用!$D$4:$D$163,$M40)*O$2-INDEX(其他调用!$D$4:$D$163,节奏预期!$B$1)*O$2)</f>
        <v>13244676.804174589</v>
      </c>
      <c r="P40" s="8">
        <v>0</v>
      </c>
      <c r="Q40" s="8">
        <f t="shared" si="38"/>
        <v>1</v>
      </c>
      <c r="R40" s="8">
        <f t="shared" si="49"/>
        <v>256542.7102973724</v>
      </c>
      <c r="S40" s="8">
        <f t="shared" si="39"/>
        <v>246281.00188547751</v>
      </c>
      <c r="T40" s="8">
        <f t="shared" si="40"/>
        <v>3474073.8220824786</v>
      </c>
      <c r="U40" s="8">
        <f t="shared" si="41"/>
        <v>9267779.2699092589</v>
      </c>
      <c r="V40" s="8">
        <f t="shared" si="42"/>
        <v>2565.4271029737238</v>
      </c>
      <c r="W40" s="8">
        <f t="shared" si="26"/>
        <v>492.56200377095502</v>
      </c>
      <c r="X40" s="8">
        <f t="shared" si="27"/>
        <v>1389.6295288329914</v>
      </c>
      <c r="Y40" s="8">
        <f t="shared" si="28"/>
        <v>370.71117079637037</v>
      </c>
      <c r="Z40" s="8">
        <f>求节点(精英野怪!$BI$5:$BI$164,精英野怪!BK$5:BK$164,M40)</f>
        <v>2069.7729658644694</v>
      </c>
      <c r="AA40" s="8">
        <f>求节点(精英野怪!$BI$5:$BI$164,精英野怪!BP$5:BP$164,M40)</f>
        <v>3104.6594487967045</v>
      </c>
      <c r="AB40" s="8">
        <f>求节点(精英野怪!$BI$5:$BI$164,精英野怪!BU$5:BU$164,M40)</f>
        <v>0</v>
      </c>
      <c r="AC40" s="8">
        <v>0</v>
      </c>
      <c r="AD40" s="8">
        <f t="shared" si="43"/>
        <v>4635.2000688381931</v>
      </c>
      <c r="AE40" s="8">
        <f t="shared" si="29"/>
        <v>3597.2214525676595</v>
      </c>
      <c r="AF40" s="8">
        <f t="shared" si="30"/>
        <v>1389.6295288329914</v>
      </c>
      <c r="AG40" s="8">
        <f t="shared" si="31"/>
        <v>370.71117079637037</v>
      </c>
      <c r="AH40" s="8"/>
      <c r="AI40" s="8">
        <f>IF(M40&lt;=节奏预期!$B$1,0,INDEX(其他调用!$D$4:$D$163,$M40)*P$2-INDEX(其他调用!$D$4:$D$163,节奏预期!$B$1)*P$2)</f>
        <v>26489353.608349178</v>
      </c>
      <c r="AJ40" s="8">
        <f t="shared" si="44"/>
        <v>0.2581988897471611</v>
      </c>
      <c r="AK40" s="8">
        <f t="shared" si="45"/>
        <v>98801193.969859898</v>
      </c>
      <c r="AL40" s="8">
        <f>求节点(精英野怪!$AH$5:$AH$164,精英野怪!AJ$5:AJ$164,M40)</f>
        <v>935744.28295448213</v>
      </c>
      <c r="AM40" s="8">
        <f t="shared" si="46"/>
        <v>99736938.252814382</v>
      </c>
      <c r="AN40" s="8">
        <f t="shared" si="47"/>
        <v>0.99061787639216925</v>
      </c>
      <c r="AO40" s="8">
        <f t="shared" si="48"/>
        <v>9.3821236078306947E-3</v>
      </c>
      <c r="AP40" s="8"/>
      <c r="AQ40" s="8">
        <f>IF(M40&lt;=节奏预期!$B$1,0,INDEX(其他调用!$D$4:$D$163,$M40)*Q$2-INDEX(其他调用!$D$4:$D$163,节奏预期!$B$1)*Q$2)</f>
        <v>13244676.804174589</v>
      </c>
      <c r="AR40" s="8">
        <f>求节点(精英野怪!$BI$5:$BI$164,精英野怪!$BZ$5:$BZ$164,$M40)</f>
        <v>25872.162073305873</v>
      </c>
      <c r="AS40" s="8">
        <f t="shared" si="32"/>
        <v>132446.76804174588</v>
      </c>
      <c r="AT40" s="8"/>
    </row>
    <row r="41" spans="3:46" x14ac:dyDescent="0.15">
      <c r="M41" s="8">
        <v>160</v>
      </c>
      <c r="N41" s="8">
        <f>求节点(节奏总纲!$O$4:$O$163,节奏总纲!$Q$4:$Q$163,$M41)</f>
        <v>65535</v>
      </c>
      <c r="O41" s="8">
        <f>IF(M41&lt;=节奏预期!$B$1,0,INDEX(其他调用!$D$4:$D$163,$M41)*O$2-INDEX(其他调用!$D$4:$D$163,节奏预期!$B$1)*O$2)</f>
        <v>30698848.280682694</v>
      </c>
      <c r="P41" s="8">
        <v>0</v>
      </c>
      <c r="Q41" s="8">
        <f t="shared" si="38"/>
        <v>1</v>
      </c>
      <c r="R41" s="8">
        <f t="shared" si="49"/>
        <v>256542.7102973724</v>
      </c>
      <c r="S41" s="8">
        <f t="shared" si="39"/>
        <v>246281.00188547751</v>
      </c>
      <c r="T41" s="8">
        <f t="shared" si="40"/>
        <v>7837616.6912095034</v>
      </c>
      <c r="U41" s="8">
        <f t="shared" si="41"/>
        <v>22358407.877290338</v>
      </c>
      <c r="V41" s="8">
        <f t="shared" si="42"/>
        <v>2565.4271029737238</v>
      </c>
      <c r="W41" s="8">
        <f t="shared" si="26"/>
        <v>492.56200377095502</v>
      </c>
      <c r="X41" s="8">
        <f t="shared" si="27"/>
        <v>3135.0466764838015</v>
      </c>
      <c r="Y41" s="8">
        <f t="shared" si="28"/>
        <v>894.33631509161353</v>
      </c>
      <c r="Z41" s="8">
        <f>求节点(精英野怪!$BI$5:$BI$164,精英野怪!BK$5:BK$164,M41)</f>
        <v>4911.0326341044683</v>
      </c>
      <c r="AA41" s="8">
        <f>求节点(精英野怪!$BI$5:$BI$164,精英野怪!BP$5:BP$164,M41)</f>
        <v>7366.5489511567039</v>
      </c>
      <c r="AB41" s="8">
        <f>求节点(精英野怪!$BI$5:$BI$164,精英野怪!BU$5:BU$164,M41)</f>
        <v>0</v>
      </c>
      <c r="AC41" s="8">
        <v>0</v>
      </c>
      <c r="AD41" s="8">
        <f t="shared" si="43"/>
        <v>7476.4597370781921</v>
      </c>
      <c r="AE41" s="8">
        <f t="shared" si="29"/>
        <v>7859.1109549276589</v>
      </c>
      <c r="AF41" s="8">
        <f t="shared" si="30"/>
        <v>3135.0466764838015</v>
      </c>
      <c r="AG41" s="8">
        <f t="shared" si="31"/>
        <v>894.33631509161353</v>
      </c>
      <c r="AH41" s="8"/>
      <c r="AI41" s="8">
        <f>IF(M41&lt;=节奏预期!$B$1,0,INDEX(其他调用!$D$4:$D$163,$M41)*P$2-INDEX(其他调用!$D$4:$D$163,节奏预期!$B$1)*P$2)</f>
        <v>61397696.561365388</v>
      </c>
      <c r="AJ41" s="8">
        <f t="shared" si="44"/>
        <v>0.25</v>
      </c>
      <c r="AK41" s="8">
        <f t="shared" si="45"/>
        <v>238434565.78192472</v>
      </c>
      <c r="AL41" s="8">
        <f>求节点(精英野怪!$AH$5:$AH$164,精英野怪!AJ$5:AJ$164,M41)</f>
        <v>2275195.2694104817</v>
      </c>
      <c r="AM41" s="8">
        <f t="shared" si="46"/>
        <v>240709761.05133522</v>
      </c>
      <c r="AN41" s="8">
        <f t="shared" si="47"/>
        <v>0.99054797254804605</v>
      </c>
      <c r="AO41" s="8">
        <f t="shared" si="48"/>
        <v>9.4520274519538892E-3</v>
      </c>
      <c r="AP41" s="8"/>
      <c r="AQ41" s="8">
        <f>IF(M41&lt;=节奏预期!$B$1,0,INDEX(其他调用!$D$4:$D$163,$M41)*Q$2-INDEX(其他调用!$D$4:$D$163,节奏预期!$B$1)*Q$2)</f>
        <v>30698848.280682694</v>
      </c>
      <c r="AR41" s="8">
        <f>求节点(精英野怪!$BI$5:$BI$164,精英野怪!$BZ$5:$BZ$164,$M41)</f>
        <v>61387.907926305867</v>
      </c>
      <c r="AS41" s="8">
        <f t="shared" si="32"/>
        <v>306988.48280682694</v>
      </c>
      <c r="AT41" s="8"/>
    </row>
    <row r="43" spans="3:46" x14ac:dyDescent="0.15">
      <c r="P43" s="53" t="s">
        <v>336</v>
      </c>
      <c r="Q43" s="53"/>
      <c r="R43" s="53" t="s">
        <v>231</v>
      </c>
      <c r="S43" s="53"/>
      <c r="T43" s="53"/>
      <c r="U43" s="53"/>
      <c r="V43" s="53" t="s">
        <v>232</v>
      </c>
      <c r="W43" s="53"/>
      <c r="X43" s="53"/>
      <c r="Y43" s="53"/>
      <c r="Z43" s="53" t="s">
        <v>240</v>
      </c>
      <c r="AA43" s="53"/>
      <c r="AB43" s="53"/>
      <c r="AC43" s="53"/>
      <c r="AD43" s="53" t="s">
        <v>238</v>
      </c>
      <c r="AE43" s="53"/>
      <c r="AF43" s="53"/>
      <c r="AG43" s="53"/>
      <c r="AJ43" s="53" t="s">
        <v>296</v>
      </c>
      <c r="AK43" s="53"/>
      <c r="AL43" s="53"/>
      <c r="AM43" s="53"/>
    </row>
    <row r="44" spans="3:46" x14ac:dyDescent="0.15">
      <c r="L44" s="5" t="s">
        <v>129</v>
      </c>
      <c r="M44" s="8" t="s">
        <v>141</v>
      </c>
      <c r="N44" s="8" t="s">
        <v>132</v>
      </c>
      <c r="O44" s="8" t="s">
        <v>225</v>
      </c>
      <c r="P44" s="8" t="s">
        <v>328</v>
      </c>
      <c r="Q44" s="8" t="s">
        <v>339</v>
      </c>
      <c r="R44" s="8" t="s">
        <v>227</v>
      </c>
      <c r="S44" s="8" t="s">
        <v>228</v>
      </c>
      <c r="T44" s="8" t="s">
        <v>229</v>
      </c>
      <c r="U44" s="8" t="s">
        <v>230</v>
      </c>
      <c r="V44" s="8" t="s">
        <v>227</v>
      </c>
      <c r="W44" s="8" t="s">
        <v>228</v>
      </c>
      <c r="X44" s="8" t="s">
        <v>229</v>
      </c>
      <c r="Y44" s="8" t="s">
        <v>230</v>
      </c>
      <c r="Z44" s="8" t="s">
        <v>227</v>
      </c>
      <c r="AA44" s="8" t="s">
        <v>228</v>
      </c>
      <c r="AB44" s="8" t="s">
        <v>229</v>
      </c>
      <c r="AC44" s="8" t="s">
        <v>230</v>
      </c>
      <c r="AD44" s="8" t="s">
        <v>227</v>
      </c>
      <c r="AE44" s="8" t="s">
        <v>228</v>
      </c>
      <c r="AF44" s="8" t="s">
        <v>229</v>
      </c>
      <c r="AG44" s="8" t="s">
        <v>230</v>
      </c>
      <c r="AH44" s="8"/>
      <c r="AI44" s="8" t="s">
        <v>226</v>
      </c>
      <c r="AJ44" s="8" t="s">
        <v>233</v>
      </c>
      <c r="AK44" s="8" t="s">
        <v>291</v>
      </c>
      <c r="AL44" s="8" t="s">
        <v>292</v>
      </c>
      <c r="AM44" s="8" t="s">
        <v>295</v>
      </c>
      <c r="AN44" s="8" t="s">
        <v>302</v>
      </c>
      <c r="AO44" s="8" t="s">
        <v>303</v>
      </c>
      <c r="AP44" s="8"/>
      <c r="AQ44" s="8" t="s">
        <v>234</v>
      </c>
      <c r="AR44" s="8" t="s">
        <v>344</v>
      </c>
      <c r="AS44" s="8" t="s">
        <v>235</v>
      </c>
      <c r="AT44" s="8"/>
    </row>
    <row r="45" spans="3:46" x14ac:dyDescent="0.15">
      <c r="M45" s="8">
        <v>10</v>
      </c>
      <c r="N45" s="8">
        <f>求节点(节奏总纲!$O$4:$O$163,节奏总纲!$R$4:$R$163,$M45)</f>
        <v>0.6895</v>
      </c>
      <c r="O45" s="8">
        <f>IF(M45&lt;=节奏预期!$B$1,0,INDEX(其他调用!$E$4:$E$163,$M45)*O$2-INDEX(其他调用!$E$4:$E$163,节奏预期!$B$1)*O$2)</f>
        <v>0</v>
      </c>
      <c r="P45" s="8">
        <v>1</v>
      </c>
      <c r="Q45" s="8">
        <f>1-P45</f>
        <v>0</v>
      </c>
      <c r="R45" s="8">
        <f>$P45*$O45*D$27/SUM($D$27:$G$27)+$Q45*$O45*D$35/SUM($D$35:$G$35)</f>
        <v>0</v>
      </c>
      <c r="S45" s="8">
        <f t="shared" ref="S45" si="57">$P45*$O45*E$27/SUM($D$27:$G$27)+$Q45*$O45*E$35/SUM($D$35:$G$35)</f>
        <v>0</v>
      </c>
      <c r="T45" s="8">
        <f t="shared" ref="T45" si="58">$P45*$O45*F$27/SUM($D$27:$G$27)+$Q45*$O45*F$35/SUM($D$35:$G$35)</f>
        <v>0</v>
      </c>
      <c r="U45" s="8">
        <f t="shared" ref="U45" si="59">$P45*$O45*G$27/SUM($D$27:$G$27)+$Q45*$O45*G$35/SUM($D$35:$G$35)</f>
        <v>0</v>
      </c>
      <c r="V45" s="8">
        <f>R45/D$7</f>
        <v>0</v>
      </c>
      <c r="W45" s="8">
        <f t="shared" ref="W45:W60" si="60">S45/E$7</f>
        <v>0</v>
      </c>
      <c r="X45" s="8">
        <f t="shared" ref="X45:X60" si="61">T45/F$7</f>
        <v>0</v>
      </c>
      <c r="Y45" s="8">
        <f t="shared" ref="Y45:Y60" si="62">U45/G$7</f>
        <v>0</v>
      </c>
      <c r="Z45" s="8">
        <f>求节点(精英野怪!$BI$5:$BI$164,精英野怪!BL$5:BL$164,M45)</f>
        <v>0</v>
      </c>
      <c r="AA45" s="8">
        <f>求节点(精英野怪!$BI$5:$BI$164,精英野怪!BQ$5:BQ$164,M45)</f>
        <v>0</v>
      </c>
      <c r="AB45" s="8">
        <f>求节点(精英野怪!$BI$5:$BI$164,精英野怪!BV$5:BV$164,M45)</f>
        <v>0</v>
      </c>
      <c r="AC45" s="8">
        <v>0</v>
      </c>
      <c r="AD45" s="8">
        <f>V45+Z45</f>
        <v>0</v>
      </c>
      <c r="AE45" s="8">
        <f t="shared" ref="AE45:AE60" si="63">W45+AA45</f>
        <v>0</v>
      </c>
      <c r="AF45" s="8">
        <f t="shared" ref="AF45:AF60" si="64">X45+AB45</f>
        <v>0</v>
      </c>
      <c r="AG45" s="8">
        <f t="shared" ref="AG45:AG60" si="65">Y45+AC45</f>
        <v>0</v>
      </c>
      <c r="AH45" s="8"/>
      <c r="AI45" s="8">
        <f>IF(M45&lt;=节奏预期!$B$1,0,INDEX(其他调用!$E$4:$E$163,$M45)*P$2-INDEX(其他调用!$E$4:$E$163,节奏预期!$B$1)*P$2)</f>
        <v>0</v>
      </c>
      <c r="AJ45" s="8">
        <f>SQRT(1/M45*10)</f>
        <v>1</v>
      </c>
      <c r="AK45" s="8">
        <f>IF(M45=10,AI45/AJ45,(AI45-AI44)/AJ45+AK44)</f>
        <v>0</v>
      </c>
      <c r="AL45" s="8">
        <f>求节点(精英野怪!$AH$5:$AH$164,精英野怪!AK$5:AK$164,M45)</f>
        <v>0</v>
      </c>
      <c r="AM45" s="8">
        <f>AK45+AL45</f>
        <v>0</v>
      </c>
      <c r="AN45" s="8" t="e">
        <f>AK45/$AM45</f>
        <v>#DIV/0!</v>
      </c>
      <c r="AO45" s="8" t="e">
        <f>AL45/$AM45</f>
        <v>#DIV/0!</v>
      </c>
      <c r="AP45" s="8"/>
      <c r="AQ45" s="8">
        <f>IF(M45&lt;=节奏预期!$B$1,0,INDEX(其他调用!$E$4:$E$163,$M45)*Q$2-INDEX(其他调用!$E$4:$E$163,节奏预期!$B$1)*Q$2)</f>
        <v>0</v>
      </c>
      <c r="AR45" s="8">
        <f>求节点(精英野怪!$BI$5:$BI$164,精英野怪!$CA$5:$CA$164,$M45)</f>
        <v>0</v>
      </c>
      <c r="AS45" s="8">
        <f t="shared" ref="AS45:AS60" si="66">AQ45/$D$16</f>
        <v>0</v>
      </c>
      <c r="AT45" s="8"/>
    </row>
    <row r="46" spans="3:46" x14ac:dyDescent="0.15">
      <c r="M46" s="8">
        <v>20</v>
      </c>
      <c r="N46" s="8">
        <f>求节点(节奏总纲!$O$4:$O$163,节奏总纲!$R$4:$R$163,$M46)</f>
        <v>2.1372</v>
      </c>
      <c r="O46" s="8">
        <f>IF(M46&lt;=节奏预期!$B$1,0,INDEX(其他调用!$E$4:$E$163,$M46)*O$2-INDEX(其他调用!$E$4:$E$163,节奏预期!$B$1)*O$2)</f>
        <v>0</v>
      </c>
      <c r="P46" s="8">
        <v>1</v>
      </c>
      <c r="Q46" s="8">
        <f t="shared" ref="Q46:Q60" si="67">1-P46</f>
        <v>0</v>
      </c>
      <c r="R46" s="8">
        <f>$P46*($O46-$O45)*D$27/SUM($D$27:$G$27)+$Q46*($O46-$O45)*D$35/SUM($D$35:$G$35)+R45</f>
        <v>0</v>
      </c>
      <c r="S46" s="8">
        <f t="shared" ref="S46:S60" si="68">$P46*($O46-$O45)*E$27/SUM($D$27:$G$27)+$Q46*($O46-$O45)*E$35/SUM($D$35:$G$35)+S45</f>
        <v>0</v>
      </c>
      <c r="T46" s="8">
        <f t="shared" ref="T46:T60" si="69">$P46*($O46-$O45)*F$27/SUM($D$27:$G$27)+$Q46*($O46-$O45)*F$35/SUM($D$35:$G$35)+T45</f>
        <v>0</v>
      </c>
      <c r="U46" s="8">
        <f t="shared" ref="U46:U60" si="70">$P46*($O46-$O45)*G$27/SUM($D$27:$G$27)+$Q46*($O46-$O45)*G$35/SUM($D$35:$G$35)+U45</f>
        <v>0</v>
      </c>
      <c r="V46" s="8">
        <f t="shared" ref="V46:V60" si="71">R46/D$7</f>
        <v>0</v>
      </c>
      <c r="W46" s="8">
        <f t="shared" si="60"/>
        <v>0</v>
      </c>
      <c r="X46" s="8">
        <f t="shared" si="61"/>
        <v>0</v>
      </c>
      <c r="Y46" s="8">
        <f t="shared" si="62"/>
        <v>0</v>
      </c>
      <c r="Z46" s="8">
        <f>求节点(精英野怪!$BI$5:$BI$164,精英野怪!BL$5:BL$164,M46)</f>
        <v>0</v>
      </c>
      <c r="AA46" s="8">
        <f>求节点(精英野怪!$BI$5:$BI$164,精英野怪!BQ$5:BQ$164,M46)</f>
        <v>0</v>
      </c>
      <c r="AB46" s="8">
        <f>求节点(精英野怪!$BI$5:$BI$164,精英野怪!BV$5:BV$164,M46)</f>
        <v>0</v>
      </c>
      <c r="AC46" s="8">
        <v>0</v>
      </c>
      <c r="AD46" s="8">
        <f t="shared" ref="AD46:AD60" si="72">V46+Z46</f>
        <v>0</v>
      </c>
      <c r="AE46" s="8">
        <f t="shared" si="63"/>
        <v>0</v>
      </c>
      <c r="AF46" s="8">
        <f t="shared" si="64"/>
        <v>0</v>
      </c>
      <c r="AG46" s="8">
        <f t="shared" si="65"/>
        <v>0</v>
      </c>
      <c r="AH46" s="8"/>
      <c r="AI46" s="8">
        <f>IF(M46&lt;=节奏预期!$B$1,0,INDEX(其他调用!$E$4:$E$163,$M46)*P$2-INDEX(其他调用!$E$4:$E$163,节奏预期!$B$1)*P$2)</f>
        <v>0</v>
      </c>
      <c r="AJ46" s="8">
        <f t="shared" ref="AJ46:AJ60" si="73">SQRT(1/M46*10)</f>
        <v>0.70710678118654757</v>
      </c>
      <c r="AK46" s="8">
        <f t="shared" ref="AK46:AK60" si="74">IF(M46=10,AI46/AJ46,(AI46-AI45)/AJ46+AK45)</f>
        <v>0</v>
      </c>
      <c r="AL46" s="8">
        <f>求节点(精英野怪!$AH$5:$AH$164,精英野怪!AK$5:AK$164,M46)</f>
        <v>0</v>
      </c>
      <c r="AM46" s="8">
        <f t="shared" ref="AM46:AM60" si="75">AK46+AL46</f>
        <v>0</v>
      </c>
      <c r="AN46" s="8" t="e">
        <f t="shared" ref="AN46:AN60" si="76">AK46/$AM46</f>
        <v>#DIV/0!</v>
      </c>
      <c r="AO46" s="8" t="e">
        <f t="shared" ref="AO46:AO60" si="77">AL46/$AM46</f>
        <v>#DIV/0!</v>
      </c>
      <c r="AP46" s="8"/>
      <c r="AQ46" s="8">
        <f>IF(M46&lt;=节奏预期!$B$1,0,INDEX(其他调用!$E$4:$E$163,$M46)*Q$2-INDEX(其他调用!$E$4:$E$163,节奏预期!$B$1)*Q$2)</f>
        <v>0</v>
      </c>
      <c r="AR46" s="8">
        <f>求节点(精英野怪!$BI$5:$BI$164,精英野怪!$CA$5:$CA$164,$M46)</f>
        <v>0</v>
      </c>
      <c r="AS46" s="8">
        <f t="shared" si="66"/>
        <v>0</v>
      </c>
      <c r="AT46" s="8"/>
    </row>
    <row r="47" spans="3:46" x14ac:dyDescent="0.15">
      <c r="M47" s="8">
        <v>30</v>
      </c>
      <c r="N47" s="8">
        <f>求节点(节奏总纲!$O$4:$O$163,节奏总纲!$R$4:$R$163,$M47)</f>
        <v>5.0421000000000005</v>
      </c>
      <c r="O47" s="8">
        <f>IF(M47&lt;=节奏预期!$B$1,0,INDEX(其他调用!$E$4:$E$163,$M47)*O$2-INDEX(其他调用!$E$4:$E$163,节奏预期!$B$1)*O$2)</f>
        <v>0</v>
      </c>
      <c r="P47" s="8">
        <v>1</v>
      </c>
      <c r="Q47" s="8">
        <f t="shared" si="67"/>
        <v>0</v>
      </c>
      <c r="R47" s="8">
        <f t="shared" ref="R47:R60" si="78">$P47*($O47-$O46)*D$27/SUM($D$27:$G$27)+$Q47*($O47-$O46)*D$35/SUM($D$35:$G$35)+R46</f>
        <v>0</v>
      </c>
      <c r="S47" s="8">
        <f t="shared" si="68"/>
        <v>0</v>
      </c>
      <c r="T47" s="8">
        <f t="shared" si="69"/>
        <v>0</v>
      </c>
      <c r="U47" s="8">
        <f t="shared" si="70"/>
        <v>0</v>
      </c>
      <c r="V47" s="8">
        <f t="shared" si="71"/>
        <v>0</v>
      </c>
      <c r="W47" s="8">
        <f t="shared" si="60"/>
        <v>0</v>
      </c>
      <c r="X47" s="8">
        <f t="shared" si="61"/>
        <v>0</v>
      </c>
      <c r="Y47" s="8">
        <f t="shared" si="62"/>
        <v>0</v>
      </c>
      <c r="Z47" s="8">
        <f>求节点(精英野怪!$BI$5:$BI$164,精英野怪!BL$5:BL$164,M47)</f>
        <v>0</v>
      </c>
      <c r="AA47" s="8">
        <f>求节点(精英野怪!$BI$5:$BI$164,精英野怪!BQ$5:BQ$164,M47)</f>
        <v>0</v>
      </c>
      <c r="AB47" s="8">
        <f>求节点(精英野怪!$BI$5:$BI$164,精英野怪!BV$5:BV$164,M47)</f>
        <v>0</v>
      </c>
      <c r="AC47" s="8">
        <v>0</v>
      </c>
      <c r="AD47" s="8">
        <f t="shared" si="72"/>
        <v>0</v>
      </c>
      <c r="AE47" s="8">
        <f t="shared" si="63"/>
        <v>0</v>
      </c>
      <c r="AF47" s="8">
        <f t="shared" si="64"/>
        <v>0</v>
      </c>
      <c r="AG47" s="8">
        <f t="shared" si="65"/>
        <v>0</v>
      </c>
      <c r="AH47" s="8"/>
      <c r="AI47" s="8">
        <f>IF(M47&lt;=节奏预期!$B$1,0,INDEX(其他调用!$E$4:$E$163,$M47)*P$2-INDEX(其他调用!$E$4:$E$163,节奏预期!$B$1)*P$2)</f>
        <v>0</v>
      </c>
      <c r="AJ47" s="8">
        <f t="shared" si="73"/>
        <v>0.57735026918962573</v>
      </c>
      <c r="AK47" s="8">
        <f t="shared" si="74"/>
        <v>0</v>
      </c>
      <c r="AL47" s="8">
        <f>求节点(精英野怪!$AH$5:$AH$164,精英野怪!AK$5:AK$164,M47)</f>
        <v>0</v>
      </c>
      <c r="AM47" s="8">
        <f t="shared" si="75"/>
        <v>0</v>
      </c>
      <c r="AN47" s="8" t="e">
        <f t="shared" si="76"/>
        <v>#DIV/0!</v>
      </c>
      <c r="AO47" s="8" t="e">
        <f t="shared" si="77"/>
        <v>#DIV/0!</v>
      </c>
      <c r="AP47" s="8"/>
      <c r="AQ47" s="8">
        <f>IF(M47&lt;=节奏预期!$B$1,0,INDEX(其他调用!$E$4:$E$163,$M47)*Q$2-INDEX(其他调用!$E$4:$E$163,节奏预期!$B$1)*Q$2)</f>
        <v>0</v>
      </c>
      <c r="AR47" s="8">
        <f>求节点(精英野怪!$BI$5:$BI$164,精英野怪!$CA$5:$CA$164,$M47)</f>
        <v>0</v>
      </c>
      <c r="AS47" s="8">
        <f t="shared" si="66"/>
        <v>0</v>
      </c>
      <c r="AT47" s="8"/>
    </row>
    <row r="48" spans="3:46" x14ac:dyDescent="0.15">
      <c r="M48" s="8">
        <v>40</v>
      </c>
      <c r="N48" s="8">
        <f>求节点(节奏总纲!$O$4:$O$163,节奏总纲!$R$4:$R$163,$M48)</f>
        <v>10.782</v>
      </c>
      <c r="O48" s="8">
        <f>IF(M48&lt;=节奏预期!$B$1,0,INDEX(其他调用!$E$4:$E$163,$M48)*O$2-INDEX(其他调用!$E$4:$E$163,节奏预期!$B$1)*O$2)</f>
        <v>0</v>
      </c>
      <c r="P48" s="8">
        <v>1</v>
      </c>
      <c r="Q48" s="8">
        <f t="shared" si="67"/>
        <v>0</v>
      </c>
      <c r="R48" s="8">
        <f t="shared" si="78"/>
        <v>0</v>
      </c>
      <c r="S48" s="8">
        <f t="shared" si="68"/>
        <v>0</v>
      </c>
      <c r="T48" s="8">
        <f t="shared" si="69"/>
        <v>0</v>
      </c>
      <c r="U48" s="8">
        <f t="shared" si="70"/>
        <v>0</v>
      </c>
      <c r="V48" s="8">
        <f t="shared" si="71"/>
        <v>0</v>
      </c>
      <c r="W48" s="8">
        <f t="shared" si="60"/>
        <v>0</v>
      </c>
      <c r="X48" s="8">
        <f t="shared" si="61"/>
        <v>0</v>
      </c>
      <c r="Y48" s="8">
        <f t="shared" si="62"/>
        <v>0</v>
      </c>
      <c r="Z48" s="8">
        <f>求节点(精英野怪!$BI$5:$BI$164,精英野怪!BL$5:BL$164,M48)</f>
        <v>0</v>
      </c>
      <c r="AA48" s="8">
        <f>求节点(精英野怪!$BI$5:$BI$164,精英野怪!BQ$5:BQ$164,M48)</f>
        <v>0</v>
      </c>
      <c r="AB48" s="8">
        <f>求节点(精英野怪!$BI$5:$BI$164,精英野怪!BV$5:BV$164,M48)</f>
        <v>0</v>
      </c>
      <c r="AC48" s="8">
        <v>0</v>
      </c>
      <c r="AD48" s="8">
        <f t="shared" si="72"/>
        <v>0</v>
      </c>
      <c r="AE48" s="8">
        <f t="shared" si="63"/>
        <v>0</v>
      </c>
      <c r="AF48" s="8">
        <f t="shared" si="64"/>
        <v>0</v>
      </c>
      <c r="AG48" s="8">
        <f t="shared" si="65"/>
        <v>0</v>
      </c>
      <c r="AH48" s="8"/>
      <c r="AI48" s="8">
        <f>IF(M48&lt;=节奏预期!$B$1,0,INDEX(其他调用!$E$4:$E$163,$M48)*P$2-INDEX(其他调用!$E$4:$E$163,节奏预期!$B$1)*P$2)</f>
        <v>0</v>
      </c>
      <c r="AJ48" s="8">
        <f t="shared" si="73"/>
        <v>0.5</v>
      </c>
      <c r="AK48" s="8">
        <f t="shared" si="74"/>
        <v>0</v>
      </c>
      <c r="AL48" s="8">
        <f>求节点(精英野怪!$AH$5:$AH$164,精英野怪!AK$5:AK$164,M48)</f>
        <v>0</v>
      </c>
      <c r="AM48" s="8">
        <f t="shared" si="75"/>
        <v>0</v>
      </c>
      <c r="AN48" s="8" t="e">
        <f t="shared" si="76"/>
        <v>#DIV/0!</v>
      </c>
      <c r="AO48" s="8" t="e">
        <f t="shared" si="77"/>
        <v>#DIV/0!</v>
      </c>
      <c r="AP48" s="8"/>
      <c r="AQ48" s="8">
        <f>IF(M48&lt;=节奏预期!$B$1,0,INDEX(其他调用!$E$4:$E$163,$M48)*Q$2-INDEX(其他调用!$E$4:$E$163,节奏预期!$B$1)*Q$2)</f>
        <v>0</v>
      </c>
      <c r="AR48" s="8">
        <f>求节点(精英野怪!$BI$5:$BI$164,精英野怪!$CA$5:$CA$164,$M48)</f>
        <v>0</v>
      </c>
      <c r="AS48" s="8">
        <f t="shared" si="66"/>
        <v>0</v>
      </c>
      <c r="AT48" s="8"/>
    </row>
    <row r="49" spans="12:46" x14ac:dyDescent="0.15">
      <c r="M49" s="8">
        <v>50</v>
      </c>
      <c r="N49" s="8">
        <f>求节点(节奏总纲!$O$4:$O$163,节奏总纲!$R$4:$R$163,$M49)</f>
        <v>22.205300000000001</v>
      </c>
      <c r="O49" s="8">
        <f>IF(M49&lt;=节奏预期!$B$1,0,INDEX(其他调用!$E$4:$E$163,$M49)*O$2-INDEX(其他调用!$E$4:$E$163,节奏预期!$B$1)*O$2)</f>
        <v>0</v>
      </c>
      <c r="P49" s="8">
        <v>1</v>
      </c>
      <c r="Q49" s="8">
        <f t="shared" si="67"/>
        <v>0</v>
      </c>
      <c r="R49" s="8">
        <f t="shared" si="78"/>
        <v>0</v>
      </c>
      <c r="S49" s="8">
        <f t="shared" si="68"/>
        <v>0</v>
      </c>
      <c r="T49" s="8">
        <f t="shared" si="69"/>
        <v>0</v>
      </c>
      <c r="U49" s="8">
        <f t="shared" si="70"/>
        <v>0</v>
      </c>
      <c r="V49" s="8">
        <f t="shared" si="71"/>
        <v>0</v>
      </c>
      <c r="W49" s="8">
        <f t="shared" si="60"/>
        <v>0</v>
      </c>
      <c r="X49" s="8">
        <f t="shared" si="61"/>
        <v>0</v>
      </c>
      <c r="Y49" s="8">
        <f t="shared" si="62"/>
        <v>0</v>
      </c>
      <c r="Z49" s="8">
        <f>求节点(精英野怪!$BI$5:$BI$164,精英野怪!BL$5:BL$164,M49)</f>
        <v>0</v>
      </c>
      <c r="AA49" s="8">
        <f>求节点(精英野怪!$BI$5:$BI$164,精英野怪!BQ$5:BQ$164,M49)</f>
        <v>0</v>
      </c>
      <c r="AB49" s="8">
        <f>求节点(精英野怪!$BI$5:$BI$164,精英野怪!BV$5:BV$164,M49)</f>
        <v>0</v>
      </c>
      <c r="AC49" s="8">
        <v>0</v>
      </c>
      <c r="AD49" s="8">
        <f t="shared" si="72"/>
        <v>0</v>
      </c>
      <c r="AE49" s="8">
        <f t="shared" si="63"/>
        <v>0</v>
      </c>
      <c r="AF49" s="8">
        <f t="shared" si="64"/>
        <v>0</v>
      </c>
      <c r="AG49" s="8">
        <f t="shared" si="65"/>
        <v>0</v>
      </c>
      <c r="AH49" s="8"/>
      <c r="AI49" s="8">
        <f>IF(M49&lt;=节奏预期!$B$1,0,INDEX(其他调用!$E$4:$E$163,$M49)*P$2-INDEX(其他调用!$E$4:$E$163,节奏预期!$B$1)*P$2)</f>
        <v>0</v>
      </c>
      <c r="AJ49" s="8">
        <f t="shared" si="73"/>
        <v>0.44721359549995793</v>
      </c>
      <c r="AK49" s="8">
        <f t="shared" si="74"/>
        <v>0</v>
      </c>
      <c r="AL49" s="8">
        <f>求节点(精英野怪!$AH$5:$AH$164,精英野怪!AK$5:AK$164,M49)</f>
        <v>0</v>
      </c>
      <c r="AM49" s="8">
        <f t="shared" si="75"/>
        <v>0</v>
      </c>
      <c r="AN49" s="8" t="e">
        <f t="shared" si="76"/>
        <v>#DIV/0!</v>
      </c>
      <c r="AO49" s="8" t="e">
        <f t="shared" si="77"/>
        <v>#DIV/0!</v>
      </c>
      <c r="AP49" s="8"/>
      <c r="AQ49" s="8">
        <f>IF(M49&lt;=节奏预期!$B$1,0,INDEX(其他调用!$E$4:$E$163,$M49)*Q$2-INDEX(其他调用!$E$4:$E$163,节奏预期!$B$1)*Q$2)</f>
        <v>0</v>
      </c>
      <c r="AR49" s="8">
        <f>求节点(精英野怪!$BI$5:$BI$164,精英野怪!$CA$5:$CA$164,$M49)</f>
        <v>0</v>
      </c>
      <c r="AS49" s="8">
        <f t="shared" si="66"/>
        <v>0</v>
      </c>
      <c r="AT49" s="8"/>
    </row>
    <row r="50" spans="12:46" x14ac:dyDescent="0.15">
      <c r="M50" s="8">
        <v>60</v>
      </c>
      <c r="N50" s="8">
        <f>求节点(节奏总纲!$O$4:$O$163,节奏总纲!$R$4:$R$163,$M50)</f>
        <v>44.717399999999998</v>
      </c>
      <c r="O50" s="8">
        <f>IF(M50&lt;=节奏预期!$B$1,0,INDEX(其他调用!$E$4:$E$163,$M50)*O$2-INDEX(其他调用!$E$4:$E$163,节奏预期!$B$1)*O$2)</f>
        <v>0</v>
      </c>
      <c r="P50" s="8">
        <v>1</v>
      </c>
      <c r="Q50" s="8">
        <f t="shared" si="67"/>
        <v>0</v>
      </c>
      <c r="R50" s="8">
        <f t="shared" si="78"/>
        <v>0</v>
      </c>
      <c r="S50" s="8">
        <f t="shared" si="68"/>
        <v>0</v>
      </c>
      <c r="T50" s="8">
        <f t="shared" si="69"/>
        <v>0</v>
      </c>
      <c r="U50" s="8">
        <f t="shared" si="70"/>
        <v>0</v>
      </c>
      <c r="V50" s="8">
        <f t="shared" si="71"/>
        <v>0</v>
      </c>
      <c r="W50" s="8">
        <f t="shared" si="60"/>
        <v>0</v>
      </c>
      <c r="X50" s="8">
        <f t="shared" si="61"/>
        <v>0</v>
      </c>
      <c r="Y50" s="8">
        <f t="shared" si="62"/>
        <v>0</v>
      </c>
      <c r="Z50" s="8">
        <f>求节点(精英野怪!$BI$5:$BI$164,精英野怪!BL$5:BL$164,M50)</f>
        <v>0</v>
      </c>
      <c r="AA50" s="8">
        <f>求节点(精英野怪!$BI$5:$BI$164,精英野怪!BQ$5:BQ$164,M50)</f>
        <v>0</v>
      </c>
      <c r="AB50" s="8">
        <f>求节点(精英野怪!$BI$5:$BI$164,精英野怪!BV$5:BV$164,M50)</f>
        <v>0</v>
      </c>
      <c r="AC50" s="8">
        <v>0</v>
      </c>
      <c r="AD50" s="8">
        <f t="shared" si="72"/>
        <v>0</v>
      </c>
      <c r="AE50" s="8">
        <f t="shared" si="63"/>
        <v>0</v>
      </c>
      <c r="AF50" s="8">
        <f t="shared" si="64"/>
        <v>0</v>
      </c>
      <c r="AG50" s="8">
        <f t="shared" si="65"/>
        <v>0</v>
      </c>
      <c r="AH50" s="8"/>
      <c r="AI50" s="8">
        <f>IF(M50&lt;=节奏预期!$B$1,0,INDEX(其他调用!$E$4:$E$163,$M50)*P$2-INDEX(其他调用!$E$4:$E$163,节奏预期!$B$1)*P$2)</f>
        <v>0</v>
      </c>
      <c r="AJ50" s="8">
        <f t="shared" si="73"/>
        <v>0.40824829046386302</v>
      </c>
      <c r="AK50" s="8">
        <f t="shared" si="74"/>
        <v>0</v>
      </c>
      <c r="AL50" s="8">
        <f>求节点(精英野怪!$AH$5:$AH$164,精英野怪!AK$5:AK$164,M50)</f>
        <v>0</v>
      </c>
      <c r="AM50" s="8">
        <f t="shared" si="75"/>
        <v>0</v>
      </c>
      <c r="AN50" s="8" t="e">
        <f t="shared" si="76"/>
        <v>#DIV/0!</v>
      </c>
      <c r="AO50" s="8" t="e">
        <f t="shared" si="77"/>
        <v>#DIV/0!</v>
      </c>
      <c r="AP50" s="8"/>
      <c r="AQ50" s="8">
        <f>IF(M50&lt;=节奏预期!$B$1,0,INDEX(其他调用!$E$4:$E$163,$M50)*Q$2-INDEX(其他调用!$E$4:$E$163,节奏预期!$B$1)*Q$2)</f>
        <v>0</v>
      </c>
      <c r="AR50" s="8">
        <f>求节点(精英野怪!$BI$5:$BI$164,精英野怪!$CA$5:$CA$164,$M50)</f>
        <v>0</v>
      </c>
      <c r="AS50" s="8">
        <f t="shared" si="66"/>
        <v>0</v>
      </c>
      <c r="AT50" s="8"/>
    </row>
    <row r="51" spans="12:46" x14ac:dyDescent="0.15">
      <c r="M51" s="8">
        <v>70</v>
      </c>
      <c r="N51" s="8">
        <f>求节点(节奏总纲!$O$4:$O$163,节奏总纲!$R$4:$R$163,$M51)</f>
        <v>90.106499999999997</v>
      </c>
      <c r="O51" s="8">
        <f>IF(M51&lt;=节奏预期!$B$1,0,INDEX(其他调用!$E$4:$E$163,$M51)*O$2-INDEX(其他调用!$E$4:$E$163,节奏预期!$B$1)*O$2)</f>
        <v>61128.534533866507</v>
      </c>
      <c r="P51" s="8">
        <v>1</v>
      </c>
      <c r="Q51" s="8">
        <f t="shared" si="67"/>
        <v>0</v>
      </c>
      <c r="R51" s="8">
        <f t="shared" si="78"/>
        <v>17667.206512678182</v>
      </c>
      <c r="S51" s="8">
        <f t="shared" si="68"/>
        <v>16960.518252171052</v>
      </c>
      <c r="T51" s="8">
        <f t="shared" si="69"/>
        <v>26500.809769017273</v>
      </c>
      <c r="U51" s="8">
        <f t="shared" si="70"/>
        <v>0</v>
      </c>
      <c r="V51" s="8">
        <f t="shared" si="71"/>
        <v>176.67206512678183</v>
      </c>
      <c r="W51" s="8">
        <f t="shared" si="60"/>
        <v>33.921036504342105</v>
      </c>
      <c r="X51" s="8">
        <f t="shared" si="61"/>
        <v>10.600323907606908</v>
      </c>
      <c r="Y51" s="8">
        <f t="shared" si="62"/>
        <v>0</v>
      </c>
      <c r="Z51" s="8">
        <f>求节点(精英野怪!$BI$5:$BI$164,精英野怪!BL$5:BL$164,M51)</f>
        <v>2.680904562157278</v>
      </c>
      <c r="AA51" s="8">
        <f>求节点(精英野怪!$BI$5:$BI$164,精英野怪!BQ$5:BQ$164,M51)</f>
        <v>4.0213568432359175</v>
      </c>
      <c r="AB51" s="8">
        <f>求节点(精英野怪!$BI$5:$BI$164,精英野怪!BV$5:BV$164,M51)</f>
        <v>0</v>
      </c>
      <c r="AC51" s="8">
        <v>0</v>
      </c>
      <c r="AD51" s="8">
        <f t="shared" si="72"/>
        <v>179.35296968893911</v>
      </c>
      <c r="AE51" s="8">
        <f t="shared" si="63"/>
        <v>37.942393347578019</v>
      </c>
      <c r="AF51" s="8">
        <f t="shared" si="64"/>
        <v>10.600323907606908</v>
      </c>
      <c r="AG51" s="8">
        <f t="shared" si="65"/>
        <v>0</v>
      </c>
      <c r="AH51" s="8"/>
      <c r="AI51" s="8">
        <f>IF(M51&lt;=节奏预期!$B$1,0,INDEX(其他调用!$E$4:$E$163,$M51)*P$2-INDEX(其他调用!$E$4:$E$163,节奏预期!$B$1)*P$2)</f>
        <v>122257.06906773301</v>
      </c>
      <c r="AJ51" s="8">
        <f t="shared" si="73"/>
        <v>0.3779644730092272</v>
      </c>
      <c r="AK51" s="8">
        <f t="shared" si="74"/>
        <v>323461.80077286885</v>
      </c>
      <c r="AL51" s="8">
        <f>求节点(精英野怪!$AH$5:$AH$164,精英野怪!AK$5:AK$164,M51)</f>
        <v>74.617905992249888</v>
      </c>
      <c r="AM51" s="8">
        <f t="shared" si="75"/>
        <v>323536.41867886111</v>
      </c>
      <c r="AN51" s="8">
        <f t="shared" si="76"/>
        <v>0.99976936783099424</v>
      </c>
      <c r="AO51" s="8">
        <f t="shared" si="77"/>
        <v>2.3063216900572436E-4</v>
      </c>
      <c r="AP51" s="8"/>
      <c r="AQ51" s="8">
        <f>IF(M51&lt;=节奏预期!$B$1,0,INDEX(其他调用!$E$4:$E$163,$M51)*Q$2-INDEX(其他调用!$E$4:$E$163,节奏预期!$B$1)*Q$2)</f>
        <v>61128.534533866507</v>
      </c>
      <c r="AR51" s="8">
        <f>求节点(精英野怪!$BI$5:$BI$164,精英野怪!$CA$5:$CA$164,$M51)</f>
        <v>33.51130702696598</v>
      </c>
      <c r="AS51" s="8">
        <f t="shared" si="66"/>
        <v>611.28534533866502</v>
      </c>
      <c r="AT51" s="8"/>
    </row>
    <row r="52" spans="12:46" x14ac:dyDescent="0.15">
      <c r="M52" s="8">
        <v>80</v>
      </c>
      <c r="N52" s="8">
        <f>求节点(节奏总纲!$O$4:$O$163,节奏总纲!$R$4:$R$163,$M52)</f>
        <v>180.33600000000001</v>
      </c>
      <c r="O52" s="8">
        <f>IF(M52&lt;=节奏预期!$B$1,0,INDEX(其他调用!$E$4:$E$163,$M52)*O$2-INDEX(其他调用!$E$4:$E$163,节奏预期!$B$1)*O$2)</f>
        <v>165265.61104523833</v>
      </c>
      <c r="P52" s="8">
        <v>0.8</v>
      </c>
      <c r="Q52" s="8">
        <f t="shared" si="67"/>
        <v>0.19999999999999996</v>
      </c>
      <c r="R52" s="8">
        <f t="shared" si="78"/>
        <v>41745.143278313291</v>
      </c>
      <c r="S52" s="8">
        <f t="shared" si="68"/>
        <v>40075.337547180752</v>
      </c>
      <c r="T52" s="8">
        <f t="shared" si="69"/>
        <v>67824.568743038515</v>
      </c>
      <c r="U52" s="8">
        <f t="shared" si="70"/>
        <v>15620.56147670577</v>
      </c>
      <c r="V52" s="8">
        <f t="shared" si="71"/>
        <v>417.45143278313293</v>
      </c>
      <c r="W52" s="8">
        <f t="shared" si="60"/>
        <v>80.150675094361503</v>
      </c>
      <c r="X52" s="8">
        <f t="shared" si="61"/>
        <v>27.129827497215405</v>
      </c>
      <c r="Y52" s="8">
        <f t="shared" si="62"/>
        <v>0.62482245906823086</v>
      </c>
      <c r="Z52" s="8">
        <f>求节点(精英野怪!$BI$5:$BI$164,精英野怪!BL$5:BL$164,M52)</f>
        <v>11.877095202157282</v>
      </c>
      <c r="AA52" s="8">
        <f>求节点(精英野怪!$BI$5:$BI$164,精英野怪!BQ$5:BQ$164,M52)</f>
        <v>17.815642803235924</v>
      </c>
      <c r="AB52" s="8">
        <f>求节点(精英野怪!$BI$5:$BI$164,精英野怪!BV$5:BV$164,M52)</f>
        <v>0</v>
      </c>
      <c r="AC52" s="8">
        <v>0</v>
      </c>
      <c r="AD52" s="8">
        <f t="shared" si="72"/>
        <v>429.32852798529024</v>
      </c>
      <c r="AE52" s="8">
        <f t="shared" si="63"/>
        <v>97.966317897597435</v>
      </c>
      <c r="AF52" s="8">
        <f t="shared" si="64"/>
        <v>27.129827497215405</v>
      </c>
      <c r="AG52" s="8">
        <f t="shared" si="65"/>
        <v>0.62482245906823086</v>
      </c>
      <c r="AH52" s="8"/>
      <c r="AI52" s="8">
        <f>IF(M52&lt;=节奏预期!$B$1,0,INDEX(其他调用!$E$4:$E$163,$M52)*P$2-INDEX(其他调用!$E$4:$E$163,节奏预期!$B$1)*P$2)</f>
        <v>330531.22209047666</v>
      </c>
      <c r="AJ52" s="8">
        <f t="shared" si="73"/>
        <v>0.35355339059327379</v>
      </c>
      <c r="AK52" s="8">
        <f t="shared" si="74"/>
        <v>912550.06456593564</v>
      </c>
      <c r="AL52" s="8">
        <f>求节点(精英野怪!$AH$5:$AH$164,精英野怪!AK$5:AK$164,M52)</f>
        <v>1487.383813870287</v>
      </c>
      <c r="AM52" s="8">
        <f t="shared" si="75"/>
        <v>914037.44837980589</v>
      </c>
      <c r="AN52" s="8">
        <f t="shared" si="76"/>
        <v>0.99837273208389132</v>
      </c>
      <c r="AO52" s="8">
        <f t="shared" si="77"/>
        <v>1.6272679161086637E-3</v>
      </c>
      <c r="AP52" s="8"/>
      <c r="AQ52" s="8">
        <f>IF(M52&lt;=节奏预期!$B$1,0,INDEX(其他调用!$E$4:$E$163,$M52)*Q$2-INDEX(其他调用!$E$4:$E$163,节奏预期!$B$1)*Q$2)</f>
        <v>165265.61104523833</v>
      </c>
      <c r="AR52" s="8">
        <f>求节点(精英野怪!$BI$5:$BI$164,精英野怪!$CA$5:$CA$164,$M52)</f>
        <v>148.46369002696605</v>
      </c>
      <c r="AS52" s="8">
        <f t="shared" si="66"/>
        <v>1652.6561104523832</v>
      </c>
      <c r="AT52" s="8"/>
    </row>
    <row r="53" spans="12:46" x14ac:dyDescent="0.15">
      <c r="M53" s="8">
        <v>90</v>
      </c>
      <c r="N53" s="8">
        <f>求节点(节奏总纲!$O$4:$O$163,节奏总纲!$R$4:$R$163,$M53)</f>
        <v>354.12299999999999</v>
      </c>
      <c r="O53" s="8">
        <f>IF(M53&lt;=节奏预期!$B$1,0,INDEX(其他调用!$E$4:$E$163,$M53)*O$2-INDEX(其他调用!$E$4:$E$163,节奏预期!$B$1)*O$2)</f>
        <v>356507.37445220031</v>
      </c>
      <c r="P53" s="8">
        <v>0.6</v>
      </c>
      <c r="Q53" s="8">
        <f t="shared" si="67"/>
        <v>0.4</v>
      </c>
      <c r="R53" s="8">
        <f t="shared" si="78"/>
        <v>74908.454851774906</v>
      </c>
      <c r="S53" s="8">
        <f t="shared" si="68"/>
        <v>71912.116657703911</v>
      </c>
      <c r="T53" s="8">
        <f t="shared" si="69"/>
        <v>136693.71244392713</v>
      </c>
      <c r="U53" s="8">
        <f t="shared" si="70"/>
        <v>72993.090498794365</v>
      </c>
      <c r="V53" s="8">
        <f t="shared" si="71"/>
        <v>749.08454851774911</v>
      </c>
      <c r="W53" s="8">
        <f t="shared" si="60"/>
        <v>143.82423331540781</v>
      </c>
      <c r="X53" s="8">
        <f t="shared" si="61"/>
        <v>54.677484977570849</v>
      </c>
      <c r="Y53" s="8">
        <f t="shared" si="62"/>
        <v>2.9197236199517747</v>
      </c>
      <c r="Z53" s="8">
        <f>求节点(精英野怪!$BI$5:$BI$164,精英野怪!BL$5:BL$164,M53)</f>
        <v>29.589466242157279</v>
      </c>
      <c r="AA53" s="8">
        <f>求节点(精英野怪!$BI$5:$BI$164,精英野怪!BQ$5:BQ$164,M53)</f>
        <v>44.384199363235929</v>
      </c>
      <c r="AB53" s="8">
        <f>求节点(精英野怪!$BI$5:$BI$164,精英野怪!BV$5:BV$164,M53)</f>
        <v>0</v>
      </c>
      <c r="AC53" s="8">
        <v>0</v>
      </c>
      <c r="AD53" s="8">
        <f t="shared" si="72"/>
        <v>778.67401475990641</v>
      </c>
      <c r="AE53" s="8">
        <f t="shared" si="63"/>
        <v>188.20843267864373</v>
      </c>
      <c r="AF53" s="8">
        <f t="shared" si="64"/>
        <v>54.677484977570849</v>
      </c>
      <c r="AG53" s="8">
        <f t="shared" si="65"/>
        <v>2.9197236199517747</v>
      </c>
      <c r="AH53" s="8"/>
      <c r="AI53" s="8">
        <f>IF(M53&lt;=节奏预期!$B$1,0,INDEX(其他调用!$E$4:$E$163,$M53)*P$2-INDEX(其他调用!$E$4:$E$163,节奏预期!$B$1)*P$2)</f>
        <v>713014.74890440062</v>
      </c>
      <c r="AJ53" s="8">
        <f t="shared" si="73"/>
        <v>0.33333333333333337</v>
      </c>
      <c r="AK53" s="8">
        <f t="shared" si="74"/>
        <v>2060000.6450077074</v>
      </c>
      <c r="AL53" s="8">
        <f>求节点(精英野怪!$AH$5:$AH$164,精英野怪!AK$5:AK$164,M53)</f>
        <v>5242.6736703496372</v>
      </c>
      <c r="AM53" s="8">
        <f t="shared" si="75"/>
        <v>2065243.3186780571</v>
      </c>
      <c r="AN53" s="8">
        <f t="shared" si="76"/>
        <v>0.99746147409221231</v>
      </c>
      <c r="AO53" s="8">
        <f t="shared" si="77"/>
        <v>2.5385259077876712E-3</v>
      </c>
      <c r="AP53" s="8"/>
      <c r="AQ53" s="8">
        <f>IF(M53&lt;=节奏预期!$B$1,0,INDEX(其他调用!$E$4:$E$163,$M53)*Q$2-INDEX(其他调用!$E$4:$E$163,节奏预期!$B$1)*Q$2)</f>
        <v>356507.37445220031</v>
      </c>
      <c r="AR53" s="8">
        <f>求节点(精英野怪!$BI$5:$BI$164,精英野怪!$CA$5:$CA$164,$M53)</f>
        <v>369.86832802696608</v>
      </c>
      <c r="AS53" s="8">
        <f t="shared" si="66"/>
        <v>3565.0737445220029</v>
      </c>
      <c r="AT53" s="8"/>
    </row>
    <row r="54" spans="12:46" x14ac:dyDescent="0.15">
      <c r="M54" s="8">
        <v>100</v>
      </c>
      <c r="N54" s="8">
        <f>求节点(节奏总纲!$O$4:$O$163,节奏总纲!$R$4:$R$163,$M54)</f>
        <v>706.6884</v>
      </c>
      <c r="O54" s="8">
        <f>IF(M54&lt;=节奏预期!$B$1,0,INDEX(其他调用!$E$4:$E$163,$M54)*O$2-INDEX(其他调用!$E$4:$E$163,节奏预期!$B$1)*O$2)</f>
        <v>729679.70210754231</v>
      </c>
      <c r="P54" s="8">
        <v>0.4</v>
      </c>
      <c r="Q54" s="8">
        <f t="shared" si="67"/>
        <v>0.6</v>
      </c>
      <c r="R54" s="8">
        <f t="shared" si="78"/>
        <v>118049.76440730577</v>
      </c>
      <c r="S54" s="8">
        <f t="shared" si="68"/>
        <v>113327.77383101355</v>
      </c>
      <c r="T54" s="8">
        <f t="shared" si="69"/>
        <v>257381.52592552471</v>
      </c>
      <c r="U54" s="8">
        <f t="shared" si="70"/>
        <v>240920.63794369824</v>
      </c>
      <c r="V54" s="8">
        <f t="shared" si="71"/>
        <v>1180.4976440730577</v>
      </c>
      <c r="W54" s="8">
        <f t="shared" si="60"/>
        <v>226.65554766202709</v>
      </c>
      <c r="X54" s="8">
        <f t="shared" si="61"/>
        <v>102.95261037020988</v>
      </c>
      <c r="Y54" s="8">
        <f t="shared" si="62"/>
        <v>9.6368255177479298</v>
      </c>
      <c r="Z54" s="8">
        <f>求节点(精英野怪!$BI$5:$BI$164,精英野怪!BL$5:BL$164,M54)</f>
        <v>65.522931810157274</v>
      </c>
      <c r="AA54" s="8">
        <f>求节点(精英野怪!$BI$5:$BI$164,精英野怪!BQ$5:BQ$164,M54)</f>
        <v>98.284397715235926</v>
      </c>
      <c r="AB54" s="8">
        <f>求节点(精英野怪!$BI$5:$BI$164,精英野怪!BV$5:BV$164,M54)</f>
        <v>0</v>
      </c>
      <c r="AC54" s="8">
        <v>0</v>
      </c>
      <c r="AD54" s="8">
        <f t="shared" si="72"/>
        <v>1246.0205758832149</v>
      </c>
      <c r="AE54" s="8">
        <f t="shared" si="63"/>
        <v>324.93994537726303</v>
      </c>
      <c r="AF54" s="8">
        <f t="shared" si="64"/>
        <v>102.95261037020988</v>
      </c>
      <c r="AG54" s="8">
        <f t="shared" si="65"/>
        <v>9.6368255177479298</v>
      </c>
      <c r="AH54" s="8"/>
      <c r="AI54" s="8">
        <f>IF(M54&lt;=节奏预期!$B$1,0,INDEX(其他调用!$E$4:$E$163,$M54)*P$2-INDEX(其他调用!$E$4:$E$163,节奏预期!$B$1)*P$2)</f>
        <v>1459359.4042150846</v>
      </c>
      <c r="AJ54" s="8">
        <f t="shared" si="73"/>
        <v>0.31622776601683794</v>
      </c>
      <c r="AK54" s="8">
        <f t="shared" si="74"/>
        <v>4420149.6752827531</v>
      </c>
      <c r="AL54" s="8">
        <f>求节点(精英野怪!$AH$5:$AH$164,精英野怪!AK$5:AK$164,M54)</f>
        <v>15012.758347252018</v>
      </c>
      <c r="AM54" s="8">
        <f t="shared" si="75"/>
        <v>4435162.4336300055</v>
      </c>
      <c r="AN54" s="8">
        <f t="shared" si="76"/>
        <v>0.9966150600858682</v>
      </c>
      <c r="AO54" s="8">
        <f t="shared" si="77"/>
        <v>3.3849399141317733E-3</v>
      </c>
      <c r="AP54" s="8"/>
      <c r="AQ54" s="8">
        <f>IF(M54&lt;=节奏预期!$B$1,0,INDEX(其他调用!$E$4:$E$163,$M54)*Q$2-INDEX(其他调用!$E$4:$E$163,节奏预期!$B$1)*Q$2)</f>
        <v>729679.70210754231</v>
      </c>
      <c r="AR54" s="8">
        <f>求节点(精英野怪!$BI$5:$BI$164,精英野怪!$CA$5:$CA$164,$M54)</f>
        <v>819.0366476269661</v>
      </c>
      <c r="AS54" s="8">
        <f t="shared" si="66"/>
        <v>7296.7970210754229</v>
      </c>
      <c r="AT54" s="8"/>
    </row>
    <row r="55" spans="12:46" x14ac:dyDescent="0.15">
      <c r="M55" s="8">
        <v>110</v>
      </c>
      <c r="N55" s="8">
        <f>求节点(节奏总纲!$O$4:$O$163,节奏总纲!$R$4:$R$163,$M55)</f>
        <v>1397.2821999999999</v>
      </c>
      <c r="O55" s="8">
        <f>IF(M55&lt;=节奏预期!$B$1,0,INDEX(其他调用!$E$4:$E$163,$M55)*O$2-INDEX(其他调用!$E$4:$E$163,节奏预期!$B$1)*O$2)</f>
        <v>1438006.6757551348</v>
      </c>
      <c r="P55" s="8">
        <v>0.2</v>
      </c>
      <c r="Q55" s="8">
        <f t="shared" si="67"/>
        <v>0.8</v>
      </c>
      <c r="R55" s="8">
        <f t="shared" si="78"/>
        <v>158993.52010947873</v>
      </c>
      <c r="S55" s="8">
        <f t="shared" si="68"/>
        <v>152633.7793050996</v>
      </c>
      <c r="T55" s="8">
        <f t="shared" si="69"/>
        <v>460462.55420830264</v>
      </c>
      <c r="U55" s="8">
        <f t="shared" si="70"/>
        <v>665916.82213225379</v>
      </c>
      <c r="V55" s="8">
        <f t="shared" si="71"/>
        <v>1589.9352010947873</v>
      </c>
      <c r="W55" s="8">
        <f t="shared" si="60"/>
        <v>305.26755861019922</v>
      </c>
      <c r="X55" s="8">
        <f t="shared" si="61"/>
        <v>184.18502168332105</v>
      </c>
      <c r="Y55" s="8">
        <f t="shared" si="62"/>
        <v>26.636672885290153</v>
      </c>
      <c r="Z55" s="8">
        <f>求节点(精英野怪!$BI$5:$BI$164,精英野怪!BL$5:BL$164,M55)</f>
        <v>135.90825190615726</v>
      </c>
      <c r="AA55" s="8">
        <f>求节点(精英野怪!$BI$5:$BI$164,精英野怪!BQ$5:BQ$164,M55)</f>
        <v>203.86237785923592</v>
      </c>
      <c r="AB55" s="8">
        <f>求节点(精英野怪!$BI$5:$BI$164,精英野怪!BV$5:BV$164,M55)</f>
        <v>0</v>
      </c>
      <c r="AC55" s="8">
        <v>0</v>
      </c>
      <c r="AD55" s="8">
        <f t="shared" si="72"/>
        <v>1725.8434530009445</v>
      </c>
      <c r="AE55" s="8">
        <f t="shared" si="63"/>
        <v>509.12993646943517</v>
      </c>
      <c r="AF55" s="8">
        <f t="shared" si="64"/>
        <v>184.18502168332105</v>
      </c>
      <c r="AG55" s="8">
        <f t="shared" si="65"/>
        <v>26.636672885290153</v>
      </c>
      <c r="AH55" s="8"/>
      <c r="AI55" s="8">
        <f>IF(M55&lt;=节奏预期!$B$1,0,INDEX(其他调用!$E$4:$E$163,$M55)*P$2-INDEX(其他调用!$E$4:$E$163,节奏预期!$B$1)*P$2)</f>
        <v>2876013.3515102696</v>
      </c>
      <c r="AJ55" s="8">
        <f t="shared" si="73"/>
        <v>0.30151134457776363</v>
      </c>
      <c r="AK55" s="8">
        <f t="shared" si="74"/>
        <v>9118659.2762367949</v>
      </c>
      <c r="AL55" s="8">
        <f>求节点(精英野怪!$AH$5:$AH$164,精英野怪!AK$5:AK$164,M55)</f>
        <v>38272.359110579433</v>
      </c>
      <c r="AM55" s="8">
        <f t="shared" si="75"/>
        <v>9156931.6353473738</v>
      </c>
      <c r="AN55" s="8">
        <f t="shared" si="76"/>
        <v>0.99582039479656692</v>
      </c>
      <c r="AO55" s="8">
        <f t="shared" si="77"/>
        <v>4.1796052034331422E-3</v>
      </c>
      <c r="AP55" s="8"/>
      <c r="AQ55" s="8">
        <f>IF(M55&lt;=节奏预期!$B$1,0,INDEX(其他调用!$E$4:$E$163,$M55)*Q$2-INDEX(其他调用!$E$4:$E$163,节奏预期!$B$1)*Q$2)</f>
        <v>1438006.6757551348</v>
      </c>
      <c r="AR55" s="8">
        <f>求节点(精英野怪!$BI$5:$BI$164,精英野怪!$CA$5:$CA$164,$M55)</f>
        <v>1698.8531488269659</v>
      </c>
      <c r="AS55" s="8">
        <f t="shared" si="66"/>
        <v>14380.066757551347</v>
      </c>
      <c r="AT55" s="8"/>
    </row>
    <row r="56" spans="12:46" x14ac:dyDescent="0.15">
      <c r="M56" s="8">
        <v>120</v>
      </c>
      <c r="N56" s="8">
        <f>求节点(节奏总纲!$O$4:$O$163,节奏总纲!$R$4:$R$163,$M56)</f>
        <v>2791.971</v>
      </c>
      <c r="O56" s="8">
        <f>IF(M56&lt;=节奏预期!$B$1,0,INDEX(其他调用!$E$4:$E$163,$M56)*O$2-INDEX(其他调用!$E$4:$E$163,节奏预期!$B$1)*O$2)</f>
        <v>2836604.8632496856</v>
      </c>
      <c r="P56" s="8">
        <v>0</v>
      </c>
      <c r="Q56" s="8">
        <f t="shared" si="67"/>
        <v>1</v>
      </c>
      <c r="R56" s="8">
        <f t="shared" si="78"/>
        <v>158993.52010947873</v>
      </c>
      <c r="S56" s="8">
        <f t="shared" si="68"/>
        <v>152633.7793050996</v>
      </c>
      <c r="T56" s="8">
        <f t="shared" si="69"/>
        <v>810112.10108194035</v>
      </c>
      <c r="U56" s="8">
        <f t="shared" si="70"/>
        <v>1714865.4627531669</v>
      </c>
      <c r="V56" s="8">
        <f t="shared" si="71"/>
        <v>1589.9352010947873</v>
      </c>
      <c r="W56" s="8">
        <f t="shared" si="60"/>
        <v>305.26755861019922</v>
      </c>
      <c r="X56" s="8">
        <f t="shared" si="61"/>
        <v>324.04484043277614</v>
      </c>
      <c r="Y56" s="8">
        <f t="shared" si="62"/>
        <v>68.594618510126679</v>
      </c>
      <c r="Z56" s="8">
        <f>求节点(精英野怪!$BI$5:$BI$164,精英野怪!BL$5:BL$164,M56)</f>
        <v>278.0549344021573</v>
      </c>
      <c r="AA56" s="8">
        <f>求节点(精英野怪!$BI$5:$BI$164,精英野怪!BQ$5:BQ$164,M56)</f>
        <v>417.08240160323601</v>
      </c>
      <c r="AB56" s="8">
        <f>求节点(精英野怪!$BI$5:$BI$164,精英野怪!BV$5:BV$164,M56)</f>
        <v>0</v>
      </c>
      <c r="AC56" s="8">
        <v>0</v>
      </c>
      <c r="AD56" s="8">
        <f t="shared" si="72"/>
        <v>1867.9901354969447</v>
      </c>
      <c r="AE56" s="8">
        <f t="shared" si="63"/>
        <v>722.34996021343522</v>
      </c>
      <c r="AF56" s="8">
        <f t="shared" si="64"/>
        <v>324.04484043277614</v>
      </c>
      <c r="AG56" s="8">
        <f t="shared" si="65"/>
        <v>68.594618510126679</v>
      </c>
      <c r="AH56" s="8"/>
      <c r="AI56" s="8">
        <f>IF(M56&lt;=节奏预期!$B$1,0,INDEX(其他调用!$E$4:$E$163,$M56)*P$2-INDEX(其他调用!$E$4:$E$163,节奏预期!$B$1)*P$2)</f>
        <v>5673209.7264993712</v>
      </c>
      <c r="AJ56" s="8">
        <f t="shared" si="73"/>
        <v>0.28867513459481287</v>
      </c>
      <c r="AK56" s="8">
        <f t="shared" si="74"/>
        <v>18808431.756694015</v>
      </c>
      <c r="AL56" s="8">
        <f>求节点(精英野怪!$AH$5:$AH$164,精英野怪!AK$5:AK$164,M56)</f>
        <v>93616.738185478593</v>
      </c>
      <c r="AM56" s="8">
        <f t="shared" si="75"/>
        <v>18902048.494879495</v>
      </c>
      <c r="AN56" s="8">
        <f t="shared" si="76"/>
        <v>0.99504727023577155</v>
      </c>
      <c r="AO56" s="8">
        <f t="shared" si="77"/>
        <v>4.9527297642284153E-3</v>
      </c>
      <c r="AP56" s="8"/>
      <c r="AQ56" s="8">
        <f>IF(M56&lt;=节奏预期!$B$1,0,INDEX(其他调用!$E$4:$E$163,$M56)*Q$2-INDEX(其他调用!$E$4:$E$163,节奏预期!$B$1)*Q$2)</f>
        <v>2836604.8632496856</v>
      </c>
      <c r="AR56" s="8">
        <f>求节点(精英野怪!$BI$5:$BI$164,精英野怪!$CA$5:$CA$164,$M56)</f>
        <v>3475.6866800269663</v>
      </c>
      <c r="AS56" s="8">
        <f t="shared" si="66"/>
        <v>28366.048632496855</v>
      </c>
      <c r="AT56" s="8"/>
    </row>
    <row r="57" spans="12:46" x14ac:dyDescent="0.15">
      <c r="M57" s="8">
        <v>130</v>
      </c>
      <c r="N57" s="8">
        <f>求节点(节奏总纲!$O$4:$O$163,节奏总纲!$R$4:$R$163,$M57)</f>
        <v>5542.0306</v>
      </c>
      <c r="O57" s="8">
        <f>IF(M57&lt;=节奏预期!$B$1,0,INDEX(其他调用!$E$4:$E$163,$M57)*O$2-INDEX(其他调用!$E$4:$E$163,节奏预期!$B$1)*O$2)</f>
        <v>5547116.3343353467</v>
      </c>
      <c r="P57" s="8">
        <v>0</v>
      </c>
      <c r="Q57" s="8">
        <f t="shared" si="67"/>
        <v>1</v>
      </c>
      <c r="R57" s="8">
        <f t="shared" si="78"/>
        <v>158993.52010947873</v>
      </c>
      <c r="S57" s="8">
        <f t="shared" si="68"/>
        <v>152633.7793050996</v>
      </c>
      <c r="T57" s="8">
        <f t="shared" si="69"/>
        <v>1487739.9688533554</v>
      </c>
      <c r="U57" s="8">
        <f t="shared" si="70"/>
        <v>3747749.066067413</v>
      </c>
      <c r="V57" s="8">
        <f t="shared" si="71"/>
        <v>1589.9352010947873</v>
      </c>
      <c r="W57" s="8">
        <f t="shared" si="60"/>
        <v>305.26755861019922</v>
      </c>
      <c r="X57" s="8">
        <f t="shared" si="61"/>
        <v>595.0959875413422</v>
      </c>
      <c r="Y57" s="8">
        <f t="shared" si="62"/>
        <v>149.90996264269651</v>
      </c>
      <c r="Z57" s="8">
        <f>求节点(精英野怪!$BI$5:$BI$164,精英野怪!BL$5:BL$164,M57)</f>
        <v>558.34100883415726</v>
      </c>
      <c r="AA57" s="8">
        <f>求节点(精英野怪!$BI$5:$BI$164,精英野怪!BQ$5:BQ$164,M57)</f>
        <v>837.5115132512359</v>
      </c>
      <c r="AB57" s="8">
        <f>求节点(精英野怪!$BI$5:$BI$164,精英野怪!BV$5:BV$164,M57)</f>
        <v>0</v>
      </c>
      <c r="AC57" s="8">
        <v>0</v>
      </c>
      <c r="AD57" s="8">
        <f t="shared" si="72"/>
        <v>2148.2762099289448</v>
      </c>
      <c r="AE57" s="8">
        <f t="shared" si="63"/>
        <v>1142.7790718614351</v>
      </c>
      <c r="AF57" s="8">
        <f t="shared" si="64"/>
        <v>595.0959875413422</v>
      </c>
      <c r="AG57" s="8">
        <f t="shared" si="65"/>
        <v>149.90996264269651</v>
      </c>
      <c r="AH57" s="8"/>
      <c r="AI57" s="8">
        <f>IF(M57&lt;=节奏预期!$B$1,0,INDEX(其他调用!$E$4:$E$163,$M57)*P$2-INDEX(其他调用!$E$4:$E$163,节奏预期!$B$1)*P$2)</f>
        <v>11094232.668670693</v>
      </c>
      <c r="AJ57" s="8">
        <f t="shared" si="73"/>
        <v>0.27735009811261457</v>
      </c>
      <c r="AK57" s="8">
        <f t="shared" si="74"/>
        <v>38354207.940159373</v>
      </c>
      <c r="AL57" s="8">
        <f>求节点(精英野怪!$AH$5:$AH$164,精英野怪!AK$5:AK$164,M57)</f>
        <v>219285.54039163532</v>
      </c>
      <c r="AM57" s="8">
        <f t="shared" si="75"/>
        <v>38573493.480551012</v>
      </c>
      <c r="AN57" s="8">
        <f t="shared" si="76"/>
        <v>0.99431512366122077</v>
      </c>
      <c r="AO57" s="8">
        <f t="shared" si="77"/>
        <v>5.6848763387791264E-3</v>
      </c>
      <c r="AP57" s="8"/>
      <c r="AQ57" s="8">
        <f>IF(M57&lt;=节奏预期!$B$1,0,INDEX(其他调用!$E$4:$E$163,$M57)*Q$2-INDEX(其他调用!$E$4:$E$163,节奏预期!$B$1)*Q$2)</f>
        <v>5547116.3343353467</v>
      </c>
      <c r="AR57" s="8">
        <f>求节点(精英野怪!$BI$5:$BI$164,精英野怪!$CA$5:$CA$164,$M57)</f>
        <v>6979.2626104269666</v>
      </c>
      <c r="AS57" s="8">
        <f t="shared" si="66"/>
        <v>55471.163343353466</v>
      </c>
      <c r="AT57" s="8"/>
    </row>
    <row r="58" spans="12:46" x14ac:dyDescent="0.15">
      <c r="M58" s="8">
        <v>140</v>
      </c>
      <c r="N58" s="8">
        <f>求节点(节奏总纲!$O$4:$O$163,节奏总纲!$R$4:$R$163,$M58)</f>
        <v>11037.2271</v>
      </c>
      <c r="O58" s="8">
        <f>IF(M58&lt;=节奏预期!$B$1,0,INDEX(其他调用!$E$4:$E$163,$M58)*O$2-INDEX(其他调用!$E$4:$E$163,节奏预期!$B$1)*O$2)</f>
        <v>10892735.607446618</v>
      </c>
      <c r="P58" s="8">
        <v>0</v>
      </c>
      <c r="Q58" s="8">
        <f t="shared" si="67"/>
        <v>1</v>
      </c>
      <c r="R58" s="8">
        <f t="shared" si="78"/>
        <v>158993.52010947873</v>
      </c>
      <c r="S58" s="8">
        <f t="shared" si="68"/>
        <v>152633.7793050996</v>
      </c>
      <c r="T58" s="8">
        <f t="shared" si="69"/>
        <v>2824144.7871311731</v>
      </c>
      <c r="U58" s="8">
        <f t="shared" si="70"/>
        <v>7756963.5209008669</v>
      </c>
      <c r="V58" s="8">
        <f t="shared" si="71"/>
        <v>1589.9352010947873</v>
      </c>
      <c r="W58" s="8">
        <f t="shared" si="60"/>
        <v>305.26755861019922</v>
      </c>
      <c r="X58" s="8">
        <f t="shared" si="61"/>
        <v>1129.6579148524693</v>
      </c>
      <c r="Y58" s="8">
        <f t="shared" si="62"/>
        <v>310.27854083603467</v>
      </c>
      <c r="Z58" s="8">
        <f>求节点(精英野怪!$BI$5:$BI$164,精英野怪!BL$5:BL$164,M58)</f>
        <v>1118.4114361141571</v>
      </c>
      <c r="AA58" s="8">
        <f>求节点(精英野怪!$BI$5:$BI$164,精英野怪!BQ$5:BQ$164,M58)</f>
        <v>1677.6171541712361</v>
      </c>
      <c r="AB58" s="8">
        <f>求节点(精英野怪!$BI$5:$BI$164,精英野怪!BV$5:BV$164,M58)</f>
        <v>0</v>
      </c>
      <c r="AC58" s="8">
        <v>0</v>
      </c>
      <c r="AD58" s="8">
        <f t="shared" si="72"/>
        <v>2708.3466372089442</v>
      </c>
      <c r="AE58" s="8">
        <f t="shared" si="63"/>
        <v>1982.8847127814352</v>
      </c>
      <c r="AF58" s="8">
        <f t="shared" si="64"/>
        <v>1129.6579148524693</v>
      </c>
      <c r="AG58" s="8">
        <f t="shared" si="65"/>
        <v>310.27854083603467</v>
      </c>
      <c r="AH58" s="8"/>
      <c r="AI58" s="8">
        <f>IF(M58&lt;=节奏预期!$B$1,0,INDEX(其他调用!$E$4:$E$163,$M58)*P$2-INDEX(其他调用!$E$4:$E$163,节奏预期!$B$1)*P$2)</f>
        <v>21785471.214893237</v>
      </c>
      <c r="AJ58" s="8">
        <f t="shared" si="73"/>
        <v>0.2672612419124244</v>
      </c>
      <c r="AK58" s="8">
        <f t="shared" si="74"/>
        <v>78357159.620395243</v>
      </c>
      <c r="AL58" s="8">
        <f>求节点(精英野怪!$AH$5:$AH$164,精英野怪!AK$5:AK$164,M58)</f>
        <v>483318.74182363541</v>
      </c>
      <c r="AM58" s="8">
        <f t="shared" si="75"/>
        <v>78840478.362218872</v>
      </c>
      <c r="AN58" s="8">
        <f t="shared" si="76"/>
        <v>0.99386966248983033</v>
      </c>
      <c r="AO58" s="8">
        <f t="shared" si="77"/>
        <v>6.1303375101697316E-3</v>
      </c>
      <c r="AP58" s="8"/>
      <c r="AQ58" s="8">
        <f>IF(M58&lt;=节奏预期!$B$1,0,INDEX(其他调用!$E$4:$E$163,$M58)*Q$2-INDEX(其他调用!$E$4:$E$163,节奏预期!$B$1)*Q$2)</f>
        <v>10892735.607446618</v>
      </c>
      <c r="AR58" s="8">
        <f>求节点(精英野怪!$BI$5:$BI$164,精英野怪!$CA$5:$CA$164,$M58)</f>
        <v>13980.142951426968</v>
      </c>
      <c r="AS58" s="8">
        <f t="shared" si="66"/>
        <v>108927.35607446618</v>
      </c>
      <c r="AT58" s="8"/>
    </row>
    <row r="59" spans="12:46" x14ac:dyDescent="0.15">
      <c r="M59" s="8">
        <v>150</v>
      </c>
      <c r="N59" s="8">
        <f>求节点(节奏总纲!$O$4:$O$163,节奏总纲!$R$4:$R$163,$M59)</f>
        <v>21996.487099999998</v>
      </c>
      <c r="O59" s="8">
        <f>IF(M59&lt;=节奏预期!$B$1,0,INDEX(其他调用!$E$4:$E$163,$M59)*O$2-INDEX(其他调用!$E$4:$E$163,节奏预期!$B$1)*O$2)</f>
        <v>21447545.190870121</v>
      </c>
      <c r="P59" s="8">
        <v>0</v>
      </c>
      <c r="Q59" s="8">
        <f t="shared" si="67"/>
        <v>1</v>
      </c>
      <c r="R59" s="8">
        <f t="shared" si="78"/>
        <v>158993.52010947873</v>
      </c>
      <c r="S59" s="8">
        <f t="shared" si="68"/>
        <v>152633.7793050996</v>
      </c>
      <c r="T59" s="8">
        <f t="shared" si="69"/>
        <v>5462847.1829870483</v>
      </c>
      <c r="U59" s="8">
        <f t="shared" si="70"/>
        <v>15673070.708468493</v>
      </c>
      <c r="V59" s="8">
        <f t="shared" si="71"/>
        <v>1589.9352010947873</v>
      </c>
      <c r="W59" s="8">
        <f t="shared" si="60"/>
        <v>305.26755861019922</v>
      </c>
      <c r="X59" s="8">
        <f t="shared" si="61"/>
        <v>2185.1388731948191</v>
      </c>
      <c r="Y59" s="8">
        <f t="shared" si="62"/>
        <v>626.92282833873969</v>
      </c>
      <c r="Z59" s="8">
        <f>求节点(精英野怪!$BI$5:$BI$164,精英野怪!BL$5:BL$164,M59)</f>
        <v>2235.3792153141576</v>
      </c>
      <c r="AA59" s="8">
        <f>求节点(精英野怪!$BI$5:$BI$164,精英野怪!BQ$5:BQ$164,M59)</f>
        <v>3353.0688229712368</v>
      </c>
      <c r="AB59" s="8">
        <f>求节点(精英野怪!$BI$5:$BI$164,精英野怪!BV$5:BV$164,M59)</f>
        <v>0</v>
      </c>
      <c r="AC59" s="8">
        <v>0</v>
      </c>
      <c r="AD59" s="8">
        <f t="shared" si="72"/>
        <v>3825.3144164089449</v>
      </c>
      <c r="AE59" s="8">
        <f t="shared" si="63"/>
        <v>3658.3363815814359</v>
      </c>
      <c r="AF59" s="8">
        <f t="shared" si="64"/>
        <v>2185.1388731948191</v>
      </c>
      <c r="AG59" s="8">
        <f t="shared" si="65"/>
        <v>626.92282833873969</v>
      </c>
      <c r="AH59" s="8"/>
      <c r="AI59" s="8">
        <f>IF(M59&lt;=节奏预期!$B$1,0,INDEX(其他调用!$E$4:$E$163,$M59)*P$2-INDEX(其他调用!$E$4:$E$163,节奏预期!$B$1)*P$2)</f>
        <v>42895090.381740242</v>
      </c>
      <c r="AJ59" s="8">
        <f t="shared" si="73"/>
        <v>0.2581988897471611</v>
      </c>
      <c r="AK59" s="8">
        <f t="shared" si="74"/>
        <v>160114363.09837461</v>
      </c>
      <c r="AL59" s="8">
        <f>求节点(精英野怪!$AH$5:$AH$164,精英野怪!AK$5:AK$164,M59)</f>
        <v>1009889.2663036353</v>
      </c>
      <c r="AM59" s="8">
        <f t="shared" si="75"/>
        <v>161124252.36467823</v>
      </c>
      <c r="AN59" s="8">
        <f t="shared" si="76"/>
        <v>0.99373223303455327</v>
      </c>
      <c r="AO59" s="8">
        <f t="shared" si="77"/>
        <v>6.2677669654467479E-3</v>
      </c>
      <c r="AP59" s="8"/>
      <c r="AQ59" s="8">
        <f>IF(M59&lt;=节奏预期!$B$1,0,INDEX(其他调用!$E$4:$E$163,$M59)*Q$2-INDEX(其他调用!$E$4:$E$163,节奏预期!$B$1)*Q$2)</f>
        <v>21447545.190870121</v>
      </c>
      <c r="AR59" s="8">
        <f>求节点(精英野怪!$BI$5:$BI$164,精英野怪!$CA$5:$CA$164,$M59)</f>
        <v>27942.240191426972</v>
      </c>
      <c r="AS59" s="8">
        <f t="shared" si="66"/>
        <v>214475.45190870122</v>
      </c>
      <c r="AT59" s="8"/>
    </row>
    <row r="60" spans="12:46" x14ac:dyDescent="0.15">
      <c r="M60" s="8">
        <v>160</v>
      </c>
      <c r="N60" s="8">
        <f>求节点(节奏总纲!$O$4:$O$163,节奏总纲!$R$4:$R$163,$M60)</f>
        <v>66190.350000000006</v>
      </c>
      <c r="O60" s="8">
        <f>IF(M60&lt;=节奏预期!$B$1,0,INDEX(其他调用!$E$4:$E$163,$M60)*O$2-INDEX(其他调用!$E$4:$E$163,节奏预期!$B$1)*O$2)</f>
        <v>63556005.131323665</v>
      </c>
      <c r="P60" s="8">
        <v>0</v>
      </c>
      <c r="Q60" s="8">
        <f t="shared" si="67"/>
        <v>1</v>
      </c>
      <c r="R60" s="8">
        <f t="shared" si="78"/>
        <v>158993.52010947873</v>
      </c>
      <c r="S60" s="8">
        <f t="shared" si="68"/>
        <v>152633.7793050996</v>
      </c>
      <c r="T60" s="8">
        <f t="shared" si="69"/>
        <v>15989962.168100432</v>
      </c>
      <c r="U60" s="8">
        <f t="shared" si="70"/>
        <v>47254415.663808651</v>
      </c>
      <c r="V60" s="8">
        <f t="shared" si="71"/>
        <v>1589.9352010947873</v>
      </c>
      <c r="W60" s="8">
        <f t="shared" si="60"/>
        <v>305.26755861019922</v>
      </c>
      <c r="X60" s="8">
        <f t="shared" si="61"/>
        <v>6395.9848672401722</v>
      </c>
      <c r="Y60" s="8">
        <f t="shared" si="62"/>
        <v>1890.1766265523461</v>
      </c>
      <c r="Z60" s="8">
        <f>求节点(精英野怪!$BI$5:$BI$164,精英野怪!BL$5:BL$164,M60)</f>
        <v>6739.6177220821573</v>
      </c>
      <c r="AA60" s="8">
        <f>求节点(精英野怪!$BI$5:$BI$164,精英野怪!BQ$5:BQ$164,M60)</f>
        <v>10109.426583123237</v>
      </c>
      <c r="AB60" s="8">
        <f>求节点(精英野怪!$BI$5:$BI$164,精英野怪!BV$5:BV$164,M60)</f>
        <v>0</v>
      </c>
      <c r="AC60" s="8">
        <v>0</v>
      </c>
      <c r="AD60" s="8">
        <f t="shared" si="72"/>
        <v>8329.5529231769451</v>
      </c>
      <c r="AE60" s="8">
        <f t="shared" si="63"/>
        <v>10414.694141733436</v>
      </c>
      <c r="AF60" s="8">
        <f t="shared" si="64"/>
        <v>6395.9848672401722</v>
      </c>
      <c r="AG60" s="8">
        <f t="shared" si="65"/>
        <v>1890.1766265523461</v>
      </c>
      <c r="AH60" s="8"/>
      <c r="AI60" s="8">
        <f>IF(M60&lt;=节奏预期!$B$1,0,INDEX(其他调用!$E$4:$E$163,$M60)*P$2-INDEX(其他调用!$E$4:$E$163,节奏预期!$B$1)*P$2)</f>
        <v>127112010.26264733</v>
      </c>
      <c r="AJ60" s="8">
        <f t="shared" si="73"/>
        <v>0.25</v>
      </c>
      <c r="AK60" s="8">
        <f t="shared" si="74"/>
        <v>496982042.62200296</v>
      </c>
      <c r="AL60" s="8">
        <f>求节点(精英野怪!$AH$5:$AH$164,精英野怪!AK$5:AK$164,M60)</f>
        <v>3133315.9909228361</v>
      </c>
      <c r="AM60" s="8">
        <f t="shared" si="75"/>
        <v>500115358.61292577</v>
      </c>
      <c r="AN60" s="8">
        <f t="shared" si="76"/>
        <v>0.99373481350460202</v>
      </c>
      <c r="AO60" s="8">
        <f t="shared" si="77"/>
        <v>6.2651864953980115E-3</v>
      </c>
      <c r="AP60" s="8"/>
      <c r="AQ60" s="8">
        <f>IF(M60&lt;=节奏预期!$B$1,0,INDEX(其他调用!$E$4:$E$163,$M60)*Q$2-INDEX(其他调用!$E$4:$E$163,节奏预期!$B$1)*Q$2)</f>
        <v>63556005.131323665</v>
      </c>
      <c r="AR60" s="8">
        <f>求节点(精英野怪!$BI$5:$BI$164,精英野怪!$CA$5:$CA$164,$M60)</f>
        <v>84245.221526026988</v>
      </c>
      <c r="AS60" s="8">
        <f t="shared" si="66"/>
        <v>635560.05131323671</v>
      </c>
      <c r="AT60" s="8"/>
    </row>
    <row r="62" spans="12:46" x14ac:dyDescent="0.15">
      <c r="P62" s="53" t="s">
        <v>336</v>
      </c>
      <c r="Q62" s="53"/>
      <c r="R62" s="53" t="s">
        <v>231</v>
      </c>
      <c r="S62" s="53"/>
      <c r="T62" s="53"/>
      <c r="U62" s="53"/>
      <c r="V62" s="53" t="s">
        <v>232</v>
      </c>
      <c r="W62" s="53"/>
      <c r="X62" s="53"/>
      <c r="Y62" s="53"/>
      <c r="Z62" s="53" t="s">
        <v>240</v>
      </c>
      <c r="AA62" s="53"/>
      <c r="AB62" s="53"/>
      <c r="AC62" s="53"/>
      <c r="AD62" s="53" t="s">
        <v>238</v>
      </c>
      <c r="AE62" s="53"/>
      <c r="AF62" s="53"/>
      <c r="AG62" s="53"/>
      <c r="AJ62" s="53" t="s">
        <v>296</v>
      </c>
      <c r="AK62" s="53"/>
      <c r="AL62" s="53"/>
      <c r="AM62" s="53"/>
    </row>
    <row r="63" spans="12:46" x14ac:dyDescent="0.15">
      <c r="L63" s="5" t="s">
        <v>130</v>
      </c>
      <c r="M63" s="8" t="s">
        <v>141</v>
      </c>
      <c r="N63" s="8" t="s">
        <v>132</v>
      </c>
      <c r="O63" s="8" t="s">
        <v>225</v>
      </c>
      <c r="P63" s="8" t="s">
        <v>328</v>
      </c>
      <c r="Q63" s="8" t="s">
        <v>339</v>
      </c>
      <c r="R63" s="8" t="s">
        <v>227</v>
      </c>
      <c r="S63" s="8" t="s">
        <v>228</v>
      </c>
      <c r="T63" s="8" t="s">
        <v>229</v>
      </c>
      <c r="U63" s="8" t="s">
        <v>230</v>
      </c>
      <c r="V63" s="8" t="s">
        <v>227</v>
      </c>
      <c r="W63" s="8" t="s">
        <v>228</v>
      </c>
      <c r="X63" s="8" t="s">
        <v>229</v>
      </c>
      <c r="Y63" s="8" t="s">
        <v>230</v>
      </c>
      <c r="Z63" s="8" t="s">
        <v>227</v>
      </c>
      <c r="AA63" s="8" t="s">
        <v>228</v>
      </c>
      <c r="AB63" s="8" t="s">
        <v>229</v>
      </c>
      <c r="AC63" s="8" t="s">
        <v>230</v>
      </c>
      <c r="AD63" s="8" t="s">
        <v>227</v>
      </c>
      <c r="AE63" s="8" t="s">
        <v>228</v>
      </c>
      <c r="AF63" s="8" t="s">
        <v>229</v>
      </c>
      <c r="AG63" s="8" t="s">
        <v>230</v>
      </c>
      <c r="AH63" s="8"/>
      <c r="AI63" s="8" t="s">
        <v>226</v>
      </c>
      <c r="AJ63" s="8" t="s">
        <v>233</v>
      </c>
      <c r="AK63" s="8" t="s">
        <v>291</v>
      </c>
      <c r="AL63" s="8" t="s">
        <v>292</v>
      </c>
      <c r="AM63" s="8" t="s">
        <v>295</v>
      </c>
      <c r="AN63" s="8" t="s">
        <v>302</v>
      </c>
      <c r="AO63" s="8" t="s">
        <v>303</v>
      </c>
      <c r="AP63" s="8"/>
      <c r="AQ63" s="8" t="s">
        <v>234</v>
      </c>
      <c r="AR63" s="8" t="s">
        <v>344</v>
      </c>
      <c r="AS63" s="8" t="s">
        <v>235</v>
      </c>
      <c r="AT63" s="8"/>
    </row>
    <row r="64" spans="12:46" x14ac:dyDescent="0.15">
      <c r="M64" s="8">
        <v>10</v>
      </c>
      <c r="N64" s="8">
        <f>求节点(节奏总纲!$O$4:$O$163,节奏总纲!$S$4:$S$163,$M64)</f>
        <v>0.49980000000000002</v>
      </c>
      <c r="O64" s="8">
        <f>IF(M64&lt;=节奏预期!$B$1,0,INDEX(其他调用!$F$4:$F$163,$M64)*O$2-INDEX(其他调用!$F$4:$F$163,节奏预期!$B$1)*O$2)</f>
        <v>0</v>
      </c>
      <c r="P64" s="8">
        <v>1</v>
      </c>
      <c r="Q64" s="8">
        <f>1-P64</f>
        <v>0</v>
      </c>
      <c r="R64" s="8">
        <f>$P64*$O64*D$27/SUM($D$27:$G$27)+$Q64*$O64*D$35/SUM($D$35:$G$35)</f>
        <v>0</v>
      </c>
      <c r="S64" s="8">
        <f t="shared" ref="S64" si="79">$P64*$O64*E$27/SUM($D$27:$G$27)+$Q64*$O64*E$35/SUM($D$35:$G$35)</f>
        <v>0</v>
      </c>
      <c r="T64" s="8">
        <f t="shared" ref="T64" si="80">$P64*$O64*F$27/SUM($D$27:$G$27)+$Q64*$O64*F$35/SUM($D$35:$G$35)</f>
        <v>0</v>
      </c>
      <c r="U64" s="8">
        <f t="shared" ref="U64" si="81">$P64*$O64*G$27/SUM($D$27:$G$27)+$Q64*$O64*G$35/SUM($D$35:$G$35)</f>
        <v>0</v>
      </c>
      <c r="V64" s="8">
        <f>R64/D$7</f>
        <v>0</v>
      </c>
      <c r="W64" s="8">
        <f t="shared" ref="W64:W79" si="82">S64/E$7</f>
        <v>0</v>
      </c>
      <c r="X64" s="8">
        <f t="shared" ref="X64:X79" si="83">T64/F$7</f>
        <v>0</v>
      </c>
      <c r="Y64" s="8">
        <f t="shared" ref="Y64:Y79" si="84">U64/G$7</f>
        <v>0</v>
      </c>
      <c r="Z64" s="8">
        <f>求节点(精英野怪!$BI$5:$BI$164,精英野怪!BM$5:BM$164,M64)</f>
        <v>0</v>
      </c>
      <c r="AA64" s="8">
        <f>求节点(精英野怪!$BI$5:$BI$164,精英野怪!BR$5:BR$164,M64)</f>
        <v>0</v>
      </c>
      <c r="AB64" s="8">
        <f>求节点(精英野怪!$BI$5:$BI$164,精英野怪!BW$5:BW$164,M64)</f>
        <v>0</v>
      </c>
      <c r="AC64" s="8">
        <v>0</v>
      </c>
      <c r="AD64" s="8">
        <f>V64+Z64</f>
        <v>0</v>
      </c>
      <c r="AE64" s="8">
        <f t="shared" ref="AE64:AE79" si="85">W64+AA64</f>
        <v>0</v>
      </c>
      <c r="AF64" s="8">
        <f t="shared" ref="AF64:AF79" si="86">X64+AB64</f>
        <v>0</v>
      </c>
      <c r="AG64" s="8">
        <f t="shared" ref="AG64:AG79" si="87">Y64+AC64</f>
        <v>0</v>
      </c>
      <c r="AH64" s="8"/>
      <c r="AI64" s="8">
        <f>IF(M64&lt;=节奏预期!$B$1,0,INDEX(其他调用!$F$4:$F$163,$M64)*P$2-INDEX(其他调用!$F$4:$F$163,节奏预期!$B$1)*P$2)</f>
        <v>0</v>
      </c>
      <c r="AJ64" s="8">
        <f>SQRT(1/M64*10)</f>
        <v>1</v>
      </c>
      <c r="AK64" s="8">
        <f>IF(M64=10,AI64/AJ64,(AI64-AI63)/AJ64+AK63)</f>
        <v>0</v>
      </c>
      <c r="AL64" s="8">
        <f>求节点(精英野怪!$AH$5:$AH$164,精英野怪!AL$5:AL$164,M64)</f>
        <v>0</v>
      </c>
      <c r="AM64" s="8">
        <f>AK64+AL64</f>
        <v>0</v>
      </c>
      <c r="AN64" s="8" t="e">
        <f>AK64/$AM64</f>
        <v>#DIV/0!</v>
      </c>
      <c r="AO64" s="8" t="e">
        <f>AL64/$AM64</f>
        <v>#DIV/0!</v>
      </c>
      <c r="AP64" s="8"/>
      <c r="AQ64" s="8">
        <f>IF(M64&lt;=节奏预期!$B$1,0,INDEX(其他调用!$F$4:$F$163,$M64)*Q$2-INDEX(其他调用!$F$4:$F$163,节奏预期!$B$1)*Q$2)</f>
        <v>0</v>
      </c>
      <c r="AR64" s="8">
        <f>求节点(精英野怪!$BI$5:$BI$164,精英野怪!$CB$5:$CB$164,$M64)</f>
        <v>0</v>
      </c>
      <c r="AS64" s="8">
        <f t="shared" ref="AS64:AS79" si="88">AQ64/$D$16</f>
        <v>0</v>
      </c>
      <c r="AT64" s="8"/>
    </row>
    <row r="65" spans="13:46" x14ac:dyDescent="0.15">
      <c r="M65" s="8">
        <v>20</v>
      </c>
      <c r="N65" s="8">
        <f>求节点(节奏总纲!$O$4:$O$163,节奏总纲!$S$4:$S$163,$M65)</f>
        <v>1.5800999999999998</v>
      </c>
      <c r="O65" s="8">
        <f>IF(M65&lt;=节奏预期!$B$1,0,INDEX(其他调用!$F$4:$F$163,$M65)*O$2-INDEX(其他调用!$F$4:$F$163,节奏预期!$B$1)*O$2)</f>
        <v>0</v>
      </c>
      <c r="P65" s="8">
        <v>1</v>
      </c>
      <c r="Q65" s="8">
        <f t="shared" ref="Q65:Q79" si="89">1-P65</f>
        <v>0</v>
      </c>
      <c r="R65" s="8">
        <f>$P65*($O65-$O64)*D$27/SUM($D$27:$G$27)+$Q65*($O65-$O64)*D$35/SUM($D$35:$G$35)+R64</f>
        <v>0</v>
      </c>
      <c r="S65" s="8">
        <f t="shared" ref="S65:S79" si="90">$P65*($O65-$O64)*E$27/SUM($D$27:$G$27)+$Q65*($O65-$O64)*E$35/SUM($D$35:$G$35)+S64</f>
        <v>0</v>
      </c>
      <c r="T65" s="8">
        <f t="shared" ref="T65:T79" si="91">$P65*($O65-$O64)*F$27/SUM($D$27:$G$27)+$Q65*($O65-$O64)*F$35/SUM($D$35:$G$35)+T64</f>
        <v>0</v>
      </c>
      <c r="U65" s="8">
        <f t="shared" ref="U65:U79" si="92">$P65*($O65-$O64)*G$27/SUM($D$27:$G$27)+$Q65*($O65-$O64)*G$35/SUM($D$35:$G$35)+U64</f>
        <v>0</v>
      </c>
      <c r="V65" s="8">
        <f t="shared" ref="V65:V79" si="93">R65/D$7</f>
        <v>0</v>
      </c>
      <c r="W65" s="8">
        <f t="shared" si="82"/>
        <v>0</v>
      </c>
      <c r="X65" s="8">
        <f t="shared" si="83"/>
        <v>0</v>
      </c>
      <c r="Y65" s="8">
        <f t="shared" si="84"/>
        <v>0</v>
      </c>
      <c r="Z65" s="8">
        <f>求节点(精英野怪!$BI$5:$BI$164,精英野怪!BM$5:BM$164,M65)</f>
        <v>0</v>
      </c>
      <c r="AA65" s="8">
        <f>求节点(精英野怪!$BI$5:$BI$164,精英野怪!BR$5:BR$164,M65)</f>
        <v>0</v>
      </c>
      <c r="AB65" s="8">
        <f>求节点(精英野怪!$BI$5:$BI$164,精英野怪!BW$5:BW$164,M65)</f>
        <v>0</v>
      </c>
      <c r="AC65" s="8">
        <v>0</v>
      </c>
      <c r="AD65" s="8">
        <f t="shared" ref="AD65:AD79" si="94">V65+Z65</f>
        <v>0</v>
      </c>
      <c r="AE65" s="8">
        <f t="shared" si="85"/>
        <v>0</v>
      </c>
      <c r="AF65" s="8">
        <f t="shared" si="86"/>
        <v>0</v>
      </c>
      <c r="AG65" s="8">
        <f t="shared" si="87"/>
        <v>0</v>
      </c>
      <c r="AH65" s="8"/>
      <c r="AI65" s="8">
        <f>IF(M65&lt;=节奏预期!$B$1,0,INDEX(其他调用!$F$4:$F$163,$M65)*P$2-INDEX(其他调用!$F$4:$F$163,节奏预期!$B$1)*P$2)</f>
        <v>0</v>
      </c>
      <c r="AJ65" s="8">
        <f t="shared" ref="AJ65:AJ79" si="95">SQRT(1/M65*10)</f>
        <v>0.70710678118654757</v>
      </c>
      <c r="AK65" s="8">
        <f t="shared" ref="AK65:AK79" si="96">IF(M65=10,AI65/AJ65,(AI65-AI64)/AJ65+AK64)</f>
        <v>0</v>
      </c>
      <c r="AL65" s="8">
        <f>求节点(精英野怪!$AH$5:$AH$164,精英野怪!AL$5:AL$164,M65)</f>
        <v>0</v>
      </c>
      <c r="AM65" s="8">
        <f t="shared" ref="AM65:AM79" si="97">AK65+AL65</f>
        <v>0</v>
      </c>
      <c r="AN65" s="8" t="e">
        <f t="shared" ref="AN65:AN79" si="98">AK65/$AM65</f>
        <v>#DIV/0!</v>
      </c>
      <c r="AO65" s="8" t="e">
        <f t="shared" ref="AO65:AO79" si="99">AL65/$AM65</f>
        <v>#DIV/0!</v>
      </c>
      <c r="AP65" s="8"/>
      <c r="AQ65" s="8">
        <f>IF(M65&lt;=节奏预期!$B$1,0,INDEX(其他调用!$F$4:$F$163,$M65)*Q$2-INDEX(其他调用!$F$4:$F$163,节奏预期!$B$1)*Q$2)</f>
        <v>0</v>
      </c>
      <c r="AR65" s="8">
        <f>求节点(精英野怪!$BI$5:$BI$164,精英野怪!$CB$5:$CB$164,$M65)</f>
        <v>0</v>
      </c>
      <c r="AS65" s="8">
        <f t="shared" si="88"/>
        <v>0</v>
      </c>
      <c r="AT65" s="8"/>
    </row>
    <row r="66" spans="13:46" x14ac:dyDescent="0.15">
      <c r="M66" s="8">
        <v>30</v>
      </c>
      <c r="N66" s="8">
        <f>求节点(节奏总纲!$O$4:$O$163,节奏总纲!$S$4:$S$163,$M66)</f>
        <v>3.7428999999999997</v>
      </c>
      <c r="O66" s="8">
        <f>IF(M66&lt;=节奏预期!$B$1,0,INDEX(其他调用!$F$4:$F$163,$M66)*O$2-INDEX(其他调用!$F$4:$F$163,节奏预期!$B$1)*O$2)</f>
        <v>0</v>
      </c>
      <c r="P66" s="8">
        <v>1</v>
      </c>
      <c r="Q66" s="8">
        <f t="shared" si="89"/>
        <v>0</v>
      </c>
      <c r="R66" s="8">
        <f t="shared" ref="R66:R79" si="100">$P66*($O66-$O65)*D$27/SUM($D$27:$G$27)+$Q66*($O66-$O65)*D$35/SUM($D$35:$G$35)+R65</f>
        <v>0</v>
      </c>
      <c r="S66" s="8">
        <f t="shared" si="90"/>
        <v>0</v>
      </c>
      <c r="T66" s="8">
        <f t="shared" si="91"/>
        <v>0</v>
      </c>
      <c r="U66" s="8">
        <f t="shared" si="92"/>
        <v>0</v>
      </c>
      <c r="V66" s="8">
        <f t="shared" si="93"/>
        <v>0</v>
      </c>
      <c r="W66" s="8">
        <f t="shared" si="82"/>
        <v>0</v>
      </c>
      <c r="X66" s="8">
        <f t="shared" si="83"/>
        <v>0</v>
      </c>
      <c r="Y66" s="8">
        <f t="shared" si="84"/>
        <v>0</v>
      </c>
      <c r="Z66" s="8">
        <f>求节点(精英野怪!$BI$5:$BI$164,精英野怪!BM$5:BM$164,M66)</f>
        <v>0</v>
      </c>
      <c r="AA66" s="8">
        <f>求节点(精英野怪!$BI$5:$BI$164,精英野怪!BR$5:BR$164,M66)</f>
        <v>0</v>
      </c>
      <c r="AB66" s="8">
        <f>求节点(精英野怪!$BI$5:$BI$164,精英野怪!BW$5:BW$164,M66)</f>
        <v>0</v>
      </c>
      <c r="AC66" s="8">
        <v>0</v>
      </c>
      <c r="AD66" s="8">
        <f t="shared" si="94"/>
        <v>0</v>
      </c>
      <c r="AE66" s="8">
        <f t="shared" si="85"/>
        <v>0</v>
      </c>
      <c r="AF66" s="8">
        <f t="shared" si="86"/>
        <v>0</v>
      </c>
      <c r="AG66" s="8">
        <f t="shared" si="87"/>
        <v>0</v>
      </c>
      <c r="AH66" s="8"/>
      <c r="AI66" s="8">
        <f>IF(M66&lt;=节奏预期!$B$1,0,INDEX(其他调用!$F$4:$F$163,$M66)*P$2-INDEX(其他调用!$F$4:$F$163,节奏预期!$B$1)*P$2)</f>
        <v>0</v>
      </c>
      <c r="AJ66" s="8">
        <f t="shared" si="95"/>
        <v>0.57735026918962573</v>
      </c>
      <c r="AK66" s="8">
        <f t="shared" si="96"/>
        <v>0</v>
      </c>
      <c r="AL66" s="8">
        <f>求节点(精英野怪!$AH$5:$AH$164,精英野怪!AL$5:AL$164,M66)</f>
        <v>0</v>
      </c>
      <c r="AM66" s="8">
        <f t="shared" si="97"/>
        <v>0</v>
      </c>
      <c r="AN66" s="8" t="e">
        <f t="shared" si="98"/>
        <v>#DIV/0!</v>
      </c>
      <c r="AO66" s="8" t="e">
        <f t="shared" si="99"/>
        <v>#DIV/0!</v>
      </c>
      <c r="AP66" s="8"/>
      <c r="AQ66" s="8">
        <f>IF(M66&lt;=节奏预期!$B$1,0,INDEX(其他调用!$F$4:$F$163,$M66)*Q$2-INDEX(其他调用!$F$4:$F$163,节奏预期!$B$1)*Q$2)</f>
        <v>0</v>
      </c>
      <c r="AR66" s="8">
        <f>求节点(精英野怪!$BI$5:$BI$164,精英野怪!$CB$5:$CB$164,$M66)</f>
        <v>0</v>
      </c>
      <c r="AS66" s="8">
        <f t="shared" si="88"/>
        <v>0</v>
      </c>
      <c r="AT66" s="8"/>
    </row>
    <row r="67" spans="13:46" x14ac:dyDescent="0.15">
      <c r="M67" s="8">
        <v>40</v>
      </c>
      <c r="N67" s="8">
        <f>求节点(节奏总纲!$O$4:$O$163,节奏总纲!$S$4:$S$163,$M67)</f>
        <v>8.0009999999999994</v>
      </c>
      <c r="O67" s="8">
        <f>IF(M67&lt;=节奏预期!$B$1,0,INDEX(其他调用!$F$4:$F$163,$M67)*O$2-INDEX(其他调用!$F$4:$F$163,节奏预期!$B$1)*O$2)</f>
        <v>0</v>
      </c>
      <c r="P67" s="8">
        <v>1</v>
      </c>
      <c r="Q67" s="8">
        <f t="shared" si="89"/>
        <v>0</v>
      </c>
      <c r="R67" s="8">
        <f t="shared" si="100"/>
        <v>0</v>
      </c>
      <c r="S67" s="8">
        <f t="shared" si="90"/>
        <v>0</v>
      </c>
      <c r="T67" s="8">
        <f t="shared" si="91"/>
        <v>0</v>
      </c>
      <c r="U67" s="8">
        <f t="shared" si="92"/>
        <v>0</v>
      </c>
      <c r="V67" s="8">
        <f t="shared" si="93"/>
        <v>0</v>
      </c>
      <c r="W67" s="8">
        <f t="shared" si="82"/>
        <v>0</v>
      </c>
      <c r="X67" s="8">
        <f t="shared" si="83"/>
        <v>0</v>
      </c>
      <c r="Y67" s="8">
        <f t="shared" si="84"/>
        <v>0</v>
      </c>
      <c r="Z67" s="8">
        <f>求节点(精英野怪!$BI$5:$BI$164,精英野怪!BM$5:BM$164,M67)</f>
        <v>0</v>
      </c>
      <c r="AA67" s="8">
        <f>求节点(精英野怪!$BI$5:$BI$164,精英野怪!BR$5:BR$164,M67)</f>
        <v>0</v>
      </c>
      <c r="AB67" s="8">
        <f>求节点(精英野怪!$BI$5:$BI$164,精英野怪!BW$5:BW$164,M67)</f>
        <v>0</v>
      </c>
      <c r="AC67" s="8">
        <v>0</v>
      </c>
      <c r="AD67" s="8">
        <f t="shared" si="94"/>
        <v>0</v>
      </c>
      <c r="AE67" s="8">
        <f t="shared" si="85"/>
        <v>0</v>
      </c>
      <c r="AF67" s="8">
        <f t="shared" si="86"/>
        <v>0</v>
      </c>
      <c r="AG67" s="8">
        <f t="shared" si="87"/>
        <v>0</v>
      </c>
      <c r="AH67" s="8"/>
      <c r="AI67" s="8">
        <f>IF(M67&lt;=节奏预期!$B$1,0,INDEX(其他调用!$F$4:$F$163,$M67)*P$2-INDEX(其他调用!$F$4:$F$163,节奏预期!$B$1)*P$2)</f>
        <v>0</v>
      </c>
      <c r="AJ67" s="8">
        <f t="shared" si="95"/>
        <v>0.5</v>
      </c>
      <c r="AK67" s="8">
        <f t="shared" si="96"/>
        <v>0</v>
      </c>
      <c r="AL67" s="8">
        <f>求节点(精英野怪!$AH$5:$AH$164,精英野怪!AL$5:AL$164,M67)</f>
        <v>0</v>
      </c>
      <c r="AM67" s="8">
        <f t="shared" si="97"/>
        <v>0</v>
      </c>
      <c r="AN67" s="8" t="e">
        <f t="shared" si="98"/>
        <v>#DIV/0!</v>
      </c>
      <c r="AO67" s="8" t="e">
        <f t="shared" si="99"/>
        <v>#DIV/0!</v>
      </c>
      <c r="AP67" s="8"/>
      <c r="AQ67" s="8">
        <f>IF(M67&lt;=节奏预期!$B$1,0,INDEX(其他调用!$F$4:$F$163,$M67)*Q$2-INDEX(其他调用!$F$4:$F$163,节奏预期!$B$1)*Q$2)</f>
        <v>0</v>
      </c>
      <c r="AR67" s="8">
        <f>求节点(精英野怪!$BI$5:$BI$164,精英野怪!$CB$5:$CB$164,$M67)</f>
        <v>0</v>
      </c>
      <c r="AS67" s="8">
        <f t="shared" si="88"/>
        <v>0</v>
      </c>
      <c r="AT67" s="8"/>
    </row>
    <row r="68" spans="13:46" x14ac:dyDescent="0.15">
      <c r="M68" s="8">
        <v>50</v>
      </c>
      <c r="N68" s="8">
        <f>求节点(节奏总纲!$O$4:$O$163,节奏总纲!$S$4:$S$163,$M68)</f>
        <v>16.386599999999998</v>
      </c>
      <c r="O68" s="8">
        <f>IF(M68&lt;=节奏预期!$B$1,0,INDEX(其他调用!$F$4:$F$163,$M68)*O$2-INDEX(其他调用!$F$4:$F$163,节奏预期!$B$1)*O$2)</f>
        <v>0</v>
      </c>
      <c r="P68" s="8">
        <v>1</v>
      </c>
      <c r="Q68" s="8">
        <f t="shared" si="89"/>
        <v>0</v>
      </c>
      <c r="R68" s="8">
        <f t="shared" si="100"/>
        <v>0</v>
      </c>
      <c r="S68" s="8">
        <f t="shared" si="90"/>
        <v>0</v>
      </c>
      <c r="T68" s="8">
        <f t="shared" si="91"/>
        <v>0</v>
      </c>
      <c r="U68" s="8">
        <f t="shared" si="92"/>
        <v>0</v>
      </c>
      <c r="V68" s="8">
        <f t="shared" si="93"/>
        <v>0</v>
      </c>
      <c r="W68" s="8">
        <f t="shared" si="82"/>
        <v>0</v>
      </c>
      <c r="X68" s="8">
        <f t="shared" si="83"/>
        <v>0</v>
      </c>
      <c r="Y68" s="8">
        <f t="shared" si="84"/>
        <v>0</v>
      </c>
      <c r="Z68" s="8">
        <f>求节点(精英野怪!$BI$5:$BI$164,精英野怪!BM$5:BM$164,M68)</f>
        <v>0</v>
      </c>
      <c r="AA68" s="8">
        <f>求节点(精英野怪!$BI$5:$BI$164,精英野怪!BR$5:BR$164,M68)</f>
        <v>0</v>
      </c>
      <c r="AB68" s="8">
        <f>求节点(精英野怪!$BI$5:$BI$164,精英野怪!BW$5:BW$164,M68)</f>
        <v>0</v>
      </c>
      <c r="AC68" s="8">
        <v>0</v>
      </c>
      <c r="AD68" s="8">
        <f t="shared" si="94"/>
        <v>0</v>
      </c>
      <c r="AE68" s="8">
        <f t="shared" si="85"/>
        <v>0</v>
      </c>
      <c r="AF68" s="8">
        <f t="shared" si="86"/>
        <v>0</v>
      </c>
      <c r="AG68" s="8">
        <f t="shared" si="87"/>
        <v>0</v>
      </c>
      <c r="AH68" s="8"/>
      <c r="AI68" s="8">
        <f>IF(M68&lt;=节奏预期!$B$1,0,INDEX(其他调用!$F$4:$F$163,$M68)*P$2-INDEX(其他调用!$F$4:$F$163,节奏预期!$B$1)*P$2)</f>
        <v>0</v>
      </c>
      <c r="AJ68" s="8">
        <f t="shared" si="95"/>
        <v>0.44721359549995793</v>
      </c>
      <c r="AK68" s="8">
        <f t="shared" si="96"/>
        <v>0</v>
      </c>
      <c r="AL68" s="8">
        <f>求节点(精英野怪!$AH$5:$AH$164,精英野怪!AL$5:AL$164,M68)</f>
        <v>0</v>
      </c>
      <c r="AM68" s="8">
        <f t="shared" si="97"/>
        <v>0</v>
      </c>
      <c r="AN68" s="8" t="e">
        <f t="shared" si="98"/>
        <v>#DIV/0!</v>
      </c>
      <c r="AO68" s="8" t="e">
        <f t="shared" si="99"/>
        <v>#DIV/0!</v>
      </c>
      <c r="AP68" s="8"/>
      <c r="AQ68" s="8">
        <f>IF(M68&lt;=节奏预期!$B$1,0,INDEX(其他调用!$F$4:$F$163,$M68)*Q$2-INDEX(其他调用!$F$4:$F$163,节奏预期!$B$1)*Q$2)</f>
        <v>0</v>
      </c>
      <c r="AR68" s="8">
        <f>求节点(精英野怪!$BI$5:$BI$164,精英野怪!$CB$5:$CB$164,$M68)</f>
        <v>0</v>
      </c>
      <c r="AS68" s="8">
        <f t="shared" si="88"/>
        <v>0</v>
      </c>
      <c r="AT68" s="8"/>
    </row>
    <row r="69" spans="13:46" x14ac:dyDescent="0.15">
      <c r="M69" s="8">
        <v>60</v>
      </c>
      <c r="N69" s="8">
        <f>求节点(节奏总纲!$O$4:$O$163,节奏总纲!$S$4:$S$163,$M69)</f>
        <v>32.810400000000001</v>
      </c>
      <c r="O69" s="8">
        <f>IF(M69&lt;=节奏预期!$B$1,0,INDEX(其他调用!$F$4:$F$163,$M69)*O$2-INDEX(其他调用!$F$4:$F$163,节奏预期!$B$1)*O$2)</f>
        <v>0</v>
      </c>
      <c r="P69" s="8">
        <v>1</v>
      </c>
      <c r="Q69" s="8">
        <f t="shared" si="89"/>
        <v>0</v>
      </c>
      <c r="R69" s="8">
        <f t="shared" si="100"/>
        <v>0</v>
      </c>
      <c r="S69" s="8">
        <f t="shared" si="90"/>
        <v>0</v>
      </c>
      <c r="T69" s="8">
        <f t="shared" si="91"/>
        <v>0</v>
      </c>
      <c r="U69" s="8">
        <f t="shared" si="92"/>
        <v>0</v>
      </c>
      <c r="V69" s="8">
        <f t="shared" si="93"/>
        <v>0</v>
      </c>
      <c r="W69" s="8">
        <f t="shared" si="82"/>
        <v>0</v>
      </c>
      <c r="X69" s="8">
        <f t="shared" si="83"/>
        <v>0</v>
      </c>
      <c r="Y69" s="8">
        <f t="shared" si="84"/>
        <v>0</v>
      </c>
      <c r="Z69" s="8">
        <f>求节点(精英野怪!$BI$5:$BI$164,精英野怪!BM$5:BM$164,M69)</f>
        <v>0</v>
      </c>
      <c r="AA69" s="8">
        <f>求节点(精英野怪!$BI$5:$BI$164,精英野怪!BR$5:BR$164,M69)</f>
        <v>0</v>
      </c>
      <c r="AB69" s="8">
        <f>求节点(精英野怪!$BI$5:$BI$164,精英野怪!BW$5:BW$164,M69)</f>
        <v>0</v>
      </c>
      <c r="AC69" s="8">
        <v>0</v>
      </c>
      <c r="AD69" s="8">
        <f t="shared" si="94"/>
        <v>0</v>
      </c>
      <c r="AE69" s="8">
        <f t="shared" si="85"/>
        <v>0</v>
      </c>
      <c r="AF69" s="8">
        <f t="shared" si="86"/>
        <v>0</v>
      </c>
      <c r="AG69" s="8">
        <f t="shared" si="87"/>
        <v>0</v>
      </c>
      <c r="AH69" s="8"/>
      <c r="AI69" s="8">
        <f>IF(M69&lt;=节奏预期!$B$1,0,INDEX(其他调用!$F$4:$F$163,$M69)*P$2-INDEX(其他调用!$F$4:$F$163,节奏预期!$B$1)*P$2)</f>
        <v>0</v>
      </c>
      <c r="AJ69" s="8">
        <f t="shared" si="95"/>
        <v>0.40824829046386302</v>
      </c>
      <c r="AK69" s="8">
        <f t="shared" si="96"/>
        <v>0</v>
      </c>
      <c r="AL69" s="8">
        <f>求节点(精英野怪!$AH$5:$AH$164,精英野怪!AL$5:AL$164,M69)</f>
        <v>0</v>
      </c>
      <c r="AM69" s="8">
        <f t="shared" si="97"/>
        <v>0</v>
      </c>
      <c r="AN69" s="8" t="e">
        <f t="shared" si="98"/>
        <v>#DIV/0!</v>
      </c>
      <c r="AO69" s="8" t="e">
        <f t="shared" si="99"/>
        <v>#DIV/0!</v>
      </c>
      <c r="AP69" s="8"/>
      <c r="AQ69" s="8">
        <f>IF(M69&lt;=节奏预期!$B$1,0,INDEX(其他调用!$F$4:$F$163,$M69)*Q$2-INDEX(其他调用!$F$4:$F$163,节奏预期!$B$1)*Q$2)</f>
        <v>0</v>
      </c>
      <c r="AR69" s="8">
        <f>求节点(精英野怪!$BI$5:$BI$164,精英野怪!$CB$5:$CB$164,$M69)</f>
        <v>0</v>
      </c>
      <c r="AS69" s="8">
        <f t="shared" si="88"/>
        <v>0</v>
      </c>
      <c r="AT69" s="8"/>
    </row>
    <row r="70" spans="13:46" x14ac:dyDescent="0.15">
      <c r="M70" s="8">
        <v>70</v>
      </c>
      <c r="N70" s="8">
        <f>求节点(节奏总纲!$O$4:$O$163,节奏总纲!$S$4:$S$163,$M70)</f>
        <v>65.925700000000006</v>
      </c>
      <c r="O70" s="8">
        <f>IF(M70&lt;=节奏预期!$B$1,0,INDEX(其他调用!$F$4:$F$163,$M70)*O$2-INDEX(其他调用!$F$4:$F$163,节奏预期!$B$1)*O$2)</f>
        <v>115371.76307186774</v>
      </c>
      <c r="P70" s="8">
        <v>1</v>
      </c>
      <c r="Q70" s="8">
        <f t="shared" si="89"/>
        <v>0</v>
      </c>
      <c r="R70" s="8">
        <f t="shared" si="100"/>
        <v>33344.440194181429</v>
      </c>
      <c r="S70" s="8">
        <f t="shared" si="90"/>
        <v>32010.662586414168</v>
      </c>
      <c r="T70" s="8">
        <f t="shared" si="91"/>
        <v>50016.660291272143</v>
      </c>
      <c r="U70" s="8">
        <f t="shared" si="92"/>
        <v>0</v>
      </c>
      <c r="V70" s="8">
        <f t="shared" si="93"/>
        <v>333.44440194181431</v>
      </c>
      <c r="W70" s="8">
        <f t="shared" si="82"/>
        <v>64.021325172828341</v>
      </c>
      <c r="X70" s="8">
        <f t="shared" si="83"/>
        <v>20.006664116508858</v>
      </c>
      <c r="Y70" s="8">
        <f t="shared" si="84"/>
        <v>0</v>
      </c>
      <c r="Z70" s="8">
        <f>求节点(精英野怪!$BI$5:$BI$164,精英野怪!BM$5:BM$164,M70)</f>
        <v>3.8201810080000009</v>
      </c>
      <c r="AA70" s="8">
        <f>求节点(精英野怪!$BI$5:$BI$164,精英野怪!BR$5:BR$164,M70)</f>
        <v>5.7302715120000025</v>
      </c>
      <c r="AB70" s="8">
        <f>求节点(精英野怪!$BI$5:$BI$164,精英野怪!BW$5:BW$164,M70)</f>
        <v>0</v>
      </c>
      <c r="AC70" s="8">
        <v>0</v>
      </c>
      <c r="AD70" s="8">
        <f t="shared" si="94"/>
        <v>337.26458294981433</v>
      </c>
      <c r="AE70" s="8">
        <f t="shared" si="85"/>
        <v>69.751596684828343</v>
      </c>
      <c r="AF70" s="8">
        <f t="shared" si="86"/>
        <v>20.006664116508858</v>
      </c>
      <c r="AG70" s="8">
        <f t="shared" si="87"/>
        <v>0</v>
      </c>
      <c r="AH70" s="8"/>
      <c r="AI70" s="8">
        <f>IF(M70&lt;=节奏预期!$B$1,0,INDEX(其他调用!$F$4:$F$163,$M70)*P$2-INDEX(其他调用!$F$4:$F$163,节奏预期!$B$1)*P$2)</f>
        <v>230743.52614373548</v>
      </c>
      <c r="AJ70" s="8">
        <f t="shared" si="95"/>
        <v>0.3779644730092272</v>
      </c>
      <c r="AK70" s="8">
        <f t="shared" si="96"/>
        <v>610489.98681445478</v>
      </c>
      <c r="AL70" s="8">
        <f>求节点(精英野怪!$AH$5:$AH$164,精英野怪!AL$5:AL$164,M70)</f>
        <v>59.691815484194699</v>
      </c>
      <c r="AM70" s="8">
        <f t="shared" si="97"/>
        <v>610549.67862993898</v>
      </c>
      <c r="AN70" s="8">
        <f t="shared" si="98"/>
        <v>0.99990223266414924</v>
      </c>
      <c r="AO70" s="8">
        <f t="shared" si="99"/>
        <v>9.7767335850772893E-5</v>
      </c>
      <c r="AP70" s="8"/>
      <c r="AQ70" s="8">
        <f>IF(M70&lt;=节奏预期!$B$1,0,INDEX(其他调用!$F$4:$F$163,$M70)*Q$2-INDEX(其他调用!$F$4:$F$163,节奏预期!$B$1)*Q$2)</f>
        <v>115371.76307186774</v>
      </c>
      <c r="AR70" s="8">
        <f>求节点(精英野怪!$BI$5:$BI$164,精英野怪!$CB$5:$CB$164,$M70)</f>
        <v>47.752262600000023</v>
      </c>
      <c r="AS70" s="8">
        <f t="shared" si="88"/>
        <v>1153.7176307186774</v>
      </c>
      <c r="AT70" s="8"/>
    </row>
    <row r="71" spans="13:46" x14ac:dyDescent="0.15">
      <c r="M71" s="8">
        <v>80</v>
      </c>
      <c r="N71" s="8">
        <f>求节点(节奏总纲!$O$4:$O$163,节奏总纲!$S$4:$S$163,$M71)</f>
        <v>131.58000000000001</v>
      </c>
      <c r="O71" s="8">
        <f>IF(M71&lt;=节奏预期!$B$1,0,INDEX(其他调用!$F$4:$F$163,$M71)*O$2-INDEX(其他调用!$F$4:$F$163,节奏预期!$B$1)*O$2)</f>
        <v>335285.40569145401</v>
      </c>
      <c r="P71" s="8">
        <v>0.7</v>
      </c>
      <c r="Q71" s="8">
        <f t="shared" si="89"/>
        <v>0.30000000000000004</v>
      </c>
      <c r="R71" s="8">
        <f t="shared" si="100"/>
        <v>77835.639568086161</v>
      </c>
      <c r="S71" s="8">
        <f t="shared" si="90"/>
        <v>74722.213985362701</v>
      </c>
      <c r="T71" s="8">
        <f t="shared" si="91"/>
        <v>133246.9825485982</v>
      </c>
      <c r="U71" s="8">
        <f t="shared" si="92"/>
        <v>49480.569589406914</v>
      </c>
      <c r="V71" s="8">
        <f t="shared" si="93"/>
        <v>778.35639568086162</v>
      </c>
      <c r="W71" s="8">
        <f t="shared" si="82"/>
        <v>149.4444279707254</v>
      </c>
      <c r="X71" s="8">
        <f t="shared" si="83"/>
        <v>53.29879301943928</v>
      </c>
      <c r="Y71" s="8">
        <f t="shared" si="84"/>
        <v>1.9792227835762766</v>
      </c>
      <c r="Z71" s="8">
        <f>求节点(精英野怪!$BI$5:$BI$164,精英野怪!BM$5:BM$164,M71)</f>
        <v>11.394061056</v>
      </c>
      <c r="AA71" s="8">
        <f>求节点(精英野怪!$BI$5:$BI$164,精英野怪!BR$5:BR$164,M71)</f>
        <v>17.091091584000004</v>
      </c>
      <c r="AB71" s="8">
        <f>求节点(精英野怪!$BI$5:$BI$164,精英野怪!BW$5:BW$164,M71)</f>
        <v>0</v>
      </c>
      <c r="AC71" s="8">
        <v>0</v>
      </c>
      <c r="AD71" s="8">
        <f t="shared" si="94"/>
        <v>789.75045673686168</v>
      </c>
      <c r="AE71" s="8">
        <f t="shared" si="85"/>
        <v>166.5355195547254</v>
      </c>
      <c r="AF71" s="8">
        <f t="shared" si="86"/>
        <v>53.29879301943928</v>
      </c>
      <c r="AG71" s="8">
        <f t="shared" si="87"/>
        <v>1.9792227835762766</v>
      </c>
      <c r="AH71" s="8"/>
      <c r="AI71" s="8">
        <f>IF(M71&lt;=节奏预期!$B$1,0,INDEX(其他调用!$F$4:$F$163,$M71)*P$2-INDEX(其他调用!$F$4:$F$163,节奏预期!$B$1)*P$2)</f>
        <v>670570.81138290802</v>
      </c>
      <c r="AJ71" s="8">
        <f t="shared" si="95"/>
        <v>0.35355339059327379</v>
      </c>
      <c r="AK71" s="8">
        <f t="shared" si="96"/>
        <v>1854509.4105884098</v>
      </c>
      <c r="AL71" s="8">
        <f>求节点(精英野怪!$AH$5:$AH$164,精英野怪!AL$5:AL$164,M71)</f>
        <v>1222.1362425931434</v>
      </c>
      <c r="AM71" s="8">
        <f t="shared" si="97"/>
        <v>1855731.5468310029</v>
      </c>
      <c r="AN71" s="8">
        <f t="shared" si="98"/>
        <v>0.99934142616442545</v>
      </c>
      <c r="AO71" s="8">
        <f t="shared" si="99"/>
        <v>6.5857383557452686E-4</v>
      </c>
      <c r="AP71" s="8"/>
      <c r="AQ71" s="8">
        <f>IF(M71&lt;=节奏预期!$B$1,0,INDEX(其他调用!$F$4:$F$163,$M71)*Q$2-INDEX(其他调用!$F$4:$F$163,节奏预期!$B$1)*Q$2)</f>
        <v>335285.40569145401</v>
      </c>
      <c r="AR71" s="8">
        <f>求节点(精英野怪!$BI$5:$BI$164,精英野怪!$CB$5:$CB$164,$M71)</f>
        <v>142.42576320000003</v>
      </c>
      <c r="AS71" s="8">
        <f t="shared" si="88"/>
        <v>3352.8540569145403</v>
      </c>
      <c r="AT71" s="8"/>
    </row>
    <row r="72" spans="13:46" x14ac:dyDescent="0.15">
      <c r="M72" s="8">
        <v>90</v>
      </c>
      <c r="N72" s="8">
        <f>求节点(节奏总纲!$O$4:$O$163,节奏总纲!$S$4:$S$163,$M72)</f>
        <v>254.88680000000002</v>
      </c>
      <c r="O72" s="8">
        <f>IF(M72&lt;=节奏预期!$B$1,0,INDEX(其他调用!$F$4:$F$163,$M72)*O$2-INDEX(其他调用!$F$4:$F$163,节奏预期!$B$1)*O$2)</f>
        <v>734276.96111565409</v>
      </c>
      <c r="P72" s="8">
        <v>0.4</v>
      </c>
      <c r="Q72" s="8">
        <f t="shared" si="89"/>
        <v>0.6</v>
      </c>
      <c r="R72" s="8">
        <f t="shared" si="100"/>
        <v>123961.83094660641</v>
      </c>
      <c r="S72" s="8">
        <f t="shared" si="90"/>
        <v>119003.35770874214</v>
      </c>
      <c r="T72" s="8">
        <f t="shared" si="91"/>
        <v>262285.00293000857</v>
      </c>
      <c r="U72" s="8">
        <f t="shared" si="92"/>
        <v>229026.76953029697</v>
      </c>
      <c r="V72" s="8">
        <f t="shared" si="93"/>
        <v>1239.6183094660641</v>
      </c>
      <c r="W72" s="8">
        <f t="shared" si="82"/>
        <v>238.00671541748429</v>
      </c>
      <c r="X72" s="8">
        <f t="shared" si="83"/>
        <v>104.91400117200342</v>
      </c>
      <c r="Y72" s="8">
        <f t="shared" si="84"/>
        <v>9.1610707812118779</v>
      </c>
      <c r="Z72" s="8">
        <f>求节点(精英野怪!$BI$5:$BI$164,精英野怪!BM$5:BM$164,M72)</f>
        <v>25.618733504000005</v>
      </c>
      <c r="AA72" s="8">
        <f>求节点(精英野怪!$BI$5:$BI$164,精英野怪!BR$5:BR$164,M72)</f>
        <v>38.428100256000015</v>
      </c>
      <c r="AB72" s="8">
        <f>求节点(精英野怪!$BI$5:$BI$164,精英野怪!BW$5:BW$164,M72)</f>
        <v>0</v>
      </c>
      <c r="AC72" s="8">
        <v>0</v>
      </c>
      <c r="AD72" s="8">
        <f t="shared" si="94"/>
        <v>1265.2370429700641</v>
      </c>
      <c r="AE72" s="8">
        <f t="shared" si="85"/>
        <v>276.43481567348431</v>
      </c>
      <c r="AF72" s="8">
        <f t="shared" si="86"/>
        <v>104.91400117200342</v>
      </c>
      <c r="AG72" s="8">
        <f t="shared" si="87"/>
        <v>9.1610707812118779</v>
      </c>
      <c r="AH72" s="8"/>
      <c r="AI72" s="8">
        <f>IF(M72&lt;=节奏预期!$B$1,0,INDEX(其他调用!$F$4:$F$163,$M72)*P$2-INDEX(其他调用!$F$4:$F$163,节奏预期!$B$1)*P$2)</f>
        <v>1468553.9222313082</v>
      </c>
      <c r="AJ72" s="8">
        <f t="shared" si="95"/>
        <v>0.33333333333333337</v>
      </c>
      <c r="AK72" s="8">
        <f t="shared" si="96"/>
        <v>4248458.7431336101</v>
      </c>
      <c r="AL72" s="8">
        <f>求节点(精英野怪!$AH$5:$AH$164,精英野怪!AL$5:AL$164,M72)</f>
        <v>4231.2675177087885</v>
      </c>
      <c r="AM72" s="8">
        <f t="shared" si="97"/>
        <v>4252690.0106513193</v>
      </c>
      <c r="AN72" s="8">
        <f t="shared" si="98"/>
        <v>0.99900503739818525</v>
      </c>
      <c r="AO72" s="8">
        <f t="shared" si="99"/>
        <v>9.9496260181464527E-4</v>
      </c>
      <c r="AP72" s="8"/>
      <c r="AQ72" s="8">
        <f>IF(M72&lt;=节奏预期!$B$1,0,INDEX(其他调用!$F$4:$F$163,$M72)*Q$2-INDEX(其他调用!$F$4:$F$163,节奏预期!$B$1)*Q$2)</f>
        <v>734276.96111565409</v>
      </c>
      <c r="AR72" s="8">
        <f>求节点(精英野怪!$BI$5:$BI$164,精英野怪!$CB$5:$CB$164,$M72)</f>
        <v>320.23416880000013</v>
      </c>
      <c r="AS72" s="8">
        <f t="shared" si="88"/>
        <v>7342.769611156541</v>
      </c>
      <c r="AT72" s="8"/>
    </row>
    <row r="73" spans="13:46" x14ac:dyDescent="0.15">
      <c r="M73" s="8">
        <v>100</v>
      </c>
      <c r="N73" s="8">
        <f>求节点(节奏总纲!$O$4:$O$163,节奏总纲!$S$4:$S$163,$M73)</f>
        <v>508.22640000000001</v>
      </c>
      <c r="O73" s="8">
        <f>IF(M73&lt;=节奏预期!$B$1,0,INDEX(其他调用!$F$4:$F$163,$M73)*O$2-INDEX(其他调用!$F$4:$F$163,节奏预期!$B$1)*O$2)</f>
        <v>1541163.3778647829</v>
      </c>
      <c r="P73" s="8">
        <v>0.1</v>
      </c>
      <c r="Q73" s="8">
        <f t="shared" si="89"/>
        <v>0.9</v>
      </c>
      <c r="R73" s="8">
        <f t="shared" si="100"/>
        <v>147282.24761565638</v>
      </c>
      <c r="S73" s="8">
        <f t="shared" si="90"/>
        <v>141390.95771103012</v>
      </c>
      <c r="T73" s="8">
        <f t="shared" si="91"/>
        <v>478815.07170213747</v>
      </c>
      <c r="U73" s="8">
        <f t="shared" si="92"/>
        <v>773675.10083595896</v>
      </c>
      <c r="V73" s="8">
        <f t="shared" si="93"/>
        <v>1472.8224761565639</v>
      </c>
      <c r="W73" s="8">
        <f t="shared" si="82"/>
        <v>282.78191542206025</v>
      </c>
      <c r="X73" s="8">
        <f t="shared" si="83"/>
        <v>191.52602868085498</v>
      </c>
      <c r="Y73" s="8">
        <f t="shared" si="84"/>
        <v>30.947004033438358</v>
      </c>
      <c r="Z73" s="8">
        <f>求节点(精英野怪!$BI$5:$BI$164,精英野怪!BM$5:BM$164,M73)</f>
        <v>54.843989760000014</v>
      </c>
      <c r="AA73" s="8">
        <f>求节点(精英野怪!$BI$5:$BI$164,精英野怪!BR$5:BR$164,M73)</f>
        <v>82.265984640000028</v>
      </c>
      <c r="AB73" s="8">
        <f>求节点(精英野怪!$BI$5:$BI$164,精英野怪!BW$5:BW$164,M73)</f>
        <v>0</v>
      </c>
      <c r="AC73" s="8">
        <v>0</v>
      </c>
      <c r="AD73" s="8">
        <f t="shared" si="94"/>
        <v>1527.666465916564</v>
      </c>
      <c r="AE73" s="8">
        <f t="shared" si="85"/>
        <v>365.04790006206031</v>
      </c>
      <c r="AF73" s="8">
        <f t="shared" si="86"/>
        <v>191.52602868085498</v>
      </c>
      <c r="AG73" s="8">
        <f t="shared" si="87"/>
        <v>30.947004033438358</v>
      </c>
      <c r="AH73" s="8"/>
      <c r="AI73" s="8">
        <f>IF(M73&lt;=节奏预期!$B$1,0,INDEX(其他调用!$F$4:$F$163,$M73)*P$2-INDEX(其他调用!$F$4:$F$163,节奏预期!$B$1)*P$2)</f>
        <v>3082326.7557295659</v>
      </c>
      <c r="AJ73" s="8">
        <f t="shared" si="95"/>
        <v>0.31622776601683794</v>
      </c>
      <c r="AK73" s="8">
        <f t="shared" si="96"/>
        <v>9351656.5230917763</v>
      </c>
      <c r="AL73" s="8">
        <f>求节点(精英野怪!$AH$5:$AH$164,精英野怪!AL$5:AL$164,M73)</f>
        <v>12177.663123848632</v>
      </c>
      <c r="AM73" s="8">
        <f t="shared" si="97"/>
        <v>9363834.1862156242</v>
      </c>
      <c r="AN73" s="8">
        <f t="shared" si="98"/>
        <v>0.99869950034551291</v>
      </c>
      <c r="AO73" s="8">
        <f t="shared" si="99"/>
        <v>1.3004996544871766E-3</v>
      </c>
      <c r="AP73" s="8"/>
      <c r="AQ73" s="8">
        <f>IF(M73&lt;=节奏预期!$B$1,0,INDEX(其他调用!$F$4:$F$163,$M73)*Q$2-INDEX(其他调用!$F$4:$F$163,节奏预期!$B$1)*Q$2)</f>
        <v>1541163.3778647829</v>
      </c>
      <c r="AR73" s="8">
        <f>求节点(精英野怪!$BI$5:$BI$164,精英野怪!$CB$5:$CB$164,$M73)</f>
        <v>685.54987200000028</v>
      </c>
      <c r="AS73" s="8">
        <f t="shared" si="88"/>
        <v>15411.633778647829</v>
      </c>
      <c r="AT73" s="8"/>
    </row>
    <row r="74" spans="13:46" x14ac:dyDescent="0.15">
      <c r="M74" s="8">
        <v>110</v>
      </c>
      <c r="N74" s="8">
        <f>求节点(节奏总纲!$O$4:$O$163,节奏总纲!$S$4:$S$163,$M74)</f>
        <v>1001.3924000000001</v>
      </c>
      <c r="O74" s="8">
        <f>IF(M74&lt;=节奏预期!$B$1,0,INDEX(其他调用!$F$4:$F$163,$M74)*O$2-INDEX(其他调用!$F$4:$F$163,节奏预期!$B$1)*O$2)</f>
        <v>3092167.304291286</v>
      </c>
      <c r="P74" s="8">
        <v>0</v>
      </c>
      <c r="Q74" s="8">
        <f t="shared" si="89"/>
        <v>1</v>
      </c>
      <c r="R74" s="8">
        <f t="shared" si="100"/>
        <v>147282.24761565638</v>
      </c>
      <c r="S74" s="8">
        <f t="shared" si="90"/>
        <v>141390.95771103012</v>
      </c>
      <c r="T74" s="8">
        <f t="shared" si="91"/>
        <v>866566.05330876319</v>
      </c>
      <c r="U74" s="8">
        <f t="shared" si="92"/>
        <v>1936928.0456558364</v>
      </c>
      <c r="V74" s="8">
        <f t="shared" si="93"/>
        <v>1472.8224761565639</v>
      </c>
      <c r="W74" s="8">
        <f t="shared" si="82"/>
        <v>282.78191542206025</v>
      </c>
      <c r="X74" s="8">
        <f t="shared" si="83"/>
        <v>346.62642132350527</v>
      </c>
      <c r="Y74" s="8">
        <f t="shared" si="84"/>
        <v>77.477121826233457</v>
      </c>
      <c r="Z74" s="8">
        <f>求节点(精英野怪!$BI$5:$BI$164,精英野怪!BM$5:BM$164,M74)</f>
        <v>111.73561952000003</v>
      </c>
      <c r="AA74" s="8">
        <f>求节点(精英野怪!$BI$5:$BI$164,精英野怪!BR$5:BR$164,M74)</f>
        <v>167.60342928000006</v>
      </c>
      <c r="AB74" s="8">
        <f>求节点(精英野怪!$BI$5:$BI$164,精英野怪!BW$5:BW$164,M74)</f>
        <v>0</v>
      </c>
      <c r="AC74" s="8">
        <v>0</v>
      </c>
      <c r="AD74" s="8">
        <f t="shared" si="94"/>
        <v>1584.5580956765639</v>
      </c>
      <c r="AE74" s="8">
        <f t="shared" si="85"/>
        <v>450.38534470206031</v>
      </c>
      <c r="AF74" s="8">
        <f t="shared" si="86"/>
        <v>346.62642132350527</v>
      </c>
      <c r="AG74" s="8">
        <f t="shared" si="87"/>
        <v>77.477121826233457</v>
      </c>
      <c r="AH74" s="8"/>
      <c r="AI74" s="8">
        <f>IF(M74&lt;=节奏预期!$B$1,0,INDEX(其他调用!$F$4:$F$163,$M74)*P$2-INDEX(其他调用!$F$4:$F$163,节奏预期!$B$1)*P$2)</f>
        <v>6184334.6085825721</v>
      </c>
      <c r="AJ74" s="8">
        <f t="shared" si="95"/>
        <v>0.30151134457776363</v>
      </c>
      <c r="AK74" s="8">
        <f t="shared" si="96"/>
        <v>19639852.667741179</v>
      </c>
      <c r="AL74" s="8">
        <f>求节点(精英野怪!$AH$5:$AH$164,精英野怪!AL$5:AL$164,M74)</f>
        <v>30982.487313791527</v>
      </c>
      <c r="AM74" s="8">
        <f t="shared" si="97"/>
        <v>19670835.155054972</v>
      </c>
      <c r="AN74" s="8">
        <f t="shared" si="98"/>
        <v>0.99842495313139612</v>
      </c>
      <c r="AO74" s="8">
        <f t="shared" si="99"/>
        <v>1.575046868603833E-3</v>
      </c>
      <c r="AP74" s="8"/>
      <c r="AQ74" s="8">
        <f>IF(M74&lt;=节奏预期!$B$1,0,INDEX(其他调用!$F$4:$F$163,$M74)*Q$2-INDEX(其他调用!$F$4:$F$163,节奏预期!$B$1)*Q$2)</f>
        <v>3092167.304291286</v>
      </c>
      <c r="AR74" s="8">
        <f>求节点(精英野怪!$BI$5:$BI$164,精英野怪!$CB$5:$CB$164,$M74)</f>
        <v>1396.6952440000005</v>
      </c>
      <c r="AS74" s="8">
        <f t="shared" si="88"/>
        <v>30921.673042912862</v>
      </c>
      <c r="AT74" s="8"/>
    </row>
    <row r="75" spans="13:46" x14ac:dyDescent="0.15">
      <c r="M75" s="8">
        <v>120</v>
      </c>
      <c r="N75" s="8">
        <f>求节点(节奏总纲!$O$4:$O$163,节奏总纲!$S$4:$S$163,$M75)</f>
        <v>1988.5319999999999</v>
      </c>
      <c r="O75" s="8">
        <f>IF(M75&lt;=节奏预期!$B$1,0,INDEX(其他调用!$F$4:$F$163,$M75)*O$2-INDEX(其他调用!$F$4:$F$163,节奏预期!$B$1)*O$2)</f>
        <v>6167626.4607052905</v>
      </c>
      <c r="P75" s="8">
        <v>0</v>
      </c>
      <c r="Q75" s="8">
        <f t="shared" si="89"/>
        <v>1</v>
      </c>
      <c r="R75" s="8">
        <f t="shared" si="100"/>
        <v>147282.24761565638</v>
      </c>
      <c r="S75" s="8">
        <f t="shared" si="90"/>
        <v>141390.95771103012</v>
      </c>
      <c r="T75" s="8">
        <f t="shared" si="91"/>
        <v>1635430.8424122641</v>
      </c>
      <c r="U75" s="8">
        <f t="shared" si="92"/>
        <v>4243522.4129663398</v>
      </c>
      <c r="V75" s="8">
        <f t="shared" si="93"/>
        <v>1472.8224761565639</v>
      </c>
      <c r="W75" s="8">
        <f t="shared" si="82"/>
        <v>282.78191542206025</v>
      </c>
      <c r="X75" s="8">
        <f t="shared" si="83"/>
        <v>654.17233696490564</v>
      </c>
      <c r="Y75" s="8">
        <f t="shared" si="84"/>
        <v>169.74089651865359</v>
      </c>
      <c r="Z75" s="8">
        <f>求节点(精英野怪!$BI$5:$BI$164,精英野怪!BM$5:BM$164,M75)</f>
        <v>225.61204377600001</v>
      </c>
      <c r="AA75" s="8">
        <f>求节点(精英野怪!$BI$5:$BI$164,精英野怪!BR$5:BR$164,M75)</f>
        <v>338.4180656640001</v>
      </c>
      <c r="AB75" s="8">
        <f>求节点(精英野怪!$BI$5:$BI$164,精英野怪!BW$5:BW$164,M75)</f>
        <v>0</v>
      </c>
      <c r="AC75" s="8">
        <v>0</v>
      </c>
      <c r="AD75" s="8">
        <f t="shared" si="94"/>
        <v>1698.4345199325639</v>
      </c>
      <c r="AE75" s="8">
        <f t="shared" si="85"/>
        <v>621.19998108606035</v>
      </c>
      <c r="AF75" s="8">
        <f t="shared" si="86"/>
        <v>654.17233696490564</v>
      </c>
      <c r="AG75" s="8">
        <f t="shared" si="87"/>
        <v>169.74089651865359</v>
      </c>
      <c r="AH75" s="8"/>
      <c r="AI75" s="8">
        <f>IF(M75&lt;=节奏预期!$B$1,0,INDEX(其他调用!$F$4:$F$163,$M75)*P$2-INDEX(其他调用!$F$4:$F$163,节奏预期!$B$1)*P$2)</f>
        <v>12335252.921410581</v>
      </c>
      <c r="AJ75" s="8">
        <f t="shared" si="95"/>
        <v>0.28867513459481287</v>
      </c>
      <c r="AK75" s="8">
        <f t="shared" si="96"/>
        <v>40947258.729789078</v>
      </c>
      <c r="AL75" s="8">
        <f>求节点(精英野怪!$AH$5:$AH$164,精英野怪!AL$5:AL$164,M75)</f>
        <v>75298.783577427894</v>
      </c>
      <c r="AM75" s="8">
        <f t="shared" si="97"/>
        <v>41022557.513366506</v>
      </c>
      <c r="AN75" s="8">
        <f t="shared" si="98"/>
        <v>0.99816445418955435</v>
      </c>
      <c r="AO75" s="8">
        <f t="shared" si="99"/>
        <v>1.8355458104457056E-3</v>
      </c>
      <c r="AP75" s="8"/>
      <c r="AQ75" s="8">
        <f>IF(M75&lt;=节奏预期!$B$1,0,INDEX(其他调用!$F$4:$F$163,$M75)*Q$2-INDEX(其他调用!$F$4:$F$163,节奏预期!$B$1)*Q$2)</f>
        <v>6167626.4607052905</v>
      </c>
      <c r="AR75" s="8">
        <f>求节点(精英野怪!$BI$5:$BI$164,精英野怪!$CB$5:$CB$164,$M75)</f>
        <v>2820.1505472000008</v>
      </c>
      <c r="AS75" s="8">
        <f t="shared" si="88"/>
        <v>61676.264607052908</v>
      </c>
      <c r="AT75" s="8"/>
    </row>
    <row r="76" spans="13:46" x14ac:dyDescent="0.15">
      <c r="M76" s="8">
        <v>130</v>
      </c>
      <c r="N76" s="8">
        <f>求节点(节奏总纲!$O$4:$O$163,节奏总纲!$S$4:$S$163,$M76)</f>
        <v>3951.3384000000001</v>
      </c>
      <c r="O76" s="8">
        <f>IF(M76&lt;=节奏预期!$B$1,0,INDEX(其他调用!$F$4:$F$163,$M76)*O$2-INDEX(其他调用!$F$4:$F$163,节奏预期!$B$1)*O$2)</f>
        <v>12240721.714327199</v>
      </c>
      <c r="P76" s="8">
        <v>0</v>
      </c>
      <c r="Q76" s="8">
        <f t="shared" si="89"/>
        <v>1</v>
      </c>
      <c r="R76" s="8">
        <f t="shared" si="100"/>
        <v>147282.24761565638</v>
      </c>
      <c r="S76" s="8">
        <f t="shared" si="90"/>
        <v>141390.95771103012</v>
      </c>
      <c r="T76" s="8">
        <f t="shared" si="91"/>
        <v>3153704.6558177415</v>
      </c>
      <c r="U76" s="8">
        <f t="shared" si="92"/>
        <v>8798343.8531827703</v>
      </c>
      <c r="V76" s="8">
        <f t="shared" si="93"/>
        <v>1472.8224761565639</v>
      </c>
      <c r="W76" s="8">
        <f t="shared" si="82"/>
        <v>282.78191542206025</v>
      </c>
      <c r="X76" s="8">
        <f t="shared" si="83"/>
        <v>1261.4818623270967</v>
      </c>
      <c r="Y76" s="8">
        <f t="shared" si="84"/>
        <v>351.93375412731081</v>
      </c>
      <c r="Z76" s="8">
        <f>求节点(精英野怪!$BI$5:$BI$164,精英野怪!BM$5:BM$164,M76)</f>
        <v>452.04139007999981</v>
      </c>
      <c r="AA76" s="8">
        <f>求节点(精英野怪!$BI$5:$BI$164,精英野怪!BR$5:BR$164,M76)</f>
        <v>678.06208511999989</v>
      </c>
      <c r="AB76" s="8">
        <f>求节点(精英野怪!$BI$5:$BI$164,精英野怪!BW$5:BW$164,M76)</f>
        <v>0</v>
      </c>
      <c r="AC76" s="8">
        <v>0</v>
      </c>
      <c r="AD76" s="8">
        <f t="shared" si="94"/>
        <v>1924.8638662365638</v>
      </c>
      <c r="AE76" s="8">
        <f t="shared" si="85"/>
        <v>960.84400054206014</v>
      </c>
      <c r="AF76" s="8">
        <f t="shared" si="86"/>
        <v>1261.4818623270967</v>
      </c>
      <c r="AG76" s="8">
        <f t="shared" si="87"/>
        <v>351.93375412731081</v>
      </c>
      <c r="AH76" s="8"/>
      <c r="AI76" s="8">
        <f>IF(M76&lt;=节奏预期!$B$1,0,INDEX(其他调用!$F$4:$F$163,$M76)*P$2-INDEX(其他调用!$F$4:$F$163,节奏预期!$B$1)*P$2)</f>
        <v>24481443.428654399</v>
      </c>
      <c r="AJ76" s="8">
        <f t="shared" si="95"/>
        <v>0.27735009811261457</v>
      </c>
      <c r="AK76" s="8">
        <f t="shared" si="96"/>
        <v>84740971.405210614</v>
      </c>
      <c r="AL76" s="8">
        <f>求节点(精英野怪!$AH$5:$AH$164,精英野怪!AL$5:AL$164,M76)</f>
        <v>176819.26155407631</v>
      </c>
      <c r="AM76" s="8">
        <f t="shared" si="97"/>
        <v>84917790.666764691</v>
      </c>
      <c r="AN76" s="8">
        <f t="shared" si="98"/>
        <v>0.99791775951581274</v>
      </c>
      <c r="AO76" s="8">
        <f t="shared" si="99"/>
        <v>2.0822404841872575E-3</v>
      </c>
      <c r="AP76" s="8"/>
      <c r="AQ76" s="8">
        <f>IF(M76&lt;=节奏预期!$B$1,0,INDEX(其他调用!$F$4:$F$163,$M76)*Q$2-INDEX(其他调用!$F$4:$F$163,节奏预期!$B$1)*Q$2)</f>
        <v>12240721.714327199</v>
      </c>
      <c r="AR76" s="8">
        <f>求节点(精英野怪!$BI$5:$BI$164,精英野怪!$CB$5:$CB$164,$M76)</f>
        <v>5650.5173759999998</v>
      </c>
      <c r="AS76" s="8">
        <f t="shared" si="88"/>
        <v>122407.21714327199</v>
      </c>
      <c r="AT76" s="8"/>
    </row>
    <row r="77" spans="13:46" x14ac:dyDescent="0.15">
      <c r="M77" s="8">
        <v>140</v>
      </c>
      <c r="N77" s="8">
        <f>求节点(节奏总纲!$O$4:$O$163,节奏总纲!$S$4:$S$163,$M77)</f>
        <v>7827.7974000000004</v>
      </c>
      <c r="O77" s="8">
        <f>IF(M77&lt;=节奏预期!$B$1,0,INDEX(其他调用!$F$4:$F$163,$M77)*O$2-INDEX(其他调用!$F$4:$F$163,节奏预期!$B$1)*O$2)</f>
        <v>24172734.047741883</v>
      </c>
      <c r="P77" s="8">
        <v>0</v>
      </c>
      <c r="Q77" s="8">
        <f t="shared" si="89"/>
        <v>1</v>
      </c>
      <c r="R77" s="8">
        <f t="shared" si="100"/>
        <v>147282.24761565638</v>
      </c>
      <c r="S77" s="8">
        <f t="shared" si="90"/>
        <v>141390.95771103012</v>
      </c>
      <c r="T77" s="8">
        <f t="shared" si="91"/>
        <v>6136707.7391714118</v>
      </c>
      <c r="U77" s="8">
        <f t="shared" si="92"/>
        <v>17747353.103243783</v>
      </c>
      <c r="V77" s="8">
        <f t="shared" si="93"/>
        <v>1472.8224761565639</v>
      </c>
      <c r="W77" s="8">
        <f t="shared" si="82"/>
        <v>282.78191542206025</v>
      </c>
      <c r="X77" s="8">
        <f t="shared" si="83"/>
        <v>2454.6830956685649</v>
      </c>
      <c r="Y77" s="8">
        <f t="shared" si="84"/>
        <v>709.89412412975128</v>
      </c>
      <c r="Z77" s="8">
        <f>求节点(精英野怪!$BI$5:$BI$164,精英野怪!BM$5:BM$164,M77)</f>
        <v>899.22970031999978</v>
      </c>
      <c r="AA77" s="8">
        <f>求节点(精英野怪!$BI$5:$BI$164,精英野怪!BR$5:BR$164,M77)</f>
        <v>1348.84455048</v>
      </c>
      <c r="AB77" s="8">
        <f>求节点(精英野怪!$BI$5:$BI$164,精英野怪!BW$5:BW$164,M77)</f>
        <v>0</v>
      </c>
      <c r="AC77" s="8">
        <v>0</v>
      </c>
      <c r="AD77" s="8">
        <f t="shared" si="94"/>
        <v>2372.0521764765635</v>
      </c>
      <c r="AE77" s="8">
        <f t="shared" si="85"/>
        <v>1631.6264659020603</v>
      </c>
      <c r="AF77" s="8">
        <f t="shared" si="86"/>
        <v>2454.6830956685649</v>
      </c>
      <c r="AG77" s="8">
        <f t="shared" si="87"/>
        <v>709.89412412975128</v>
      </c>
      <c r="AH77" s="8"/>
      <c r="AI77" s="8">
        <f>IF(M77&lt;=节奏预期!$B$1,0,INDEX(其他调用!$F$4:$F$163,$M77)*P$2-INDEX(其他调用!$F$4:$F$163,节奏预期!$B$1)*P$2)</f>
        <v>48345468.095483765</v>
      </c>
      <c r="AJ77" s="8">
        <f t="shared" si="95"/>
        <v>0.2672612419124244</v>
      </c>
      <c r="AK77" s="8">
        <f t="shared" si="96"/>
        <v>174031975.57800823</v>
      </c>
      <c r="AL77" s="8">
        <f>求节点(精英野怪!$AH$5:$AH$164,精英野怪!AL$5:AL$164,M77)</f>
        <v>387636.60781007638</v>
      </c>
      <c r="AM77" s="8">
        <f t="shared" si="97"/>
        <v>174419612.18581831</v>
      </c>
      <c r="AN77" s="8">
        <f t="shared" si="98"/>
        <v>0.99777756295320097</v>
      </c>
      <c r="AO77" s="8">
        <f t="shared" si="99"/>
        <v>2.2224370467989968E-3</v>
      </c>
      <c r="AP77" s="8"/>
      <c r="AQ77" s="8">
        <f>IF(M77&lt;=节奏预期!$B$1,0,INDEX(其他调用!$F$4:$F$163,$M77)*Q$2-INDEX(其他调用!$F$4:$F$163,节奏预期!$B$1)*Q$2)</f>
        <v>24172734.047741883</v>
      </c>
      <c r="AR77" s="8">
        <f>求节点(精英野怪!$BI$5:$BI$164,精英野怪!$CB$5:$CB$164,$M77)</f>
        <v>11240.371254</v>
      </c>
      <c r="AS77" s="8">
        <f t="shared" si="88"/>
        <v>241727.34047741882</v>
      </c>
      <c r="AT77" s="8"/>
    </row>
    <row r="78" spans="13:46" x14ac:dyDescent="0.15">
      <c r="M78" s="8">
        <v>150</v>
      </c>
      <c r="N78" s="8">
        <f>求节点(节奏总纲!$O$4:$O$163,节奏总纲!$S$4:$S$163,$M78)</f>
        <v>15603.645400000001</v>
      </c>
      <c r="O78" s="8">
        <f>IF(M78&lt;=节奏预期!$B$1,0,INDEX(其他调用!$F$4:$F$163,$M78)*O$2-INDEX(其他调用!$F$4:$F$163,节奏预期!$B$1)*O$2)</f>
        <v>48013124.879736625</v>
      </c>
      <c r="P78" s="8">
        <v>0</v>
      </c>
      <c r="Q78" s="8">
        <f t="shared" si="89"/>
        <v>1</v>
      </c>
      <c r="R78" s="8">
        <f t="shared" si="100"/>
        <v>147282.24761565638</v>
      </c>
      <c r="S78" s="8">
        <f t="shared" si="90"/>
        <v>141390.95771103012</v>
      </c>
      <c r="T78" s="8">
        <f t="shared" si="91"/>
        <v>12096805.447170097</v>
      </c>
      <c r="U78" s="8">
        <f t="shared" si="92"/>
        <v>35627646.22723984</v>
      </c>
      <c r="V78" s="8">
        <f t="shared" si="93"/>
        <v>1472.8224761565639</v>
      </c>
      <c r="W78" s="8">
        <f t="shared" si="82"/>
        <v>282.78191542206025</v>
      </c>
      <c r="X78" s="8">
        <f t="shared" si="83"/>
        <v>4838.722178868039</v>
      </c>
      <c r="Y78" s="8">
        <f t="shared" si="84"/>
        <v>1425.1058490895937</v>
      </c>
      <c r="Z78" s="8">
        <f>求节点(精英野怪!$BI$5:$BI$164,精英野怪!BM$5:BM$164,M78)</f>
        <v>1796.2515255999999</v>
      </c>
      <c r="AA78" s="8">
        <f>求节点(精英野怪!$BI$5:$BI$164,精英野怪!BR$5:BR$164,M78)</f>
        <v>2694.3772884</v>
      </c>
      <c r="AB78" s="8">
        <f>求节点(精英野怪!$BI$5:$BI$164,精英野怪!BW$5:BW$164,M78)</f>
        <v>0</v>
      </c>
      <c r="AC78" s="8">
        <v>0</v>
      </c>
      <c r="AD78" s="8">
        <f t="shared" si="94"/>
        <v>3269.074001756564</v>
      </c>
      <c r="AE78" s="8">
        <f t="shared" si="85"/>
        <v>2977.1592038220601</v>
      </c>
      <c r="AF78" s="8">
        <f t="shared" si="86"/>
        <v>4838.722178868039</v>
      </c>
      <c r="AG78" s="8">
        <f t="shared" si="87"/>
        <v>1425.1058490895937</v>
      </c>
      <c r="AH78" s="8"/>
      <c r="AI78" s="8">
        <f>IF(M78&lt;=节奏预期!$B$1,0,INDEX(其他调用!$F$4:$F$163,$M78)*P$2-INDEX(其他调用!$F$4:$F$163,节奏预期!$B$1)*P$2)</f>
        <v>96026249.759473249</v>
      </c>
      <c r="AJ78" s="8">
        <f t="shared" si="95"/>
        <v>0.2581988897471611</v>
      </c>
      <c r="AK78" s="8">
        <f t="shared" si="96"/>
        <v>358698848.89679146</v>
      </c>
      <c r="AL78" s="8">
        <f>求节点(精英野怪!$AH$5:$AH$164,精英野怪!AL$5:AL$164,M78)</f>
        <v>810518.32544207643</v>
      </c>
      <c r="AM78" s="8">
        <f t="shared" si="97"/>
        <v>359509367.22223353</v>
      </c>
      <c r="AN78" s="8">
        <f t="shared" si="98"/>
        <v>0.99774548760243831</v>
      </c>
      <c r="AO78" s="8">
        <f t="shared" si="99"/>
        <v>2.2545123975616695E-3</v>
      </c>
      <c r="AP78" s="8"/>
      <c r="AQ78" s="8">
        <f>IF(M78&lt;=节奏预期!$B$1,0,INDEX(其他调用!$F$4:$F$163,$M78)*Q$2-INDEX(其他调用!$F$4:$F$163,节奏预期!$B$1)*Q$2)</f>
        <v>48013124.879736625</v>
      </c>
      <c r="AR78" s="8">
        <f>求节点(精英野怪!$BI$5:$BI$164,精英野怪!$CB$5:$CB$164,$M78)</f>
        <v>22453.144070000002</v>
      </c>
      <c r="AS78" s="8">
        <f t="shared" si="88"/>
        <v>480131.24879736622</v>
      </c>
      <c r="AT78" s="8"/>
    </row>
    <row r="79" spans="13:46" x14ac:dyDescent="0.15">
      <c r="M79" s="8">
        <v>160</v>
      </c>
      <c r="N79" s="8">
        <f>求节点(节奏总纲!$O$4:$O$163,节奏总纲!$S$4:$S$163,$M79)</f>
        <v>66190.350000000006</v>
      </c>
      <c r="O79" s="8">
        <f>IF(M79&lt;=节奏预期!$B$1,0,INDEX(其他调用!$F$4:$F$163,$M79)*O$2-INDEX(其他调用!$F$4:$F$163,节奏预期!$B$1)*O$2)</f>
        <v>202376645.39934078</v>
      </c>
      <c r="P79" s="8">
        <v>0</v>
      </c>
      <c r="Q79" s="8">
        <f t="shared" si="89"/>
        <v>1</v>
      </c>
      <c r="R79" s="8">
        <f t="shared" si="100"/>
        <v>147282.24761565638</v>
      </c>
      <c r="S79" s="8">
        <f t="shared" si="90"/>
        <v>141390.95771103012</v>
      </c>
      <c r="T79" s="8">
        <f t="shared" si="91"/>
        <v>50687685.57707113</v>
      </c>
      <c r="U79" s="8">
        <f t="shared" si="92"/>
        <v>151400286.61694294</v>
      </c>
      <c r="V79" s="8">
        <f t="shared" si="93"/>
        <v>1472.8224761565639</v>
      </c>
      <c r="W79" s="8">
        <f t="shared" si="82"/>
        <v>282.78191542206025</v>
      </c>
      <c r="X79" s="8">
        <f t="shared" si="83"/>
        <v>20275.074230828453</v>
      </c>
      <c r="Y79" s="8">
        <f t="shared" si="84"/>
        <v>6056.0114646777174</v>
      </c>
      <c r="Z79" s="8">
        <f>求节点(精英野怪!$BI$5:$BI$164,精英野怪!BM$5:BM$164,M79)</f>
        <v>7631.9337682559981</v>
      </c>
      <c r="AA79" s="8">
        <f>求节点(精英野怪!$BI$5:$BI$164,精英野怪!BR$5:BR$164,M79)</f>
        <v>11447.900652384</v>
      </c>
      <c r="AB79" s="8">
        <f>求节点(精英野怪!$BI$5:$BI$164,精英野怪!BW$5:BW$164,M79)</f>
        <v>0</v>
      </c>
      <c r="AC79" s="8">
        <v>0</v>
      </c>
      <c r="AD79" s="8">
        <f t="shared" si="94"/>
        <v>9104.7562444125615</v>
      </c>
      <c r="AE79" s="8">
        <f t="shared" si="85"/>
        <v>11730.68256780606</v>
      </c>
      <c r="AF79" s="8">
        <f t="shared" si="86"/>
        <v>20275.074230828453</v>
      </c>
      <c r="AG79" s="8">
        <f t="shared" si="87"/>
        <v>6056.0114646777174</v>
      </c>
      <c r="AH79" s="8"/>
      <c r="AI79" s="8">
        <f>IF(M79&lt;=节奏预期!$B$1,0,INDEX(其他调用!$F$4:$F$163,$M79)*P$2-INDEX(其他调用!$F$4:$F$163,节奏预期!$B$1)*P$2)</f>
        <v>404753290.79868156</v>
      </c>
      <c r="AJ79" s="8">
        <f t="shared" si="95"/>
        <v>0.25</v>
      </c>
      <c r="AK79" s="8">
        <f t="shared" si="96"/>
        <v>1593607013.0536246</v>
      </c>
      <c r="AL79" s="8">
        <f>求节点(精英野怪!$AH$5:$AH$164,精英野怪!AL$5:AL$164,M79)</f>
        <v>3561625.6684084767</v>
      </c>
      <c r="AM79" s="8">
        <f t="shared" si="97"/>
        <v>1597168638.722033</v>
      </c>
      <c r="AN79" s="8">
        <f t="shared" si="98"/>
        <v>0.9977700378143799</v>
      </c>
      <c r="AO79" s="8">
        <f t="shared" si="99"/>
        <v>2.2299621856201077E-3</v>
      </c>
      <c r="AP79" s="8"/>
      <c r="AQ79" s="8">
        <f>IF(M79&lt;=节奏预期!$B$1,0,INDEX(其他调用!$F$4:$F$163,$M79)*Q$2-INDEX(其他调用!$F$4:$F$163,节奏预期!$B$1)*Q$2)</f>
        <v>202376645.39934078</v>
      </c>
      <c r="AR79" s="8">
        <f>求节点(精英野怪!$BI$5:$BI$164,精英野怪!$CB$5:$CB$164,$M79)</f>
        <v>95399.172103199991</v>
      </c>
      <c r="AS79" s="8">
        <f t="shared" si="88"/>
        <v>2023766.4539934078</v>
      </c>
      <c r="AT79" s="8"/>
    </row>
    <row r="81" spans="12:46" x14ac:dyDescent="0.15">
      <c r="P81" s="53" t="s">
        <v>336</v>
      </c>
      <c r="Q81" s="53"/>
      <c r="R81" s="53" t="s">
        <v>231</v>
      </c>
      <c r="S81" s="53"/>
      <c r="T81" s="53"/>
      <c r="U81" s="53"/>
      <c r="V81" s="53" t="s">
        <v>232</v>
      </c>
      <c r="W81" s="53"/>
      <c r="X81" s="53"/>
      <c r="Y81" s="53"/>
      <c r="Z81" s="53" t="s">
        <v>240</v>
      </c>
      <c r="AA81" s="53"/>
      <c r="AB81" s="53"/>
      <c r="AC81" s="53"/>
      <c r="AD81" s="53" t="s">
        <v>238</v>
      </c>
      <c r="AE81" s="53"/>
      <c r="AF81" s="53"/>
      <c r="AG81" s="53"/>
      <c r="AJ81" s="53" t="s">
        <v>296</v>
      </c>
      <c r="AK81" s="53"/>
      <c r="AL81" s="53"/>
      <c r="AM81" s="53"/>
    </row>
    <row r="82" spans="12:46" x14ac:dyDescent="0.15">
      <c r="L82" s="5" t="s">
        <v>131</v>
      </c>
      <c r="M82" s="8" t="s">
        <v>141</v>
      </c>
      <c r="N82" s="8" t="s">
        <v>132</v>
      </c>
      <c r="O82" s="8" t="s">
        <v>225</v>
      </c>
      <c r="P82" s="8" t="s">
        <v>328</v>
      </c>
      <c r="Q82" s="8" t="s">
        <v>339</v>
      </c>
      <c r="R82" s="8" t="s">
        <v>227</v>
      </c>
      <c r="S82" s="8" t="s">
        <v>228</v>
      </c>
      <c r="T82" s="8" t="s">
        <v>229</v>
      </c>
      <c r="U82" s="8" t="s">
        <v>230</v>
      </c>
      <c r="V82" s="8" t="s">
        <v>227</v>
      </c>
      <c r="W82" s="8" t="s">
        <v>228</v>
      </c>
      <c r="X82" s="8" t="s">
        <v>229</v>
      </c>
      <c r="Y82" s="8" t="s">
        <v>230</v>
      </c>
      <c r="Z82" s="8" t="s">
        <v>227</v>
      </c>
      <c r="AA82" s="8" t="s">
        <v>228</v>
      </c>
      <c r="AB82" s="8" t="s">
        <v>229</v>
      </c>
      <c r="AC82" s="8" t="s">
        <v>230</v>
      </c>
      <c r="AD82" s="8" t="s">
        <v>227</v>
      </c>
      <c r="AE82" s="8" t="s">
        <v>228</v>
      </c>
      <c r="AF82" s="8" t="s">
        <v>229</v>
      </c>
      <c r="AG82" s="8" t="s">
        <v>230</v>
      </c>
      <c r="AH82" s="8"/>
      <c r="AI82" s="8" t="s">
        <v>226</v>
      </c>
      <c r="AJ82" s="8" t="s">
        <v>233</v>
      </c>
      <c r="AK82" s="8" t="s">
        <v>291</v>
      </c>
      <c r="AL82" s="8" t="s">
        <v>292</v>
      </c>
      <c r="AM82" s="8" t="s">
        <v>295</v>
      </c>
      <c r="AN82" s="8" t="s">
        <v>302</v>
      </c>
      <c r="AO82" s="8" t="s">
        <v>303</v>
      </c>
      <c r="AP82" s="8"/>
      <c r="AQ82" s="8" t="s">
        <v>234</v>
      </c>
      <c r="AR82" s="8" t="s">
        <v>344</v>
      </c>
      <c r="AS82" s="8" t="s">
        <v>235</v>
      </c>
      <c r="AT82" s="8"/>
    </row>
    <row r="83" spans="12:46" x14ac:dyDescent="0.15">
      <c r="M83" s="8">
        <v>10</v>
      </c>
      <c r="N83" s="8">
        <f>求节点(节奏总纲!$O$4:$O$163,节奏总纲!$T$4:$T$163,$M83)</f>
        <v>0.2732</v>
      </c>
      <c r="O83" s="8">
        <f>IF(M83&lt;=节奏预期!$B$1,0,INDEX(其他调用!$G$4:$G$163,$M83)*O$2-INDEX(其他调用!$G$4:$G$163,节奏预期!$B$1)*O$2)</f>
        <v>0</v>
      </c>
      <c r="P83" s="8">
        <v>1</v>
      </c>
      <c r="Q83" s="8">
        <f>1-P83</f>
        <v>0</v>
      </c>
      <c r="R83" s="8">
        <f>$P83*$O83*D$27/SUM($D$27:$G$27)+$Q83*$O83*D$35/SUM($D$35:$G$35)</f>
        <v>0</v>
      </c>
      <c r="S83" s="8">
        <f t="shared" ref="S83" si="101">$P83*$O83*E$27/SUM($D$27:$G$27)+$Q83*$O83*E$35/SUM($D$35:$G$35)</f>
        <v>0</v>
      </c>
      <c r="T83" s="8">
        <f t="shared" ref="T83" si="102">$P83*$O83*F$27/SUM($D$27:$G$27)+$Q83*$O83*F$35/SUM($D$35:$G$35)</f>
        <v>0</v>
      </c>
      <c r="U83" s="8">
        <f t="shared" ref="U83" si="103">$P83*$O83*G$27/SUM($D$27:$G$27)+$Q83*$O83*G$35/SUM($D$35:$G$35)</f>
        <v>0</v>
      </c>
      <c r="V83" s="8">
        <f>R83/D$7</f>
        <v>0</v>
      </c>
      <c r="W83" s="8">
        <f t="shared" ref="W83:W98" si="104">S83/E$7</f>
        <v>0</v>
      </c>
      <c r="X83" s="8">
        <f t="shared" ref="X83:X98" si="105">T83/F$7</f>
        <v>0</v>
      </c>
      <c r="Y83" s="8">
        <f t="shared" ref="Y83:Y98" si="106">U83/G$7</f>
        <v>0</v>
      </c>
      <c r="Z83" s="8">
        <f>求节点(精英野怪!$BI$5:$BI$164,精英野怪!BN$5:BN$164,M83)</f>
        <v>0</v>
      </c>
      <c r="AA83" s="8">
        <f>求节点(精英野怪!$BI$5:$BI$164,精英野怪!BS$5:BS$164,M83)</f>
        <v>0</v>
      </c>
      <c r="AB83" s="8">
        <f>求节点(精英野怪!$BI$5:$BI$164,精英野怪!BX$5:BX$164,M83)</f>
        <v>0</v>
      </c>
      <c r="AC83" s="8">
        <v>0</v>
      </c>
      <c r="AD83" s="8">
        <f>V83+Z83</f>
        <v>0</v>
      </c>
      <c r="AE83" s="8">
        <f t="shared" ref="AE83:AE98" si="107">W83+AA83</f>
        <v>0</v>
      </c>
      <c r="AF83" s="8">
        <f t="shared" ref="AF83:AF98" si="108">X83+AB83</f>
        <v>0</v>
      </c>
      <c r="AG83" s="8">
        <f t="shared" ref="AG83:AG98" si="109">Y83+AC83</f>
        <v>0</v>
      </c>
      <c r="AH83" s="8"/>
      <c r="AI83" s="8">
        <f>IF(M83&lt;=节奏预期!$B$1,0,INDEX(其他调用!$G$4:$G$163,$M83)*P$2-INDEX(其他调用!$G$4:$G$163,节奏预期!$B$1)*P$2)</f>
        <v>0</v>
      </c>
      <c r="AJ83" s="8">
        <f>SQRT(1/M83*10)</f>
        <v>1</v>
      </c>
      <c r="AK83" s="8">
        <f>IF(M83=10,AI83/AJ83,(AI83-AI82)/AJ83+AK82)</f>
        <v>0</v>
      </c>
      <c r="AL83" s="8">
        <f>求节点(精英野怪!$AH$5:$AH$164,精英野怪!AM$5:AM$164,M83)</f>
        <v>0</v>
      </c>
      <c r="AM83" s="8">
        <f>AK83+AL83</f>
        <v>0</v>
      </c>
      <c r="AN83" s="8" t="e">
        <f>AK83/$AM83</f>
        <v>#DIV/0!</v>
      </c>
      <c r="AO83" s="8" t="e">
        <f>AL83/$AM83</f>
        <v>#DIV/0!</v>
      </c>
      <c r="AP83" s="8"/>
      <c r="AQ83" s="8">
        <f>IF(M83&lt;=节奏预期!$B$1,0,INDEX(其他调用!$G$4:$G$163,$M83)*Q$2-INDEX(其他调用!$G$4:$G$163,节奏预期!$B$1)*Q$2)</f>
        <v>0</v>
      </c>
      <c r="AR83" s="8">
        <f>求节点(精英野怪!$BI$5:$BI$164,精英野怪!$CC$5:$CC$164,$M83)</f>
        <v>0</v>
      </c>
      <c r="AS83" s="8">
        <f>AQ83/$D$16</f>
        <v>0</v>
      </c>
      <c r="AT83" s="8"/>
    </row>
    <row r="84" spans="12:46" x14ac:dyDescent="0.15">
      <c r="M84" s="8">
        <v>20</v>
      </c>
      <c r="N84" s="8">
        <f>求节点(节奏总纲!$O$4:$O$163,节奏总纲!$T$4:$T$163,$M84)</f>
        <v>0.87990000000000002</v>
      </c>
      <c r="O84" s="8">
        <f>IF(M84&lt;=节奏预期!$B$1,0,INDEX(其他调用!$G$4:$G$163,$M84)*O$2-INDEX(其他调用!$G$4:$G$163,节奏预期!$B$1)*O$2)</f>
        <v>0</v>
      </c>
      <c r="P84" s="8">
        <v>1</v>
      </c>
      <c r="Q84" s="8">
        <f t="shared" ref="Q84:Q98" si="110">1-P84</f>
        <v>0</v>
      </c>
      <c r="R84" s="8">
        <f>$P84*($O84-$O83)*D$27/SUM($D$27:$G$27)+$Q84*($O84-$O83)*D$35/SUM($D$35:$G$35)+R83</f>
        <v>0</v>
      </c>
      <c r="S84" s="8">
        <f t="shared" ref="S84:S98" si="111">$P84*($O84-$O83)*E$27/SUM($D$27:$G$27)+$Q84*($O84-$O83)*E$35/SUM($D$35:$G$35)+S83</f>
        <v>0</v>
      </c>
      <c r="T84" s="8">
        <f t="shared" ref="T84:T98" si="112">$P84*($O84-$O83)*F$27/SUM($D$27:$G$27)+$Q84*($O84-$O83)*F$35/SUM($D$35:$G$35)+T83</f>
        <v>0</v>
      </c>
      <c r="U84" s="8">
        <f t="shared" ref="U84:U98" si="113">$P84*($O84-$O83)*G$27/SUM($D$27:$G$27)+$Q84*($O84-$O83)*G$35/SUM($D$35:$G$35)+U83</f>
        <v>0</v>
      </c>
      <c r="V84" s="8">
        <f t="shared" ref="V84:V98" si="114">R84/D$7</f>
        <v>0</v>
      </c>
      <c r="W84" s="8">
        <f t="shared" si="104"/>
        <v>0</v>
      </c>
      <c r="X84" s="8">
        <f t="shared" si="105"/>
        <v>0</v>
      </c>
      <c r="Y84" s="8">
        <f t="shared" si="106"/>
        <v>0</v>
      </c>
      <c r="Z84" s="8">
        <f>求节点(精英野怪!$BI$5:$BI$164,精英野怪!BN$5:BN$164,M84)</f>
        <v>0</v>
      </c>
      <c r="AA84" s="8">
        <f>求节点(精英野怪!$BI$5:$BI$164,精英野怪!BS$5:BS$164,M84)</f>
        <v>0</v>
      </c>
      <c r="AB84" s="8">
        <f>求节点(精英野怪!$BI$5:$BI$164,精英野怪!BX$5:BX$164,M84)</f>
        <v>0</v>
      </c>
      <c r="AC84" s="8">
        <v>0</v>
      </c>
      <c r="AD84" s="8">
        <f t="shared" ref="AD84:AD98" si="115">V84+Z84</f>
        <v>0</v>
      </c>
      <c r="AE84" s="8">
        <f t="shared" si="107"/>
        <v>0</v>
      </c>
      <c r="AF84" s="8">
        <f t="shared" si="108"/>
        <v>0</v>
      </c>
      <c r="AG84" s="8">
        <f t="shared" si="109"/>
        <v>0</v>
      </c>
      <c r="AH84" s="8"/>
      <c r="AI84" s="8">
        <f>IF(M84&lt;=节奏预期!$B$1,0,INDEX(其他调用!$G$4:$G$163,$M84)*P$2-INDEX(其他调用!$G$4:$G$163,节奏预期!$B$1)*P$2)</f>
        <v>0</v>
      </c>
      <c r="AJ84" s="8">
        <f t="shared" ref="AJ84:AJ98" si="116">SQRT(1/M84*10)</f>
        <v>0.70710678118654757</v>
      </c>
      <c r="AK84" s="8">
        <f t="shared" ref="AK84:AK98" si="117">IF(M84=10,AI84/AJ84,(AI84-AI83)/AJ84+AK83)</f>
        <v>0</v>
      </c>
      <c r="AL84" s="8">
        <f>求节点(精英野怪!$AH$5:$AH$164,精英野怪!AM$5:AM$164,M84)</f>
        <v>0</v>
      </c>
      <c r="AM84" s="8">
        <f t="shared" ref="AM84:AM98" si="118">AK84+AL84</f>
        <v>0</v>
      </c>
      <c r="AN84" s="8" t="e">
        <f t="shared" ref="AN84:AN98" si="119">AK84/$AM84</f>
        <v>#DIV/0!</v>
      </c>
      <c r="AO84" s="8" t="e">
        <f t="shared" ref="AO84:AO98" si="120">AL84/$AM84</f>
        <v>#DIV/0!</v>
      </c>
      <c r="AP84" s="8"/>
      <c r="AQ84" s="8">
        <f>IF(M84&lt;=节奏预期!$B$1,0,INDEX(其他调用!$G$4:$G$163,$M84)*Q$2-INDEX(其他调用!$G$4:$G$163,节奏预期!$B$1)*Q$2)</f>
        <v>0</v>
      </c>
      <c r="AR84" s="8">
        <f>求节点(精英野怪!$BI$5:$BI$164,精英野怪!$CC$5:$CC$164,$M84)</f>
        <v>0</v>
      </c>
      <c r="AS84" s="8">
        <f t="shared" ref="AS84:AS98" si="121">AQ84/$D$16</f>
        <v>0</v>
      </c>
      <c r="AT84" s="8"/>
    </row>
    <row r="85" spans="12:46" x14ac:dyDescent="0.15">
      <c r="M85" s="8">
        <v>30</v>
      </c>
      <c r="N85" s="8">
        <f>求节点(节奏总纲!$O$4:$O$163,节奏总纲!$T$4:$T$163,$M85)</f>
        <v>2.1006999999999998</v>
      </c>
      <c r="O85" s="8">
        <f>IF(M85&lt;=节奏预期!$B$1,0,INDEX(其他调用!$G$4:$G$163,$M85)*O$2-INDEX(其他调用!$G$4:$G$163,节奏预期!$B$1)*O$2)</f>
        <v>0</v>
      </c>
      <c r="P85" s="8">
        <v>1</v>
      </c>
      <c r="Q85" s="8">
        <f t="shared" si="110"/>
        <v>0</v>
      </c>
      <c r="R85" s="8">
        <f t="shared" ref="R85:R98" si="122">$P85*($O85-$O84)*D$27/SUM($D$27:$G$27)+$Q85*($O85-$O84)*D$35/SUM($D$35:$G$35)+R84</f>
        <v>0</v>
      </c>
      <c r="S85" s="8">
        <f t="shared" si="111"/>
        <v>0</v>
      </c>
      <c r="T85" s="8">
        <f t="shared" si="112"/>
        <v>0</v>
      </c>
      <c r="U85" s="8">
        <f t="shared" si="113"/>
        <v>0</v>
      </c>
      <c r="V85" s="8">
        <f t="shared" si="114"/>
        <v>0</v>
      </c>
      <c r="W85" s="8">
        <f t="shared" si="104"/>
        <v>0</v>
      </c>
      <c r="X85" s="8">
        <f t="shared" si="105"/>
        <v>0</v>
      </c>
      <c r="Y85" s="8">
        <f t="shared" si="106"/>
        <v>0</v>
      </c>
      <c r="Z85" s="8">
        <f>求节点(精英野怪!$BI$5:$BI$164,精英野怪!BN$5:BN$164,M85)</f>
        <v>0</v>
      </c>
      <c r="AA85" s="8">
        <f>求节点(精英野怪!$BI$5:$BI$164,精英野怪!BS$5:BS$164,M85)</f>
        <v>0</v>
      </c>
      <c r="AB85" s="8">
        <f>求节点(精英野怪!$BI$5:$BI$164,精英野怪!BX$5:BX$164,M85)</f>
        <v>0</v>
      </c>
      <c r="AC85" s="8">
        <v>0</v>
      </c>
      <c r="AD85" s="8">
        <f t="shared" si="115"/>
        <v>0</v>
      </c>
      <c r="AE85" s="8">
        <f t="shared" si="107"/>
        <v>0</v>
      </c>
      <c r="AF85" s="8">
        <f t="shared" si="108"/>
        <v>0</v>
      </c>
      <c r="AG85" s="8">
        <f t="shared" si="109"/>
        <v>0</v>
      </c>
      <c r="AH85" s="8"/>
      <c r="AI85" s="8">
        <f>IF(M85&lt;=节奏预期!$B$1,0,INDEX(其他调用!$G$4:$G$163,$M85)*P$2-INDEX(其他调用!$G$4:$G$163,节奏预期!$B$1)*P$2)</f>
        <v>0</v>
      </c>
      <c r="AJ85" s="8">
        <f t="shared" si="116"/>
        <v>0.57735026918962573</v>
      </c>
      <c r="AK85" s="8">
        <f t="shared" si="117"/>
        <v>0</v>
      </c>
      <c r="AL85" s="8">
        <f>求节点(精英野怪!$AH$5:$AH$164,精英野怪!AM$5:AM$164,M85)</f>
        <v>0</v>
      </c>
      <c r="AM85" s="8">
        <f t="shared" si="118"/>
        <v>0</v>
      </c>
      <c r="AN85" s="8" t="e">
        <f t="shared" si="119"/>
        <v>#DIV/0!</v>
      </c>
      <c r="AO85" s="8" t="e">
        <f t="shared" si="120"/>
        <v>#DIV/0!</v>
      </c>
      <c r="AP85" s="8"/>
      <c r="AQ85" s="8">
        <f>IF(M85&lt;=节奏预期!$B$1,0,INDEX(其他调用!$G$4:$G$163,$M85)*Q$2-INDEX(其他调用!$G$4:$G$163,节奏预期!$B$1)*Q$2)</f>
        <v>0</v>
      </c>
      <c r="AR85" s="8">
        <f>求节点(精英野怪!$BI$5:$BI$164,精英野怪!$CC$5:$CC$164,$M85)</f>
        <v>0</v>
      </c>
      <c r="AS85" s="8">
        <f t="shared" si="121"/>
        <v>0</v>
      </c>
      <c r="AT85" s="8"/>
    </row>
    <row r="86" spans="12:46" x14ac:dyDescent="0.15">
      <c r="M86" s="8">
        <v>40</v>
      </c>
      <c r="N86" s="8">
        <f>求节点(节奏总纲!$O$4:$O$163,节奏总纲!$T$4:$T$163,$M86)</f>
        <v>4.5</v>
      </c>
      <c r="O86" s="8">
        <f>IF(M86&lt;=节奏预期!$B$1,0,INDEX(其他调用!$G$4:$G$163,$M86)*O$2-INDEX(其他调用!$G$4:$G$163,节奏预期!$B$1)*O$2)</f>
        <v>0</v>
      </c>
      <c r="P86" s="8">
        <v>1</v>
      </c>
      <c r="Q86" s="8">
        <f t="shared" si="110"/>
        <v>0</v>
      </c>
      <c r="R86" s="8">
        <f t="shared" si="122"/>
        <v>0</v>
      </c>
      <c r="S86" s="8">
        <f t="shared" si="111"/>
        <v>0</v>
      </c>
      <c r="T86" s="8">
        <f t="shared" si="112"/>
        <v>0</v>
      </c>
      <c r="U86" s="8">
        <f t="shared" si="113"/>
        <v>0</v>
      </c>
      <c r="V86" s="8">
        <f t="shared" si="114"/>
        <v>0</v>
      </c>
      <c r="W86" s="8">
        <f t="shared" si="104"/>
        <v>0</v>
      </c>
      <c r="X86" s="8">
        <f t="shared" si="105"/>
        <v>0</v>
      </c>
      <c r="Y86" s="8">
        <f t="shared" si="106"/>
        <v>0</v>
      </c>
      <c r="Z86" s="8">
        <f>求节点(精英野怪!$BI$5:$BI$164,精英野怪!BN$5:BN$164,M86)</f>
        <v>0</v>
      </c>
      <c r="AA86" s="8">
        <f>求节点(精英野怪!$BI$5:$BI$164,精英野怪!BS$5:BS$164,M86)</f>
        <v>0</v>
      </c>
      <c r="AB86" s="8">
        <f>求节点(精英野怪!$BI$5:$BI$164,精英野怪!BX$5:BX$164,M86)</f>
        <v>0</v>
      </c>
      <c r="AC86" s="8">
        <v>0</v>
      </c>
      <c r="AD86" s="8">
        <f t="shared" si="115"/>
        <v>0</v>
      </c>
      <c r="AE86" s="8">
        <f t="shared" si="107"/>
        <v>0</v>
      </c>
      <c r="AF86" s="8">
        <f t="shared" si="108"/>
        <v>0</v>
      </c>
      <c r="AG86" s="8">
        <f t="shared" si="109"/>
        <v>0</v>
      </c>
      <c r="AH86" s="8"/>
      <c r="AI86" s="8">
        <f>IF(M86&lt;=节奏预期!$B$1,0,INDEX(其他调用!$G$4:$G$163,$M86)*P$2-INDEX(其他调用!$G$4:$G$163,节奏预期!$B$1)*P$2)</f>
        <v>0</v>
      </c>
      <c r="AJ86" s="8">
        <f t="shared" si="116"/>
        <v>0.5</v>
      </c>
      <c r="AK86" s="8">
        <f t="shared" si="117"/>
        <v>0</v>
      </c>
      <c r="AL86" s="8">
        <f>求节点(精英野怪!$AH$5:$AH$164,精英野怪!AM$5:AM$164,M86)</f>
        <v>0</v>
      </c>
      <c r="AM86" s="8">
        <f t="shared" si="118"/>
        <v>0</v>
      </c>
      <c r="AN86" s="8" t="e">
        <f t="shared" si="119"/>
        <v>#DIV/0!</v>
      </c>
      <c r="AO86" s="8" t="e">
        <f t="shared" si="120"/>
        <v>#DIV/0!</v>
      </c>
      <c r="AP86" s="8"/>
      <c r="AQ86" s="8">
        <f>IF(M86&lt;=节奏预期!$B$1,0,INDEX(其他调用!$G$4:$G$163,$M86)*Q$2-INDEX(其他调用!$G$4:$G$163,节奏预期!$B$1)*Q$2)</f>
        <v>0</v>
      </c>
      <c r="AR86" s="8">
        <f>求节点(精英野怪!$BI$5:$BI$164,精英野怪!$CC$5:$CC$164,$M86)</f>
        <v>0</v>
      </c>
      <c r="AS86" s="8">
        <f t="shared" si="121"/>
        <v>0</v>
      </c>
      <c r="AT86" s="8"/>
    </row>
    <row r="87" spans="12:46" x14ac:dyDescent="0.15">
      <c r="M87" s="8">
        <v>50</v>
      </c>
      <c r="N87" s="8">
        <f>求节点(节奏总纲!$O$4:$O$163,节奏总纲!$T$4:$T$163,$M87)</f>
        <v>9.1883999999999997</v>
      </c>
      <c r="O87" s="8">
        <f>IF(M87&lt;=节奏预期!$B$1,0,INDEX(其他调用!$G$4:$G$163,$M87)*O$2-INDEX(其他调用!$G$4:$G$163,节奏预期!$B$1)*O$2)</f>
        <v>0</v>
      </c>
      <c r="P87" s="8">
        <v>1</v>
      </c>
      <c r="Q87" s="8">
        <f t="shared" si="110"/>
        <v>0</v>
      </c>
      <c r="R87" s="8">
        <f t="shared" si="122"/>
        <v>0</v>
      </c>
      <c r="S87" s="8">
        <f t="shared" si="111"/>
        <v>0</v>
      </c>
      <c r="T87" s="8">
        <f t="shared" si="112"/>
        <v>0</v>
      </c>
      <c r="U87" s="8">
        <f t="shared" si="113"/>
        <v>0</v>
      </c>
      <c r="V87" s="8">
        <f t="shared" si="114"/>
        <v>0</v>
      </c>
      <c r="W87" s="8">
        <f t="shared" si="104"/>
        <v>0</v>
      </c>
      <c r="X87" s="8">
        <f t="shared" si="105"/>
        <v>0</v>
      </c>
      <c r="Y87" s="8">
        <f t="shared" si="106"/>
        <v>0</v>
      </c>
      <c r="Z87" s="8">
        <f>求节点(精英野怪!$BI$5:$BI$164,精英野怪!BN$5:BN$164,M87)</f>
        <v>0</v>
      </c>
      <c r="AA87" s="8">
        <f>求节点(精英野怪!$BI$5:$BI$164,精英野怪!BS$5:BS$164,M87)</f>
        <v>0</v>
      </c>
      <c r="AB87" s="8">
        <f>求节点(精英野怪!$BI$5:$BI$164,精英野怪!BX$5:BX$164,M87)</f>
        <v>0</v>
      </c>
      <c r="AC87" s="8">
        <v>0</v>
      </c>
      <c r="AD87" s="8">
        <f t="shared" si="115"/>
        <v>0</v>
      </c>
      <c r="AE87" s="8">
        <f t="shared" si="107"/>
        <v>0</v>
      </c>
      <c r="AF87" s="8">
        <f t="shared" si="108"/>
        <v>0</v>
      </c>
      <c r="AG87" s="8">
        <f t="shared" si="109"/>
        <v>0</v>
      </c>
      <c r="AH87" s="8"/>
      <c r="AI87" s="8">
        <f>IF(M87&lt;=节奏预期!$B$1,0,INDEX(其他调用!$G$4:$G$163,$M87)*P$2-INDEX(其他调用!$G$4:$G$163,节奏预期!$B$1)*P$2)</f>
        <v>0</v>
      </c>
      <c r="AJ87" s="8">
        <f t="shared" si="116"/>
        <v>0.44721359549995793</v>
      </c>
      <c r="AK87" s="8">
        <f t="shared" si="117"/>
        <v>0</v>
      </c>
      <c r="AL87" s="8">
        <f>求节点(精英野怪!$AH$5:$AH$164,精英野怪!AM$5:AM$164,M87)</f>
        <v>0</v>
      </c>
      <c r="AM87" s="8">
        <f t="shared" si="118"/>
        <v>0</v>
      </c>
      <c r="AN87" s="8" t="e">
        <f t="shared" si="119"/>
        <v>#DIV/0!</v>
      </c>
      <c r="AO87" s="8" t="e">
        <f t="shared" si="120"/>
        <v>#DIV/0!</v>
      </c>
      <c r="AP87" s="8"/>
      <c r="AQ87" s="8">
        <f>IF(M87&lt;=节奏预期!$B$1,0,INDEX(其他调用!$G$4:$G$163,$M87)*Q$2-INDEX(其他调用!$G$4:$G$163,节奏预期!$B$1)*Q$2)</f>
        <v>0</v>
      </c>
      <c r="AR87" s="8">
        <f>求节点(精英野怪!$BI$5:$BI$164,精英野怪!$CC$5:$CC$164,$M87)</f>
        <v>0</v>
      </c>
      <c r="AS87" s="8">
        <f t="shared" si="121"/>
        <v>0</v>
      </c>
      <c r="AT87" s="8"/>
    </row>
    <row r="88" spans="12:46" x14ac:dyDescent="0.15">
      <c r="M88" s="8">
        <v>60</v>
      </c>
      <c r="N88" s="8">
        <f>求节点(节奏总纲!$O$4:$O$163,节奏总纲!$T$4:$T$163,$M88)</f>
        <v>18.276300000000003</v>
      </c>
      <c r="O88" s="8">
        <f>IF(M88&lt;=节奏预期!$B$1,0,INDEX(其他调用!$G$4:$G$163,$M88)*O$2-INDEX(其他调用!$G$4:$G$163,节奏预期!$B$1)*O$2)</f>
        <v>0</v>
      </c>
      <c r="P88" s="8">
        <v>1</v>
      </c>
      <c r="Q88" s="8">
        <f t="shared" si="110"/>
        <v>0</v>
      </c>
      <c r="R88" s="8">
        <f t="shared" si="122"/>
        <v>0</v>
      </c>
      <c r="S88" s="8">
        <f t="shared" si="111"/>
        <v>0</v>
      </c>
      <c r="T88" s="8">
        <f t="shared" si="112"/>
        <v>0</v>
      </c>
      <c r="U88" s="8">
        <f t="shared" si="113"/>
        <v>0</v>
      </c>
      <c r="V88" s="8">
        <f t="shared" si="114"/>
        <v>0</v>
      </c>
      <c r="W88" s="8">
        <f t="shared" si="104"/>
        <v>0</v>
      </c>
      <c r="X88" s="8">
        <f t="shared" si="105"/>
        <v>0</v>
      </c>
      <c r="Y88" s="8">
        <f t="shared" si="106"/>
        <v>0</v>
      </c>
      <c r="Z88" s="8">
        <f>求节点(精英野怪!$BI$5:$BI$164,精英野怪!BN$5:BN$164,M88)</f>
        <v>0.27915096498320197</v>
      </c>
      <c r="AA88" s="8">
        <f>求节点(精英野怪!$BI$5:$BI$164,精英野怪!BS$5:BS$164,M88)</f>
        <v>0.41872644747480303</v>
      </c>
      <c r="AB88" s="8">
        <f>求节点(精英野怪!$BI$5:$BI$164,精英野怪!BX$5:BX$164,M88)</f>
        <v>0</v>
      </c>
      <c r="AC88" s="8">
        <v>0</v>
      </c>
      <c r="AD88" s="8">
        <f t="shared" si="115"/>
        <v>0.27915096498320197</v>
      </c>
      <c r="AE88" s="8">
        <f t="shared" si="107"/>
        <v>0.41872644747480303</v>
      </c>
      <c r="AF88" s="8">
        <f t="shared" si="108"/>
        <v>0</v>
      </c>
      <c r="AG88" s="8">
        <f t="shared" si="109"/>
        <v>0</v>
      </c>
      <c r="AH88" s="8"/>
      <c r="AI88" s="8">
        <f>IF(M88&lt;=节奏预期!$B$1,0,INDEX(其他调用!$G$4:$G$163,$M88)*P$2-INDEX(其他调用!$G$4:$G$163,节奏预期!$B$1)*P$2)</f>
        <v>0</v>
      </c>
      <c r="AJ88" s="8">
        <f t="shared" si="116"/>
        <v>0.40824829046386302</v>
      </c>
      <c r="AK88" s="8">
        <f t="shared" si="117"/>
        <v>0</v>
      </c>
      <c r="AL88" s="8">
        <f>求节点(精英野怪!$AH$5:$AH$164,精英野怪!AM$5:AM$164,M88)</f>
        <v>0</v>
      </c>
      <c r="AM88" s="8">
        <f t="shared" si="118"/>
        <v>0</v>
      </c>
      <c r="AN88" s="8" t="e">
        <f t="shared" si="119"/>
        <v>#DIV/0!</v>
      </c>
      <c r="AO88" s="8" t="e">
        <f t="shared" si="120"/>
        <v>#DIV/0!</v>
      </c>
      <c r="AP88" s="8"/>
      <c r="AQ88" s="8">
        <f>IF(M88&lt;=节奏预期!$B$1,0,INDEX(其他调用!$G$4:$G$163,$M88)*Q$2-INDEX(其他调用!$G$4:$G$163,节奏预期!$B$1)*Q$2)</f>
        <v>0</v>
      </c>
      <c r="AR88" s="8">
        <f>求节点(精英野怪!$BI$5:$BI$164,精英野怪!$CC$5:$CC$164,$M88)</f>
        <v>3.4893870622900254</v>
      </c>
      <c r="AS88" s="8">
        <f t="shared" si="121"/>
        <v>0</v>
      </c>
      <c r="AT88" s="8"/>
    </row>
    <row r="89" spans="12:46" x14ac:dyDescent="0.15">
      <c r="M89" s="8">
        <v>70</v>
      </c>
      <c r="N89" s="8">
        <f>求节点(节奏总纲!$O$4:$O$163,节奏总纲!$T$4:$T$163,$M89)</f>
        <v>36.4998</v>
      </c>
      <c r="O89" s="8">
        <f>IF(M89&lt;=节奏预期!$B$1,0,INDEX(其他调用!$G$4:$G$163,$M89)*O$2-INDEX(其他调用!$G$4:$G$163,节奏预期!$B$1)*O$2)</f>
        <v>143963.55375352644</v>
      </c>
      <c r="P89" s="8">
        <v>1</v>
      </c>
      <c r="Q89" s="8">
        <f t="shared" si="110"/>
        <v>0</v>
      </c>
      <c r="R89" s="8">
        <f t="shared" si="122"/>
        <v>41607.963512579903</v>
      </c>
      <c r="S89" s="8">
        <f t="shared" si="111"/>
        <v>39943.644972076705</v>
      </c>
      <c r="T89" s="8">
        <f t="shared" si="112"/>
        <v>62411.945268869844</v>
      </c>
      <c r="U89" s="8">
        <f t="shared" si="113"/>
        <v>0</v>
      </c>
      <c r="V89" s="8">
        <f t="shared" si="114"/>
        <v>416.07963512579903</v>
      </c>
      <c r="W89" s="8">
        <f t="shared" si="104"/>
        <v>79.887289944153409</v>
      </c>
      <c r="X89" s="8">
        <f t="shared" si="105"/>
        <v>24.964778107547936</v>
      </c>
      <c r="Y89" s="8">
        <f t="shared" si="106"/>
        <v>0</v>
      </c>
      <c r="Z89" s="8">
        <f>求节点(精英野怪!$BI$5:$BI$164,精英野怪!BN$5:BN$164,M89)</f>
        <v>2.3814139249832023</v>
      </c>
      <c r="AA89" s="8">
        <f>求节点(精英野怪!$BI$5:$BI$164,精英野怪!BS$5:BS$164,M89)</f>
        <v>3.5721208874748038</v>
      </c>
      <c r="AB89" s="8">
        <f>求节点(精英野怪!$BI$5:$BI$164,精英野怪!BX$5:BX$164,M89)</f>
        <v>0</v>
      </c>
      <c r="AC89" s="8">
        <v>0</v>
      </c>
      <c r="AD89" s="8">
        <f t="shared" si="115"/>
        <v>418.46104905078221</v>
      </c>
      <c r="AE89" s="8">
        <f t="shared" si="107"/>
        <v>83.459410831628219</v>
      </c>
      <c r="AF89" s="8">
        <f t="shared" si="108"/>
        <v>24.964778107547936</v>
      </c>
      <c r="AG89" s="8">
        <f t="shared" si="109"/>
        <v>0</v>
      </c>
      <c r="AH89" s="8"/>
      <c r="AI89" s="8">
        <f>IF(M89&lt;=节奏预期!$B$1,0,INDEX(其他调用!$G$4:$G$163,$M89)*P$2-INDEX(其他调用!$G$4:$G$163,节奏预期!$B$1)*P$2)</f>
        <v>287927.10750705289</v>
      </c>
      <c r="AJ89" s="8">
        <f t="shared" si="116"/>
        <v>0.3779644730092272</v>
      </c>
      <c r="AK89" s="8">
        <f t="shared" si="117"/>
        <v>761783.52217782056</v>
      </c>
      <c r="AL89" s="8">
        <f>求节点(精英野怪!$AH$5:$AH$164,精英野怪!AM$5:AM$164,M89)</f>
        <v>33.172106640135432</v>
      </c>
      <c r="AM89" s="8">
        <f t="shared" si="118"/>
        <v>761816.69428446074</v>
      </c>
      <c r="AN89" s="8">
        <f t="shared" si="119"/>
        <v>0.9999564565769048</v>
      </c>
      <c r="AO89" s="8">
        <f t="shared" si="120"/>
        <v>4.3543423095095681E-5</v>
      </c>
      <c r="AP89" s="8"/>
      <c r="AQ89" s="8">
        <f>IF(M89&lt;=节奏预期!$B$1,0,INDEX(其他调用!$G$4:$G$163,$M89)*Q$2-INDEX(其他调用!$G$4:$G$163,节奏预期!$B$1)*Q$2)</f>
        <v>143963.55375352644</v>
      </c>
      <c r="AR89" s="8">
        <f>求节点(精英野怪!$BI$5:$BI$164,精英野怪!$CC$5:$CC$164,$M89)</f>
        <v>29.767674062290034</v>
      </c>
      <c r="AS89" s="8">
        <f t="shared" si="121"/>
        <v>1439.6355375352643</v>
      </c>
      <c r="AT89" s="8"/>
    </row>
    <row r="90" spans="12:46" x14ac:dyDescent="0.15">
      <c r="M90" s="8">
        <v>80</v>
      </c>
      <c r="N90" s="8">
        <f>求节点(节奏总纲!$O$4:$O$163,节奏总纲!$T$4:$T$163,$M90)</f>
        <v>72.777000000000001</v>
      </c>
      <c r="O90" s="8">
        <f>IF(M90&lt;=节奏预期!$B$1,0,INDEX(其他调用!$G$4:$G$163,$M90)*O$2-INDEX(其他调用!$G$4:$G$163,节奏预期!$B$1)*O$2)</f>
        <v>442083.61531144718</v>
      </c>
      <c r="P90" s="8">
        <v>0.5</v>
      </c>
      <c r="Q90" s="8">
        <f t="shared" si="110"/>
        <v>0.5</v>
      </c>
      <c r="R90" s="8">
        <f t="shared" si="122"/>
        <v>84688.897263724532</v>
      </c>
      <c r="S90" s="8">
        <f t="shared" si="111"/>
        <v>81301.341373175543</v>
      </c>
      <c r="T90" s="8">
        <f t="shared" si="112"/>
        <v>164298.35359032685</v>
      </c>
      <c r="U90" s="8">
        <f t="shared" si="113"/>
        <v>111795.02308422029</v>
      </c>
      <c r="V90" s="8">
        <f t="shared" si="114"/>
        <v>846.88897263724527</v>
      </c>
      <c r="W90" s="8">
        <f t="shared" si="104"/>
        <v>162.60268274635109</v>
      </c>
      <c r="X90" s="8">
        <f t="shared" si="105"/>
        <v>65.719341436130733</v>
      </c>
      <c r="Y90" s="8">
        <f t="shared" si="106"/>
        <v>4.4718009233688116</v>
      </c>
      <c r="Z90" s="8">
        <f>求节点(精英野怪!$BI$5:$BI$164,精英野怪!BN$5:BN$164,M90)</f>
        <v>6.5663517169832017</v>
      </c>
      <c r="AA90" s="8">
        <f>求节点(精英野怪!$BI$5:$BI$164,精英野怪!BS$5:BS$164,M90)</f>
        <v>9.849527575474804</v>
      </c>
      <c r="AB90" s="8">
        <f>求节点(精英野怪!$BI$5:$BI$164,精英野怪!BX$5:BX$164,M90)</f>
        <v>0</v>
      </c>
      <c r="AC90" s="8">
        <v>0</v>
      </c>
      <c r="AD90" s="8">
        <f t="shared" si="115"/>
        <v>853.45532435422842</v>
      </c>
      <c r="AE90" s="8">
        <f t="shared" si="107"/>
        <v>172.4522103218259</v>
      </c>
      <c r="AF90" s="8">
        <f t="shared" si="108"/>
        <v>65.719341436130733</v>
      </c>
      <c r="AG90" s="8">
        <f t="shared" si="109"/>
        <v>4.4718009233688116</v>
      </c>
      <c r="AH90" s="8"/>
      <c r="AI90" s="8">
        <f>IF(M90&lt;=节奏预期!$B$1,0,INDEX(其他调用!$G$4:$G$163,$M90)*P$2-INDEX(其他调用!$G$4:$G$163,节奏预期!$B$1)*P$2)</f>
        <v>884167.23062289436</v>
      </c>
      <c r="AJ90" s="8">
        <f t="shared" si="116"/>
        <v>0.35355339059327379</v>
      </c>
      <c r="AK90" s="8">
        <f t="shared" si="117"/>
        <v>2448205.2592606745</v>
      </c>
      <c r="AL90" s="8">
        <f>求节点(精英野怪!$AH$5:$AH$164,精英野怪!AM$5:AM$164,M90)</f>
        <v>674.91252547649731</v>
      </c>
      <c r="AM90" s="8">
        <f t="shared" si="118"/>
        <v>2448880.1717861509</v>
      </c>
      <c r="AN90" s="8">
        <f t="shared" si="119"/>
        <v>0.99972439953034364</v>
      </c>
      <c r="AO90" s="8">
        <f t="shared" si="120"/>
        <v>2.7560046965639535E-4</v>
      </c>
      <c r="AP90" s="8"/>
      <c r="AQ90" s="8">
        <f>IF(M90&lt;=节奏预期!$B$1,0,INDEX(其他调用!$G$4:$G$163,$M90)*Q$2-INDEX(其他调用!$G$4:$G$163,节奏预期!$B$1)*Q$2)</f>
        <v>442083.61531144718</v>
      </c>
      <c r="AR90" s="8">
        <f>求节点(精英野怪!$BI$5:$BI$164,精英野怪!$CC$5:$CC$164,$M90)</f>
        <v>82.079396462290049</v>
      </c>
      <c r="AS90" s="8">
        <f t="shared" si="121"/>
        <v>4420.8361531144719</v>
      </c>
      <c r="AT90" s="8"/>
    </row>
    <row r="91" spans="12:46" x14ac:dyDescent="0.15">
      <c r="M91" s="8">
        <v>90</v>
      </c>
      <c r="N91" s="8">
        <f>求节点(节奏总纲!$O$4:$O$163,节奏总纲!$T$4:$T$163,$M91)</f>
        <v>138.48100000000002</v>
      </c>
      <c r="O91" s="8">
        <f>IF(M91&lt;=节奏预期!$B$1,0,INDEX(其他调用!$G$4:$G$163,$M91)*O$2-INDEX(其他调用!$G$4:$G$163,节奏预期!$B$1)*O$2)</f>
        <v>970713.36671291012</v>
      </c>
      <c r="P91" s="8">
        <v>0</v>
      </c>
      <c r="Q91" s="8">
        <f t="shared" si="110"/>
        <v>1</v>
      </c>
      <c r="R91" s="8">
        <f t="shared" si="122"/>
        <v>84688.897263724532</v>
      </c>
      <c r="S91" s="8">
        <f t="shared" si="111"/>
        <v>81301.341373175543</v>
      </c>
      <c r="T91" s="8">
        <f t="shared" si="112"/>
        <v>296455.79144069256</v>
      </c>
      <c r="U91" s="8">
        <f t="shared" si="113"/>
        <v>508267.33663531754</v>
      </c>
      <c r="V91" s="8">
        <f t="shared" si="114"/>
        <v>846.88897263724527</v>
      </c>
      <c r="W91" s="8">
        <f t="shared" si="104"/>
        <v>162.60268274635109</v>
      </c>
      <c r="X91" s="8">
        <f t="shared" si="105"/>
        <v>118.58231657627702</v>
      </c>
      <c r="Y91" s="8">
        <f t="shared" si="106"/>
        <v>20.330693465412701</v>
      </c>
      <c r="Z91" s="8">
        <f>求节点(精英野怪!$BI$5:$BI$164,精英野怪!BN$5:BN$164,M91)</f>
        <v>14.1459651569832</v>
      </c>
      <c r="AA91" s="8">
        <f>求节点(精英野怪!$BI$5:$BI$164,精英野怪!BS$5:BS$164,M91)</f>
        <v>21.218947735474806</v>
      </c>
      <c r="AB91" s="8">
        <f>求节点(精英野怪!$BI$5:$BI$164,精英野怪!BX$5:BX$164,M91)</f>
        <v>0</v>
      </c>
      <c r="AC91" s="8">
        <v>0</v>
      </c>
      <c r="AD91" s="8">
        <f t="shared" si="115"/>
        <v>861.03493779422843</v>
      </c>
      <c r="AE91" s="8">
        <f t="shared" si="107"/>
        <v>183.82163048182591</v>
      </c>
      <c r="AF91" s="8">
        <f t="shared" si="108"/>
        <v>118.58231657627702</v>
      </c>
      <c r="AG91" s="8">
        <f t="shared" si="109"/>
        <v>20.330693465412701</v>
      </c>
      <c r="AH91" s="8"/>
      <c r="AI91" s="8">
        <f>IF(M91&lt;=节奏预期!$B$1,0,INDEX(其他调用!$G$4:$G$163,$M91)*P$2-INDEX(其他调用!$G$4:$G$163,节奏预期!$B$1)*P$2)</f>
        <v>1941426.7334258202</v>
      </c>
      <c r="AJ91" s="8">
        <f t="shared" si="116"/>
        <v>0.33333333333333337</v>
      </c>
      <c r="AK91" s="8">
        <f t="shared" si="117"/>
        <v>5619983.7676694524</v>
      </c>
      <c r="AL91" s="8">
        <f>求节点(精英野怪!$AH$5:$AH$164,精英野怪!AM$5:AM$164,M91)</f>
        <v>2276.6456617728622</v>
      </c>
      <c r="AM91" s="8">
        <f t="shared" si="118"/>
        <v>5622260.4133312255</v>
      </c>
      <c r="AN91" s="8">
        <f t="shared" si="119"/>
        <v>0.99959506577525747</v>
      </c>
      <c r="AO91" s="8">
        <f t="shared" si="120"/>
        <v>4.0493422474252398E-4</v>
      </c>
      <c r="AP91" s="8"/>
      <c r="AQ91" s="8">
        <f>IF(M91&lt;=节奏预期!$B$1,0,INDEX(其他调用!$G$4:$G$163,$M91)*Q$2-INDEX(其他调用!$G$4:$G$163,节奏预期!$B$1)*Q$2)</f>
        <v>970713.36671291012</v>
      </c>
      <c r="AR91" s="8">
        <f>求节点(精英野怪!$BI$5:$BI$164,精英野怪!$CC$5:$CC$164,$M91)</f>
        <v>176.82456446229003</v>
      </c>
      <c r="AS91" s="8">
        <f t="shared" si="121"/>
        <v>9707.133667129101</v>
      </c>
      <c r="AT91" s="8"/>
    </row>
    <row r="92" spans="12:46" x14ac:dyDescent="0.15">
      <c r="M92" s="8">
        <v>100</v>
      </c>
      <c r="N92" s="8">
        <f>求节点(节奏总纲!$O$4:$O$163,节奏总纲!$T$4:$T$163,$M92)</f>
        <v>274.77780000000001</v>
      </c>
      <c r="O92" s="8">
        <f>IF(M92&lt;=节奏预期!$B$1,0,INDEX(其他调用!$G$4:$G$163,$M92)*O$2-INDEX(其他调用!$G$4:$G$163,节奏预期!$B$1)*O$2)</f>
        <v>2052786.7768057717</v>
      </c>
      <c r="P92" s="8">
        <v>0</v>
      </c>
      <c r="Q92" s="8">
        <f t="shared" si="110"/>
        <v>1</v>
      </c>
      <c r="R92" s="8">
        <f t="shared" si="122"/>
        <v>84688.897263724532</v>
      </c>
      <c r="S92" s="8">
        <f t="shared" si="111"/>
        <v>81301.341373175543</v>
      </c>
      <c r="T92" s="8">
        <f t="shared" si="112"/>
        <v>566974.14396390785</v>
      </c>
      <c r="U92" s="8">
        <f t="shared" si="113"/>
        <v>1319822.3942049639</v>
      </c>
      <c r="V92" s="8">
        <f t="shared" si="114"/>
        <v>846.88897263724527</v>
      </c>
      <c r="W92" s="8">
        <f t="shared" si="104"/>
        <v>162.60268274635109</v>
      </c>
      <c r="X92" s="8">
        <f t="shared" si="105"/>
        <v>226.78965758556313</v>
      </c>
      <c r="Y92" s="8">
        <f t="shared" si="106"/>
        <v>52.792895768198555</v>
      </c>
      <c r="Z92" s="8">
        <f>求节点(精英野怪!$BI$5:$BI$164,精英野怪!BN$5:BN$164,M92)</f>
        <v>29.869164004983201</v>
      </c>
      <c r="AA92" s="8">
        <f>求节点(精英野怪!$BI$5:$BI$164,精英野怪!BS$5:BS$164,M92)</f>
        <v>44.803746007474814</v>
      </c>
      <c r="AB92" s="8">
        <f>求节点(精英野怪!$BI$5:$BI$164,精英野怪!BX$5:BX$164,M92)</f>
        <v>0</v>
      </c>
      <c r="AC92" s="8">
        <v>0</v>
      </c>
      <c r="AD92" s="8">
        <f t="shared" si="115"/>
        <v>876.75813664222846</v>
      </c>
      <c r="AE92" s="8">
        <f t="shared" si="107"/>
        <v>207.40642875382591</v>
      </c>
      <c r="AF92" s="8">
        <f t="shared" si="108"/>
        <v>226.78965758556313</v>
      </c>
      <c r="AG92" s="8">
        <f t="shared" si="109"/>
        <v>52.792895768198555</v>
      </c>
      <c r="AH92" s="8"/>
      <c r="AI92" s="8">
        <f>IF(M92&lt;=节奏预期!$B$1,0,INDEX(其他调用!$G$4:$G$163,$M92)*P$2-INDEX(其他调用!$G$4:$G$163,节奏预期!$B$1)*P$2)</f>
        <v>4105573.5536115435</v>
      </c>
      <c r="AJ92" s="8">
        <f t="shared" si="116"/>
        <v>0.31622776601683794</v>
      </c>
      <c r="AK92" s="8">
        <f t="shared" si="117"/>
        <v>12463616.9104672</v>
      </c>
      <c r="AL92" s="8">
        <f>求节点(精英野怪!$AH$5:$AH$164,精英野怪!AM$5:AM$164,M92)</f>
        <v>6550.0410876084215</v>
      </c>
      <c r="AM92" s="8">
        <f t="shared" si="118"/>
        <v>12470166.951554809</v>
      </c>
      <c r="AN92" s="8">
        <f t="shared" si="119"/>
        <v>0.99947474311185613</v>
      </c>
      <c r="AO92" s="8">
        <f t="shared" si="120"/>
        <v>5.2525688814388709E-4</v>
      </c>
      <c r="AP92" s="8"/>
      <c r="AQ92" s="8">
        <f>IF(M92&lt;=节奏预期!$B$1,0,INDEX(其他调用!$G$4:$G$163,$M92)*Q$2-INDEX(其他调用!$G$4:$G$163,节奏预期!$B$1)*Q$2)</f>
        <v>2052786.7768057717</v>
      </c>
      <c r="AR92" s="8">
        <f>求节点(精英野怪!$BI$5:$BI$164,精英野怪!$CC$5:$CC$164,$M92)</f>
        <v>373.36455006229011</v>
      </c>
      <c r="AS92" s="8">
        <f t="shared" si="121"/>
        <v>20527.867768057717</v>
      </c>
      <c r="AT92" s="8"/>
    </row>
    <row r="93" spans="12:46" x14ac:dyDescent="0.15">
      <c r="M93" s="8">
        <v>110</v>
      </c>
      <c r="N93" s="8">
        <f>求节点(节奏总纲!$O$4:$O$163,节奏总纲!$T$4:$T$163,$M93)</f>
        <v>542.04559999999992</v>
      </c>
      <c r="O93" s="8">
        <f>IF(M93&lt;=节奏预期!$B$1,0,INDEX(其他调用!$G$4:$G$163,$M93)*O$2-INDEX(其他调用!$G$4:$G$163,节奏预期!$B$1)*O$2)</f>
        <v>4159935.8892202163</v>
      </c>
      <c r="P93" s="8">
        <v>0</v>
      </c>
      <c r="Q93" s="8">
        <f t="shared" si="110"/>
        <v>1</v>
      </c>
      <c r="R93" s="8">
        <f t="shared" si="122"/>
        <v>84688.897263724532</v>
      </c>
      <c r="S93" s="8">
        <f t="shared" si="111"/>
        <v>81301.341373175543</v>
      </c>
      <c r="T93" s="8">
        <f t="shared" si="112"/>
        <v>1093761.4220675188</v>
      </c>
      <c r="U93" s="8">
        <f t="shared" si="113"/>
        <v>2900184.2285157973</v>
      </c>
      <c r="V93" s="8">
        <f t="shared" si="114"/>
        <v>846.88897263724527</v>
      </c>
      <c r="W93" s="8">
        <f t="shared" si="104"/>
        <v>162.60268274635109</v>
      </c>
      <c r="X93" s="8">
        <f t="shared" si="105"/>
        <v>437.50456882700752</v>
      </c>
      <c r="Y93" s="8">
        <f t="shared" si="106"/>
        <v>116.00736914063189</v>
      </c>
      <c r="Z93" s="8">
        <f>求节点(精英野怪!$BI$5:$BI$164,精英野怪!BN$5:BN$164,M93)</f>
        <v>60.701177412983178</v>
      </c>
      <c r="AA93" s="8">
        <f>求节点(精英野怪!$BI$5:$BI$164,精英野怪!BS$5:BS$164,M93)</f>
        <v>91.051766119474792</v>
      </c>
      <c r="AB93" s="8">
        <f>求节点(精英野怪!$BI$5:$BI$164,精英野怪!BX$5:BX$164,M93)</f>
        <v>0</v>
      </c>
      <c r="AC93" s="8">
        <v>0</v>
      </c>
      <c r="AD93" s="8">
        <f t="shared" si="115"/>
        <v>907.59015005022843</v>
      </c>
      <c r="AE93" s="8">
        <f t="shared" si="107"/>
        <v>253.65444886582588</v>
      </c>
      <c r="AF93" s="8">
        <f t="shared" si="108"/>
        <v>437.50456882700752</v>
      </c>
      <c r="AG93" s="8">
        <f t="shared" si="109"/>
        <v>116.00736914063189</v>
      </c>
      <c r="AH93" s="8"/>
      <c r="AI93" s="8">
        <f>IF(M93&lt;=节奏预期!$B$1,0,INDEX(其他调用!$G$4:$G$163,$M93)*P$2-INDEX(其他调用!$G$4:$G$163,节奏预期!$B$1)*P$2)</f>
        <v>8319871.7784404326</v>
      </c>
      <c r="AJ93" s="8">
        <f t="shared" si="116"/>
        <v>0.30151134457776363</v>
      </c>
      <c r="AK93" s="8">
        <f t="shared" si="117"/>
        <v>26440862.876885451</v>
      </c>
      <c r="AL93" s="8">
        <f>求节点(精英野怪!$AH$5:$AH$164,精英野怪!AM$5:AM$164,M93)</f>
        <v>16740.807665086122</v>
      </c>
      <c r="AM93" s="8">
        <f t="shared" si="118"/>
        <v>26457603.684550539</v>
      </c>
      <c r="AN93" s="8">
        <f t="shared" si="119"/>
        <v>0.99936725911141899</v>
      </c>
      <c r="AO93" s="8">
        <f t="shared" si="120"/>
        <v>6.3274088858098767E-4</v>
      </c>
      <c r="AP93" s="8"/>
      <c r="AQ93" s="8">
        <f>IF(M93&lt;=节奏预期!$B$1,0,INDEX(其他调用!$G$4:$G$163,$M93)*Q$2-INDEX(其他调用!$G$4:$G$163,节奏预期!$B$1)*Q$2)</f>
        <v>4159935.8892202163</v>
      </c>
      <c r="AR93" s="8">
        <f>求节点(精英野怪!$BI$5:$BI$164,精英野怪!$CC$5:$CC$164,$M93)</f>
        <v>758.76471766228997</v>
      </c>
      <c r="AS93" s="8">
        <f t="shared" si="121"/>
        <v>41599.358892202166</v>
      </c>
      <c r="AT93" s="8"/>
    </row>
    <row r="94" spans="12:46" x14ac:dyDescent="0.15">
      <c r="M94" s="8">
        <v>120</v>
      </c>
      <c r="N94" s="8">
        <f>求节点(节奏总纲!$O$4:$O$163,节奏总纲!$T$4:$T$163,$M94)</f>
        <v>1067.9759999999999</v>
      </c>
      <c r="O94" s="8">
        <f>IF(M94&lt;=节奏预期!$B$1,0,INDEX(其他调用!$G$4:$G$163,$M94)*O$2-INDEX(其他调用!$G$4:$G$163,节奏预期!$B$1)*O$2)</f>
        <v>8283962.0308757937</v>
      </c>
      <c r="P94" s="8">
        <v>0</v>
      </c>
      <c r="Q94" s="8">
        <f t="shared" si="110"/>
        <v>1</v>
      </c>
      <c r="R94" s="8">
        <f t="shared" si="122"/>
        <v>84688.897263724532</v>
      </c>
      <c r="S94" s="8">
        <f t="shared" si="111"/>
        <v>81301.341373175543</v>
      </c>
      <c r="T94" s="8">
        <f t="shared" si="112"/>
        <v>2124767.9574814131</v>
      </c>
      <c r="U94" s="8">
        <f t="shared" si="113"/>
        <v>5993203.8347574798</v>
      </c>
      <c r="V94" s="8">
        <f t="shared" si="114"/>
        <v>846.88897263724527</v>
      </c>
      <c r="W94" s="8">
        <f t="shared" si="104"/>
        <v>162.60268274635109</v>
      </c>
      <c r="X94" s="8">
        <f t="shared" si="105"/>
        <v>849.90718299256525</v>
      </c>
      <c r="Y94" s="8">
        <f t="shared" si="106"/>
        <v>239.72815339029918</v>
      </c>
      <c r="Z94" s="8">
        <f>求节点(精英野怪!$BI$5:$BI$164,精英野怪!BN$5:BN$164,M94)</f>
        <v>121.37250835698319</v>
      </c>
      <c r="AA94" s="8">
        <f>求节点(精英野怪!$BI$5:$BI$164,精英野怪!BS$5:BS$164,M94)</f>
        <v>182.05876253547484</v>
      </c>
      <c r="AB94" s="8">
        <f>求节点(精英野怪!$BI$5:$BI$164,精英野怪!BX$5:BX$164,M94)</f>
        <v>0</v>
      </c>
      <c r="AC94" s="8">
        <v>0</v>
      </c>
      <c r="AD94" s="8">
        <f t="shared" si="115"/>
        <v>968.26148099422846</v>
      </c>
      <c r="AE94" s="8">
        <f t="shared" si="107"/>
        <v>344.66144528182593</v>
      </c>
      <c r="AF94" s="8">
        <f t="shared" si="108"/>
        <v>849.90718299256525</v>
      </c>
      <c r="AG94" s="8">
        <f t="shared" si="109"/>
        <v>239.72815339029918</v>
      </c>
      <c r="AH94" s="8"/>
      <c r="AI94" s="8">
        <f>IF(M94&lt;=节奏预期!$B$1,0,INDEX(其他调用!$G$4:$G$163,$M94)*P$2-INDEX(其他调用!$G$4:$G$163,节奏预期!$B$1)*P$2)</f>
        <v>16567924.061751587</v>
      </c>
      <c r="AJ94" s="8">
        <f t="shared" si="116"/>
        <v>0.28867513459481287</v>
      </c>
      <c r="AK94" s="8">
        <f t="shared" si="117"/>
        <v>55012954.113244265</v>
      </c>
      <c r="AL94" s="8">
        <f>求节点(精英野怪!$AH$5:$AH$164,精英野怪!AM$5:AM$164,M94)</f>
        <v>40349.542540685223</v>
      </c>
      <c r="AM94" s="8">
        <f t="shared" si="118"/>
        <v>55053303.65578495</v>
      </c>
      <c r="AN94" s="8">
        <f t="shared" si="119"/>
        <v>0.99926708226643457</v>
      </c>
      <c r="AO94" s="8">
        <f t="shared" si="120"/>
        <v>7.3291773356539216E-4</v>
      </c>
      <c r="AP94" s="8"/>
      <c r="AQ94" s="8">
        <f>IF(M94&lt;=节奏预期!$B$1,0,INDEX(其他调用!$G$4:$G$163,$M94)*Q$2-INDEX(其他调用!$G$4:$G$163,节奏预期!$B$1)*Q$2)</f>
        <v>8283962.0308757937</v>
      </c>
      <c r="AR94" s="8">
        <f>求节点(精英野怪!$BI$5:$BI$164,精英野怪!$CC$5:$CC$164,$M94)</f>
        <v>1517.1563544622902</v>
      </c>
      <c r="AS94" s="8">
        <f t="shared" si="121"/>
        <v>82839.620308757934</v>
      </c>
      <c r="AT94" s="8"/>
    </row>
    <row r="95" spans="12:46" x14ac:dyDescent="0.15">
      <c r="M95" s="8">
        <v>130</v>
      </c>
      <c r="N95" s="8">
        <f>求节点(节奏总纲!$O$4:$O$163,节奏总纲!$T$4:$T$163,$M95)</f>
        <v>2124.7454000000002</v>
      </c>
      <c r="O95" s="8">
        <f>IF(M95&lt;=节奏预期!$B$1,0,INDEX(其他调用!$G$4:$G$163,$M95)*O$2-INDEX(其他调用!$G$4:$G$163,节奏预期!$B$1)*O$2)</f>
        <v>16537348.233032068</v>
      </c>
      <c r="P95" s="8">
        <v>0</v>
      </c>
      <c r="Q95" s="8">
        <f t="shared" si="110"/>
        <v>1</v>
      </c>
      <c r="R95" s="8">
        <f t="shared" si="122"/>
        <v>84688.897263724532</v>
      </c>
      <c r="S95" s="8">
        <f t="shared" si="111"/>
        <v>81301.341373175543</v>
      </c>
      <c r="T95" s="8">
        <f t="shared" si="112"/>
        <v>4188114.5080204811</v>
      </c>
      <c r="U95" s="8">
        <f t="shared" si="113"/>
        <v>12183243.486374687</v>
      </c>
      <c r="V95" s="8">
        <f t="shared" si="114"/>
        <v>846.88897263724527</v>
      </c>
      <c r="W95" s="8">
        <f t="shared" si="104"/>
        <v>162.60268274635109</v>
      </c>
      <c r="X95" s="8">
        <f t="shared" si="105"/>
        <v>1675.2458032081925</v>
      </c>
      <c r="Y95" s="8">
        <f t="shared" si="106"/>
        <v>487.32973945498748</v>
      </c>
      <c r="Z95" s="8">
        <f>求节点(精英野怪!$BI$5:$BI$164,精英野怪!BN$5:BN$164,M95)</f>
        <v>243.28142634098316</v>
      </c>
      <c r="AA95" s="8">
        <f>求节点(精英野怪!$BI$5:$BI$164,精英野怪!BS$5:BS$164,M95)</f>
        <v>364.92213951147482</v>
      </c>
      <c r="AB95" s="8">
        <f>求节点(精英野怪!$BI$5:$BI$164,精英野怪!BX$5:BX$164,M95)</f>
        <v>0</v>
      </c>
      <c r="AC95" s="8">
        <v>0</v>
      </c>
      <c r="AD95" s="8">
        <f t="shared" si="115"/>
        <v>1090.1703989782284</v>
      </c>
      <c r="AE95" s="8">
        <f t="shared" si="107"/>
        <v>527.52482225782592</v>
      </c>
      <c r="AF95" s="8">
        <f t="shared" si="108"/>
        <v>1675.2458032081925</v>
      </c>
      <c r="AG95" s="8">
        <f t="shared" si="109"/>
        <v>487.32973945498748</v>
      </c>
      <c r="AH95" s="8"/>
      <c r="AI95" s="8">
        <f>IF(M95&lt;=节奏预期!$B$1,0,INDEX(其他调用!$G$4:$G$163,$M95)*P$2-INDEX(其他调用!$G$4:$G$163,节奏预期!$B$1)*P$2)</f>
        <v>33074696.466064136</v>
      </c>
      <c r="AJ95" s="8">
        <f t="shared" si="116"/>
        <v>0.27735009811261457</v>
      </c>
      <c r="AK95" s="8">
        <f t="shared" si="117"/>
        <v>114528968.40940715</v>
      </c>
      <c r="AL95" s="8">
        <f>求节点(精英野怪!$AH$5:$AH$164,精英野怪!AM$5:AM$164,M95)</f>
        <v>95005.081030318863</v>
      </c>
      <c r="AM95" s="8">
        <f t="shared" si="118"/>
        <v>114623973.49043748</v>
      </c>
      <c r="AN95" s="8">
        <f t="shared" si="119"/>
        <v>0.99917115871891971</v>
      </c>
      <c r="AO95" s="8">
        <f t="shared" si="120"/>
        <v>8.288412810802155E-4</v>
      </c>
      <c r="AP95" s="8"/>
      <c r="AQ95" s="8">
        <f>IF(M95&lt;=节奏预期!$B$1,0,INDEX(其他调用!$G$4:$G$163,$M95)*Q$2-INDEX(其他调用!$G$4:$G$163,节奏预期!$B$1)*Q$2)</f>
        <v>16537348.233032068</v>
      </c>
      <c r="AR95" s="8">
        <f>求节点(精英野怪!$BI$5:$BI$164,精英野怪!$CC$5:$CC$164,$M95)</f>
        <v>3041.0178292622904</v>
      </c>
      <c r="AS95" s="8">
        <f t="shared" si="121"/>
        <v>165373.48233032069</v>
      </c>
      <c r="AT95" s="8"/>
    </row>
    <row r="96" spans="12:46" x14ac:dyDescent="0.15">
      <c r="M96" s="8">
        <v>140</v>
      </c>
      <c r="N96" s="8">
        <f>求节点(节奏总纲!$O$4:$O$163,节奏总纲!$T$4:$T$163,$M96)</f>
        <v>4192.4097000000002</v>
      </c>
      <c r="O96" s="8">
        <f>IF(M96&lt;=节奏预期!$B$1,0,INDEX(其他调用!$G$4:$G$163,$M96)*O$2-INDEX(其他调用!$G$4:$G$163,节奏预期!$B$1)*O$2)</f>
        <v>32638590.969396245</v>
      </c>
      <c r="P96" s="8">
        <v>0</v>
      </c>
      <c r="Q96" s="8">
        <f t="shared" si="110"/>
        <v>1</v>
      </c>
      <c r="R96" s="8">
        <f t="shared" si="122"/>
        <v>84688.897263724532</v>
      </c>
      <c r="S96" s="8">
        <f t="shared" si="111"/>
        <v>81301.341373175543</v>
      </c>
      <c r="T96" s="8">
        <f t="shared" si="112"/>
        <v>8213425.1921115248</v>
      </c>
      <c r="U96" s="8">
        <f t="shared" si="113"/>
        <v>24259175.538647819</v>
      </c>
      <c r="V96" s="8">
        <f t="shared" si="114"/>
        <v>846.88897263724527</v>
      </c>
      <c r="W96" s="8">
        <f t="shared" si="104"/>
        <v>162.60268274635109</v>
      </c>
      <c r="X96" s="8">
        <f t="shared" si="105"/>
        <v>3285.3700768446097</v>
      </c>
      <c r="Y96" s="8">
        <f t="shared" si="106"/>
        <v>970.36702154591273</v>
      </c>
      <c r="Z96" s="8">
        <f>求节点(精英野怪!$BI$5:$BI$164,精英野怪!BN$5:BN$164,M96)</f>
        <v>481.80717998898319</v>
      </c>
      <c r="AA96" s="8">
        <f>求节点(精英野怪!$BI$5:$BI$164,精英野怪!BS$5:BS$164,M96)</f>
        <v>722.71076998347485</v>
      </c>
      <c r="AB96" s="8">
        <f>求节点(精英野怪!$BI$5:$BI$164,精英野怪!BX$5:BX$164,M96)</f>
        <v>0</v>
      </c>
      <c r="AC96" s="8">
        <v>0</v>
      </c>
      <c r="AD96" s="8">
        <f t="shared" si="115"/>
        <v>1328.6961526262285</v>
      </c>
      <c r="AE96" s="8">
        <f t="shared" si="107"/>
        <v>885.31345272982594</v>
      </c>
      <c r="AF96" s="8">
        <f t="shared" si="108"/>
        <v>3285.3700768446097</v>
      </c>
      <c r="AG96" s="8">
        <f t="shared" si="109"/>
        <v>970.36702154591273</v>
      </c>
      <c r="AH96" s="8"/>
      <c r="AI96" s="8">
        <f>IF(M96&lt;=节奏预期!$B$1,0,INDEX(其他调用!$G$4:$G$163,$M96)*P$2-INDEX(其他调用!$G$4:$G$163,节奏预期!$B$1)*P$2)</f>
        <v>65277181.938792489</v>
      </c>
      <c r="AJ96" s="8">
        <f t="shared" si="116"/>
        <v>0.2672612419124244</v>
      </c>
      <c r="AK96" s="8">
        <f t="shared" si="117"/>
        <v>235019636.05092174</v>
      </c>
      <c r="AL96" s="8">
        <f>求节点(精英野怪!$AH$5:$AH$164,精英野怪!AM$5:AM$164,M96)</f>
        <v>207452.93632151885</v>
      </c>
      <c r="AM96" s="8">
        <f t="shared" si="118"/>
        <v>235227088.98724326</v>
      </c>
      <c r="AN96" s="8">
        <f t="shared" si="119"/>
        <v>0.99911807378472139</v>
      </c>
      <c r="AO96" s="8">
        <f t="shared" si="120"/>
        <v>8.8192621527858706E-4</v>
      </c>
      <c r="AP96" s="8"/>
      <c r="AQ96" s="8">
        <f>IF(M96&lt;=节奏预期!$B$1,0,INDEX(其他调用!$G$4:$G$163,$M96)*Q$2-INDEX(其他调用!$G$4:$G$163,节奏预期!$B$1)*Q$2)</f>
        <v>32638590.969396245</v>
      </c>
      <c r="AR96" s="8">
        <f>求节点(精英野怪!$BI$5:$BI$164,精英野怪!$CC$5:$CC$164,$M96)</f>
        <v>6022.5897498622908</v>
      </c>
      <c r="AS96" s="8">
        <f t="shared" si="121"/>
        <v>326385.90969396243</v>
      </c>
      <c r="AT96" s="8"/>
    </row>
    <row r="97" spans="13:46" x14ac:dyDescent="0.15">
      <c r="M97" s="8">
        <v>150</v>
      </c>
      <c r="N97" s="8">
        <f>求节点(节奏总纲!$O$4:$O$163,节奏总纲!$T$4:$T$163,$M97)</f>
        <v>8355.5850000000009</v>
      </c>
      <c r="O97" s="8">
        <f>IF(M97&lt;=节奏预期!$B$1,0,INDEX(其他调用!$G$4:$G$163,$M97)*O$2-INDEX(其他调用!$G$4:$G$163,节奏预期!$B$1)*O$2)</f>
        <v>64986389.617696457</v>
      </c>
      <c r="P97" s="8">
        <v>0</v>
      </c>
      <c r="Q97" s="8">
        <f t="shared" si="110"/>
        <v>1</v>
      </c>
      <c r="R97" s="8">
        <f t="shared" si="122"/>
        <v>84688.897263724532</v>
      </c>
      <c r="S97" s="8">
        <f t="shared" si="111"/>
        <v>81301.341373175543</v>
      </c>
      <c r="T97" s="8">
        <f t="shared" si="112"/>
        <v>16300374.854186576</v>
      </c>
      <c r="U97" s="8">
        <f t="shared" si="113"/>
        <v>48520024.524872974</v>
      </c>
      <c r="V97" s="8">
        <f t="shared" si="114"/>
        <v>846.88897263724527</v>
      </c>
      <c r="W97" s="8">
        <f t="shared" si="104"/>
        <v>162.60268274635109</v>
      </c>
      <c r="X97" s="8">
        <f t="shared" si="105"/>
        <v>6520.1499416746301</v>
      </c>
      <c r="Y97" s="8">
        <f t="shared" si="106"/>
        <v>1940.800980994919</v>
      </c>
      <c r="Z97" s="8">
        <f>求节点(精英野怪!$BI$5:$BI$164,精英野怪!BN$5:BN$164,M97)</f>
        <v>962.07108259698327</v>
      </c>
      <c r="AA97" s="8">
        <f>求节点(精英野怪!$BI$5:$BI$164,精英野怪!BS$5:BS$164,M97)</f>
        <v>1443.1066238954752</v>
      </c>
      <c r="AB97" s="8">
        <f>求节点(精英野怪!$BI$5:$BI$164,精英野怪!BX$5:BX$164,M97)</f>
        <v>0</v>
      </c>
      <c r="AC97" s="8">
        <v>0</v>
      </c>
      <c r="AD97" s="8">
        <f t="shared" si="115"/>
        <v>1808.9600552342285</v>
      </c>
      <c r="AE97" s="8">
        <f t="shared" si="107"/>
        <v>1605.7093066418263</v>
      </c>
      <c r="AF97" s="8">
        <f t="shared" si="108"/>
        <v>6520.1499416746301</v>
      </c>
      <c r="AG97" s="8">
        <f t="shared" si="109"/>
        <v>1940.800980994919</v>
      </c>
      <c r="AH97" s="8"/>
      <c r="AI97" s="8">
        <f>IF(M97&lt;=节奏预期!$B$1,0,INDEX(其他调用!$G$4:$G$163,$M97)*P$2-INDEX(其他调用!$G$4:$G$163,节奏预期!$B$1)*P$2)</f>
        <v>129972779.23539291</v>
      </c>
      <c r="AJ97" s="8">
        <f t="shared" si="116"/>
        <v>0.2581988897471611</v>
      </c>
      <c r="AK97" s="8">
        <f t="shared" si="117"/>
        <v>485584606.95359683</v>
      </c>
      <c r="AL97" s="8">
        <f>求节点(精英野怪!$AH$5:$AH$164,精英野怪!AM$5:AM$164,M97)</f>
        <v>433863.06183671899</v>
      </c>
      <c r="AM97" s="8">
        <f t="shared" si="118"/>
        <v>486018470.01543355</v>
      </c>
      <c r="AN97" s="8">
        <f t="shared" si="119"/>
        <v>0.99910731157640376</v>
      </c>
      <c r="AO97" s="8">
        <f t="shared" si="120"/>
        <v>8.9268842359620953E-4</v>
      </c>
      <c r="AP97" s="8"/>
      <c r="AQ97" s="8">
        <f>IF(M97&lt;=节奏预期!$B$1,0,INDEX(其他调用!$G$4:$G$163,$M97)*Q$2-INDEX(其他调用!$G$4:$G$163,节奏预期!$B$1)*Q$2)</f>
        <v>64986389.617696457</v>
      </c>
      <c r="AR97" s="8">
        <f>求节点(精英野怪!$BI$5:$BI$164,精英野怪!$CC$5:$CC$164,$M97)</f>
        <v>12025.888532462293</v>
      </c>
      <c r="AS97" s="8">
        <f t="shared" si="121"/>
        <v>649863.89617696451</v>
      </c>
      <c r="AT97" s="8"/>
    </row>
    <row r="98" spans="13:46" x14ac:dyDescent="0.15">
      <c r="M98" s="8">
        <v>160</v>
      </c>
      <c r="N98" s="8">
        <f>求节点(节奏总纲!$O$4:$O$163,节奏总纲!$T$4:$T$163,$M98)</f>
        <v>66190.350000000006</v>
      </c>
      <c r="O98" s="8">
        <f>IF(M98&lt;=节奏预期!$B$1,0,INDEX(其他调用!$G$4:$G$163,$M98)*O$2-INDEX(其他调用!$G$4:$G$163,节奏预期!$B$1)*O$2)</f>
        <v>512861844.52657962</v>
      </c>
      <c r="P98" s="8">
        <v>0</v>
      </c>
      <c r="Q98" s="8">
        <f t="shared" si="110"/>
        <v>1</v>
      </c>
      <c r="R98" s="8">
        <f t="shared" si="122"/>
        <v>84688.897263724532</v>
      </c>
      <c r="S98" s="8">
        <f t="shared" si="111"/>
        <v>81301.341373175543</v>
      </c>
      <c r="T98" s="8">
        <f t="shared" si="112"/>
        <v>128269238.58140734</v>
      </c>
      <c r="U98" s="8">
        <f t="shared" si="113"/>
        <v>384426615.70653534</v>
      </c>
      <c r="V98" s="8">
        <f t="shared" si="114"/>
        <v>846.88897263724527</v>
      </c>
      <c r="W98" s="8">
        <f t="shared" si="104"/>
        <v>162.60268274635109</v>
      </c>
      <c r="X98" s="8">
        <f t="shared" si="105"/>
        <v>51307.695432562934</v>
      </c>
      <c r="Y98" s="8">
        <f t="shared" si="106"/>
        <v>15377.064628261414</v>
      </c>
      <c r="Z98" s="8">
        <f>求节点(精英野怪!$BI$5:$BI$164,精英野怪!BN$5:BN$164,M98)</f>
        <v>7633.8895729969836</v>
      </c>
      <c r="AA98" s="8">
        <f>求节点(精英野怪!$BI$5:$BI$164,精英野怪!BS$5:BS$164,M98)</f>
        <v>11450.834359495477</v>
      </c>
      <c r="AB98" s="8">
        <f>求节点(精英野怪!$BI$5:$BI$164,精英野怪!BX$5:BX$164,M98)</f>
        <v>0</v>
      </c>
      <c r="AC98" s="8">
        <v>0</v>
      </c>
      <c r="AD98" s="8">
        <f t="shared" si="115"/>
        <v>8480.7785456342281</v>
      </c>
      <c r="AE98" s="8">
        <f t="shared" si="107"/>
        <v>11613.437042241829</v>
      </c>
      <c r="AF98" s="8">
        <f t="shared" si="108"/>
        <v>51307.695432562934</v>
      </c>
      <c r="AG98" s="8">
        <f t="shared" si="109"/>
        <v>15377.064628261414</v>
      </c>
      <c r="AH98" s="8"/>
      <c r="AI98" s="8">
        <f>IF(M98&lt;=节奏预期!$B$1,0,INDEX(其他调用!$G$4:$G$163,$M98)*P$2-INDEX(其他调用!$G$4:$G$163,节奏预期!$B$1)*P$2)</f>
        <v>1025723689.0531592</v>
      </c>
      <c r="AJ98" s="8">
        <f t="shared" si="116"/>
        <v>0.25</v>
      </c>
      <c r="AK98" s="8">
        <f t="shared" si="117"/>
        <v>4068588246.2246618</v>
      </c>
      <c r="AL98" s="8">
        <f>求节点(精英野怪!$AH$5:$AH$164,精英野怪!AM$5:AM$164,M98)</f>
        <v>3579148.9215967194</v>
      </c>
      <c r="AM98" s="8">
        <f t="shared" si="118"/>
        <v>4072167395.1462584</v>
      </c>
      <c r="AN98" s="8">
        <f t="shared" si="119"/>
        <v>0.99912107028658437</v>
      </c>
      <c r="AO98" s="8">
        <f t="shared" si="120"/>
        <v>8.7892971341571493E-4</v>
      </c>
      <c r="AP98" s="8"/>
      <c r="AQ98" s="8">
        <f>IF(M98&lt;=节奏预期!$B$1,0,INDEX(其他调用!$G$4:$G$163,$M98)*Q$2-INDEX(其他调用!$G$4:$G$163,节奏预期!$B$1)*Q$2)</f>
        <v>512861844.52657962</v>
      </c>
      <c r="AR98" s="8">
        <f>求节点(精英野怪!$BI$5:$BI$164,精英野怪!$CC$5:$CC$164,$M98)</f>
        <v>95423.619662462312</v>
      </c>
      <c r="AS98" s="8">
        <f t="shared" si="121"/>
        <v>5128618.445265796</v>
      </c>
      <c r="AT98" s="8"/>
    </row>
  </sheetData>
  <mergeCells count="32">
    <mergeCell ref="R81:U81"/>
    <mergeCell ref="Z81:AC81"/>
    <mergeCell ref="AD81:AG81"/>
    <mergeCell ref="Z24:AC24"/>
    <mergeCell ref="AJ24:AM24"/>
    <mergeCell ref="AJ43:AM43"/>
    <mergeCell ref="AJ62:AM62"/>
    <mergeCell ref="AJ81:AM81"/>
    <mergeCell ref="V24:Y24"/>
    <mergeCell ref="V43:Y43"/>
    <mergeCell ref="V62:Y62"/>
    <mergeCell ref="V81:Y81"/>
    <mergeCell ref="BD5:BH5"/>
    <mergeCell ref="R5:U5"/>
    <mergeCell ref="V5:Y5"/>
    <mergeCell ref="Z5:AC5"/>
    <mergeCell ref="AD5:AG5"/>
    <mergeCell ref="AJ5:AM5"/>
    <mergeCell ref="D37:G37"/>
    <mergeCell ref="AD24:AG24"/>
    <mergeCell ref="Z43:AC43"/>
    <mergeCell ref="AD43:AG43"/>
    <mergeCell ref="Z62:AC62"/>
    <mergeCell ref="AD62:AG62"/>
    <mergeCell ref="R24:U24"/>
    <mergeCell ref="R43:U43"/>
    <mergeCell ref="R62:U62"/>
    <mergeCell ref="P5:Q5"/>
    <mergeCell ref="P24:Q24"/>
    <mergeCell ref="P43:Q43"/>
    <mergeCell ref="P62:Q62"/>
    <mergeCell ref="P81:Q81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E7F2A-64DA-44CB-A9F7-3E75D319CFCE}">
  <sheetPr codeName="Sheet9"/>
  <dimension ref="D3:W164"/>
  <sheetViews>
    <sheetView topLeftCell="F1" workbookViewId="0">
      <selection activeCell="O23" sqref="O23"/>
    </sheetView>
  </sheetViews>
  <sheetFormatPr defaultRowHeight="11.25" x14ac:dyDescent="0.15"/>
  <cols>
    <col min="1" max="3" width="9" style="5"/>
    <col min="4" max="4" width="10.5" style="5" bestFit="1" customWidth="1"/>
    <col min="5" max="10" width="9" style="5"/>
    <col min="11" max="11" width="10.625" style="5" customWidth="1"/>
    <col min="12" max="15" width="9" style="5"/>
    <col min="16" max="16" width="10.5" style="5" bestFit="1" customWidth="1"/>
    <col min="17" max="18" width="9" style="5"/>
    <col min="19" max="23" width="9" style="14"/>
    <col min="24" max="16384" width="9" style="5"/>
  </cols>
  <sheetData>
    <row r="3" spans="4:23" x14ac:dyDescent="0.15">
      <c r="E3" s="52" t="s">
        <v>301</v>
      </c>
      <c r="F3" s="52"/>
      <c r="G3" s="52"/>
      <c r="H3" s="52"/>
      <c r="K3" s="8"/>
      <c r="L3" s="53" t="s">
        <v>310</v>
      </c>
      <c r="M3" s="53"/>
      <c r="N3" s="53"/>
      <c r="O3" s="53"/>
      <c r="P3" s="63" t="s">
        <v>311</v>
      </c>
      <c r="S3" s="59" t="s">
        <v>312</v>
      </c>
      <c r="T3" s="59"/>
      <c r="U3" s="59"/>
      <c r="V3" s="59"/>
      <c r="W3" s="59"/>
    </row>
    <row r="4" spans="4:23" x14ac:dyDescent="0.15">
      <c r="D4" s="5" t="s">
        <v>145</v>
      </c>
      <c r="E4" s="5" t="s">
        <v>297</v>
      </c>
      <c r="F4" s="5" t="s">
        <v>298</v>
      </c>
      <c r="G4" s="5" t="s">
        <v>299</v>
      </c>
      <c r="H4" s="5" t="s">
        <v>300</v>
      </c>
      <c r="J4" s="5" t="s">
        <v>127</v>
      </c>
      <c r="K4" s="8" t="s">
        <v>141</v>
      </c>
      <c r="L4" s="8" t="s">
        <v>0</v>
      </c>
      <c r="M4" s="8" t="s">
        <v>1</v>
      </c>
      <c r="N4" s="8" t="s">
        <v>2</v>
      </c>
      <c r="O4" s="8" t="s">
        <v>3</v>
      </c>
      <c r="P4" s="64"/>
      <c r="R4" s="5" t="s">
        <v>141</v>
      </c>
      <c r="S4" s="14" t="s">
        <v>127</v>
      </c>
      <c r="T4" s="14" t="s">
        <v>128</v>
      </c>
      <c r="U4" s="14" t="s">
        <v>129</v>
      </c>
      <c r="V4" s="14" t="s">
        <v>130</v>
      </c>
      <c r="W4" s="14" t="s">
        <v>131</v>
      </c>
    </row>
    <row r="5" spans="4:23" x14ac:dyDescent="0.15">
      <c r="D5" s="5">
        <v>0</v>
      </c>
      <c r="E5" s="5">
        <v>400</v>
      </c>
      <c r="F5" s="5">
        <v>800</v>
      </c>
      <c r="G5" s="5">
        <v>4000</v>
      </c>
      <c r="H5" s="5">
        <v>20000</v>
      </c>
      <c r="K5" s="8">
        <v>10</v>
      </c>
      <c r="L5" s="8">
        <f>求节点($D$5:$D$12,E$5:E$12,节奏预期!I20)</f>
        <v>400</v>
      </c>
      <c r="M5" s="8">
        <f>求节点($D$5:$D$12,F$5:F$12,节奏预期!J20)</f>
        <v>800</v>
      </c>
      <c r="N5" s="8">
        <f>求节点($D$5:$D$12,G$5:G$12,节奏预期!K20)</f>
        <v>4000</v>
      </c>
      <c r="O5" s="8">
        <f>求节点($D$5:$D$12,H$5:H$12,节奏预期!L20)</f>
        <v>20000</v>
      </c>
      <c r="P5" s="8">
        <f>SUMPRODUCT(节奏预期!E20:H20,L5:O5)</f>
        <v>0</v>
      </c>
      <c r="R5" s="5">
        <v>1</v>
      </c>
      <c r="S5" s="14">
        <f>ROUND(求节点($K$5:$K$20,$P$5:$P$20,$R5),0)</f>
        <v>0</v>
      </c>
      <c r="T5" s="14">
        <f>ROUND(求节点($K$24:$K$39,$P$24:$P$39,$R5),0)</f>
        <v>0</v>
      </c>
      <c r="U5" s="14">
        <f>ROUND(求节点($K$43:$K$58,$P$43:$P$58,$R5),0)</f>
        <v>0</v>
      </c>
      <c r="V5" s="14">
        <f>ROUND(求节点($K$62:$K$77,$P$62:$P$77,$R5),0)</f>
        <v>0</v>
      </c>
      <c r="W5" s="14">
        <f>ROUND(求节点($K$81:$K$96,$P$81:$P$96,$R5),0)</f>
        <v>0</v>
      </c>
    </row>
    <row r="6" spans="4:23" x14ac:dyDescent="0.15">
      <c r="D6" s="5">
        <v>1</v>
      </c>
      <c r="E6" s="5">
        <v>800</v>
      </c>
      <c r="F6" s="5">
        <v>1600</v>
      </c>
      <c r="G6" s="5">
        <v>8000</v>
      </c>
      <c r="H6" s="5">
        <v>40000</v>
      </c>
      <c r="K6" s="8">
        <v>20</v>
      </c>
      <c r="L6" s="8">
        <f>求节点($D$5:$D$12,E$5:E$12,节奏预期!I21)</f>
        <v>400</v>
      </c>
      <c r="M6" s="8">
        <f>求节点($D$5:$D$12,F$5:F$12,节奏预期!J21)</f>
        <v>800</v>
      </c>
      <c r="N6" s="8">
        <f>求节点($D$5:$D$12,G$5:G$12,节奏预期!K21)</f>
        <v>4000</v>
      </c>
      <c r="O6" s="8">
        <f>求节点($D$5:$D$12,H$5:H$12,节奏预期!L21)</f>
        <v>20000</v>
      </c>
      <c r="P6" s="8">
        <f>SUMPRODUCT(节奏预期!E21:H21,L6:O6)</f>
        <v>0</v>
      </c>
      <c r="R6" s="5">
        <v>2</v>
      </c>
      <c r="S6" s="14">
        <f t="shared" ref="S6:S69" si="0">ROUND(求节点($K$5:$K$20,$P$5:$P$20,$R6),0)</f>
        <v>0</v>
      </c>
      <c r="T6" s="14">
        <f t="shared" ref="T6:T69" si="1">ROUND(求节点($K$24:$K$39,$P$24:$P$39,$R6),0)</f>
        <v>0</v>
      </c>
      <c r="U6" s="14">
        <f t="shared" ref="U6:U69" si="2">ROUND(求节点($K$43:$K$58,$P$43:$P$58,$R6),0)</f>
        <v>0</v>
      </c>
      <c r="V6" s="14">
        <f t="shared" ref="V6:V69" si="3">ROUND(求节点($K$62:$K$77,$P$62:$P$77,$R6),0)</f>
        <v>0</v>
      </c>
      <c r="W6" s="14">
        <f t="shared" ref="W6:W69" si="4">ROUND(求节点($K$81:$K$96,$P$81:$P$96,$R6),0)</f>
        <v>0</v>
      </c>
    </row>
    <row r="7" spans="4:23" x14ac:dyDescent="0.15">
      <c r="D7" s="5">
        <v>2</v>
      </c>
      <c r="E7" s="5">
        <v>1200</v>
      </c>
      <c r="F7" s="5">
        <v>2400</v>
      </c>
      <c r="G7" s="5">
        <v>12000</v>
      </c>
      <c r="H7" s="5">
        <v>60000</v>
      </c>
      <c r="K7" s="8">
        <v>30</v>
      </c>
      <c r="L7" s="8">
        <f>求节点($D$5:$D$12,E$5:E$12,节奏预期!I22)</f>
        <v>400</v>
      </c>
      <c r="M7" s="8">
        <f>求节点($D$5:$D$12,F$5:F$12,节奏预期!J22)</f>
        <v>800</v>
      </c>
      <c r="N7" s="8">
        <f>求节点($D$5:$D$12,G$5:G$12,节奏预期!K22)</f>
        <v>4000</v>
      </c>
      <c r="O7" s="8">
        <f>求节点($D$5:$D$12,H$5:H$12,节奏预期!L22)</f>
        <v>20000</v>
      </c>
      <c r="P7" s="8">
        <f>SUMPRODUCT(节奏预期!E22:H22,L7:O7)</f>
        <v>0</v>
      </c>
      <c r="R7" s="5">
        <v>3</v>
      </c>
      <c r="S7" s="14">
        <f t="shared" si="0"/>
        <v>0</v>
      </c>
      <c r="T7" s="14">
        <f t="shared" si="1"/>
        <v>0</v>
      </c>
      <c r="U7" s="14">
        <f t="shared" si="2"/>
        <v>0</v>
      </c>
      <c r="V7" s="14">
        <f t="shared" si="3"/>
        <v>0</v>
      </c>
      <c r="W7" s="14">
        <f t="shared" si="4"/>
        <v>0</v>
      </c>
    </row>
    <row r="8" spans="4:23" x14ac:dyDescent="0.15">
      <c r="D8" s="5">
        <v>3</v>
      </c>
      <c r="E8" s="5">
        <v>1600</v>
      </c>
      <c r="F8" s="5">
        <v>3200</v>
      </c>
      <c r="G8" s="5">
        <v>16000</v>
      </c>
      <c r="H8" s="5">
        <v>80000</v>
      </c>
      <c r="K8" s="8">
        <v>40</v>
      </c>
      <c r="L8" s="8">
        <f>求节点($D$5:$D$12,E$5:E$12,节奏预期!I23)</f>
        <v>400</v>
      </c>
      <c r="M8" s="8">
        <f>求节点($D$5:$D$12,F$5:F$12,节奏预期!J23)</f>
        <v>800</v>
      </c>
      <c r="N8" s="8">
        <f>求节点($D$5:$D$12,G$5:G$12,节奏预期!K23)</f>
        <v>4000</v>
      </c>
      <c r="O8" s="8">
        <f>求节点($D$5:$D$12,H$5:H$12,节奏预期!L23)</f>
        <v>20000</v>
      </c>
      <c r="P8" s="8">
        <f>SUMPRODUCT(节奏预期!E23:H23,L8:O8)</f>
        <v>0</v>
      </c>
      <c r="R8" s="5">
        <v>4</v>
      </c>
      <c r="S8" s="14">
        <f t="shared" si="0"/>
        <v>0</v>
      </c>
      <c r="T8" s="14">
        <f t="shared" si="1"/>
        <v>0</v>
      </c>
      <c r="U8" s="14">
        <f t="shared" si="2"/>
        <v>0</v>
      </c>
      <c r="V8" s="14">
        <f t="shared" si="3"/>
        <v>0</v>
      </c>
      <c r="W8" s="14">
        <f t="shared" si="4"/>
        <v>0</v>
      </c>
    </row>
    <row r="9" spans="4:23" x14ac:dyDescent="0.15">
      <c r="D9" s="5">
        <v>4</v>
      </c>
      <c r="E9" s="5">
        <v>2000</v>
      </c>
      <c r="F9" s="5">
        <v>4000</v>
      </c>
      <c r="G9" s="5">
        <v>20000</v>
      </c>
      <c r="H9" s="5">
        <v>100000</v>
      </c>
      <c r="K9" s="8">
        <v>50</v>
      </c>
      <c r="L9" s="8">
        <f>求节点($D$5:$D$12,E$5:E$12,节奏预期!I24)</f>
        <v>400</v>
      </c>
      <c r="M9" s="8">
        <f>求节点($D$5:$D$12,F$5:F$12,节奏预期!J24)</f>
        <v>800</v>
      </c>
      <c r="N9" s="8">
        <f>求节点($D$5:$D$12,G$5:G$12,节奏预期!K24)</f>
        <v>4000</v>
      </c>
      <c r="O9" s="8">
        <f>求节点($D$5:$D$12,H$5:H$12,节奏预期!L24)</f>
        <v>20000</v>
      </c>
      <c r="P9" s="8">
        <f>SUMPRODUCT(节奏预期!E24:H24,L9:O9)</f>
        <v>0</v>
      </c>
      <c r="R9" s="5">
        <v>5</v>
      </c>
      <c r="S9" s="14">
        <f t="shared" si="0"/>
        <v>0</v>
      </c>
      <c r="T9" s="14">
        <f t="shared" si="1"/>
        <v>0</v>
      </c>
      <c r="U9" s="14">
        <f t="shared" si="2"/>
        <v>0</v>
      </c>
      <c r="V9" s="14">
        <f t="shared" si="3"/>
        <v>0</v>
      </c>
      <c r="W9" s="14">
        <f t="shared" si="4"/>
        <v>0</v>
      </c>
    </row>
    <row r="10" spans="4:23" x14ac:dyDescent="0.15">
      <c r="D10" s="5">
        <v>5</v>
      </c>
      <c r="E10" s="5">
        <v>2400</v>
      </c>
      <c r="F10" s="5">
        <v>4800</v>
      </c>
      <c r="G10" s="5">
        <v>24000</v>
      </c>
      <c r="H10" s="5">
        <v>120000</v>
      </c>
      <c r="K10" s="8">
        <v>60</v>
      </c>
      <c r="L10" s="8">
        <f>求节点($D$5:$D$12,E$5:E$12,节奏预期!I25)</f>
        <v>400</v>
      </c>
      <c r="M10" s="8">
        <f>求节点($D$5:$D$12,F$5:F$12,节奏预期!J25)</f>
        <v>800</v>
      </c>
      <c r="N10" s="8">
        <f>求节点($D$5:$D$12,G$5:G$12,节奏预期!K25)</f>
        <v>4000</v>
      </c>
      <c r="O10" s="8">
        <f>求节点($D$5:$D$12,H$5:H$12,节奏预期!L25)</f>
        <v>20000</v>
      </c>
      <c r="P10" s="8">
        <f>SUMPRODUCT(节奏预期!E25:H25,L10:O10)</f>
        <v>0</v>
      </c>
      <c r="R10" s="5">
        <v>6</v>
      </c>
      <c r="S10" s="14">
        <f t="shared" si="0"/>
        <v>0</v>
      </c>
      <c r="T10" s="14">
        <f t="shared" si="1"/>
        <v>0</v>
      </c>
      <c r="U10" s="14">
        <f t="shared" si="2"/>
        <v>0</v>
      </c>
      <c r="V10" s="14">
        <f t="shared" si="3"/>
        <v>0</v>
      </c>
      <c r="W10" s="14">
        <f t="shared" si="4"/>
        <v>0</v>
      </c>
    </row>
    <row r="11" spans="4:23" x14ac:dyDescent="0.15">
      <c r="D11" s="5">
        <v>6</v>
      </c>
      <c r="E11" s="5">
        <v>2800</v>
      </c>
      <c r="F11" s="5">
        <v>5600</v>
      </c>
      <c r="G11" s="5">
        <v>28000</v>
      </c>
      <c r="H11" s="5">
        <v>140000</v>
      </c>
      <c r="K11" s="8">
        <v>70</v>
      </c>
      <c r="L11" s="8">
        <f>求节点($D$5:$D$12,E$5:E$12,节奏预期!I26)</f>
        <v>1600</v>
      </c>
      <c r="M11" s="8">
        <f>求节点($D$5:$D$12,F$5:F$12,节奏预期!J26)</f>
        <v>2458.7277204073866</v>
      </c>
      <c r="N11" s="8">
        <f>求节点($D$5:$D$12,G$5:G$12,节奏预期!K26)</f>
        <v>4000</v>
      </c>
      <c r="O11" s="8">
        <f>求节点($D$5:$D$12,H$5:H$12,节奏预期!L26)</f>
        <v>20000</v>
      </c>
      <c r="P11" s="8">
        <f>SUMPRODUCT(节奏预期!E26:H26,L11:O11)</f>
        <v>40174.90503501788</v>
      </c>
      <c r="R11" s="5">
        <v>7</v>
      </c>
      <c r="S11" s="14">
        <f t="shared" si="0"/>
        <v>0</v>
      </c>
      <c r="T11" s="14">
        <f t="shared" si="1"/>
        <v>0</v>
      </c>
      <c r="U11" s="14">
        <f t="shared" si="2"/>
        <v>0</v>
      </c>
      <c r="V11" s="14">
        <f t="shared" si="3"/>
        <v>0</v>
      </c>
      <c r="W11" s="14">
        <f t="shared" si="4"/>
        <v>0</v>
      </c>
    </row>
    <row r="12" spans="4:23" x14ac:dyDescent="0.15">
      <c r="D12" s="5">
        <v>7</v>
      </c>
      <c r="E12" s="5">
        <v>3200</v>
      </c>
      <c r="F12" s="5">
        <v>6400</v>
      </c>
      <c r="G12" s="5">
        <v>32000</v>
      </c>
      <c r="H12" s="5">
        <v>160000</v>
      </c>
      <c r="K12" s="8">
        <v>80</v>
      </c>
      <c r="L12" s="8">
        <f>求节点($D$5:$D$12,E$5:E$12,节奏预期!I27)</f>
        <v>1600</v>
      </c>
      <c r="M12" s="8">
        <f>求节点($D$5:$D$12,F$5:F$12,节奏预期!J27)</f>
        <v>4800</v>
      </c>
      <c r="N12" s="8">
        <f>求节点($D$5:$D$12,G$5:G$12,节奏预期!K27)</f>
        <v>5684.876950751529</v>
      </c>
      <c r="O12" s="8">
        <f>求节点($D$5:$D$12,H$5:H$12,节奏预期!L27)</f>
        <v>20000</v>
      </c>
      <c r="P12" s="8">
        <f>SUMPRODUCT(节奏预期!E27:H27,L12:O12)</f>
        <v>91976.338909286045</v>
      </c>
      <c r="R12" s="5">
        <v>8</v>
      </c>
      <c r="S12" s="14">
        <f t="shared" si="0"/>
        <v>0</v>
      </c>
      <c r="T12" s="14">
        <f t="shared" si="1"/>
        <v>0</v>
      </c>
      <c r="U12" s="14">
        <f t="shared" si="2"/>
        <v>0</v>
      </c>
      <c r="V12" s="14">
        <f t="shared" si="3"/>
        <v>0</v>
      </c>
      <c r="W12" s="14">
        <f t="shared" si="4"/>
        <v>0</v>
      </c>
    </row>
    <row r="13" spans="4:23" x14ac:dyDescent="0.15">
      <c r="K13" s="8">
        <v>90</v>
      </c>
      <c r="L13" s="8">
        <f>求节点($D$5:$D$12,E$5:E$12,节奏预期!I28)</f>
        <v>1600</v>
      </c>
      <c r="M13" s="8">
        <f>求节点($D$5:$D$12,F$5:F$12,节奏预期!J28)</f>
        <v>4800</v>
      </c>
      <c r="N13" s="8">
        <f>求节点($D$5:$D$12,G$5:G$12,节奏预期!K28)</f>
        <v>11665.875793973515</v>
      </c>
      <c r="O13" s="8">
        <f>求节点($D$5:$D$12,H$5:H$12,节奏预期!L28)</f>
        <v>20000</v>
      </c>
      <c r="P13" s="8">
        <f>SUMPRODUCT(节奏预期!E28:H28,L13:O13)</f>
        <v>163090.54583980236</v>
      </c>
      <c r="R13" s="5">
        <v>9</v>
      </c>
      <c r="S13" s="14">
        <f t="shared" si="0"/>
        <v>0</v>
      </c>
      <c r="T13" s="14">
        <f t="shared" si="1"/>
        <v>0</v>
      </c>
      <c r="U13" s="14">
        <f t="shared" si="2"/>
        <v>0</v>
      </c>
      <c r="V13" s="14">
        <f t="shared" si="3"/>
        <v>0</v>
      </c>
      <c r="W13" s="14">
        <f t="shared" si="4"/>
        <v>0</v>
      </c>
    </row>
    <row r="14" spans="4:23" x14ac:dyDescent="0.15">
      <c r="K14" s="8">
        <v>100</v>
      </c>
      <c r="L14" s="8">
        <f>求节点($D$5:$D$12,E$5:E$12,节奏预期!I29)</f>
        <v>1600</v>
      </c>
      <c r="M14" s="8">
        <f>求节点($D$5:$D$12,F$5:F$12,节奏预期!J29)</f>
        <v>4800</v>
      </c>
      <c r="N14" s="8">
        <f>求节点($D$5:$D$12,G$5:G$12,节奏预期!K29)</f>
        <v>22130.192166073844</v>
      </c>
      <c r="O14" s="8">
        <f>求节点($D$5:$D$12,H$5:H$12,节奏预期!L29)</f>
        <v>45537.05821576064</v>
      </c>
      <c r="P14" s="8">
        <f>SUMPRODUCT(节奏预期!E29:H29,L14:O14)</f>
        <v>298838.9798764991</v>
      </c>
      <c r="R14" s="5">
        <v>10</v>
      </c>
      <c r="S14" s="14">
        <f t="shared" si="0"/>
        <v>0</v>
      </c>
      <c r="T14" s="14">
        <f t="shared" si="1"/>
        <v>0</v>
      </c>
      <c r="U14" s="14">
        <f t="shared" si="2"/>
        <v>0</v>
      </c>
      <c r="V14" s="14">
        <f t="shared" si="3"/>
        <v>0</v>
      </c>
      <c r="W14" s="14">
        <f t="shared" si="4"/>
        <v>0</v>
      </c>
    </row>
    <row r="15" spans="4:23" x14ac:dyDescent="0.15">
      <c r="K15" s="8">
        <v>110</v>
      </c>
      <c r="L15" s="8">
        <f>求节点($D$5:$D$12,E$5:E$12,节奏预期!I30)</f>
        <v>1600</v>
      </c>
      <c r="M15" s="8">
        <f>求节点($D$5:$D$12,F$5:F$12,节奏预期!J30)</f>
        <v>4800</v>
      </c>
      <c r="N15" s="8">
        <f>求节点($D$5:$D$12,G$5:G$12,节奏预期!K30)</f>
        <v>32000</v>
      </c>
      <c r="O15" s="8">
        <f>求节点($D$5:$D$12,H$5:H$12,节奏预期!L30)</f>
        <v>123011.40933051887</v>
      </c>
      <c r="P15" s="8">
        <f>SUMPRODUCT(节奏预期!E30:H30,L15:O15)</f>
        <v>475011.40933051886</v>
      </c>
      <c r="R15" s="5">
        <v>11</v>
      </c>
      <c r="S15" s="14">
        <f t="shared" si="0"/>
        <v>0</v>
      </c>
      <c r="T15" s="14">
        <f t="shared" si="1"/>
        <v>0</v>
      </c>
      <c r="U15" s="14">
        <f t="shared" si="2"/>
        <v>0</v>
      </c>
      <c r="V15" s="14">
        <f t="shared" si="3"/>
        <v>0</v>
      </c>
      <c r="W15" s="14">
        <f t="shared" si="4"/>
        <v>0</v>
      </c>
    </row>
    <row r="16" spans="4:23" x14ac:dyDescent="0.15">
      <c r="K16" s="8">
        <v>120</v>
      </c>
      <c r="L16" s="8">
        <f>求节点($D$5:$D$12,E$5:E$12,节奏预期!I31)</f>
        <v>1600</v>
      </c>
      <c r="M16" s="8">
        <f>求节点($D$5:$D$12,F$5:F$12,节奏预期!J31)</f>
        <v>4800</v>
      </c>
      <c r="N16" s="8">
        <f>求节点($D$5:$D$12,G$5:G$12,节奏预期!K31)</f>
        <v>32000</v>
      </c>
      <c r="O16" s="8">
        <f>求节点($D$5:$D$12,H$5:H$12,节奏预期!L31)</f>
        <v>160000</v>
      </c>
      <c r="P16" s="8">
        <f>SUMPRODUCT(节奏预期!E31:H31,L16:O16)</f>
        <v>512000</v>
      </c>
      <c r="R16" s="5">
        <v>12</v>
      </c>
      <c r="S16" s="14">
        <f t="shared" si="0"/>
        <v>0</v>
      </c>
      <c r="T16" s="14">
        <f t="shared" si="1"/>
        <v>0</v>
      </c>
      <c r="U16" s="14">
        <f t="shared" si="2"/>
        <v>0</v>
      </c>
      <c r="V16" s="14">
        <f t="shared" si="3"/>
        <v>0</v>
      </c>
      <c r="W16" s="14">
        <f t="shared" si="4"/>
        <v>0</v>
      </c>
    </row>
    <row r="17" spans="10:23" x14ac:dyDescent="0.15">
      <c r="K17" s="8">
        <v>130</v>
      </c>
      <c r="L17" s="8">
        <f>求节点($D$5:$D$12,E$5:E$12,节奏预期!I32)</f>
        <v>1600</v>
      </c>
      <c r="M17" s="8">
        <f>求节点($D$5:$D$12,F$5:F$12,节奏预期!J32)</f>
        <v>4800</v>
      </c>
      <c r="N17" s="8">
        <f>求节点($D$5:$D$12,G$5:G$12,节奏预期!K32)</f>
        <v>32000</v>
      </c>
      <c r="O17" s="8">
        <f>求节点($D$5:$D$12,H$5:H$12,节奏预期!L32)</f>
        <v>160000</v>
      </c>
      <c r="P17" s="8">
        <f>SUMPRODUCT(节奏预期!E32:H32,L17:O17)</f>
        <v>512000</v>
      </c>
      <c r="R17" s="5">
        <v>13</v>
      </c>
      <c r="S17" s="14">
        <f t="shared" si="0"/>
        <v>0</v>
      </c>
      <c r="T17" s="14">
        <f t="shared" si="1"/>
        <v>0</v>
      </c>
      <c r="U17" s="14">
        <f t="shared" si="2"/>
        <v>0</v>
      </c>
      <c r="V17" s="14">
        <f t="shared" si="3"/>
        <v>0</v>
      </c>
      <c r="W17" s="14">
        <f t="shared" si="4"/>
        <v>0</v>
      </c>
    </row>
    <row r="18" spans="10:23" x14ac:dyDescent="0.15">
      <c r="K18" s="8">
        <v>140</v>
      </c>
      <c r="L18" s="8">
        <f>求节点($D$5:$D$12,E$5:E$12,节奏预期!I33)</f>
        <v>1600</v>
      </c>
      <c r="M18" s="8">
        <f>求节点($D$5:$D$12,F$5:F$12,节奏预期!J33)</f>
        <v>4800</v>
      </c>
      <c r="N18" s="8">
        <f>求节点($D$5:$D$12,G$5:G$12,节奏预期!K33)</f>
        <v>32000</v>
      </c>
      <c r="O18" s="8">
        <f>求节点($D$5:$D$12,H$5:H$12,节奏预期!L33)</f>
        <v>160000</v>
      </c>
      <c r="P18" s="8">
        <f>SUMPRODUCT(节奏预期!E33:H33,L18:O18)</f>
        <v>512000</v>
      </c>
      <c r="R18" s="5">
        <v>14</v>
      </c>
      <c r="S18" s="14">
        <f t="shared" si="0"/>
        <v>0</v>
      </c>
      <c r="T18" s="14">
        <f t="shared" si="1"/>
        <v>0</v>
      </c>
      <c r="U18" s="14">
        <f t="shared" si="2"/>
        <v>0</v>
      </c>
      <c r="V18" s="14">
        <f t="shared" si="3"/>
        <v>0</v>
      </c>
      <c r="W18" s="14">
        <f t="shared" si="4"/>
        <v>0</v>
      </c>
    </row>
    <row r="19" spans="10:23" x14ac:dyDescent="0.15">
      <c r="K19" s="8">
        <v>150</v>
      </c>
      <c r="L19" s="8">
        <f>求节点($D$5:$D$12,E$5:E$12,节奏预期!I34)</f>
        <v>1600</v>
      </c>
      <c r="M19" s="8">
        <f>求节点($D$5:$D$12,F$5:F$12,节奏预期!J34)</f>
        <v>4800</v>
      </c>
      <c r="N19" s="8">
        <f>求节点($D$5:$D$12,G$5:G$12,节奏预期!K34)</f>
        <v>32000</v>
      </c>
      <c r="O19" s="8">
        <f>求节点($D$5:$D$12,H$5:H$12,节奏预期!L34)</f>
        <v>160000</v>
      </c>
      <c r="P19" s="8">
        <f>SUMPRODUCT(节奏预期!E34:H34,L19:O19)</f>
        <v>512000</v>
      </c>
      <c r="R19" s="5">
        <v>15</v>
      </c>
      <c r="S19" s="14">
        <f t="shared" si="0"/>
        <v>0</v>
      </c>
      <c r="T19" s="14">
        <f t="shared" si="1"/>
        <v>0</v>
      </c>
      <c r="U19" s="14">
        <f t="shared" si="2"/>
        <v>0</v>
      </c>
      <c r="V19" s="14">
        <f t="shared" si="3"/>
        <v>0</v>
      </c>
      <c r="W19" s="14">
        <f t="shared" si="4"/>
        <v>0</v>
      </c>
    </row>
    <row r="20" spans="10:23" x14ac:dyDescent="0.15">
      <c r="K20" s="8">
        <v>160</v>
      </c>
      <c r="L20" s="8">
        <f>求节点($D$5:$D$12,E$5:E$12,节奏预期!I35)</f>
        <v>1600</v>
      </c>
      <c r="M20" s="8">
        <f>求节点($D$5:$D$12,F$5:F$12,节奏预期!J35)</f>
        <v>4800</v>
      </c>
      <c r="N20" s="8">
        <f>求节点($D$5:$D$12,G$5:G$12,节奏预期!K35)</f>
        <v>32000</v>
      </c>
      <c r="O20" s="8">
        <f>求节点($D$5:$D$12,H$5:H$12,节奏预期!L35)</f>
        <v>160000</v>
      </c>
      <c r="P20" s="8">
        <f>SUMPRODUCT(节奏预期!E35:H35,L20:O20)</f>
        <v>512000</v>
      </c>
      <c r="R20" s="5">
        <v>16</v>
      </c>
      <c r="S20" s="14">
        <f t="shared" si="0"/>
        <v>0</v>
      </c>
      <c r="T20" s="14">
        <f t="shared" si="1"/>
        <v>0</v>
      </c>
      <c r="U20" s="14">
        <f t="shared" si="2"/>
        <v>0</v>
      </c>
      <c r="V20" s="14">
        <f t="shared" si="3"/>
        <v>0</v>
      </c>
      <c r="W20" s="14">
        <f t="shared" si="4"/>
        <v>0</v>
      </c>
    </row>
    <row r="21" spans="10:23" x14ac:dyDescent="0.15">
      <c r="R21" s="5">
        <v>17</v>
      </c>
      <c r="S21" s="14">
        <f t="shared" si="0"/>
        <v>0</v>
      </c>
      <c r="T21" s="14">
        <f t="shared" si="1"/>
        <v>0</v>
      </c>
      <c r="U21" s="14">
        <f t="shared" si="2"/>
        <v>0</v>
      </c>
      <c r="V21" s="14">
        <f t="shared" si="3"/>
        <v>0</v>
      </c>
      <c r="W21" s="14">
        <f t="shared" si="4"/>
        <v>0</v>
      </c>
    </row>
    <row r="22" spans="10:23" x14ac:dyDescent="0.15">
      <c r="K22" s="8"/>
      <c r="L22" s="53" t="s">
        <v>310</v>
      </c>
      <c r="M22" s="53"/>
      <c r="N22" s="53"/>
      <c r="O22" s="53"/>
      <c r="P22" s="63" t="s">
        <v>311</v>
      </c>
      <c r="R22" s="5">
        <v>18</v>
      </c>
      <c r="S22" s="14">
        <f t="shared" si="0"/>
        <v>0</v>
      </c>
      <c r="T22" s="14">
        <f t="shared" si="1"/>
        <v>0</v>
      </c>
      <c r="U22" s="14">
        <f t="shared" si="2"/>
        <v>0</v>
      </c>
      <c r="V22" s="14">
        <f t="shared" si="3"/>
        <v>0</v>
      </c>
      <c r="W22" s="14">
        <f t="shared" si="4"/>
        <v>0</v>
      </c>
    </row>
    <row r="23" spans="10:23" x14ac:dyDescent="0.15">
      <c r="J23" s="5" t="s">
        <v>128</v>
      </c>
      <c r="K23" s="8" t="s">
        <v>141</v>
      </c>
      <c r="L23" s="8" t="s">
        <v>0</v>
      </c>
      <c r="M23" s="8" t="s">
        <v>1</v>
      </c>
      <c r="N23" s="8" t="s">
        <v>2</v>
      </c>
      <c r="O23" s="8" t="s">
        <v>3</v>
      </c>
      <c r="P23" s="64"/>
      <c r="R23" s="5">
        <v>19</v>
      </c>
      <c r="S23" s="14">
        <f t="shared" si="0"/>
        <v>0</v>
      </c>
      <c r="T23" s="14">
        <f t="shared" si="1"/>
        <v>0</v>
      </c>
      <c r="U23" s="14">
        <f t="shared" si="2"/>
        <v>0</v>
      </c>
      <c r="V23" s="14">
        <f t="shared" si="3"/>
        <v>0</v>
      </c>
      <c r="W23" s="14">
        <f t="shared" si="4"/>
        <v>0</v>
      </c>
    </row>
    <row r="24" spans="10:23" x14ac:dyDescent="0.15">
      <c r="K24" s="8">
        <v>10</v>
      </c>
      <c r="L24" s="8">
        <f>求节点($D$5:$D$12,E$5:E$12,节奏预期!I39)</f>
        <v>400</v>
      </c>
      <c r="M24" s="8">
        <f>求节点($D$5:$D$12,F$5:F$12,节奏预期!J39)</f>
        <v>800</v>
      </c>
      <c r="N24" s="8">
        <f>求节点($D$5:$D$12,G$5:G$12,节奏预期!K39)</f>
        <v>4000</v>
      </c>
      <c r="O24" s="8">
        <f>求节点($D$5:$D$12,H$5:H$12,节奏预期!L39)</f>
        <v>20000</v>
      </c>
      <c r="P24" s="8">
        <f>SUMPRODUCT(节奏预期!E39:H39,L24:O24)</f>
        <v>0</v>
      </c>
      <c r="R24" s="5">
        <v>20</v>
      </c>
      <c r="S24" s="14">
        <f t="shared" si="0"/>
        <v>0</v>
      </c>
      <c r="T24" s="14">
        <f t="shared" si="1"/>
        <v>0</v>
      </c>
      <c r="U24" s="14">
        <f t="shared" si="2"/>
        <v>0</v>
      </c>
      <c r="V24" s="14">
        <f t="shared" si="3"/>
        <v>0</v>
      </c>
      <c r="W24" s="14">
        <f t="shared" si="4"/>
        <v>0</v>
      </c>
    </row>
    <row r="25" spans="10:23" x14ac:dyDescent="0.15">
      <c r="K25" s="8">
        <v>20</v>
      </c>
      <c r="L25" s="8">
        <f>求节点($D$5:$D$12,E$5:E$12,节奏预期!I40)</f>
        <v>400</v>
      </c>
      <c r="M25" s="8">
        <f>求节点($D$5:$D$12,F$5:F$12,节奏预期!J40)</f>
        <v>800</v>
      </c>
      <c r="N25" s="8">
        <f>求节点($D$5:$D$12,G$5:G$12,节奏预期!K40)</f>
        <v>4000</v>
      </c>
      <c r="O25" s="8">
        <f>求节点($D$5:$D$12,H$5:H$12,节奏预期!L40)</f>
        <v>20000</v>
      </c>
      <c r="P25" s="8">
        <f>SUMPRODUCT(节奏预期!E40:H40,L25:O25)</f>
        <v>0</v>
      </c>
      <c r="R25" s="5">
        <v>21</v>
      </c>
      <c r="S25" s="14">
        <f t="shared" si="0"/>
        <v>0</v>
      </c>
      <c r="T25" s="14">
        <f t="shared" si="1"/>
        <v>0</v>
      </c>
      <c r="U25" s="14">
        <f t="shared" si="2"/>
        <v>0</v>
      </c>
      <c r="V25" s="14">
        <f t="shared" si="3"/>
        <v>0</v>
      </c>
      <c r="W25" s="14">
        <f t="shared" si="4"/>
        <v>0</v>
      </c>
    </row>
    <row r="26" spans="10:23" x14ac:dyDescent="0.15">
      <c r="K26" s="8">
        <v>30</v>
      </c>
      <c r="L26" s="8">
        <f>求节点($D$5:$D$12,E$5:E$12,节奏预期!I41)</f>
        <v>400</v>
      </c>
      <c r="M26" s="8">
        <f>求节点($D$5:$D$12,F$5:F$12,节奏预期!J41)</f>
        <v>800</v>
      </c>
      <c r="N26" s="8">
        <f>求节点($D$5:$D$12,G$5:G$12,节奏预期!K41)</f>
        <v>4000</v>
      </c>
      <c r="O26" s="8">
        <f>求节点($D$5:$D$12,H$5:H$12,节奏预期!L41)</f>
        <v>20000</v>
      </c>
      <c r="P26" s="8">
        <f>SUMPRODUCT(节奏预期!E41:H41,L26:O26)</f>
        <v>0</v>
      </c>
      <c r="R26" s="5">
        <v>22</v>
      </c>
      <c r="S26" s="14">
        <f t="shared" si="0"/>
        <v>0</v>
      </c>
      <c r="T26" s="14">
        <f t="shared" si="1"/>
        <v>0</v>
      </c>
      <c r="U26" s="14">
        <f t="shared" si="2"/>
        <v>0</v>
      </c>
      <c r="V26" s="14">
        <f t="shared" si="3"/>
        <v>0</v>
      </c>
      <c r="W26" s="14">
        <f t="shared" si="4"/>
        <v>0</v>
      </c>
    </row>
    <row r="27" spans="10:23" x14ac:dyDescent="0.15">
      <c r="K27" s="8">
        <v>40</v>
      </c>
      <c r="L27" s="8">
        <f>求节点($D$5:$D$12,E$5:E$12,节奏预期!I42)</f>
        <v>400</v>
      </c>
      <c r="M27" s="8">
        <f>求节点($D$5:$D$12,F$5:F$12,节奏预期!J42)</f>
        <v>800</v>
      </c>
      <c r="N27" s="8">
        <f>求节点($D$5:$D$12,G$5:G$12,节奏预期!K42)</f>
        <v>4000</v>
      </c>
      <c r="O27" s="8">
        <f>求节点($D$5:$D$12,H$5:H$12,节奏预期!L42)</f>
        <v>20000</v>
      </c>
      <c r="P27" s="8">
        <f>SUMPRODUCT(节奏预期!E42:H42,L27:O27)</f>
        <v>0</v>
      </c>
      <c r="R27" s="5">
        <v>23</v>
      </c>
      <c r="S27" s="14">
        <f t="shared" si="0"/>
        <v>0</v>
      </c>
      <c r="T27" s="14">
        <f t="shared" si="1"/>
        <v>0</v>
      </c>
      <c r="U27" s="14">
        <f t="shared" si="2"/>
        <v>0</v>
      </c>
      <c r="V27" s="14">
        <f t="shared" si="3"/>
        <v>0</v>
      </c>
      <c r="W27" s="14">
        <f t="shared" si="4"/>
        <v>0</v>
      </c>
    </row>
    <row r="28" spans="10:23" x14ac:dyDescent="0.15">
      <c r="K28" s="8">
        <v>50</v>
      </c>
      <c r="L28" s="8">
        <f>求节点($D$5:$D$12,E$5:E$12,节奏预期!I43)</f>
        <v>400</v>
      </c>
      <c r="M28" s="8">
        <f>求节点($D$5:$D$12,F$5:F$12,节奏预期!J43)</f>
        <v>800</v>
      </c>
      <c r="N28" s="8">
        <f>求节点($D$5:$D$12,G$5:G$12,节奏预期!K43)</f>
        <v>4000</v>
      </c>
      <c r="O28" s="8">
        <f>求节点($D$5:$D$12,H$5:H$12,节奏预期!L43)</f>
        <v>20000</v>
      </c>
      <c r="P28" s="8">
        <f>SUMPRODUCT(节奏预期!E43:H43,L28:O28)</f>
        <v>0</v>
      </c>
      <c r="R28" s="5">
        <v>24</v>
      </c>
      <c r="S28" s="14">
        <f t="shared" si="0"/>
        <v>0</v>
      </c>
      <c r="T28" s="14">
        <f t="shared" si="1"/>
        <v>0</v>
      </c>
      <c r="U28" s="14">
        <f t="shared" si="2"/>
        <v>0</v>
      </c>
      <c r="V28" s="14">
        <f t="shared" si="3"/>
        <v>0</v>
      </c>
      <c r="W28" s="14">
        <f t="shared" si="4"/>
        <v>0</v>
      </c>
    </row>
    <row r="29" spans="10:23" x14ac:dyDescent="0.15">
      <c r="K29" s="8">
        <v>60</v>
      </c>
      <c r="L29" s="8">
        <f>求节点($D$5:$D$12,E$5:E$12,节奏预期!I44)</f>
        <v>400</v>
      </c>
      <c r="M29" s="8">
        <f>求节点($D$5:$D$12,F$5:F$12,节奏预期!J44)</f>
        <v>800</v>
      </c>
      <c r="N29" s="8">
        <f>求节点($D$5:$D$12,G$5:G$12,节奏预期!K44)</f>
        <v>4000</v>
      </c>
      <c r="O29" s="8">
        <f>求节点($D$5:$D$12,H$5:H$12,节奏预期!L44)</f>
        <v>20000</v>
      </c>
      <c r="P29" s="8">
        <f>SUMPRODUCT(节奏预期!E44:H44,L29:O29)</f>
        <v>0</v>
      </c>
      <c r="R29" s="5">
        <v>25</v>
      </c>
      <c r="S29" s="14">
        <f t="shared" si="0"/>
        <v>0</v>
      </c>
      <c r="T29" s="14">
        <f t="shared" si="1"/>
        <v>0</v>
      </c>
      <c r="U29" s="14">
        <f t="shared" si="2"/>
        <v>0</v>
      </c>
      <c r="V29" s="14">
        <f t="shared" si="3"/>
        <v>0</v>
      </c>
      <c r="W29" s="14">
        <f t="shared" si="4"/>
        <v>0</v>
      </c>
    </row>
    <row r="30" spans="10:23" x14ac:dyDescent="0.15">
      <c r="K30" s="8">
        <v>70</v>
      </c>
      <c r="L30" s="8">
        <f>求节点($D$5:$D$12,E$5:E$12,节奏预期!I45)</f>
        <v>1600</v>
      </c>
      <c r="M30" s="8">
        <f>求节点($D$5:$D$12,F$5:F$12,节奏预期!J45)</f>
        <v>3408.5830254612069</v>
      </c>
      <c r="N30" s="8">
        <f>求节点($D$5:$D$12,G$5:G$12,节奏预期!K45)</f>
        <v>4000</v>
      </c>
      <c r="O30" s="8">
        <f>求节点($D$5:$D$12,H$5:H$12,节奏预期!L45)</f>
        <v>20000</v>
      </c>
      <c r="P30" s="8">
        <f>SUMPRODUCT(节奏预期!E45:H45,L30:O30)</f>
        <v>52722.594560585909</v>
      </c>
      <c r="R30" s="5">
        <v>26</v>
      </c>
      <c r="S30" s="14">
        <f t="shared" si="0"/>
        <v>0</v>
      </c>
      <c r="T30" s="14">
        <f t="shared" si="1"/>
        <v>0</v>
      </c>
      <c r="U30" s="14">
        <f t="shared" si="2"/>
        <v>0</v>
      </c>
      <c r="V30" s="14">
        <f t="shared" si="3"/>
        <v>0</v>
      </c>
      <c r="W30" s="14">
        <f t="shared" si="4"/>
        <v>0</v>
      </c>
    </row>
    <row r="31" spans="10:23" x14ac:dyDescent="0.15">
      <c r="K31" s="8">
        <v>80</v>
      </c>
      <c r="L31" s="8">
        <f>求节点($D$5:$D$12,E$5:E$12,节奏预期!I46)</f>
        <v>1600</v>
      </c>
      <c r="M31" s="8">
        <f>求节点($D$5:$D$12,F$5:F$12,节奏预期!J46)</f>
        <v>4800</v>
      </c>
      <c r="N31" s="8">
        <f>求节点($D$5:$D$12,G$5:G$12,节奏预期!K46)</f>
        <v>7429.5779461910042</v>
      </c>
      <c r="O31" s="8">
        <f>求节点($D$5:$D$12,H$5:H$12,节奏预期!L46)</f>
        <v>20000</v>
      </c>
      <c r="P31" s="8">
        <f>SUMPRODUCT(节奏预期!E46:H46,L31:O31)</f>
        <v>112561.55909487145</v>
      </c>
      <c r="R31" s="5">
        <v>27</v>
      </c>
      <c r="S31" s="14">
        <f t="shared" si="0"/>
        <v>0</v>
      </c>
      <c r="T31" s="14">
        <f t="shared" si="1"/>
        <v>0</v>
      </c>
      <c r="U31" s="14">
        <f t="shared" si="2"/>
        <v>0</v>
      </c>
      <c r="V31" s="14">
        <f t="shared" si="3"/>
        <v>0</v>
      </c>
      <c r="W31" s="14">
        <f t="shared" si="4"/>
        <v>0</v>
      </c>
    </row>
    <row r="32" spans="10:23" x14ac:dyDescent="0.15">
      <c r="K32" s="8">
        <v>90</v>
      </c>
      <c r="L32" s="8">
        <f>求节点($D$5:$D$12,E$5:E$12,节奏预期!I47)</f>
        <v>1600</v>
      </c>
      <c r="M32" s="8">
        <f>求节点($D$5:$D$12,F$5:F$12,节奏预期!J47)</f>
        <v>4800</v>
      </c>
      <c r="N32" s="8">
        <f>求节点($D$5:$D$12,G$5:G$12,节奏预期!K47)</f>
        <v>15074.949260398513</v>
      </c>
      <c r="O32" s="8">
        <f>求节点($D$5:$D$12,H$5:H$12,节奏预期!L47)</f>
        <v>28991.711546327373</v>
      </c>
      <c r="P32" s="8">
        <f>SUMPRODUCT(节奏预期!E47:H47,L32:O32)</f>
        <v>211741.20415031249</v>
      </c>
      <c r="R32" s="5">
        <v>28</v>
      </c>
      <c r="S32" s="14">
        <f t="shared" si="0"/>
        <v>0</v>
      </c>
      <c r="T32" s="14">
        <f t="shared" si="1"/>
        <v>0</v>
      </c>
      <c r="U32" s="14">
        <f t="shared" si="2"/>
        <v>0</v>
      </c>
      <c r="V32" s="14">
        <f t="shared" si="3"/>
        <v>0</v>
      </c>
      <c r="W32" s="14">
        <f t="shared" si="4"/>
        <v>0</v>
      </c>
    </row>
    <row r="33" spans="10:23" x14ac:dyDescent="0.15">
      <c r="K33" s="8">
        <v>100</v>
      </c>
      <c r="L33" s="8">
        <f>求节点($D$5:$D$12,E$5:E$12,节奏预期!I48)</f>
        <v>1600</v>
      </c>
      <c r="M33" s="8">
        <f>求节点($D$5:$D$12,F$5:F$12,节奏预期!J48)</f>
        <v>4800</v>
      </c>
      <c r="N33" s="8">
        <f>求节点($D$5:$D$12,G$5:G$12,节奏预期!K48)</f>
        <v>28487.328917029903</v>
      </c>
      <c r="O33" s="8">
        <f>求节点($D$5:$D$12,H$5:H$12,节奏预期!L48)</f>
        <v>93485.458073118818</v>
      </c>
      <c r="P33" s="8">
        <f>SUMPRODUCT(节奏预期!E48:H48,L33:O33)</f>
        <v>410358.74724341783</v>
      </c>
      <c r="R33" s="5">
        <v>29</v>
      </c>
      <c r="S33" s="14">
        <f t="shared" si="0"/>
        <v>0</v>
      </c>
      <c r="T33" s="14">
        <f t="shared" si="1"/>
        <v>0</v>
      </c>
      <c r="U33" s="14">
        <f t="shared" si="2"/>
        <v>0</v>
      </c>
      <c r="V33" s="14">
        <f t="shared" si="3"/>
        <v>0</v>
      </c>
      <c r="W33" s="14">
        <f t="shared" si="4"/>
        <v>0</v>
      </c>
    </row>
    <row r="34" spans="10:23" x14ac:dyDescent="0.15">
      <c r="K34" s="8">
        <v>110</v>
      </c>
      <c r="L34" s="8">
        <f>求节点($D$5:$D$12,E$5:E$12,节奏预期!I49)</f>
        <v>1600</v>
      </c>
      <c r="M34" s="8">
        <f>求节点($D$5:$D$12,F$5:F$12,节奏预期!J49)</f>
        <v>4800</v>
      </c>
      <c r="N34" s="8">
        <f>求节点($D$5:$D$12,G$5:G$12,节奏预期!K49)</f>
        <v>32000</v>
      </c>
      <c r="O34" s="8">
        <f>求节点($D$5:$D$12,H$5:H$12,节奏预期!L49)</f>
        <v>160000</v>
      </c>
      <c r="P34" s="8">
        <f>SUMPRODUCT(节奏预期!E49:H49,L34:O34)</f>
        <v>512000</v>
      </c>
      <c r="R34" s="5">
        <v>30</v>
      </c>
      <c r="S34" s="14">
        <f t="shared" si="0"/>
        <v>0</v>
      </c>
      <c r="T34" s="14">
        <f t="shared" si="1"/>
        <v>0</v>
      </c>
      <c r="U34" s="14">
        <f t="shared" si="2"/>
        <v>0</v>
      </c>
      <c r="V34" s="14">
        <f t="shared" si="3"/>
        <v>0</v>
      </c>
      <c r="W34" s="14">
        <f t="shared" si="4"/>
        <v>0</v>
      </c>
    </row>
    <row r="35" spans="10:23" x14ac:dyDescent="0.15">
      <c r="K35" s="8">
        <v>120</v>
      </c>
      <c r="L35" s="8">
        <f>求节点($D$5:$D$12,E$5:E$12,节奏预期!I50)</f>
        <v>1600</v>
      </c>
      <c r="M35" s="8">
        <f>求节点($D$5:$D$12,F$5:F$12,节奏预期!J50)</f>
        <v>4800</v>
      </c>
      <c r="N35" s="8">
        <f>求节点($D$5:$D$12,G$5:G$12,节奏预期!K50)</f>
        <v>32000</v>
      </c>
      <c r="O35" s="8">
        <f>求节点($D$5:$D$12,H$5:H$12,节奏预期!L50)</f>
        <v>160000</v>
      </c>
      <c r="P35" s="8">
        <f>SUMPRODUCT(节奏预期!E50:H50,L35:O35)</f>
        <v>512000</v>
      </c>
      <c r="R35" s="5">
        <v>31</v>
      </c>
      <c r="S35" s="14">
        <f t="shared" si="0"/>
        <v>0</v>
      </c>
      <c r="T35" s="14">
        <f t="shared" si="1"/>
        <v>0</v>
      </c>
      <c r="U35" s="14">
        <f t="shared" si="2"/>
        <v>0</v>
      </c>
      <c r="V35" s="14">
        <f t="shared" si="3"/>
        <v>0</v>
      </c>
      <c r="W35" s="14">
        <f t="shared" si="4"/>
        <v>0</v>
      </c>
    </row>
    <row r="36" spans="10:23" x14ac:dyDescent="0.15">
      <c r="K36" s="8">
        <v>130</v>
      </c>
      <c r="L36" s="8">
        <f>求节点($D$5:$D$12,E$5:E$12,节奏预期!I51)</f>
        <v>1600</v>
      </c>
      <c r="M36" s="8">
        <f>求节点($D$5:$D$12,F$5:F$12,节奏预期!J51)</f>
        <v>4800</v>
      </c>
      <c r="N36" s="8">
        <f>求节点($D$5:$D$12,G$5:G$12,节奏预期!K51)</f>
        <v>32000</v>
      </c>
      <c r="O36" s="8">
        <f>求节点($D$5:$D$12,H$5:H$12,节奏预期!L51)</f>
        <v>160000</v>
      </c>
      <c r="P36" s="8">
        <f>SUMPRODUCT(节奏预期!E51:H51,L36:O36)</f>
        <v>512000</v>
      </c>
      <c r="R36" s="5">
        <v>32</v>
      </c>
      <c r="S36" s="14">
        <f t="shared" si="0"/>
        <v>0</v>
      </c>
      <c r="T36" s="14">
        <f t="shared" si="1"/>
        <v>0</v>
      </c>
      <c r="U36" s="14">
        <f t="shared" si="2"/>
        <v>0</v>
      </c>
      <c r="V36" s="14">
        <f t="shared" si="3"/>
        <v>0</v>
      </c>
      <c r="W36" s="14">
        <f t="shared" si="4"/>
        <v>0</v>
      </c>
    </row>
    <row r="37" spans="10:23" x14ac:dyDescent="0.15">
      <c r="K37" s="8">
        <v>140</v>
      </c>
      <c r="L37" s="8">
        <f>求节点($D$5:$D$12,E$5:E$12,节奏预期!I52)</f>
        <v>1600</v>
      </c>
      <c r="M37" s="8">
        <f>求节点($D$5:$D$12,F$5:F$12,节奏预期!J52)</f>
        <v>4800</v>
      </c>
      <c r="N37" s="8">
        <f>求节点($D$5:$D$12,G$5:G$12,节奏预期!K52)</f>
        <v>32000</v>
      </c>
      <c r="O37" s="8">
        <f>求节点($D$5:$D$12,H$5:H$12,节奏预期!L52)</f>
        <v>160000</v>
      </c>
      <c r="P37" s="8">
        <f>SUMPRODUCT(节奏预期!E52:H52,L37:O37)</f>
        <v>512000</v>
      </c>
      <c r="R37" s="5">
        <v>33</v>
      </c>
      <c r="S37" s="14">
        <f t="shared" si="0"/>
        <v>0</v>
      </c>
      <c r="T37" s="14">
        <f t="shared" si="1"/>
        <v>0</v>
      </c>
      <c r="U37" s="14">
        <f t="shared" si="2"/>
        <v>0</v>
      </c>
      <c r="V37" s="14">
        <f t="shared" si="3"/>
        <v>0</v>
      </c>
      <c r="W37" s="14">
        <f t="shared" si="4"/>
        <v>0</v>
      </c>
    </row>
    <row r="38" spans="10:23" x14ac:dyDescent="0.15">
      <c r="K38" s="8">
        <v>150</v>
      </c>
      <c r="L38" s="8">
        <f>求节点($D$5:$D$12,E$5:E$12,节奏预期!I53)</f>
        <v>1600</v>
      </c>
      <c r="M38" s="8">
        <f>求节点($D$5:$D$12,F$5:F$12,节奏预期!J53)</f>
        <v>4800</v>
      </c>
      <c r="N38" s="8">
        <f>求节点($D$5:$D$12,G$5:G$12,节奏预期!K53)</f>
        <v>32000</v>
      </c>
      <c r="O38" s="8">
        <f>求节点($D$5:$D$12,H$5:H$12,节奏预期!L53)</f>
        <v>160000</v>
      </c>
      <c r="P38" s="8">
        <f>SUMPRODUCT(节奏预期!E53:H53,L38:O38)</f>
        <v>512000</v>
      </c>
      <c r="R38" s="5">
        <v>34</v>
      </c>
      <c r="S38" s="14">
        <f t="shared" si="0"/>
        <v>0</v>
      </c>
      <c r="T38" s="14">
        <f t="shared" si="1"/>
        <v>0</v>
      </c>
      <c r="U38" s="14">
        <f t="shared" si="2"/>
        <v>0</v>
      </c>
      <c r="V38" s="14">
        <f t="shared" si="3"/>
        <v>0</v>
      </c>
      <c r="W38" s="14">
        <f t="shared" si="4"/>
        <v>0</v>
      </c>
    </row>
    <row r="39" spans="10:23" x14ac:dyDescent="0.15">
      <c r="K39" s="8">
        <v>160</v>
      </c>
      <c r="L39" s="8">
        <f>求节点($D$5:$D$12,E$5:E$12,节奏预期!I54)</f>
        <v>1600</v>
      </c>
      <c r="M39" s="8">
        <f>求节点($D$5:$D$12,F$5:F$12,节奏预期!J54)</f>
        <v>4800</v>
      </c>
      <c r="N39" s="8">
        <f>求节点($D$5:$D$12,G$5:G$12,节奏预期!K54)</f>
        <v>32000</v>
      </c>
      <c r="O39" s="8">
        <f>求节点($D$5:$D$12,H$5:H$12,节奏预期!L54)</f>
        <v>160000</v>
      </c>
      <c r="P39" s="8">
        <f>SUMPRODUCT(节奏预期!E54:H54,L39:O39)</f>
        <v>512000</v>
      </c>
      <c r="R39" s="5">
        <v>35</v>
      </c>
      <c r="S39" s="14">
        <f t="shared" si="0"/>
        <v>0</v>
      </c>
      <c r="T39" s="14">
        <f t="shared" si="1"/>
        <v>0</v>
      </c>
      <c r="U39" s="14">
        <f t="shared" si="2"/>
        <v>0</v>
      </c>
      <c r="V39" s="14">
        <f t="shared" si="3"/>
        <v>0</v>
      </c>
      <c r="W39" s="14">
        <f t="shared" si="4"/>
        <v>0</v>
      </c>
    </row>
    <row r="40" spans="10:23" x14ac:dyDescent="0.15">
      <c r="R40" s="5">
        <v>36</v>
      </c>
      <c r="S40" s="14">
        <f t="shared" si="0"/>
        <v>0</v>
      </c>
      <c r="T40" s="14">
        <f t="shared" si="1"/>
        <v>0</v>
      </c>
      <c r="U40" s="14">
        <f t="shared" si="2"/>
        <v>0</v>
      </c>
      <c r="V40" s="14">
        <f t="shared" si="3"/>
        <v>0</v>
      </c>
      <c r="W40" s="14">
        <f t="shared" si="4"/>
        <v>0</v>
      </c>
    </row>
    <row r="41" spans="10:23" x14ac:dyDescent="0.15">
      <c r="K41" s="8"/>
      <c r="L41" s="53" t="s">
        <v>310</v>
      </c>
      <c r="M41" s="53"/>
      <c r="N41" s="53"/>
      <c r="O41" s="53"/>
      <c r="P41" s="63" t="s">
        <v>311</v>
      </c>
      <c r="R41" s="5">
        <v>37</v>
      </c>
      <c r="S41" s="14">
        <f t="shared" si="0"/>
        <v>0</v>
      </c>
      <c r="T41" s="14">
        <f t="shared" si="1"/>
        <v>0</v>
      </c>
      <c r="U41" s="14">
        <f t="shared" si="2"/>
        <v>0</v>
      </c>
      <c r="V41" s="14">
        <f t="shared" si="3"/>
        <v>0</v>
      </c>
      <c r="W41" s="14">
        <f t="shared" si="4"/>
        <v>0</v>
      </c>
    </row>
    <row r="42" spans="10:23" x14ac:dyDescent="0.15">
      <c r="J42" s="5" t="s">
        <v>129</v>
      </c>
      <c r="K42" s="8" t="s">
        <v>141</v>
      </c>
      <c r="L42" s="8" t="s">
        <v>0</v>
      </c>
      <c r="M42" s="8" t="s">
        <v>1</v>
      </c>
      <c r="N42" s="8" t="s">
        <v>2</v>
      </c>
      <c r="O42" s="8" t="s">
        <v>3</v>
      </c>
      <c r="P42" s="64"/>
      <c r="R42" s="5">
        <v>38</v>
      </c>
      <c r="S42" s="14">
        <f t="shared" si="0"/>
        <v>0</v>
      </c>
      <c r="T42" s="14">
        <f t="shared" si="1"/>
        <v>0</v>
      </c>
      <c r="U42" s="14">
        <f t="shared" si="2"/>
        <v>0</v>
      </c>
      <c r="V42" s="14">
        <f t="shared" si="3"/>
        <v>0</v>
      </c>
      <c r="W42" s="14">
        <f t="shared" si="4"/>
        <v>0</v>
      </c>
    </row>
    <row r="43" spans="10:23" x14ac:dyDescent="0.15">
      <c r="K43" s="8">
        <v>10</v>
      </c>
      <c r="L43" s="8">
        <f>求节点($D$5:$D$12,E$5:E$12,节奏预期!I58)</f>
        <v>400</v>
      </c>
      <c r="M43" s="8">
        <f>求节点($D$5:$D$12,F$5:F$12,节奏预期!J58)</f>
        <v>800</v>
      </c>
      <c r="N43" s="8">
        <f>求节点($D$5:$D$12,G$5:G$12,节奏预期!K58)</f>
        <v>4000</v>
      </c>
      <c r="O43" s="8">
        <f>求节点($D$5:$D$12,H$5:H$12,节奏预期!L58)</f>
        <v>20000</v>
      </c>
      <c r="P43" s="8">
        <f>SUMPRODUCT(节奏预期!E58:H58,L43:O43)</f>
        <v>0</v>
      </c>
      <c r="R43" s="5">
        <v>39</v>
      </c>
      <c r="S43" s="14">
        <f t="shared" si="0"/>
        <v>0</v>
      </c>
      <c r="T43" s="14">
        <f t="shared" si="1"/>
        <v>0</v>
      </c>
      <c r="U43" s="14">
        <f t="shared" si="2"/>
        <v>0</v>
      </c>
      <c r="V43" s="14">
        <f t="shared" si="3"/>
        <v>0</v>
      </c>
      <c r="W43" s="14">
        <f t="shared" si="4"/>
        <v>0</v>
      </c>
    </row>
    <row r="44" spans="10:23" x14ac:dyDescent="0.15">
      <c r="K44" s="8">
        <v>20</v>
      </c>
      <c r="L44" s="8">
        <f>求节点($D$5:$D$12,E$5:E$12,节奏预期!I59)</f>
        <v>400</v>
      </c>
      <c r="M44" s="8">
        <f>求节点($D$5:$D$12,F$5:F$12,节奏预期!J59)</f>
        <v>800</v>
      </c>
      <c r="N44" s="8">
        <f>求节点($D$5:$D$12,G$5:G$12,节奏预期!K59)</f>
        <v>4000</v>
      </c>
      <c r="O44" s="8">
        <f>求节点($D$5:$D$12,H$5:H$12,节奏预期!L59)</f>
        <v>20000</v>
      </c>
      <c r="P44" s="8">
        <f>SUMPRODUCT(节奏预期!E59:H59,L44:O44)</f>
        <v>0</v>
      </c>
      <c r="R44" s="5">
        <v>40</v>
      </c>
      <c r="S44" s="14">
        <f t="shared" si="0"/>
        <v>0</v>
      </c>
      <c r="T44" s="14">
        <f t="shared" si="1"/>
        <v>0</v>
      </c>
      <c r="U44" s="14">
        <f t="shared" si="2"/>
        <v>0</v>
      </c>
      <c r="V44" s="14">
        <f t="shared" si="3"/>
        <v>0</v>
      </c>
      <c r="W44" s="14">
        <f t="shared" si="4"/>
        <v>0</v>
      </c>
    </row>
    <row r="45" spans="10:23" x14ac:dyDescent="0.15">
      <c r="K45" s="8">
        <v>30</v>
      </c>
      <c r="L45" s="8">
        <f>求节点($D$5:$D$12,E$5:E$12,节奏预期!I60)</f>
        <v>400</v>
      </c>
      <c r="M45" s="8">
        <f>求节点($D$5:$D$12,F$5:F$12,节奏预期!J60)</f>
        <v>800</v>
      </c>
      <c r="N45" s="8">
        <f>求节点($D$5:$D$12,G$5:G$12,节奏预期!K60)</f>
        <v>4000</v>
      </c>
      <c r="O45" s="8">
        <f>求节点($D$5:$D$12,H$5:H$12,节奏预期!L60)</f>
        <v>20000</v>
      </c>
      <c r="P45" s="8">
        <f>SUMPRODUCT(节奏预期!E60:H60,L45:O45)</f>
        <v>0</v>
      </c>
      <c r="R45" s="5">
        <v>41</v>
      </c>
      <c r="S45" s="14">
        <f t="shared" si="0"/>
        <v>0</v>
      </c>
      <c r="T45" s="14">
        <f t="shared" si="1"/>
        <v>0</v>
      </c>
      <c r="U45" s="14">
        <f t="shared" si="2"/>
        <v>0</v>
      </c>
      <c r="V45" s="14">
        <f t="shared" si="3"/>
        <v>0</v>
      </c>
      <c r="W45" s="14">
        <f t="shared" si="4"/>
        <v>0</v>
      </c>
    </row>
    <row r="46" spans="10:23" x14ac:dyDescent="0.15">
      <c r="K46" s="8">
        <v>40</v>
      </c>
      <c r="L46" s="8">
        <f>求节点($D$5:$D$12,E$5:E$12,节奏预期!I61)</f>
        <v>400</v>
      </c>
      <c r="M46" s="8">
        <f>求节点($D$5:$D$12,F$5:F$12,节奏预期!J61)</f>
        <v>800</v>
      </c>
      <c r="N46" s="8">
        <f>求节点($D$5:$D$12,G$5:G$12,节奏预期!K61)</f>
        <v>4000</v>
      </c>
      <c r="O46" s="8">
        <f>求节点($D$5:$D$12,H$5:H$12,节奏预期!L61)</f>
        <v>20000</v>
      </c>
      <c r="P46" s="8">
        <f>SUMPRODUCT(节奏预期!E61:H61,L46:O46)</f>
        <v>0</v>
      </c>
      <c r="R46" s="5">
        <v>42</v>
      </c>
      <c r="S46" s="14">
        <f t="shared" si="0"/>
        <v>0</v>
      </c>
      <c r="T46" s="14">
        <f t="shared" si="1"/>
        <v>0</v>
      </c>
      <c r="U46" s="14">
        <f t="shared" si="2"/>
        <v>0</v>
      </c>
      <c r="V46" s="14">
        <f t="shared" si="3"/>
        <v>0</v>
      </c>
      <c r="W46" s="14">
        <f t="shared" si="4"/>
        <v>0</v>
      </c>
    </row>
    <row r="47" spans="10:23" x14ac:dyDescent="0.15">
      <c r="K47" s="8">
        <v>50</v>
      </c>
      <c r="L47" s="8">
        <f>求节点($D$5:$D$12,E$5:E$12,节奏预期!I62)</f>
        <v>400</v>
      </c>
      <c r="M47" s="8">
        <f>求节点($D$5:$D$12,F$5:F$12,节奏预期!J62)</f>
        <v>800</v>
      </c>
      <c r="N47" s="8">
        <f>求节点($D$5:$D$12,G$5:G$12,节奏预期!K62)</f>
        <v>4000</v>
      </c>
      <c r="O47" s="8">
        <f>求节点($D$5:$D$12,H$5:H$12,节奏预期!L62)</f>
        <v>20000</v>
      </c>
      <c r="P47" s="8">
        <f>SUMPRODUCT(节奏预期!E62:H62,L47:O47)</f>
        <v>0</v>
      </c>
      <c r="R47" s="5">
        <v>43</v>
      </c>
      <c r="S47" s="14">
        <f t="shared" si="0"/>
        <v>0</v>
      </c>
      <c r="T47" s="14">
        <f t="shared" si="1"/>
        <v>0</v>
      </c>
      <c r="U47" s="14">
        <f t="shared" si="2"/>
        <v>0</v>
      </c>
      <c r="V47" s="14">
        <f t="shared" si="3"/>
        <v>0</v>
      </c>
      <c r="W47" s="14">
        <f t="shared" si="4"/>
        <v>0</v>
      </c>
    </row>
    <row r="48" spans="10:23" x14ac:dyDescent="0.15">
      <c r="K48" s="8">
        <v>60</v>
      </c>
      <c r="L48" s="8">
        <f>求节点($D$5:$D$12,E$5:E$12,节奏预期!I63)</f>
        <v>400</v>
      </c>
      <c r="M48" s="8">
        <f>求节点($D$5:$D$12,F$5:F$12,节奏预期!J63)</f>
        <v>800</v>
      </c>
      <c r="N48" s="8">
        <f>求节点($D$5:$D$12,G$5:G$12,节奏预期!K63)</f>
        <v>4000</v>
      </c>
      <c r="O48" s="8">
        <f>求节点($D$5:$D$12,H$5:H$12,节奏预期!L63)</f>
        <v>20000</v>
      </c>
      <c r="P48" s="8">
        <f>SUMPRODUCT(节奏预期!E63:H63,L48:O48)</f>
        <v>0</v>
      </c>
      <c r="R48" s="5">
        <v>44</v>
      </c>
      <c r="S48" s="14">
        <f t="shared" si="0"/>
        <v>0</v>
      </c>
      <c r="T48" s="14">
        <f t="shared" si="1"/>
        <v>0</v>
      </c>
      <c r="U48" s="14">
        <f t="shared" si="2"/>
        <v>0</v>
      </c>
      <c r="V48" s="14">
        <f t="shared" si="3"/>
        <v>0</v>
      </c>
      <c r="W48" s="14">
        <f t="shared" si="4"/>
        <v>0</v>
      </c>
    </row>
    <row r="49" spans="10:23" x14ac:dyDescent="0.15">
      <c r="K49" s="8">
        <v>70</v>
      </c>
      <c r="L49" s="8">
        <f>求节点($D$5:$D$12,E$5:E$12,节奏预期!I64)</f>
        <v>1600</v>
      </c>
      <c r="M49" s="8">
        <f>求节点($D$5:$D$12,F$5:F$12,节奏预期!J64)</f>
        <v>4800</v>
      </c>
      <c r="N49" s="8">
        <f>求节点($D$5:$D$12,G$5:G$12,节奏预期!K64)</f>
        <v>4240.129563042763</v>
      </c>
      <c r="O49" s="8">
        <f>求节点($D$5:$D$12,H$5:H$12,节奏预期!L64)</f>
        <v>20000</v>
      </c>
      <c r="P49" s="8">
        <f>SUMPRODUCT(节奏预期!E64:H64,L49:O49)</f>
        <v>74401.29563042763</v>
      </c>
      <c r="R49" s="5">
        <v>45</v>
      </c>
      <c r="S49" s="14">
        <f t="shared" si="0"/>
        <v>0</v>
      </c>
      <c r="T49" s="14">
        <f t="shared" si="1"/>
        <v>0</v>
      </c>
      <c r="U49" s="14">
        <f t="shared" si="2"/>
        <v>0</v>
      </c>
      <c r="V49" s="14">
        <f t="shared" si="3"/>
        <v>0</v>
      </c>
      <c r="W49" s="14">
        <f t="shared" si="4"/>
        <v>0</v>
      </c>
    </row>
    <row r="50" spans="10:23" x14ac:dyDescent="0.15">
      <c r="K50" s="8">
        <v>80</v>
      </c>
      <c r="L50" s="8">
        <f>求节点($D$5:$D$12,E$5:E$12,节奏预期!I65)</f>
        <v>1600</v>
      </c>
      <c r="M50" s="8">
        <f>求节点($D$5:$D$12,F$5:F$12,节奏预期!J65)</f>
        <v>4800</v>
      </c>
      <c r="N50" s="8">
        <f>求节点($D$5:$D$12,G$5:G$12,节奏预期!K65)</f>
        <v>10851.930998886162</v>
      </c>
      <c r="O50" s="8">
        <f>求节点($D$5:$D$12,H$5:H$12,节奏预期!L65)</f>
        <v>20000</v>
      </c>
      <c r="P50" s="8">
        <f>SUMPRODUCT(节奏预期!E65:H65,L50:O50)</f>
        <v>153015.75917022623</v>
      </c>
      <c r="R50" s="5">
        <v>46</v>
      </c>
      <c r="S50" s="14">
        <f t="shared" si="0"/>
        <v>0</v>
      </c>
      <c r="T50" s="14">
        <f t="shared" si="1"/>
        <v>0</v>
      </c>
      <c r="U50" s="14">
        <f t="shared" si="2"/>
        <v>0</v>
      </c>
      <c r="V50" s="14">
        <f t="shared" si="3"/>
        <v>0</v>
      </c>
      <c r="W50" s="14">
        <f t="shared" si="4"/>
        <v>0</v>
      </c>
    </row>
    <row r="51" spans="10:23" x14ac:dyDescent="0.15">
      <c r="K51" s="8">
        <v>90</v>
      </c>
      <c r="L51" s="8">
        <f>求节点($D$5:$D$12,E$5:E$12,节奏预期!I66)</f>
        <v>1600</v>
      </c>
      <c r="M51" s="8">
        <f>求节点($D$5:$D$12,F$5:F$12,节奏预期!J66)</f>
        <v>4800</v>
      </c>
      <c r="N51" s="8">
        <f>求节点($D$5:$D$12,G$5:G$12,节奏预期!K66)</f>
        <v>21870.993991028339</v>
      </c>
      <c r="O51" s="8">
        <f>求节点($D$5:$D$12,H$5:H$12,节奏预期!L66)</f>
        <v>58394.472399035498</v>
      </c>
      <c r="P51" s="8">
        <f>SUMPRODUCT(节奏预期!E66:H66,L51:O51)</f>
        <v>309104.4123093189</v>
      </c>
      <c r="R51" s="5">
        <v>47</v>
      </c>
      <c r="S51" s="14">
        <f t="shared" si="0"/>
        <v>0</v>
      </c>
      <c r="T51" s="14">
        <f t="shared" si="1"/>
        <v>0</v>
      </c>
      <c r="U51" s="14">
        <f t="shared" si="2"/>
        <v>0</v>
      </c>
      <c r="V51" s="14">
        <f t="shared" si="3"/>
        <v>0</v>
      </c>
      <c r="W51" s="14">
        <f t="shared" si="4"/>
        <v>0</v>
      </c>
    </row>
    <row r="52" spans="10:23" x14ac:dyDescent="0.15">
      <c r="K52" s="8">
        <v>100</v>
      </c>
      <c r="L52" s="8">
        <f>求节点($D$5:$D$12,E$5:E$12,节奏预期!I67)</f>
        <v>1600</v>
      </c>
      <c r="M52" s="8">
        <f>求节点($D$5:$D$12,F$5:F$12,节奏预期!J67)</f>
        <v>4800</v>
      </c>
      <c r="N52" s="8">
        <f>求节点($D$5:$D$12,G$5:G$12,节奏预期!K67)</f>
        <v>32000</v>
      </c>
      <c r="O52" s="8">
        <f>求节点($D$5:$D$12,H$5:H$12,节奏预期!L67)</f>
        <v>160000</v>
      </c>
      <c r="P52" s="8">
        <f>SUMPRODUCT(节奏预期!E67:H67,L52:O52)</f>
        <v>512000</v>
      </c>
      <c r="R52" s="5">
        <v>48</v>
      </c>
      <c r="S52" s="14">
        <f t="shared" si="0"/>
        <v>0</v>
      </c>
      <c r="T52" s="14">
        <f t="shared" si="1"/>
        <v>0</v>
      </c>
      <c r="U52" s="14">
        <f t="shared" si="2"/>
        <v>0</v>
      </c>
      <c r="V52" s="14">
        <f t="shared" si="3"/>
        <v>0</v>
      </c>
      <c r="W52" s="14">
        <f t="shared" si="4"/>
        <v>0</v>
      </c>
    </row>
    <row r="53" spans="10:23" x14ac:dyDescent="0.15">
      <c r="K53" s="8">
        <v>110</v>
      </c>
      <c r="L53" s="8">
        <f>求节点($D$5:$D$12,E$5:E$12,节奏预期!I68)</f>
        <v>1600</v>
      </c>
      <c r="M53" s="8">
        <f>求节点($D$5:$D$12,F$5:F$12,节奏预期!J68)</f>
        <v>4800</v>
      </c>
      <c r="N53" s="8">
        <f>求节点($D$5:$D$12,G$5:G$12,节奏预期!K68)</f>
        <v>32000</v>
      </c>
      <c r="O53" s="8">
        <f>求节点($D$5:$D$12,H$5:H$12,节奏预期!L68)</f>
        <v>160000</v>
      </c>
      <c r="P53" s="8">
        <f>SUMPRODUCT(节奏预期!E68:H68,L53:O53)</f>
        <v>512000</v>
      </c>
      <c r="R53" s="5">
        <v>49</v>
      </c>
      <c r="S53" s="14">
        <f t="shared" si="0"/>
        <v>0</v>
      </c>
      <c r="T53" s="14">
        <f t="shared" si="1"/>
        <v>0</v>
      </c>
      <c r="U53" s="14">
        <f t="shared" si="2"/>
        <v>0</v>
      </c>
      <c r="V53" s="14">
        <f t="shared" si="3"/>
        <v>0</v>
      </c>
      <c r="W53" s="14">
        <f t="shared" si="4"/>
        <v>0</v>
      </c>
    </row>
    <row r="54" spans="10:23" x14ac:dyDescent="0.15">
      <c r="K54" s="8">
        <v>120</v>
      </c>
      <c r="L54" s="8">
        <f>求节点($D$5:$D$12,E$5:E$12,节奏预期!I69)</f>
        <v>1600</v>
      </c>
      <c r="M54" s="8">
        <f>求节点($D$5:$D$12,F$5:F$12,节奏预期!J69)</f>
        <v>4800</v>
      </c>
      <c r="N54" s="8">
        <f>求节点($D$5:$D$12,G$5:G$12,节奏预期!K69)</f>
        <v>32000</v>
      </c>
      <c r="O54" s="8">
        <f>求节点($D$5:$D$12,H$5:H$12,节奏预期!L69)</f>
        <v>160000</v>
      </c>
      <c r="P54" s="8">
        <f>SUMPRODUCT(节奏预期!E69:H69,L54:O54)</f>
        <v>512000</v>
      </c>
      <c r="R54" s="5">
        <v>50</v>
      </c>
      <c r="S54" s="14">
        <f t="shared" si="0"/>
        <v>0</v>
      </c>
      <c r="T54" s="14">
        <f t="shared" si="1"/>
        <v>0</v>
      </c>
      <c r="U54" s="14">
        <f t="shared" si="2"/>
        <v>0</v>
      </c>
      <c r="V54" s="14">
        <f t="shared" si="3"/>
        <v>0</v>
      </c>
      <c r="W54" s="14">
        <f t="shared" si="4"/>
        <v>0</v>
      </c>
    </row>
    <row r="55" spans="10:23" x14ac:dyDescent="0.15">
      <c r="K55" s="8">
        <v>130</v>
      </c>
      <c r="L55" s="8">
        <f>求节点($D$5:$D$12,E$5:E$12,节奏预期!I70)</f>
        <v>1600</v>
      </c>
      <c r="M55" s="8">
        <f>求节点($D$5:$D$12,F$5:F$12,节奏预期!J70)</f>
        <v>4800</v>
      </c>
      <c r="N55" s="8">
        <f>求节点($D$5:$D$12,G$5:G$12,节奏预期!K70)</f>
        <v>32000</v>
      </c>
      <c r="O55" s="8">
        <f>求节点($D$5:$D$12,H$5:H$12,节奏预期!L70)</f>
        <v>160000</v>
      </c>
      <c r="P55" s="8">
        <f>SUMPRODUCT(节奏预期!E70:H70,L55:O55)</f>
        <v>512000</v>
      </c>
      <c r="R55" s="5">
        <v>51</v>
      </c>
      <c r="S55" s="14">
        <f t="shared" si="0"/>
        <v>0</v>
      </c>
      <c r="T55" s="14">
        <f t="shared" si="1"/>
        <v>0</v>
      </c>
      <c r="U55" s="14">
        <f t="shared" si="2"/>
        <v>0</v>
      </c>
      <c r="V55" s="14">
        <f t="shared" si="3"/>
        <v>0</v>
      </c>
      <c r="W55" s="14">
        <f t="shared" si="4"/>
        <v>0</v>
      </c>
    </row>
    <row r="56" spans="10:23" x14ac:dyDescent="0.15">
      <c r="K56" s="8">
        <v>140</v>
      </c>
      <c r="L56" s="8">
        <f>求节点($D$5:$D$12,E$5:E$12,节奏预期!I71)</f>
        <v>1600</v>
      </c>
      <c r="M56" s="8">
        <f>求节点($D$5:$D$12,F$5:F$12,节奏预期!J71)</f>
        <v>4800</v>
      </c>
      <c r="N56" s="8">
        <f>求节点($D$5:$D$12,G$5:G$12,节奏预期!K71)</f>
        <v>32000</v>
      </c>
      <c r="O56" s="8">
        <f>求节点($D$5:$D$12,H$5:H$12,节奏预期!L71)</f>
        <v>160000</v>
      </c>
      <c r="P56" s="8">
        <f>SUMPRODUCT(节奏预期!E71:H71,L56:O56)</f>
        <v>512000</v>
      </c>
      <c r="R56" s="5">
        <v>52</v>
      </c>
      <c r="S56" s="14">
        <f t="shared" si="0"/>
        <v>0</v>
      </c>
      <c r="T56" s="14">
        <f t="shared" si="1"/>
        <v>0</v>
      </c>
      <c r="U56" s="14">
        <f t="shared" si="2"/>
        <v>0</v>
      </c>
      <c r="V56" s="14">
        <f t="shared" si="3"/>
        <v>0</v>
      </c>
      <c r="W56" s="14">
        <f t="shared" si="4"/>
        <v>0</v>
      </c>
    </row>
    <row r="57" spans="10:23" x14ac:dyDescent="0.15">
      <c r="K57" s="8">
        <v>150</v>
      </c>
      <c r="L57" s="8">
        <f>求节点($D$5:$D$12,E$5:E$12,节奏预期!I72)</f>
        <v>1600</v>
      </c>
      <c r="M57" s="8">
        <f>求节点($D$5:$D$12,F$5:F$12,节奏预期!J72)</f>
        <v>4800</v>
      </c>
      <c r="N57" s="8">
        <f>求节点($D$5:$D$12,G$5:G$12,节奏预期!K72)</f>
        <v>32000</v>
      </c>
      <c r="O57" s="8">
        <f>求节点($D$5:$D$12,H$5:H$12,节奏预期!L72)</f>
        <v>160000</v>
      </c>
      <c r="P57" s="8">
        <f>SUMPRODUCT(节奏预期!E72:H72,L57:O57)</f>
        <v>512000</v>
      </c>
      <c r="R57" s="5">
        <v>53</v>
      </c>
      <c r="S57" s="14">
        <f t="shared" si="0"/>
        <v>0</v>
      </c>
      <c r="T57" s="14">
        <f t="shared" si="1"/>
        <v>0</v>
      </c>
      <c r="U57" s="14">
        <f t="shared" si="2"/>
        <v>0</v>
      </c>
      <c r="V57" s="14">
        <f t="shared" si="3"/>
        <v>0</v>
      </c>
      <c r="W57" s="14">
        <f t="shared" si="4"/>
        <v>0</v>
      </c>
    </row>
    <row r="58" spans="10:23" x14ac:dyDescent="0.15">
      <c r="K58" s="8">
        <v>160</v>
      </c>
      <c r="L58" s="8">
        <f>求节点($D$5:$D$12,E$5:E$12,节奏预期!I73)</f>
        <v>1600</v>
      </c>
      <c r="M58" s="8">
        <f>求节点($D$5:$D$12,F$5:F$12,节奏预期!J73)</f>
        <v>4800</v>
      </c>
      <c r="N58" s="8">
        <f>求节点($D$5:$D$12,G$5:G$12,节奏预期!K73)</f>
        <v>32000</v>
      </c>
      <c r="O58" s="8">
        <f>求节点($D$5:$D$12,H$5:H$12,节奏预期!L73)</f>
        <v>160000</v>
      </c>
      <c r="P58" s="8">
        <f>SUMPRODUCT(节奏预期!E73:H73,L58:O58)</f>
        <v>512000</v>
      </c>
      <c r="R58" s="5">
        <v>54</v>
      </c>
      <c r="S58" s="14">
        <f t="shared" si="0"/>
        <v>0</v>
      </c>
      <c r="T58" s="14">
        <f t="shared" si="1"/>
        <v>0</v>
      </c>
      <c r="U58" s="14">
        <f t="shared" si="2"/>
        <v>0</v>
      </c>
      <c r="V58" s="14">
        <f t="shared" si="3"/>
        <v>0</v>
      </c>
      <c r="W58" s="14">
        <f t="shared" si="4"/>
        <v>0</v>
      </c>
    </row>
    <row r="59" spans="10:23" x14ac:dyDescent="0.15">
      <c r="R59" s="5">
        <v>55</v>
      </c>
      <c r="S59" s="14">
        <f t="shared" si="0"/>
        <v>0</v>
      </c>
      <c r="T59" s="14">
        <f t="shared" si="1"/>
        <v>0</v>
      </c>
      <c r="U59" s="14">
        <f t="shared" si="2"/>
        <v>0</v>
      </c>
      <c r="V59" s="14">
        <f t="shared" si="3"/>
        <v>0</v>
      </c>
      <c r="W59" s="14">
        <f t="shared" si="4"/>
        <v>0</v>
      </c>
    </row>
    <row r="60" spans="10:23" x14ac:dyDescent="0.15">
      <c r="K60" s="8"/>
      <c r="L60" s="53" t="s">
        <v>310</v>
      </c>
      <c r="M60" s="53"/>
      <c r="N60" s="53"/>
      <c r="O60" s="53"/>
      <c r="P60" s="63" t="s">
        <v>311</v>
      </c>
      <c r="R60" s="5">
        <v>56</v>
      </c>
      <c r="S60" s="14">
        <f t="shared" si="0"/>
        <v>0</v>
      </c>
      <c r="T60" s="14">
        <f t="shared" si="1"/>
        <v>0</v>
      </c>
      <c r="U60" s="14">
        <f t="shared" si="2"/>
        <v>0</v>
      </c>
      <c r="V60" s="14">
        <f t="shared" si="3"/>
        <v>0</v>
      </c>
      <c r="W60" s="14">
        <f t="shared" si="4"/>
        <v>0</v>
      </c>
    </row>
    <row r="61" spans="10:23" x14ac:dyDescent="0.15">
      <c r="J61" s="5" t="s">
        <v>130</v>
      </c>
      <c r="K61" s="8" t="s">
        <v>141</v>
      </c>
      <c r="L61" s="8" t="s">
        <v>0</v>
      </c>
      <c r="M61" s="8" t="s">
        <v>1</v>
      </c>
      <c r="N61" s="8" t="s">
        <v>2</v>
      </c>
      <c r="O61" s="8" t="s">
        <v>3</v>
      </c>
      <c r="P61" s="64"/>
      <c r="R61" s="5">
        <v>57</v>
      </c>
      <c r="S61" s="14">
        <f t="shared" si="0"/>
        <v>0</v>
      </c>
      <c r="T61" s="14">
        <f t="shared" si="1"/>
        <v>0</v>
      </c>
      <c r="U61" s="14">
        <f t="shared" si="2"/>
        <v>0</v>
      </c>
      <c r="V61" s="14">
        <f t="shared" si="3"/>
        <v>0</v>
      </c>
      <c r="W61" s="14">
        <f t="shared" si="4"/>
        <v>0</v>
      </c>
    </row>
    <row r="62" spans="10:23" x14ac:dyDescent="0.15">
      <c r="K62" s="8">
        <v>10</v>
      </c>
      <c r="L62" s="8">
        <f>求节点($D$5:$D$12,E$5:E$12,节奏预期!I77)</f>
        <v>400</v>
      </c>
      <c r="M62" s="8">
        <f>求节点($D$5:$D$12,F$5:F$12,节奏预期!J77)</f>
        <v>800</v>
      </c>
      <c r="N62" s="8">
        <f>求节点($D$5:$D$12,G$5:G$12,节奏预期!K77)</f>
        <v>4000</v>
      </c>
      <c r="O62" s="8">
        <f>求节点($D$5:$D$12,H$5:H$12,节奏预期!L77)</f>
        <v>20000</v>
      </c>
      <c r="P62" s="8">
        <f>SUMPRODUCT(节奏预期!E77:H77,L62:O62)</f>
        <v>0</v>
      </c>
      <c r="R62" s="5">
        <v>58</v>
      </c>
      <c r="S62" s="14">
        <f t="shared" si="0"/>
        <v>0</v>
      </c>
      <c r="T62" s="14">
        <f t="shared" si="1"/>
        <v>0</v>
      </c>
      <c r="U62" s="14">
        <f t="shared" si="2"/>
        <v>0</v>
      </c>
      <c r="V62" s="14">
        <f t="shared" si="3"/>
        <v>0</v>
      </c>
      <c r="W62" s="14">
        <f t="shared" si="4"/>
        <v>0</v>
      </c>
    </row>
    <row r="63" spans="10:23" x14ac:dyDescent="0.15">
      <c r="K63" s="8">
        <v>20</v>
      </c>
      <c r="L63" s="8">
        <f>求节点($D$5:$D$12,E$5:E$12,节奏预期!I78)</f>
        <v>400</v>
      </c>
      <c r="M63" s="8">
        <f>求节点($D$5:$D$12,F$5:F$12,节奏预期!J78)</f>
        <v>800</v>
      </c>
      <c r="N63" s="8">
        <f>求节点($D$5:$D$12,G$5:G$12,节奏预期!K78)</f>
        <v>4000</v>
      </c>
      <c r="O63" s="8">
        <f>求节点($D$5:$D$12,H$5:H$12,节奏预期!L78)</f>
        <v>20000</v>
      </c>
      <c r="P63" s="8">
        <f>SUMPRODUCT(节奏预期!E78:H78,L63:O63)</f>
        <v>0</v>
      </c>
      <c r="R63" s="5">
        <v>59</v>
      </c>
      <c r="S63" s="14">
        <f t="shared" si="0"/>
        <v>0</v>
      </c>
      <c r="T63" s="14">
        <f t="shared" si="1"/>
        <v>0</v>
      </c>
      <c r="U63" s="14">
        <f t="shared" si="2"/>
        <v>0</v>
      </c>
      <c r="V63" s="14">
        <f t="shared" si="3"/>
        <v>0</v>
      </c>
      <c r="W63" s="14">
        <f t="shared" si="4"/>
        <v>0</v>
      </c>
    </row>
    <row r="64" spans="10:23" x14ac:dyDescent="0.15">
      <c r="K64" s="8">
        <v>30</v>
      </c>
      <c r="L64" s="8">
        <f>求节点($D$5:$D$12,E$5:E$12,节奏预期!I79)</f>
        <v>400</v>
      </c>
      <c r="M64" s="8">
        <f>求节点($D$5:$D$12,F$5:F$12,节奏预期!J79)</f>
        <v>800</v>
      </c>
      <c r="N64" s="8">
        <f>求节点($D$5:$D$12,G$5:G$12,节奏预期!K79)</f>
        <v>4000</v>
      </c>
      <c r="O64" s="8">
        <f>求节点($D$5:$D$12,H$5:H$12,节奏预期!L79)</f>
        <v>20000</v>
      </c>
      <c r="P64" s="8">
        <f>SUMPRODUCT(节奏预期!E79:H79,L64:O64)</f>
        <v>0</v>
      </c>
      <c r="R64" s="5">
        <v>60</v>
      </c>
      <c r="S64" s="14">
        <f t="shared" si="0"/>
        <v>0</v>
      </c>
      <c r="T64" s="14">
        <f t="shared" si="1"/>
        <v>0</v>
      </c>
      <c r="U64" s="14">
        <f t="shared" si="2"/>
        <v>0</v>
      </c>
      <c r="V64" s="14">
        <f t="shared" si="3"/>
        <v>0</v>
      </c>
      <c r="W64" s="14">
        <f t="shared" si="4"/>
        <v>0</v>
      </c>
    </row>
    <row r="65" spans="10:23" x14ac:dyDescent="0.15">
      <c r="K65" s="8">
        <v>40</v>
      </c>
      <c r="L65" s="8">
        <f>求节点($D$5:$D$12,E$5:E$12,节奏预期!I80)</f>
        <v>400</v>
      </c>
      <c r="M65" s="8">
        <f>求节点($D$5:$D$12,F$5:F$12,节奏预期!J80)</f>
        <v>800</v>
      </c>
      <c r="N65" s="8">
        <f>求节点($D$5:$D$12,G$5:G$12,节奏预期!K80)</f>
        <v>4000</v>
      </c>
      <c r="O65" s="8">
        <f>求节点($D$5:$D$12,H$5:H$12,节奏预期!L80)</f>
        <v>20000</v>
      </c>
      <c r="P65" s="8">
        <f>SUMPRODUCT(节奏预期!E80:H80,L65:O65)</f>
        <v>0</v>
      </c>
      <c r="R65" s="5">
        <v>61</v>
      </c>
      <c r="S65" s="14">
        <f t="shared" si="0"/>
        <v>4017</v>
      </c>
      <c r="T65" s="14">
        <f t="shared" si="1"/>
        <v>5272</v>
      </c>
      <c r="U65" s="14">
        <f t="shared" si="2"/>
        <v>7440</v>
      </c>
      <c r="V65" s="14">
        <f t="shared" si="3"/>
        <v>11203</v>
      </c>
      <c r="W65" s="14">
        <f t="shared" si="4"/>
        <v>13186</v>
      </c>
    </row>
    <row r="66" spans="10:23" x14ac:dyDescent="0.15">
      <c r="K66" s="8">
        <v>50</v>
      </c>
      <c r="L66" s="8">
        <f>求节点($D$5:$D$12,E$5:E$12,节奏预期!I81)</f>
        <v>400</v>
      </c>
      <c r="M66" s="8">
        <f>求节点($D$5:$D$12,F$5:F$12,节奏预期!J81)</f>
        <v>800</v>
      </c>
      <c r="N66" s="8">
        <f>求节点($D$5:$D$12,G$5:G$12,节奏预期!K81)</f>
        <v>4000</v>
      </c>
      <c r="O66" s="8">
        <f>求节点($D$5:$D$12,H$5:H$12,节奏预期!L81)</f>
        <v>20000</v>
      </c>
      <c r="P66" s="8">
        <f>SUMPRODUCT(节奏预期!E81:H81,L66:O66)</f>
        <v>0</v>
      </c>
      <c r="R66" s="5">
        <v>62</v>
      </c>
      <c r="S66" s="14">
        <f t="shared" si="0"/>
        <v>8035</v>
      </c>
      <c r="T66" s="14">
        <f t="shared" si="1"/>
        <v>10545</v>
      </c>
      <c r="U66" s="14">
        <f t="shared" si="2"/>
        <v>14880</v>
      </c>
      <c r="V66" s="14">
        <f t="shared" si="3"/>
        <v>22405</v>
      </c>
      <c r="W66" s="14">
        <f t="shared" si="4"/>
        <v>26372</v>
      </c>
    </row>
    <row r="67" spans="10:23" x14ac:dyDescent="0.15">
      <c r="K67" s="8">
        <v>60</v>
      </c>
      <c r="L67" s="8">
        <f>求节点($D$5:$D$12,E$5:E$12,节奏预期!I82)</f>
        <v>400</v>
      </c>
      <c r="M67" s="8">
        <f>求节点($D$5:$D$12,F$5:F$12,节奏预期!J82)</f>
        <v>800</v>
      </c>
      <c r="N67" s="8">
        <f>求节点($D$5:$D$12,G$5:G$12,节奏预期!K82)</f>
        <v>4000</v>
      </c>
      <c r="O67" s="8">
        <f>求节点($D$5:$D$12,H$5:H$12,节奏预期!L82)</f>
        <v>20000</v>
      </c>
      <c r="P67" s="8">
        <f>SUMPRODUCT(节奏预期!E82:H82,L67:O67)</f>
        <v>0</v>
      </c>
      <c r="R67" s="5">
        <v>63</v>
      </c>
      <c r="S67" s="14">
        <f t="shared" si="0"/>
        <v>12052</v>
      </c>
      <c r="T67" s="14">
        <f t="shared" si="1"/>
        <v>15817</v>
      </c>
      <c r="U67" s="14">
        <f t="shared" si="2"/>
        <v>22320</v>
      </c>
      <c r="V67" s="14">
        <f t="shared" si="3"/>
        <v>33608</v>
      </c>
      <c r="W67" s="14">
        <f t="shared" si="4"/>
        <v>39558</v>
      </c>
    </row>
    <row r="68" spans="10:23" x14ac:dyDescent="0.15">
      <c r="K68" s="8">
        <v>70</v>
      </c>
      <c r="L68" s="8">
        <f>求节点($D$5:$D$12,E$5:E$12,节奏预期!I83)</f>
        <v>1600</v>
      </c>
      <c r="M68" s="8">
        <f>求节点($D$5:$D$12,F$5:F$12,节奏预期!J83)</f>
        <v>4800</v>
      </c>
      <c r="N68" s="8">
        <f>求节点($D$5:$D$12,G$5:G$12,节奏预期!K83)</f>
        <v>8002.6656466035429</v>
      </c>
      <c r="O68" s="8">
        <f>求节点($D$5:$D$12,H$5:H$12,节奏预期!L83)</f>
        <v>20000</v>
      </c>
      <c r="P68" s="8">
        <f>SUMPRODUCT(节奏预期!E83:H83,L68:O68)</f>
        <v>112026.65646603543</v>
      </c>
      <c r="R68" s="5">
        <v>64</v>
      </c>
      <c r="S68" s="14">
        <f t="shared" si="0"/>
        <v>16070</v>
      </c>
      <c r="T68" s="14">
        <f t="shared" si="1"/>
        <v>21089</v>
      </c>
      <c r="U68" s="14">
        <f t="shared" si="2"/>
        <v>29761</v>
      </c>
      <c r="V68" s="14">
        <f t="shared" si="3"/>
        <v>44811</v>
      </c>
      <c r="W68" s="14">
        <f t="shared" si="4"/>
        <v>52744</v>
      </c>
    </row>
    <row r="69" spans="10:23" x14ac:dyDescent="0.15">
      <c r="K69" s="8">
        <v>80</v>
      </c>
      <c r="L69" s="8">
        <f>求节点($D$5:$D$12,E$5:E$12,节奏预期!I84)</f>
        <v>1600</v>
      </c>
      <c r="M69" s="8">
        <f>求节点($D$5:$D$12,F$5:F$12,节奏预期!J84)</f>
        <v>4800</v>
      </c>
      <c r="N69" s="8">
        <f>求节点($D$5:$D$12,G$5:G$12,节奏预期!K84)</f>
        <v>21319.517207775709</v>
      </c>
      <c r="O69" s="8">
        <f>求节点($D$5:$D$12,H$5:H$12,节奏预期!L84)</f>
        <v>39584.455671525531</v>
      </c>
      <c r="P69" s="8">
        <f>SUMPRODUCT(节奏预期!E84:H84,L69:O69)</f>
        <v>284779.62774928263</v>
      </c>
      <c r="R69" s="5">
        <v>65</v>
      </c>
      <c r="S69" s="14">
        <f t="shared" si="0"/>
        <v>20087</v>
      </c>
      <c r="T69" s="14">
        <f t="shared" si="1"/>
        <v>26361</v>
      </c>
      <c r="U69" s="14">
        <f t="shared" si="2"/>
        <v>37201</v>
      </c>
      <c r="V69" s="14">
        <f t="shared" si="3"/>
        <v>56013</v>
      </c>
      <c r="W69" s="14">
        <f t="shared" si="4"/>
        <v>65930</v>
      </c>
    </row>
    <row r="70" spans="10:23" x14ac:dyDescent="0.15">
      <c r="K70" s="8">
        <v>90</v>
      </c>
      <c r="L70" s="8">
        <f>求节点($D$5:$D$12,E$5:E$12,节奏预期!I85)</f>
        <v>1600</v>
      </c>
      <c r="M70" s="8">
        <f>求节点($D$5:$D$12,F$5:F$12,节奏预期!J85)</f>
        <v>4800</v>
      </c>
      <c r="N70" s="8">
        <f>求节点($D$5:$D$12,G$5:G$12,节奏预期!K85)</f>
        <v>32000</v>
      </c>
      <c r="O70" s="8">
        <f>求节点($D$5:$D$12,H$5:H$12,节奏预期!L85)</f>
        <v>160000</v>
      </c>
      <c r="P70" s="8">
        <f>SUMPRODUCT(节奏预期!E85:H85,L70:O70)</f>
        <v>512000</v>
      </c>
      <c r="R70" s="5">
        <v>66</v>
      </c>
      <c r="S70" s="14">
        <f t="shared" ref="S70:S133" si="5">ROUND(求节点($K$5:$K$20,$P$5:$P$20,$R70),0)</f>
        <v>24105</v>
      </c>
      <c r="T70" s="14">
        <f t="shared" ref="T70:T133" si="6">ROUND(求节点($K$24:$K$39,$P$24:$P$39,$R70),0)</f>
        <v>31634</v>
      </c>
      <c r="U70" s="14">
        <f t="shared" ref="U70:U133" si="7">ROUND(求节点($K$43:$K$58,$P$43:$P$58,$R70),0)</f>
        <v>44641</v>
      </c>
      <c r="V70" s="14">
        <f t="shared" ref="V70:V133" si="8">ROUND(求节点($K$62:$K$77,$P$62:$P$77,$R70),0)</f>
        <v>67216</v>
      </c>
      <c r="W70" s="14">
        <f t="shared" ref="W70:W133" si="9">ROUND(求节点($K$81:$K$96,$P$81:$P$96,$R70),0)</f>
        <v>79115</v>
      </c>
    </row>
    <row r="71" spans="10:23" x14ac:dyDescent="0.15">
      <c r="K71" s="8">
        <v>100</v>
      </c>
      <c r="L71" s="8">
        <f>求节点($D$5:$D$12,E$5:E$12,节奏预期!I86)</f>
        <v>1600</v>
      </c>
      <c r="M71" s="8">
        <f>求节点($D$5:$D$12,F$5:F$12,节奏预期!J86)</f>
        <v>4800</v>
      </c>
      <c r="N71" s="8">
        <f>求节点($D$5:$D$12,G$5:G$12,节奏预期!K86)</f>
        <v>32000</v>
      </c>
      <c r="O71" s="8">
        <f>求节点($D$5:$D$12,H$5:H$12,节奏预期!L86)</f>
        <v>160000</v>
      </c>
      <c r="P71" s="8">
        <f>SUMPRODUCT(节奏预期!E86:H86,L71:O71)</f>
        <v>512000</v>
      </c>
      <c r="R71" s="5">
        <v>67</v>
      </c>
      <c r="S71" s="14">
        <f t="shared" si="5"/>
        <v>28122</v>
      </c>
      <c r="T71" s="14">
        <f t="shared" si="6"/>
        <v>36906</v>
      </c>
      <c r="U71" s="14">
        <f t="shared" si="7"/>
        <v>52081</v>
      </c>
      <c r="V71" s="14">
        <f t="shared" si="8"/>
        <v>78419</v>
      </c>
      <c r="W71" s="14">
        <f t="shared" si="9"/>
        <v>92301</v>
      </c>
    </row>
    <row r="72" spans="10:23" x14ac:dyDescent="0.15">
      <c r="K72" s="8">
        <v>110</v>
      </c>
      <c r="L72" s="8">
        <f>求节点($D$5:$D$12,E$5:E$12,节奏预期!I87)</f>
        <v>1600</v>
      </c>
      <c r="M72" s="8">
        <f>求节点($D$5:$D$12,F$5:F$12,节奏预期!J87)</f>
        <v>4800</v>
      </c>
      <c r="N72" s="8">
        <f>求节点($D$5:$D$12,G$5:G$12,节奏预期!K87)</f>
        <v>32000</v>
      </c>
      <c r="O72" s="8">
        <f>求节点($D$5:$D$12,H$5:H$12,节奏预期!L87)</f>
        <v>160000</v>
      </c>
      <c r="P72" s="8">
        <f>SUMPRODUCT(节奏预期!E87:H87,L72:O72)</f>
        <v>512000</v>
      </c>
      <c r="R72" s="5">
        <v>68</v>
      </c>
      <c r="S72" s="14">
        <f t="shared" si="5"/>
        <v>32140</v>
      </c>
      <c r="T72" s="14">
        <f t="shared" si="6"/>
        <v>42178</v>
      </c>
      <c r="U72" s="14">
        <f t="shared" si="7"/>
        <v>59521</v>
      </c>
      <c r="V72" s="14">
        <f t="shared" si="8"/>
        <v>89621</v>
      </c>
      <c r="W72" s="14">
        <f t="shared" si="9"/>
        <v>105487</v>
      </c>
    </row>
    <row r="73" spans="10:23" x14ac:dyDescent="0.15">
      <c r="K73" s="8">
        <v>120</v>
      </c>
      <c r="L73" s="8">
        <f>求节点($D$5:$D$12,E$5:E$12,节奏预期!I88)</f>
        <v>1600</v>
      </c>
      <c r="M73" s="8">
        <f>求节点($D$5:$D$12,F$5:F$12,节奏预期!J88)</f>
        <v>4800</v>
      </c>
      <c r="N73" s="8">
        <f>求节点($D$5:$D$12,G$5:G$12,节奏预期!K88)</f>
        <v>32000</v>
      </c>
      <c r="O73" s="8">
        <f>求节点($D$5:$D$12,H$5:H$12,节奏预期!L88)</f>
        <v>160000</v>
      </c>
      <c r="P73" s="8">
        <f>SUMPRODUCT(节奏预期!E88:H88,L73:O73)</f>
        <v>512000</v>
      </c>
      <c r="R73" s="5">
        <v>69</v>
      </c>
      <c r="S73" s="14">
        <f t="shared" si="5"/>
        <v>36157</v>
      </c>
      <c r="T73" s="14">
        <f t="shared" si="6"/>
        <v>47450</v>
      </c>
      <c r="U73" s="14">
        <f t="shared" si="7"/>
        <v>66961</v>
      </c>
      <c r="V73" s="14">
        <f t="shared" si="8"/>
        <v>100824</v>
      </c>
      <c r="W73" s="14">
        <f t="shared" si="9"/>
        <v>118673</v>
      </c>
    </row>
    <row r="74" spans="10:23" x14ac:dyDescent="0.15">
      <c r="K74" s="8">
        <v>130</v>
      </c>
      <c r="L74" s="8">
        <f>求节点($D$5:$D$12,E$5:E$12,节奏预期!I89)</f>
        <v>1600</v>
      </c>
      <c r="M74" s="8">
        <f>求节点($D$5:$D$12,F$5:F$12,节奏预期!J89)</f>
        <v>4800</v>
      </c>
      <c r="N74" s="8">
        <f>求节点($D$5:$D$12,G$5:G$12,节奏预期!K89)</f>
        <v>32000</v>
      </c>
      <c r="O74" s="8">
        <f>求节点($D$5:$D$12,H$5:H$12,节奏预期!L89)</f>
        <v>160000</v>
      </c>
      <c r="P74" s="8">
        <f>SUMPRODUCT(节奏预期!E89:H89,L74:O74)</f>
        <v>512000</v>
      </c>
      <c r="R74" s="5">
        <v>70</v>
      </c>
      <c r="S74" s="14">
        <f t="shared" si="5"/>
        <v>40175</v>
      </c>
      <c r="T74" s="14">
        <f t="shared" si="6"/>
        <v>52723</v>
      </c>
      <c r="U74" s="14">
        <f t="shared" si="7"/>
        <v>74401</v>
      </c>
      <c r="V74" s="14">
        <f t="shared" si="8"/>
        <v>112027</v>
      </c>
      <c r="W74" s="14">
        <f t="shared" si="9"/>
        <v>131859</v>
      </c>
    </row>
    <row r="75" spans="10:23" x14ac:dyDescent="0.15">
      <c r="K75" s="8">
        <v>140</v>
      </c>
      <c r="L75" s="8">
        <f>求节点($D$5:$D$12,E$5:E$12,节奏预期!I90)</f>
        <v>1600</v>
      </c>
      <c r="M75" s="8">
        <f>求节点($D$5:$D$12,F$5:F$12,节奏预期!J90)</f>
        <v>4800</v>
      </c>
      <c r="N75" s="8">
        <f>求节点($D$5:$D$12,G$5:G$12,节奏预期!K90)</f>
        <v>32000</v>
      </c>
      <c r="O75" s="8">
        <f>求节点($D$5:$D$12,H$5:H$12,节奏预期!L90)</f>
        <v>160000</v>
      </c>
      <c r="P75" s="8">
        <f>SUMPRODUCT(节奏预期!E90:H90,L75:O75)</f>
        <v>512000</v>
      </c>
      <c r="R75" s="5">
        <v>71</v>
      </c>
      <c r="S75" s="14">
        <f t="shared" si="5"/>
        <v>45355</v>
      </c>
      <c r="T75" s="14">
        <f t="shared" si="6"/>
        <v>58706</v>
      </c>
      <c r="U75" s="14">
        <f t="shared" si="7"/>
        <v>82263</v>
      </c>
      <c r="V75" s="14">
        <f t="shared" si="8"/>
        <v>129302</v>
      </c>
      <c r="W75" s="14">
        <f t="shared" si="9"/>
        <v>157105</v>
      </c>
    </row>
    <row r="76" spans="10:23" x14ac:dyDescent="0.15">
      <c r="K76" s="8">
        <v>150</v>
      </c>
      <c r="L76" s="8">
        <f>求节点($D$5:$D$12,E$5:E$12,节奏预期!I91)</f>
        <v>1600</v>
      </c>
      <c r="M76" s="8">
        <f>求节点($D$5:$D$12,F$5:F$12,节奏预期!J91)</f>
        <v>4800</v>
      </c>
      <c r="N76" s="8">
        <f>求节点($D$5:$D$12,G$5:G$12,节奏预期!K91)</f>
        <v>32000</v>
      </c>
      <c r="O76" s="8">
        <f>求节点($D$5:$D$12,H$5:H$12,节奏预期!L91)</f>
        <v>160000</v>
      </c>
      <c r="P76" s="8">
        <f>SUMPRODUCT(节奏预期!E91:H91,L76:O76)</f>
        <v>512000</v>
      </c>
      <c r="R76" s="5">
        <v>72</v>
      </c>
      <c r="S76" s="14">
        <f t="shared" si="5"/>
        <v>50535</v>
      </c>
      <c r="T76" s="14">
        <f t="shared" si="6"/>
        <v>64690</v>
      </c>
      <c r="U76" s="14">
        <f t="shared" si="7"/>
        <v>90124</v>
      </c>
      <c r="V76" s="14">
        <f t="shared" si="8"/>
        <v>146577</v>
      </c>
      <c r="W76" s="14">
        <f t="shared" si="9"/>
        <v>182350</v>
      </c>
    </row>
    <row r="77" spans="10:23" x14ac:dyDescent="0.15">
      <c r="K77" s="8">
        <v>160</v>
      </c>
      <c r="L77" s="8">
        <f>求节点($D$5:$D$12,E$5:E$12,节奏预期!I92)</f>
        <v>1600</v>
      </c>
      <c r="M77" s="8">
        <f>求节点($D$5:$D$12,F$5:F$12,节奏预期!J92)</f>
        <v>4800</v>
      </c>
      <c r="N77" s="8">
        <f>求节点($D$5:$D$12,G$5:G$12,节奏预期!K92)</f>
        <v>32000</v>
      </c>
      <c r="O77" s="8">
        <f>求节点($D$5:$D$12,H$5:H$12,节奏预期!L92)</f>
        <v>160000</v>
      </c>
      <c r="P77" s="8">
        <f>SUMPRODUCT(节奏预期!E92:H92,L77:O77)</f>
        <v>512000</v>
      </c>
      <c r="R77" s="5">
        <v>73</v>
      </c>
      <c r="S77" s="14">
        <f t="shared" si="5"/>
        <v>55715</v>
      </c>
      <c r="T77" s="14">
        <f t="shared" si="6"/>
        <v>70674</v>
      </c>
      <c r="U77" s="14">
        <f t="shared" si="7"/>
        <v>97986</v>
      </c>
      <c r="V77" s="14">
        <f t="shared" si="8"/>
        <v>163853</v>
      </c>
      <c r="W77" s="14">
        <f t="shared" si="9"/>
        <v>207595</v>
      </c>
    </row>
    <row r="78" spans="10:23" x14ac:dyDescent="0.15">
      <c r="R78" s="5">
        <v>74</v>
      </c>
      <c r="S78" s="14">
        <f t="shared" si="5"/>
        <v>60895</v>
      </c>
      <c r="T78" s="14">
        <f t="shared" si="6"/>
        <v>76658</v>
      </c>
      <c r="U78" s="14">
        <f t="shared" si="7"/>
        <v>105847</v>
      </c>
      <c r="V78" s="14">
        <f t="shared" si="8"/>
        <v>181128</v>
      </c>
      <c r="W78" s="14">
        <f t="shared" si="9"/>
        <v>232841</v>
      </c>
    </row>
    <row r="79" spans="10:23" x14ac:dyDescent="0.15">
      <c r="K79" s="8"/>
      <c r="L79" s="53" t="s">
        <v>310</v>
      </c>
      <c r="M79" s="53"/>
      <c r="N79" s="53"/>
      <c r="O79" s="53"/>
      <c r="P79" s="63" t="s">
        <v>311</v>
      </c>
      <c r="R79" s="5">
        <v>75</v>
      </c>
      <c r="S79" s="14">
        <f t="shared" si="5"/>
        <v>66076</v>
      </c>
      <c r="T79" s="14">
        <f t="shared" si="6"/>
        <v>82642</v>
      </c>
      <c r="U79" s="14">
        <f t="shared" si="7"/>
        <v>113709</v>
      </c>
      <c r="V79" s="14">
        <f t="shared" si="8"/>
        <v>198403</v>
      </c>
      <c r="W79" s="14">
        <f t="shared" si="9"/>
        <v>258086</v>
      </c>
    </row>
    <row r="80" spans="10:23" x14ac:dyDescent="0.15">
      <c r="J80" s="5" t="s">
        <v>131</v>
      </c>
      <c r="K80" s="8" t="s">
        <v>141</v>
      </c>
      <c r="L80" s="8" t="s">
        <v>0</v>
      </c>
      <c r="M80" s="8" t="s">
        <v>1</v>
      </c>
      <c r="N80" s="8" t="s">
        <v>2</v>
      </c>
      <c r="O80" s="8" t="s">
        <v>3</v>
      </c>
      <c r="P80" s="64"/>
      <c r="R80" s="5">
        <v>76</v>
      </c>
      <c r="S80" s="14">
        <f t="shared" si="5"/>
        <v>71256</v>
      </c>
      <c r="T80" s="14">
        <f t="shared" si="6"/>
        <v>88626</v>
      </c>
      <c r="U80" s="14">
        <f t="shared" si="7"/>
        <v>121570</v>
      </c>
      <c r="V80" s="14">
        <f t="shared" si="8"/>
        <v>215678</v>
      </c>
      <c r="W80" s="14">
        <f t="shared" si="9"/>
        <v>283332</v>
      </c>
    </row>
    <row r="81" spans="11:23" x14ac:dyDescent="0.15">
      <c r="K81" s="8">
        <v>10</v>
      </c>
      <c r="L81" s="8">
        <f>求节点($D$5:$D$12,E$5:E$12,节奏预期!I96)</f>
        <v>400</v>
      </c>
      <c r="M81" s="8">
        <f>求节点($D$5:$D$12,F$5:F$12,节奏预期!J96)</f>
        <v>800</v>
      </c>
      <c r="N81" s="8">
        <f>求节点($D$5:$D$12,G$5:G$12,节奏预期!K96)</f>
        <v>4000</v>
      </c>
      <c r="O81" s="8">
        <f>求节点($D$5:$D$12,H$5:H$12,节奏预期!L96)</f>
        <v>20000</v>
      </c>
      <c r="P81" s="8">
        <f>SUMPRODUCT(节奏预期!E96:H96,L81:O81)</f>
        <v>0</v>
      </c>
      <c r="R81" s="5">
        <v>77</v>
      </c>
      <c r="S81" s="14">
        <f t="shared" si="5"/>
        <v>76436</v>
      </c>
      <c r="T81" s="14">
        <f t="shared" si="6"/>
        <v>94610</v>
      </c>
      <c r="U81" s="14">
        <f t="shared" si="7"/>
        <v>129431</v>
      </c>
      <c r="V81" s="14">
        <f t="shared" si="8"/>
        <v>232954</v>
      </c>
      <c r="W81" s="14">
        <f t="shared" si="9"/>
        <v>308577</v>
      </c>
    </row>
    <row r="82" spans="11:23" x14ac:dyDescent="0.15">
      <c r="K82" s="8">
        <v>20</v>
      </c>
      <c r="L82" s="8">
        <f>求节点($D$5:$D$12,E$5:E$12,节奏预期!I97)</f>
        <v>400</v>
      </c>
      <c r="M82" s="8">
        <f>求节点($D$5:$D$12,F$5:F$12,节奏预期!J97)</f>
        <v>800</v>
      </c>
      <c r="N82" s="8">
        <f>求节点($D$5:$D$12,G$5:G$12,节奏预期!K97)</f>
        <v>4000</v>
      </c>
      <c r="O82" s="8">
        <f>求节点($D$5:$D$12,H$5:H$12,节奏预期!L97)</f>
        <v>20000</v>
      </c>
      <c r="P82" s="8">
        <f>SUMPRODUCT(节奏预期!E97:H97,L82:O82)</f>
        <v>0</v>
      </c>
      <c r="R82" s="5">
        <v>78</v>
      </c>
      <c r="S82" s="14">
        <f t="shared" si="5"/>
        <v>81616</v>
      </c>
      <c r="T82" s="14">
        <f t="shared" si="6"/>
        <v>100594</v>
      </c>
      <c r="U82" s="14">
        <f t="shared" si="7"/>
        <v>137293</v>
      </c>
      <c r="V82" s="14">
        <f t="shared" si="8"/>
        <v>250229</v>
      </c>
      <c r="W82" s="14">
        <f t="shared" si="9"/>
        <v>333823</v>
      </c>
    </row>
    <row r="83" spans="11:23" x14ac:dyDescent="0.15">
      <c r="K83" s="8">
        <v>30</v>
      </c>
      <c r="L83" s="8">
        <f>求节点($D$5:$D$12,E$5:E$12,节奏预期!I98)</f>
        <v>400</v>
      </c>
      <c r="M83" s="8">
        <f>求节点($D$5:$D$12,F$5:F$12,节奏预期!J98)</f>
        <v>800</v>
      </c>
      <c r="N83" s="8">
        <f>求节点($D$5:$D$12,G$5:G$12,节奏预期!K98)</f>
        <v>4000</v>
      </c>
      <c r="O83" s="8">
        <f>求节点($D$5:$D$12,H$5:H$12,节奏预期!L98)</f>
        <v>20000</v>
      </c>
      <c r="P83" s="8">
        <f>SUMPRODUCT(节奏预期!E98:H98,L83:O83)</f>
        <v>0</v>
      </c>
      <c r="R83" s="5">
        <v>79</v>
      </c>
      <c r="S83" s="14">
        <f t="shared" si="5"/>
        <v>86796</v>
      </c>
      <c r="T83" s="14">
        <f t="shared" si="6"/>
        <v>106578</v>
      </c>
      <c r="U83" s="14">
        <f t="shared" si="7"/>
        <v>145154</v>
      </c>
      <c r="V83" s="14">
        <f t="shared" si="8"/>
        <v>267504</v>
      </c>
      <c r="W83" s="14">
        <f t="shared" si="9"/>
        <v>359068</v>
      </c>
    </row>
    <row r="84" spans="11:23" x14ac:dyDescent="0.15">
      <c r="K84" s="8">
        <v>40</v>
      </c>
      <c r="L84" s="8">
        <f>求节点($D$5:$D$12,E$5:E$12,节奏预期!I99)</f>
        <v>400</v>
      </c>
      <c r="M84" s="8">
        <f>求节点($D$5:$D$12,F$5:F$12,节奏预期!J99)</f>
        <v>800</v>
      </c>
      <c r="N84" s="8">
        <f>求节点($D$5:$D$12,G$5:G$12,节奏预期!K99)</f>
        <v>4000</v>
      </c>
      <c r="O84" s="8">
        <f>求节点($D$5:$D$12,H$5:H$12,节奏预期!L99)</f>
        <v>20000</v>
      </c>
      <c r="P84" s="8">
        <f>SUMPRODUCT(节奏预期!E99:H99,L84:O84)</f>
        <v>0</v>
      </c>
      <c r="R84" s="5">
        <v>80</v>
      </c>
      <c r="S84" s="14">
        <f t="shared" si="5"/>
        <v>91976</v>
      </c>
      <c r="T84" s="14">
        <f t="shared" si="6"/>
        <v>112562</v>
      </c>
      <c r="U84" s="14">
        <f t="shared" si="7"/>
        <v>153016</v>
      </c>
      <c r="V84" s="14">
        <f t="shared" si="8"/>
        <v>284780</v>
      </c>
      <c r="W84" s="14">
        <f t="shared" si="9"/>
        <v>384313</v>
      </c>
    </row>
    <row r="85" spans="11:23" x14ac:dyDescent="0.15">
      <c r="K85" s="8">
        <v>50</v>
      </c>
      <c r="L85" s="8">
        <f>求节点($D$5:$D$12,E$5:E$12,节奏预期!I100)</f>
        <v>400</v>
      </c>
      <c r="M85" s="8">
        <f>求节点($D$5:$D$12,F$5:F$12,节奏预期!J100)</f>
        <v>800</v>
      </c>
      <c r="N85" s="8">
        <f>求节点($D$5:$D$12,G$5:G$12,节奏预期!K100)</f>
        <v>4000</v>
      </c>
      <c r="O85" s="8">
        <f>求节点($D$5:$D$12,H$5:H$12,节奏预期!L100)</f>
        <v>20000</v>
      </c>
      <c r="P85" s="8">
        <f>SUMPRODUCT(节奏预期!E100:H100,L85:O85)</f>
        <v>0</v>
      </c>
      <c r="R85" s="5">
        <v>81</v>
      </c>
      <c r="S85" s="14">
        <f t="shared" si="5"/>
        <v>99088</v>
      </c>
      <c r="T85" s="14">
        <f t="shared" si="6"/>
        <v>122480</v>
      </c>
      <c r="U85" s="14">
        <f t="shared" si="7"/>
        <v>168625</v>
      </c>
      <c r="V85" s="14">
        <f t="shared" si="8"/>
        <v>307502</v>
      </c>
      <c r="W85" s="14">
        <f t="shared" si="9"/>
        <v>397082</v>
      </c>
    </row>
    <row r="86" spans="11:23" x14ac:dyDescent="0.15">
      <c r="K86" s="8">
        <v>60</v>
      </c>
      <c r="L86" s="8">
        <f>求节点($D$5:$D$12,E$5:E$12,节奏预期!I101)</f>
        <v>400</v>
      </c>
      <c r="M86" s="8">
        <f>求节点($D$5:$D$12,F$5:F$12,节奏预期!J101)</f>
        <v>800</v>
      </c>
      <c r="N86" s="8">
        <f>求节点($D$5:$D$12,G$5:G$12,节奏预期!K101)</f>
        <v>4000</v>
      </c>
      <c r="O86" s="8">
        <f>求节点($D$5:$D$12,H$5:H$12,节奏预期!L101)</f>
        <v>20000</v>
      </c>
      <c r="P86" s="8">
        <f>SUMPRODUCT(节奏预期!E101:H101,L86:O86)</f>
        <v>0</v>
      </c>
      <c r="R86" s="5">
        <v>82</v>
      </c>
      <c r="S86" s="14">
        <f t="shared" si="5"/>
        <v>106199</v>
      </c>
      <c r="T86" s="14">
        <f t="shared" si="6"/>
        <v>132397</v>
      </c>
      <c r="U86" s="14">
        <f t="shared" si="7"/>
        <v>184233</v>
      </c>
      <c r="V86" s="14">
        <f t="shared" si="8"/>
        <v>330224</v>
      </c>
      <c r="W86" s="14">
        <f t="shared" si="9"/>
        <v>409851</v>
      </c>
    </row>
    <row r="87" spans="11:23" x14ac:dyDescent="0.15">
      <c r="K87" s="8">
        <v>70</v>
      </c>
      <c r="L87" s="8">
        <f>求节点($D$5:$D$12,E$5:E$12,节奏预期!I102)</f>
        <v>1600</v>
      </c>
      <c r="M87" s="8">
        <f>求节点($D$5:$D$12,F$5:F$12,节奏预期!J102)</f>
        <v>4800</v>
      </c>
      <c r="N87" s="8">
        <f>求节点($D$5:$D$12,G$5:G$12,节奏预期!K102)</f>
        <v>9985.9112430191744</v>
      </c>
      <c r="O87" s="8">
        <f>求节点($D$5:$D$12,H$5:H$12,节奏预期!L102)</f>
        <v>20000</v>
      </c>
      <c r="P87" s="8">
        <f>SUMPRODUCT(节奏预期!E102:H102,L87:O87)</f>
        <v>131859.11243019174</v>
      </c>
      <c r="R87" s="5">
        <v>83</v>
      </c>
      <c r="S87" s="14">
        <f t="shared" si="5"/>
        <v>113311</v>
      </c>
      <c r="T87" s="14">
        <f t="shared" si="6"/>
        <v>142315</v>
      </c>
      <c r="U87" s="14">
        <f t="shared" si="7"/>
        <v>199842</v>
      </c>
      <c r="V87" s="14">
        <f t="shared" si="8"/>
        <v>352946</v>
      </c>
      <c r="W87" s="14">
        <f t="shared" si="9"/>
        <v>422619</v>
      </c>
    </row>
    <row r="88" spans="11:23" x14ac:dyDescent="0.15">
      <c r="K88" s="8">
        <v>80</v>
      </c>
      <c r="L88" s="8">
        <f>求节点($D$5:$D$12,E$5:E$12,节奏预期!I103)</f>
        <v>1600</v>
      </c>
      <c r="M88" s="8">
        <f>求节点($D$5:$D$12,F$5:F$12,节奏预期!J103)</f>
        <v>4800</v>
      </c>
      <c r="N88" s="8">
        <f>求节点($D$5:$D$12,G$5:G$12,节奏预期!K103)</f>
        <v>26287.736574452294</v>
      </c>
      <c r="O88" s="8">
        <f>求节点($D$5:$D$12,H$5:H$12,节奏预期!L103)</f>
        <v>89436.018467376227</v>
      </c>
      <c r="P88" s="8">
        <f>SUMPRODUCT(节奏预期!E103:H103,L88:O88)</f>
        <v>384313.38421189919</v>
      </c>
      <c r="R88" s="5">
        <v>84</v>
      </c>
      <c r="S88" s="14">
        <f t="shared" si="5"/>
        <v>120422</v>
      </c>
      <c r="T88" s="14">
        <f t="shared" si="6"/>
        <v>152233</v>
      </c>
      <c r="U88" s="14">
        <f t="shared" si="7"/>
        <v>215451</v>
      </c>
      <c r="V88" s="14">
        <f t="shared" si="8"/>
        <v>375668</v>
      </c>
      <c r="W88" s="14">
        <f t="shared" si="9"/>
        <v>435388</v>
      </c>
    </row>
    <row r="89" spans="11:23" x14ac:dyDescent="0.15">
      <c r="K89" s="8">
        <v>90</v>
      </c>
      <c r="L89" s="8">
        <f>求节点($D$5:$D$12,E$5:E$12,节奏预期!I104)</f>
        <v>1600</v>
      </c>
      <c r="M89" s="8">
        <f>求节点($D$5:$D$12,F$5:F$12,节奏预期!J104)</f>
        <v>4800</v>
      </c>
      <c r="N89" s="8">
        <f>求节点($D$5:$D$12,G$5:G$12,节奏预期!K104)</f>
        <v>32000</v>
      </c>
      <c r="O89" s="8">
        <f>求节点($D$5:$D$12,H$5:H$12,节奏预期!L104)</f>
        <v>160000</v>
      </c>
      <c r="P89" s="8">
        <f>SUMPRODUCT(节奏预期!E104:H104,L89:O89)</f>
        <v>512000</v>
      </c>
      <c r="R89" s="5">
        <v>85</v>
      </c>
      <c r="S89" s="14">
        <f t="shared" si="5"/>
        <v>127533</v>
      </c>
      <c r="T89" s="14">
        <f t="shared" si="6"/>
        <v>162151</v>
      </c>
      <c r="U89" s="14">
        <f t="shared" si="7"/>
        <v>231060</v>
      </c>
      <c r="V89" s="14">
        <f t="shared" si="8"/>
        <v>398390</v>
      </c>
      <c r="W89" s="14">
        <f t="shared" si="9"/>
        <v>448157</v>
      </c>
    </row>
    <row r="90" spans="11:23" x14ac:dyDescent="0.15">
      <c r="K90" s="8">
        <v>100</v>
      </c>
      <c r="L90" s="8">
        <f>求节点($D$5:$D$12,E$5:E$12,节奏预期!I105)</f>
        <v>1600</v>
      </c>
      <c r="M90" s="8">
        <f>求节点($D$5:$D$12,F$5:F$12,节奏预期!J105)</f>
        <v>4800</v>
      </c>
      <c r="N90" s="8">
        <f>求节点($D$5:$D$12,G$5:G$12,节奏预期!K105)</f>
        <v>32000</v>
      </c>
      <c r="O90" s="8">
        <f>求节点($D$5:$D$12,H$5:H$12,节奏预期!L105)</f>
        <v>160000</v>
      </c>
      <c r="P90" s="8">
        <f>SUMPRODUCT(节奏预期!E105:H105,L90:O90)</f>
        <v>512000</v>
      </c>
      <c r="R90" s="5">
        <v>86</v>
      </c>
      <c r="S90" s="14">
        <f t="shared" si="5"/>
        <v>134645</v>
      </c>
      <c r="T90" s="14">
        <f t="shared" si="6"/>
        <v>172069</v>
      </c>
      <c r="U90" s="14">
        <f t="shared" si="7"/>
        <v>246669</v>
      </c>
      <c r="V90" s="14">
        <f t="shared" si="8"/>
        <v>421112</v>
      </c>
      <c r="W90" s="14">
        <f t="shared" si="9"/>
        <v>460925</v>
      </c>
    </row>
    <row r="91" spans="11:23" x14ac:dyDescent="0.15">
      <c r="K91" s="8">
        <v>110</v>
      </c>
      <c r="L91" s="8">
        <f>求节点($D$5:$D$12,E$5:E$12,节奏预期!I106)</f>
        <v>1600</v>
      </c>
      <c r="M91" s="8">
        <f>求节点($D$5:$D$12,F$5:F$12,节奏预期!J106)</f>
        <v>4800</v>
      </c>
      <c r="N91" s="8">
        <f>求节点($D$5:$D$12,G$5:G$12,节奏预期!K106)</f>
        <v>32000</v>
      </c>
      <c r="O91" s="8">
        <f>求节点($D$5:$D$12,H$5:H$12,节奏预期!L106)</f>
        <v>160000</v>
      </c>
      <c r="P91" s="8">
        <f>SUMPRODUCT(节奏预期!E106:H106,L91:O91)</f>
        <v>512000</v>
      </c>
      <c r="R91" s="5">
        <v>87</v>
      </c>
      <c r="S91" s="14">
        <f t="shared" si="5"/>
        <v>141756</v>
      </c>
      <c r="T91" s="14">
        <f t="shared" si="6"/>
        <v>181987</v>
      </c>
      <c r="U91" s="14">
        <f t="shared" si="7"/>
        <v>262278</v>
      </c>
      <c r="V91" s="14">
        <f t="shared" si="8"/>
        <v>443834</v>
      </c>
      <c r="W91" s="14">
        <f t="shared" si="9"/>
        <v>473694</v>
      </c>
    </row>
    <row r="92" spans="11:23" x14ac:dyDescent="0.15">
      <c r="K92" s="8">
        <v>120</v>
      </c>
      <c r="L92" s="8">
        <f>求节点($D$5:$D$12,E$5:E$12,节奏预期!I107)</f>
        <v>1600</v>
      </c>
      <c r="M92" s="8">
        <f>求节点($D$5:$D$12,F$5:F$12,节奏预期!J107)</f>
        <v>4800</v>
      </c>
      <c r="N92" s="8">
        <f>求节点($D$5:$D$12,G$5:G$12,节奏预期!K107)</f>
        <v>32000</v>
      </c>
      <c r="O92" s="8">
        <f>求节点($D$5:$D$12,H$5:H$12,节奏预期!L107)</f>
        <v>160000</v>
      </c>
      <c r="P92" s="8">
        <f>SUMPRODUCT(节奏预期!E107:H107,L92:O92)</f>
        <v>512000</v>
      </c>
      <c r="R92" s="5">
        <v>88</v>
      </c>
      <c r="S92" s="14">
        <f t="shared" si="5"/>
        <v>148868</v>
      </c>
      <c r="T92" s="14">
        <f t="shared" si="6"/>
        <v>191905</v>
      </c>
      <c r="U92" s="14">
        <f t="shared" si="7"/>
        <v>277887</v>
      </c>
      <c r="V92" s="14">
        <f t="shared" si="8"/>
        <v>466556</v>
      </c>
      <c r="W92" s="14">
        <f t="shared" si="9"/>
        <v>486463</v>
      </c>
    </row>
    <row r="93" spans="11:23" x14ac:dyDescent="0.15">
      <c r="K93" s="8">
        <v>130</v>
      </c>
      <c r="L93" s="8">
        <f>求节点($D$5:$D$12,E$5:E$12,节奏预期!I108)</f>
        <v>1600</v>
      </c>
      <c r="M93" s="8">
        <f>求节点($D$5:$D$12,F$5:F$12,节奏预期!J108)</f>
        <v>4800</v>
      </c>
      <c r="N93" s="8">
        <f>求节点($D$5:$D$12,G$5:G$12,节奏预期!K108)</f>
        <v>32000</v>
      </c>
      <c r="O93" s="8">
        <f>求节点($D$5:$D$12,H$5:H$12,节奏预期!L108)</f>
        <v>160000</v>
      </c>
      <c r="P93" s="8">
        <f>SUMPRODUCT(节奏预期!E108:H108,L93:O93)</f>
        <v>512000</v>
      </c>
      <c r="R93" s="5">
        <v>89</v>
      </c>
      <c r="S93" s="14">
        <f t="shared" si="5"/>
        <v>155979</v>
      </c>
      <c r="T93" s="14">
        <f t="shared" si="6"/>
        <v>201823</v>
      </c>
      <c r="U93" s="14">
        <f t="shared" si="7"/>
        <v>293496</v>
      </c>
      <c r="V93" s="14">
        <f t="shared" si="8"/>
        <v>489278</v>
      </c>
      <c r="W93" s="14">
        <f t="shared" si="9"/>
        <v>499231</v>
      </c>
    </row>
    <row r="94" spans="11:23" x14ac:dyDescent="0.15">
      <c r="K94" s="8">
        <v>140</v>
      </c>
      <c r="L94" s="8">
        <f>求节点($D$5:$D$12,E$5:E$12,节奏预期!I109)</f>
        <v>1600</v>
      </c>
      <c r="M94" s="8">
        <f>求节点($D$5:$D$12,F$5:F$12,节奏预期!J109)</f>
        <v>4800</v>
      </c>
      <c r="N94" s="8">
        <f>求节点($D$5:$D$12,G$5:G$12,节奏预期!K109)</f>
        <v>32000</v>
      </c>
      <c r="O94" s="8">
        <f>求节点($D$5:$D$12,H$5:H$12,节奏预期!L109)</f>
        <v>160000</v>
      </c>
      <c r="P94" s="8">
        <f>SUMPRODUCT(节奏预期!E109:H109,L94:O94)</f>
        <v>512000</v>
      </c>
      <c r="R94" s="5">
        <v>90</v>
      </c>
      <c r="S94" s="14">
        <f t="shared" si="5"/>
        <v>163091</v>
      </c>
      <c r="T94" s="14">
        <f t="shared" si="6"/>
        <v>211741</v>
      </c>
      <c r="U94" s="14">
        <f t="shared" si="7"/>
        <v>309104</v>
      </c>
      <c r="V94" s="14">
        <f t="shared" si="8"/>
        <v>512000</v>
      </c>
      <c r="W94" s="14">
        <f t="shared" si="9"/>
        <v>512000</v>
      </c>
    </row>
    <row r="95" spans="11:23" x14ac:dyDescent="0.15">
      <c r="K95" s="8">
        <v>150</v>
      </c>
      <c r="L95" s="8">
        <f>求节点($D$5:$D$12,E$5:E$12,节奏预期!I110)</f>
        <v>1600</v>
      </c>
      <c r="M95" s="8">
        <f>求节点($D$5:$D$12,F$5:F$12,节奏预期!J110)</f>
        <v>4800</v>
      </c>
      <c r="N95" s="8">
        <f>求节点($D$5:$D$12,G$5:G$12,节奏预期!K110)</f>
        <v>32000</v>
      </c>
      <c r="O95" s="8">
        <f>求节点($D$5:$D$12,H$5:H$12,节奏预期!L110)</f>
        <v>160000</v>
      </c>
      <c r="P95" s="8">
        <f>SUMPRODUCT(节奏预期!E110:H110,L95:O95)</f>
        <v>512000</v>
      </c>
      <c r="R95" s="5">
        <v>91</v>
      </c>
      <c r="S95" s="14">
        <f t="shared" si="5"/>
        <v>176665</v>
      </c>
      <c r="T95" s="14">
        <f t="shared" si="6"/>
        <v>231603</v>
      </c>
      <c r="U95" s="14">
        <f t="shared" si="7"/>
        <v>329394</v>
      </c>
      <c r="V95" s="14">
        <f t="shared" si="8"/>
        <v>512000</v>
      </c>
      <c r="W95" s="14">
        <f t="shared" si="9"/>
        <v>512000</v>
      </c>
    </row>
    <row r="96" spans="11:23" x14ac:dyDescent="0.15">
      <c r="K96" s="8">
        <v>160</v>
      </c>
      <c r="L96" s="8">
        <f>求节点($D$5:$D$12,E$5:E$12,节奏预期!I111)</f>
        <v>1600</v>
      </c>
      <c r="M96" s="8">
        <f>求节点($D$5:$D$12,F$5:F$12,节奏预期!J111)</f>
        <v>4800</v>
      </c>
      <c r="N96" s="8">
        <f>求节点($D$5:$D$12,G$5:G$12,节奏预期!K111)</f>
        <v>32000</v>
      </c>
      <c r="O96" s="8">
        <f>求节点($D$5:$D$12,H$5:H$12,节奏预期!L111)</f>
        <v>160000</v>
      </c>
      <c r="P96" s="8">
        <f>SUMPRODUCT(节奏预期!E111:H111,L96:O96)</f>
        <v>512000</v>
      </c>
      <c r="R96" s="5">
        <v>92</v>
      </c>
      <c r="S96" s="14">
        <f t="shared" si="5"/>
        <v>190240</v>
      </c>
      <c r="T96" s="14">
        <f t="shared" si="6"/>
        <v>251465</v>
      </c>
      <c r="U96" s="14">
        <f t="shared" si="7"/>
        <v>349684</v>
      </c>
      <c r="V96" s="14">
        <f t="shared" si="8"/>
        <v>512000</v>
      </c>
      <c r="W96" s="14">
        <f t="shared" si="9"/>
        <v>512000</v>
      </c>
    </row>
    <row r="97" spans="18:23" x14ac:dyDescent="0.15">
      <c r="R97" s="5">
        <v>93</v>
      </c>
      <c r="S97" s="14">
        <f t="shared" si="5"/>
        <v>203815</v>
      </c>
      <c r="T97" s="14">
        <f t="shared" si="6"/>
        <v>271326</v>
      </c>
      <c r="U97" s="14">
        <f t="shared" si="7"/>
        <v>369973</v>
      </c>
      <c r="V97" s="14">
        <f t="shared" si="8"/>
        <v>512000</v>
      </c>
      <c r="W97" s="14">
        <f t="shared" si="9"/>
        <v>512000</v>
      </c>
    </row>
    <row r="98" spans="18:23" x14ac:dyDescent="0.15">
      <c r="R98" s="5">
        <v>94</v>
      </c>
      <c r="S98" s="14">
        <f t="shared" si="5"/>
        <v>217390</v>
      </c>
      <c r="T98" s="14">
        <f t="shared" si="6"/>
        <v>291188</v>
      </c>
      <c r="U98" s="14">
        <f t="shared" si="7"/>
        <v>390263</v>
      </c>
      <c r="V98" s="14">
        <f t="shared" si="8"/>
        <v>512000</v>
      </c>
      <c r="W98" s="14">
        <f t="shared" si="9"/>
        <v>512000</v>
      </c>
    </row>
    <row r="99" spans="18:23" x14ac:dyDescent="0.15">
      <c r="R99" s="5">
        <v>95</v>
      </c>
      <c r="S99" s="14">
        <f t="shared" si="5"/>
        <v>230965</v>
      </c>
      <c r="T99" s="14">
        <f t="shared" si="6"/>
        <v>311050</v>
      </c>
      <c r="U99" s="14">
        <f t="shared" si="7"/>
        <v>410552</v>
      </c>
      <c r="V99" s="14">
        <f t="shared" si="8"/>
        <v>512000</v>
      </c>
      <c r="W99" s="14">
        <f t="shared" si="9"/>
        <v>512000</v>
      </c>
    </row>
    <row r="100" spans="18:23" x14ac:dyDescent="0.15">
      <c r="R100" s="5">
        <v>96</v>
      </c>
      <c r="S100" s="14">
        <f t="shared" si="5"/>
        <v>244540</v>
      </c>
      <c r="T100" s="14">
        <f t="shared" si="6"/>
        <v>330912</v>
      </c>
      <c r="U100" s="14">
        <f t="shared" si="7"/>
        <v>430842</v>
      </c>
      <c r="V100" s="14">
        <f t="shared" si="8"/>
        <v>512000</v>
      </c>
      <c r="W100" s="14">
        <f t="shared" si="9"/>
        <v>512000</v>
      </c>
    </row>
    <row r="101" spans="18:23" x14ac:dyDescent="0.15">
      <c r="R101" s="5">
        <v>97</v>
      </c>
      <c r="S101" s="14">
        <f t="shared" si="5"/>
        <v>258114</v>
      </c>
      <c r="T101" s="14">
        <f t="shared" si="6"/>
        <v>350773</v>
      </c>
      <c r="U101" s="14">
        <f t="shared" si="7"/>
        <v>451131</v>
      </c>
      <c r="V101" s="14">
        <f t="shared" si="8"/>
        <v>512000</v>
      </c>
      <c r="W101" s="14">
        <f t="shared" si="9"/>
        <v>512000</v>
      </c>
    </row>
    <row r="102" spans="18:23" x14ac:dyDescent="0.15">
      <c r="R102" s="5">
        <v>98</v>
      </c>
      <c r="S102" s="14">
        <f t="shared" si="5"/>
        <v>271689</v>
      </c>
      <c r="T102" s="14">
        <f t="shared" si="6"/>
        <v>370635</v>
      </c>
      <c r="U102" s="14">
        <f t="shared" si="7"/>
        <v>471421</v>
      </c>
      <c r="V102" s="14">
        <f t="shared" si="8"/>
        <v>512000</v>
      </c>
      <c r="W102" s="14">
        <f t="shared" si="9"/>
        <v>512000</v>
      </c>
    </row>
    <row r="103" spans="18:23" x14ac:dyDescent="0.15">
      <c r="R103" s="5">
        <v>99</v>
      </c>
      <c r="S103" s="14">
        <f t="shared" si="5"/>
        <v>285264</v>
      </c>
      <c r="T103" s="14">
        <f t="shared" si="6"/>
        <v>390497</v>
      </c>
      <c r="U103" s="14">
        <f t="shared" si="7"/>
        <v>491710</v>
      </c>
      <c r="V103" s="14">
        <f t="shared" si="8"/>
        <v>512000</v>
      </c>
      <c r="W103" s="14">
        <f t="shared" si="9"/>
        <v>512000</v>
      </c>
    </row>
    <row r="104" spans="18:23" x14ac:dyDescent="0.15">
      <c r="R104" s="5">
        <v>100</v>
      </c>
      <c r="S104" s="14">
        <f t="shared" si="5"/>
        <v>298839</v>
      </c>
      <c r="T104" s="14">
        <f t="shared" si="6"/>
        <v>410359</v>
      </c>
      <c r="U104" s="14">
        <f t="shared" si="7"/>
        <v>512000</v>
      </c>
      <c r="V104" s="14">
        <f t="shared" si="8"/>
        <v>512000</v>
      </c>
      <c r="W104" s="14">
        <f t="shared" si="9"/>
        <v>512000</v>
      </c>
    </row>
    <row r="105" spans="18:23" x14ac:dyDescent="0.15">
      <c r="R105" s="5">
        <v>101</v>
      </c>
      <c r="S105" s="14">
        <f t="shared" si="5"/>
        <v>316456</v>
      </c>
      <c r="T105" s="14">
        <f t="shared" si="6"/>
        <v>420523</v>
      </c>
      <c r="U105" s="14">
        <f t="shared" si="7"/>
        <v>512000</v>
      </c>
      <c r="V105" s="14">
        <f t="shared" si="8"/>
        <v>512000</v>
      </c>
      <c r="W105" s="14">
        <f t="shared" si="9"/>
        <v>512000</v>
      </c>
    </row>
    <row r="106" spans="18:23" x14ac:dyDescent="0.15">
      <c r="R106" s="5">
        <v>102</v>
      </c>
      <c r="S106" s="14">
        <f t="shared" si="5"/>
        <v>334073</v>
      </c>
      <c r="T106" s="14">
        <f t="shared" si="6"/>
        <v>430687</v>
      </c>
      <c r="U106" s="14">
        <f t="shared" si="7"/>
        <v>512000</v>
      </c>
      <c r="V106" s="14">
        <f t="shared" si="8"/>
        <v>512000</v>
      </c>
      <c r="W106" s="14">
        <f t="shared" si="9"/>
        <v>512000</v>
      </c>
    </row>
    <row r="107" spans="18:23" x14ac:dyDescent="0.15">
      <c r="R107" s="5">
        <v>103</v>
      </c>
      <c r="S107" s="14">
        <f t="shared" si="5"/>
        <v>351691</v>
      </c>
      <c r="T107" s="14">
        <f t="shared" si="6"/>
        <v>440851</v>
      </c>
      <c r="U107" s="14">
        <f t="shared" si="7"/>
        <v>512000</v>
      </c>
      <c r="V107" s="14">
        <f t="shared" si="8"/>
        <v>512000</v>
      </c>
      <c r="W107" s="14">
        <f t="shared" si="9"/>
        <v>512000</v>
      </c>
    </row>
    <row r="108" spans="18:23" x14ac:dyDescent="0.15">
      <c r="R108" s="5">
        <v>104</v>
      </c>
      <c r="S108" s="14">
        <f t="shared" si="5"/>
        <v>369308</v>
      </c>
      <c r="T108" s="14">
        <f t="shared" si="6"/>
        <v>451015</v>
      </c>
      <c r="U108" s="14">
        <f t="shared" si="7"/>
        <v>512000</v>
      </c>
      <c r="V108" s="14">
        <f t="shared" si="8"/>
        <v>512000</v>
      </c>
      <c r="W108" s="14">
        <f t="shared" si="9"/>
        <v>512000</v>
      </c>
    </row>
    <row r="109" spans="18:23" x14ac:dyDescent="0.15">
      <c r="R109" s="5">
        <v>105</v>
      </c>
      <c r="S109" s="14">
        <f t="shared" si="5"/>
        <v>386925</v>
      </c>
      <c r="T109" s="14">
        <f t="shared" si="6"/>
        <v>461179</v>
      </c>
      <c r="U109" s="14">
        <f t="shared" si="7"/>
        <v>512000</v>
      </c>
      <c r="V109" s="14">
        <f t="shared" si="8"/>
        <v>512000</v>
      </c>
      <c r="W109" s="14">
        <f t="shared" si="9"/>
        <v>512000</v>
      </c>
    </row>
    <row r="110" spans="18:23" x14ac:dyDescent="0.15">
      <c r="R110" s="5">
        <v>106</v>
      </c>
      <c r="S110" s="14">
        <f t="shared" si="5"/>
        <v>404542</v>
      </c>
      <c r="T110" s="14">
        <f t="shared" si="6"/>
        <v>471343</v>
      </c>
      <c r="U110" s="14">
        <f t="shared" si="7"/>
        <v>512000</v>
      </c>
      <c r="V110" s="14">
        <f t="shared" si="8"/>
        <v>512000</v>
      </c>
      <c r="W110" s="14">
        <f t="shared" si="9"/>
        <v>512000</v>
      </c>
    </row>
    <row r="111" spans="18:23" x14ac:dyDescent="0.15">
      <c r="R111" s="5">
        <v>107</v>
      </c>
      <c r="S111" s="14">
        <f t="shared" si="5"/>
        <v>422160</v>
      </c>
      <c r="T111" s="14">
        <f t="shared" si="6"/>
        <v>481508</v>
      </c>
      <c r="U111" s="14">
        <f t="shared" si="7"/>
        <v>512000</v>
      </c>
      <c r="V111" s="14">
        <f t="shared" si="8"/>
        <v>512000</v>
      </c>
      <c r="W111" s="14">
        <f t="shared" si="9"/>
        <v>512000</v>
      </c>
    </row>
    <row r="112" spans="18:23" x14ac:dyDescent="0.15">
      <c r="R112" s="5">
        <v>108</v>
      </c>
      <c r="S112" s="14">
        <f t="shared" si="5"/>
        <v>439777</v>
      </c>
      <c r="T112" s="14">
        <f t="shared" si="6"/>
        <v>491672</v>
      </c>
      <c r="U112" s="14">
        <f t="shared" si="7"/>
        <v>512000</v>
      </c>
      <c r="V112" s="14">
        <f t="shared" si="8"/>
        <v>512000</v>
      </c>
      <c r="W112" s="14">
        <f t="shared" si="9"/>
        <v>512000</v>
      </c>
    </row>
    <row r="113" spans="18:23" x14ac:dyDescent="0.15">
      <c r="R113" s="5">
        <v>109</v>
      </c>
      <c r="S113" s="14">
        <f t="shared" si="5"/>
        <v>457394</v>
      </c>
      <c r="T113" s="14">
        <f t="shared" si="6"/>
        <v>501836</v>
      </c>
      <c r="U113" s="14">
        <f t="shared" si="7"/>
        <v>512000</v>
      </c>
      <c r="V113" s="14">
        <f t="shared" si="8"/>
        <v>512000</v>
      </c>
      <c r="W113" s="14">
        <f t="shared" si="9"/>
        <v>512000</v>
      </c>
    </row>
    <row r="114" spans="18:23" x14ac:dyDescent="0.15">
      <c r="R114" s="5">
        <v>110</v>
      </c>
      <c r="S114" s="14">
        <f t="shared" si="5"/>
        <v>475011</v>
      </c>
      <c r="T114" s="14">
        <f t="shared" si="6"/>
        <v>512000</v>
      </c>
      <c r="U114" s="14">
        <f t="shared" si="7"/>
        <v>512000</v>
      </c>
      <c r="V114" s="14">
        <f t="shared" si="8"/>
        <v>512000</v>
      </c>
      <c r="W114" s="14">
        <f t="shared" si="9"/>
        <v>512000</v>
      </c>
    </row>
    <row r="115" spans="18:23" x14ac:dyDescent="0.15">
      <c r="R115" s="5">
        <v>111</v>
      </c>
      <c r="S115" s="14">
        <f t="shared" si="5"/>
        <v>478710</v>
      </c>
      <c r="T115" s="14">
        <f t="shared" si="6"/>
        <v>512000</v>
      </c>
      <c r="U115" s="14">
        <f t="shared" si="7"/>
        <v>512000</v>
      </c>
      <c r="V115" s="14">
        <f t="shared" si="8"/>
        <v>512000</v>
      </c>
      <c r="W115" s="14">
        <f t="shared" si="9"/>
        <v>512000</v>
      </c>
    </row>
    <row r="116" spans="18:23" x14ac:dyDescent="0.15">
      <c r="R116" s="5">
        <v>112</v>
      </c>
      <c r="S116" s="14">
        <f t="shared" si="5"/>
        <v>482409</v>
      </c>
      <c r="T116" s="14">
        <f t="shared" si="6"/>
        <v>512000</v>
      </c>
      <c r="U116" s="14">
        <f t="shared" si="7"/>
        <v>512000</v>
      </c>
      <c r="V116" s="14">
        <f t="shared" si="8"/>
        <v>512000</v>
      </c>
      <c r="W116" s="14">
        <f t="shared" si="9"/>
        <v>512000</v>
      </c>
    </row>
    <row r="117" spans="18:23" x14ac:dyDescent="0.15">
      <c r="R117" s="5">
        <v>113</v>
      </c>
      <c r="S117" s="14">
        <f t="shared" si="5"/>
        <v>486108</v>
      </c>
      <c r="T117" s="14">
        <f t="shared" si="6"/>
        <v>512000</v>
      </c>
      <c r="U117" s="14">
        <f t="shared" si="7"/>
        <v>512000</v>
      </c>
      <c r="V117" s="14">
        <f t="shared" si="8"/>
        <v>512000</v>
      </c>
      <c r="W117" s="14">
        <f t="shared" si="9"/>
        <v>512000</v>
      </c>
    </row>
    <row r="118" spans="18:23" x14ac:dyDescent="0.15">
      <c r="R118" s="5">
        <v>114</v>
      </c>
      <c r="S118" s="14">
        <f t="shared" si="5"/>
        <v>489807</v>
      </c>
      <c r="T118" s="14">
        <f t="shared" si="6"/>
        <v>512000</v>
      </c>
      <c r="U118" s="14">
        <f t="shared" si="7"/>
        <v>512000</v>
      </c>
      <c r="V118" s="14">
        <f t="shared" si="8"/>
        <v>512000</v>
      </c>
      <c r="W118" s="14">
        <f t="shared" si="9"/>
        <v>512000</v>
      </c>
    </row>
    <row r="119" spans="18:23" x14ac:dyDescent="0.15">
      <c r="R119" s="5">
        <v>115</v>
      </c>
      <c r="S119" s="14">
        <f t="shared" si="5"/>
        <v>493506</v>
      </c>
      <c r="T119" s="14">
        <f t="shared" si="6"/>
        <v>512000</v>
      </c>
      <c r="U119" s="14">
        <f t="shared" si="7"/>
        <v>512000</v>
      </c>
      <c r="V119" s="14">
        <f t="shared" si="8"/>
        <v>512000</v>
      </c>
      <c r="W119" s="14">
        <f t="shared" si="9"/>
        <v>512000</v>
      </c>
    </row>
    <row r="120" spans="18:23" x14ac:dyDescent="0.15">
      <c r="R120" s="5">
        <v>116</v>
      </c>
      <c r="S120" s="14">
        <f t="shared" si="5"/>
        <v>497205</v>
      </c>
      <c r="T120" s="14">
        <f t="shared" si="6"/>
        <v>512000</v>
      </c>
      <c r="U120" s="14">
        <f t="shared" si="7"/>
        <v>512000</v>
      </c>
      <c r="V120" s="14">
        <f t="shared" si="8"/>
        <v>512000</v>
      </c>
      <c r="W120" s="14">
        <f t="shared" si="9"/>
        <v>512000</v>
      </c>
    </row>
    <row r="121" spans="18:23" x14ac:dyDescent="0.15">
      <c r="R121" s="5">
        <v>117</v>
      </c>
      <c r="S121" s="14">
        <f t="shared" si="5"/>
        <v>500903</v>
      </c>
      <c r="T121" s="14">
        <f t="shared" si="6"/>
        <v>512000</v>
      </c>
      <c r="U121" s="14">
        <f t="shared" si="7"/>
        <v>512000</v>
      </c>
      <c r="V121" s="14">
        <f t="shared" si="8"/>
        <v>512000</v>
      </c>
      <c r="W121" s="14">
        <f t="shared" si="9"/>
        <v>512000</v>
      </c>
    </row>
    <row r="122" spans="18:23" x14ac:dyDescent="0.15">
      <c r="R122" s="5">
        <v>118</v>
      </c>
      <c r="S122" s="14">
        <f t="shared" si="5"/>
        <v>504602</v>
      </c>
      <c r="T122" s="14">
        <f t="shared" si="6"/>
        <v>512000</v>
      </c>
      <c r="U122" s="14">
        <f t="shared" si="7"/>
        <v>512000</v>
      </c>
      <c r="V122" s="14">
        <f t="shared" si="8"/>
        <v>512000</v>
      </c>
      <c r="W122" s="14">
        <f t="shared" si="9"/>
        <v>512000</v>
      </c>
    </row>
    <row r="123" spans="18:23" x14ac:dyDescent="0.15">
      <c r="R123" s="5">
        <v>119</v>
      </c>
      <c r="S123" s="14">
        <f t="shared" si="5"/>
        <v>508301</v>
      </c>
      <c r="T123" s="14">
        <f t="shared" si="6"/>
        <v>512000</v>
      </c>
      <c r="U123" s="14">
        <f t="shared" si="7"/>
        <v>512000</v>
      </c>
      <c r="V123" s="14">
        <f t="shared" si="8"/>
        <v>512000</v>
      </c>
      <c r="W123" s="14">
        <f t="shared" si="9"/>
        <v>512000</v>
      </c>
    </row>
    <row r="124" spans="18:23" x14ac:dyDescent="0.15">
      <c r="R124" s="5">
        <v>120</v>
      </c>
      <c r="S124" s="14">
        <f t="shared" si="5"/>
        <v>512000</v>
      </c>
      <c r="T124" s="14">
        <f t="shared" si="6"/>
        <v>512000</v>
      </c>
      <c r="U124" s="14">
        <f t="shared" si="7"/>
        <v>512000</v>
      </c>
      <c r="V124" s="14">
        <f t="shared" si="8"/>
        <v>512000</v>
      </c>
      <c r="W124" s="14">
        <f t="shared" si="9"/>
        <v>512000</v>
      </c>
    </row>
    <row r="125" spans="18:23" x14ac:dyDescent="0.15">
      <c r="R125" s="5">
        <v>121</v>
      </c>
      <c r="S125" s="14">
        <f t="shared" si="5"/>
        <v>512000</v>
      </c>
      <c r="T125" s="14">
        <f t="shared" si="6"/>
        <v>512000</v>
      </c>
      <c r="U125" s="14">
        <f t="shared" si="7"/>
        <v>512000</v>
      </c>
      <c r="V125" s="14">
        <f t="shared" si="8"/>
        <v>512000</v>
      </c>
      <c r="W125" s="14">
        <f t="shared" si="9"/>
        <v>512000</v>
      </c>
    </row>
    <row r="126" spans="18:23" x14ac:dyDescent="0.15">
      <c r="R126" s="5">
        <v>122</v>
      </c>
      <c r="S126" s="14">
        <f t="shared" si="5"/>
        <v>512000</v>
      </c>
      <c r="T126" s="14">
        <f t="shared" si="6"/>
        <v>512000</v>
      </c>
      <c r="U126" s="14">
        <f t="shared" si="7"/>
        <v>512000</v>
      </c>
      <c r="V126" s="14">
        <f t="shared" si="8"/>
        <v>512000</v>
      </c>
      <c r="W126" s="14">
        <f t="shared" si="9"/>
        <v>512000</v>
      </c>
    </row>
    <row r="127" spans="18:23" x14ac:dyDescent="0.15">
      <c r="R127" s="5">
        <v>123</v>
      </c>
      <c r="S127" s="14">
        <f t="shared" si="5"/>
        <v>512000</v>
      </c>
      <c r="T127" s="14">
        <f t="shared" si="6"/>
        <v>512000</v>
      </c>
      <c r="U127" s="14">
        <f t="shared" si="7"/>
        <v>512000</v>
      </c>
      <c r="V127" s="14">
        <f t="shared" si="8"/>
        <v>512000</v>
      </c>
      <c r="W127" s="14">
        <f t="shared" si="9"/>
        <v>512000</v>
      </c>
    </row>
    <row r="128" spans="18:23" x14ac:dyDescent="0.15">
      <c r="R128" s="5">
        <v>124</v>
      </c>
      <c r="S128" s="14">
        <f t="shared" si="5"/>
        <v>512000</v>
      </c>
      <c r="T128" s="14">
        <f t="shared" si="6"/>
        <v>512000</v>
      </c>
      <c r="U128" s="14">
        <f t="shared" si="7"/>
        <v>512000</v>
      </c>
      <c r="V128" s="14">
        <f t="shared" si="8"/>
        <v>512000</v>
      </c>
      <c r="W128" s="14">
        <f t="shared" si="9"/>
        <v>512000</v>
      </c>
    </row>
    <row r="129" spans="18:23" x14ac:dyDescent="0.15">
      <c r="R129" s="5">
        <v>125</v>
      </c>
      <c r="S129" s="14">
        <f t="shared" si="5"/>
        <v>512000</v>
      </c>
      <c r="T129" s="14">
        <f t="shared" si="6"/>
        <v>512000</v>
      </c>
      <c r="U129" s="14">
        <f t="shared" si="7"/>
        <v>512000</v>
      </c>
      <c r="V129" s="14">
        <f t="shared" si="8"/>
        <v>512000</v>
      </c>
      <c r="W129" s="14">
        <f t="shared" si="9"/>
        <v>512000</v>
      </c>
    </row>
    <row r="130" spans="18:23" x14ac:dyDescent="0.15">
      <c r="R130" s="5">
        <v>126</v>
      </c>
      <c r="S130" s="14">
        <f t="shared" si="5"/>
        <v>512000</v>
      </c>
      <c r="T130" s="14">
        <f t="shared" si="6"/>
        <v>512000</v>
      </c>
      <c r="U130" s="14">
        <f t="shared" si="7"/>
        <v>512000</v>
      </c>
      <c r="V130" s="14">
        <f t="shared" si="8"/>
        <v>512000</v>
      </c>
      <c r="W130" s="14">
        <f t="shared" si="9"/>
        <v>512000</v>
      </c>
    </row>
    <row r="131" spans="18:23" x14ac:dyDescent="0.15">
      <c r="R131" s="5">
        <v>127</v>
      </c>
      <c r="S131" s="14">
        <f t="shared" si="5"/>
        <v>512000</v>
      </c>
      <c r="T131" s="14">
        <f t="shared" si="6"/>
        <v>512000</v>
      </c>
      <c r="U131" s="14">
        <f t="shared" si="7"/>
        <v>512000</v>
      </c>
      <c r="V131" s="14">
        <f t="shared" si="8"/>
        <v>512000</v>
      </c>
      <c r="W131" s="14">
        <f t="shared" si="9"/>
        <v>512000</v>
      </c>
    </row>
    <row r="132" spans="18:23" x14ac:dyDescent="0.15">
      <c r="R132" s="5">
        <v>128</v>
      </c>
      <c r="S132" s="14">
        <f t="shared" si="5"/>
        <v>512000</v>
      </c>
      <c r="T132" s="14">
        <f t="shared" si="6"/>
        <v>512000</v>
      </c>
      <c r="U132" s="14">
        <f t="shared" si="7"/>
        <v>512000</v>
      </c>
      <c r="V132" s="14">
        <f t="shared" si="8"/>
        <v>512000</v>
      </c>
      <c r="W132" s="14">
        <f t="shared" si="9"/>
        <v>512000</v>
      </c>
    </row>
    <row r="133" spans="18:23" x14ac:dyDescent="0.15">
      <c r="R133" s="5">
        <v>129</v>
      </c>
      <c r="S133" s="14">
        <f t="shared" si="5"/>
        <v>512000</v>
      </c>
      <c r="T133" s="14">
        <f t="shared" si="6"/>
        <v>512000</v>
      </c>
      <c r="U133" s="14">
        <f t="shared" si="7"/>
        <v>512000</v>
      </c>
      <c r="V133" s="14">
        <f t="shared" si="8"/>
        <v>512000</v>
      </c>
      <c r="W133" s="14">
        <f t="shared" si="9"/>
        <v>512000</v>
      </c>
    </row>
    <row r="134" spans="18:23" x14ac:dyDescent="0.15">
      <c r="R134" s="5">
        <v>130</v>
      </c>
      <c r="S134" s="14">
        <f t="shared" ref="S134:S164" si="10">ROUND(求节点($K$5:$K$20,$P$5:$P$20,$R134),0)</f>
        <v>512000</v>
      </c>
      <c r="T134" s="14">
        <f t="shared" ref="T134:T164" si="11">ROUND(求节点($K$24:$K$39,$P$24:$P$39,$R134),0)</f>
        <v>512000</v>
      </c>
      <c r="U134" s="14">
        <f t="shared" ref="U134:U164" si="12">ROUND(求节点($K$43:$K$58,$P$43:$P$58,$R134),0)</f>
        <v>512000</v>
      </c>
      <c r="V134" s="14">
        <f t="shared" ref="V134:V164" si="13">ROUND(求节点($K$62:$K$77,$P$62:$P$77,$R134),0)</f>
        <v>512000</v>
      </c>
      <c r="W134" s="14">
        <f t="shared" ref="W134:W164" si="14">ROUND(求节点($K$81:$K$96,$P$81:$P$96,$R134),0)</f>
        <v>512000</v>
      </c>
    </row>
    <row r="135" spans="18:23" x14ac:dyDescent="0.15">
      <c r="R135" s="5">
        <v>131</v>
      </c>
      <c r="S135" s="14">
        <f t="shared" si="10"/>
        <v>512000</v>
      </c>
      <c r="T135" s="14">
        <f t="shared" si="11"/>
        <v>512000</v>
      </c>
      <c r="U135" s="14">
        <f t="shared" si="12"/>
        <v>512000</v>
      </c>
      <c r="V135" s="14">
        <f t="shared" si="13"/>
        <v>512000</v>
      </c>
      <c r="W135" s="14">
        <f t="shared" si="14"/>
        <v>512000</v>
      </c>
    </row>
    <row r="136" spans="18:23" x14ac:dyDescent="0.15">
      <c r="R136" s="5">
        <v>132</v>
      </c>
      <c r="S136" s="14">
        <f t="shared" si="10"/>
        <v>512000</v>
      </c>
      <c r="T136" s="14">
        <f t="shared" si="11"/>
        <v>512000</v>
      </c>
      <c r="U136" s="14">
        <f t="shared" si="12"/>
        <v>512000</v>
      </c>
      <c r="V136" s="14">
        <f t="shared" si="13"/>
        <v>512000</v>
      </c>
      <c r="W136" s="14">
        <f t="shared" si="14"/>
        <v>512000</v>
      </c>
    </row>
    <row r="137" spans="18:23" x14ac:dyDescent="0.15">
      <c r="R137" s="5">
        <v>133</v>
      </c>
      <c r="S137" s="14">
        <f t="shared" si="10"/>
        <v>512000</v>
      </c>
      <c r="T137" s="14">
        <f t="shared" si="11"/>
        <v>512000</v>
      </c>
      <c r="U137" s="14">
        <f t="shared" si="12"/>
        <v>512000</v>
      </c>
      <c r="V137" s="14">
        <f t="shared" si="13"/>
        <v>512000</v>
      </c>
      <c r="W137" s="14">
        <f t="shared" si="14"/>
        <v>512000</v>
      </c>
    </row>
    <row r="138" spans="18:23" x14ac:dyDescent="0.15">
      <c r="R138" s="5">
        <v>134</v>
      </c>
      <c r="S138" s="14">
        <f t="shared" si="10"/>
        <v>512000</v>
      </c>
      <c r="T138" s="14">
        <f t="shared" si="11"/>
        <v>512000</v>
      </c>
      <c r="U138" s="14">
        <f t="shared" si="12"/>
        <v>512000</v>
      </c>
      <c r="V138" s="14">
        <f t="shared" si="13"/>
        <v>512000</v>
      </c>
      <c r="W138" s="14">
        <f t="shared" si="14"/>
        <v>512000</v>
      </c>
    </row>
    <row r="139" spans="18:23" x14ac:dyDescent="0.15">
      <c r="R139" s="5">
        <v>135</v>
      </c>
      <c r="S139" s="14">
        <f t="shared" si="10"/>
        <v>512000</v>
      </c>
      <c r="T139" s="14">
        <f t="shared" si="11"/>
        <v>512000</v>
      </c>
      <c r="U139" s="14">
        <f t="shared" si="12"/>
        <v>512000</v>
      </c>
      <c r="V139" s="14">
        <f t="shared" si="13"/>
        <v>512000</v>
      </c>
      <c r="W139" s="14">
        <f t="shared" si="14"/>
        <v>512000</v>
      </c>
    </row>
    <row r="140" spans="18:23" x14ac:dyDescent="0.15">
      <c r="R140" s="5">
        <v>136</v>
      </c>
      <c r="S140" s="14">
        <f t="shared" si="10"/>
        <v>512000</v>
      </c>
      <c r="T140" s="14">
        <f t="shared" si="11"/>
        <v>512000</v>
      </c>
      <c r="U140" s="14">
        <f t="shared" si="12"/>
        <v>512000</v>
      </c>
      <c r="V140" s="14">
        <f t="shared" si="13"/>
        <v>512000</v>
      </c>
      <c r="W140" s="14">
        <f t="shared" si="14"/>
        <v>512000</v>
      </c>
    </row>
    <row r="141" spans="18:23" x14ac:dyDescent="0.15">
      <c r="R141" s="5">
        <v>137</v>
      </c>
      <c r="S141" s="14">
        <f t="shared" si="10"/>
        <v>512000</v>
      </c>
      <c r="T141" s="14">
        <f t="shared" si="11"/>
        <v>512000</v>
      </c>
      <c r="U141" s="14">
        <f t="shared" si="12"/>
        <v>512000</v>
      </c>
      <c r="V141" s="14">
        <f t="shared" si="13"/>
        <v>512000</v>
      </c>
      <c r="W141" s="14">
        <f t="shared" si="14"/>
        <v>512000</v>
      </c>
    </row>
    <row r="142" spans="18:23" x14ac:dyDescent="0.15">
      <c r="R142" s="5">
        <v>138</v>
      </c>
      <c r="S142" s="14">
        <f t="shared" si="10"/>
        <v>512000</v>
      </c>
      <c r="T142" s="14">
        <f t="shared" si="11"/>
        <v>512000</v>
      </c>
      <c r="U142" s="14">
        <f t="shared" si="12"/>
        <v>512000</v>
      </c>
      <c r="V142" s="14">
        <f t="shared" si="13"/>
        <v>512000</v>
      </c>
      <c r="W142" s="14">
        <f t="shared" si="14"/>
        <v>512000</v>
      </c>
    </row>
    <row r="143" spans="18:23" x14ac:dyDescent="0.15">
      <c r="R143" s="5">
        <v>139</v>
      </c>
      <c r="S143" s="14">
        <f t="shared" si="10"/>
        <v>512000</v>
      </c>
      <c r="T143" s="14">
        <f t="shared" si="11"/>
        <v>512000</v>
      </c>
      <c r="U143" s="14">
        <f t="shared" si="12"/>
        <v>512000</v>
      </c>
      <c r="V143" s="14">
        <f t="shared" si="13"/>
        <v>512000</v>
      </c>
      <c r="W143" s="14">
        <f t="shared" si="14"/>
        <v>512000</v>
      </c>
    </row>
    <row r="144" spans="18:23" x14ac:dyDescent="0.15">
      <c r="R144" s="5">
        <v>140</v>
      </c>
      <c r="S144" s="14">
        <f t="shared" si="10"/>
        <v>512000</v>
      </c>
      <c r="T144" s="14">
        <f t="shared" si="11"/>
        <v>512000</v>
      </c>
      <c r="U144" s="14">
        <f t="shared" si="12"/>
        <v>512000</v>
      </c>
      <c r="V144" s="14">
        <f t="shared" si="13"/>
        <v>512000</v>
      </c>
      <c r="W144" s="14">
        <f t="shared" si="14"/>
        <v>512000</v>
      </c>
    </row>
    <row r="145" spans="18:23" x14ac:dyDescent="0.15">
      <c r="R145" s="5">
        <v>141</v>
      </c>
      <c r="S145" s="14">
        <f t="shared" si="10"/>
        <v>512000</v>
      </c>
      <c r="T145" s="14">
        <f t="shared" si="11"/>
        <v>512000</v>
      </c>
      <c r="U145" s="14">
        <f t="shared" si="12"/>
        <v>512000</v>
      </c>
      <c r="V145" s="14">
        <f t="shared" si="13"/>
        <v>512000</v>
      </c>
      <c r="W145" s="14">
        <f t="shared" si="14"/>
        <v>512000</v>
      </c>
    </row>
    <row r="146" spans="18:23" x14ac:dyDescent="0.15">
      <c r="R146" s="5">
        <v>142</v>
      </c>
      <c r="S146" s="14">
        <f t="shared" si="10"/>
        <v>512000</v>
      </c>
      <c r="T146" s="14">
        <f t="shared" si="11"/>
        <v>512000</v>
      </c>
      <c r="U146" s="14">
        <f t="shared" si="12"/>
        <v>512000</v>
      </c>
      <c r="V146" s="14">
        <f t="shared" si="13"/>
        <v>512000</v>
      </c>
      <c r="W146" s="14">
        <f t="shared" si="14"/>
        <v>512000</v>
      </c>
    </row>
    <row r="147" spans="18:23" x14ac:dyDescent="0.15">
      <c r="R147" s="5">
        <v>143</v>
      </c>
      <c r="S147" s="14">
        <f t="shared" si="10"/>
        <v>512000</v>
      </c>
      <c r="T147" s="14">
        <f t="shared" si="11"/>
        <v>512000</v>
      </c>
      <c r="U147" s="14">
        <f t="shared" si="12"/>
        <v>512000</v>
      </c>
      <c r="V147" s="14">
        <f t="shared" si="13"/>
        <v>512000</v>
      </c>
      <c r="W147" s="14">
        <f t="shared" si="14"/>
        <v>512000</v>
      </c>
    </row>
    <row r="148" spans="18:23" x14ac:dyDescent="0.15">
      <c r="R148" s="5">
        <v>144</v>
      </c>
      <c r="S148" s="14">
        <f t="shared" si="10"/>
        <v>512000</v>
      </c>
      <c r="T148" s="14">
        <f t="shared" si="11"/>
        <v>512000</v>
      </c>
      <c r="U148" s="14">
        <f t="shared" si="12"/>
        <v>512000</v>
      </c>
      <c r="V148" s="14">
        <f t="shared" si="13"/>
        <v>512000</v>
      </c>
      <c r="W148" s="14">
        <f t="shared" si="14"/>
        <v>512000</v>
      </c>
    </row>
    <row r="149" spans="18:23" x14ac:dyDescent="0.15">
      <c r="R149" s="5">
        <v>145</v>
      </c>
      <c r="S149" s="14">
        <f t="shared" si="10"/>
        <v>512000</v>
      </c>
      <c r="T149" s="14">
        <f t="shared" si="11"/>
        <v>512000</v>
      </c>
      <c r="U149" s="14">
        <f t="shared" si="12"/>
        <v>512000</v>
      </c>
      <c r="V149" s="14">
        <f t="shared" si="13"/>
        <v>512000</v>
      </c>
      <c r="W149" s="14">
        <f t="shared" si="14"/>
        <v>512000</v>
      </c>
    </row>
    <row r="150" spans="18:23" x14ac:dyDescent="0.15">
      <c r="R150" s="5">
        <v>146</v>
      </c>
      <c r="S150" s="14">
        <f t="shared" si="10"/>
        <v>512000</v>
      </c>
      <c r="T150" s="14">
        <f t="shared" si="11"/>
        <v>512000</v>
      </c>
      <c r="U150" s="14">
        <f t="shared" si="12"/>
        <v>512000</v>
      </c>
      <c r="V150" s="14">
        <f t="shared" si="13"/>
        <v>512000</v>
      </c>
      <c r="W150" s="14">
        <f t="shared" si="14"/>
        <v>512000</v>
      </c>
    </row>
    <row r="151" spans="18:23" x14ac:dyDescent="0.15">
      <c r="R151" s="5">
        <v>147</v>
      </c>
      <c r="S151" s="14">
        <f t="shared" si="10"/>
        <v>512000</v>
      </c>
      <c r="T151" s="14">
        <f t="shared" si="11"/>
        <v>512000</v>
      </c>
      <c r="U151" s="14">
        <f t="shared" si="12"/>
        <v>512000</v>
      </c>
      <c r="V151" s="14">
        <f t="shared" si="13"/>
        <v>512000</v>
      </c>
      <c r="W151" s="14">
        <f t="shared" si="14"/>
        <v>512000</v>
      </c>
    </row>
    <row r="152" spans="18:23" x14ac:dyDescent="0.15">
      <c r="R152" s="5">
        <v>148</v>
      </c>
      <c r="S152" s="14">
        <f t="shared" si="10"/>
        <v>512000</v>
      </c>
      <c r="T152" s="14">
        <f t="shared" si="11"/>
        <v>512000</v>
      </c>
      <c r="U152" s="14">
        <f t="shared" si="12"/>
        <v>512000</v>
      </c>
      <c r="V152" s="14">
        <f t="shared" si="13"/>
        <v>512000</v>
      </c>
      <c r="W152" s="14">
        <f t="shared" si="14"/>
        <v>512000</v>
      </c>
    </row>
    <row r="153" spans="18:23" x14ac:dyDescent="0.15">
      <c r="R153" s="5">
        <v>149</v>
      </c>
      <c r="S153" s="14">
        <f t="shared" si="10"/>
        <v>512000</v>
      </c>
      <c r="T153" s="14">
        <f t="shared" si="11"/>
        <v>512000</v>
      </c>
      <c r="U153" s="14">
        <f t="shared" si="12"/>
        <v>512000</v>
      </c>
      <c r="V153" s="14">
        <f t="shared" si="13"/>
        <v>512000</v>
      </c>
      <c r="W153" s="14">
        <f t="shared" si="14"/>
        <v>512000</v>
      </c>
    </row>
    <row r="154" spans="18:23" x14ac:dyDescent="0.15">
      <c r="R154" s="5">
        <v>150</v>
      </c>
      <c r="S154" s="14">
        <f t="shared" si="10"/>
        <v>512000</v>
      </c>
      <c r="T154" s="14">
        <f t="shared" si="11"/>
        <v>512000</v>
      </c>
      <c r="U154" s="14">
        <f t="shared" si="12"/>
        <v>512000</v>
      </c>
      <c r="V154" s="14">
        <f t="shared" si="13"/>
        <v>512000</v>
      </c>
      <c r="W154" s="14">
        <f t="shared" si="14"/>
        <v>512000</v>
      </c>
    </row>
    <row r="155" spans="18:23" x14ac:dyDescent="0.15">
      <c r="R155" s="5">
        <v>151</v>
      </c>
      <c r="S155" s="14">
        <f t="shared" si="10"/>
        <v>512000</v>
      </c>
      <c r="T155" s="14">
        <f t="shared" si="11"/>
        <v>512000</v>
      </c>
      <c r="U155" s="14">
        <f t="shared" si="12"/>
        <v>512000</v>
      </c>
      <c r="V155" s="14">
        <f t="shared" si="13"/>
        <v>512000</v>
      </c>
      <c r="W155" s="14">
        <f t="shared" si="14"/>
        <v>512000</v>
      </c>
    </row>
    <row r="156" spans="18:23" x14ac:dyDescent="0.15">
      <c r="R156" s="5">
        <v>152</v>
      </c>
      <c r="S156" s="14">
        <f t="shared" si="10"/>
        <v>512000</v>
      </c>
      <c r="T156" s="14">
        <f t="shared" si="11"/>
        <v>512000</v>
      </c>
      <c r="U156" s="14">
        <f t="shared" si="12"/>
        <v>512000</v>
      </c>
      <c r="V156" s="14">
        <f t="shared" si="13"/>
        <v>512000</v>
      </c>
      <c r="W156" s="14">
        <f t="shared" si="14"/>
        <v>512000</v>
      </c>
    </row>
    <row r="157" spans="18:23" x14ac:dyDescent="0.15">
      <c r="R157" s="5">
        <v>153</v>
      </c>
      <c r="S157" s="14">
        <f t="shared" si="10"/>
        <v>512000</v>
      </c>
      <c r="T157" s="14">
        <f t="shared" si="11"/>
        <v>512000</v>
      </c>
      <c r="U157" s="14">
        <f t="shared" si="12"/>
        <v>512000</v>
      </c>
      <c r="V157" s="14">
        <f t="shared" si="13"/>
        <v>512000</v>
      </c>
      <c r="W157" s="14">
        <f t="shared" si="14"/>
        <v>512000</v>
      </c>
    </row>
    <row r="158" spans="18:23" x14ac:dyDescent="0.15">
      <c r="R158" s="5">
        <v>154</v>
      </c>
      <c r="S158" s="14">
        <f t="shared" si="10"/>
        <v>512000</v>
      </c>
      <c r="T158" s="14">
        <f t="shared" si="11"/>
        <v>512000</v>
      </c>
      <c r="U158" s="14">
        <f t="shared" si="12"/>
        <v>512000</v>
      </c>
      <c r="V158" s="14">
        <f t="shared" si="13"/>
        <v>512000</v>
      </c>
      <c r="W158" s="14">
        <f t="shared" si="14"/>
        <v>512000</v>
      </c>
    </row>
    <row r="159" spans="18:23" x14ac:dyDescent="0.15">
      <c r="R159" s="5">
        <v>155</v>
      </c>
      <c r="S159" s="14">
        <f t="shared" si="10"/>
        <v>512000</v>
      </c>
      <c r="T159" s="14">
        <f t="shared" si="11"/>
        <v>512000</v>
      </c>
      <c r="U159" s="14">
        <f t="shared" si="12"/>
        <v>512000</v>
      </c>
      <c r="V159" s="14">
        <f t="shared" si="13"/>
        <v>512000</v>
      </c>
      <c r="W159" s="14">
        <f t="shared" si="14"/>
        <v>512000</v>
      </c>
    </row>
    <row r="160" spans="18:23" x14ac:dyDescent="0.15">
      <c r="R160" s="5">
        <v>156</v>
      </c>
      <c r="S160" s="14">
        <f t="shared" si="10"/>
        <v>512000</v>
      </c>
      <c r="T160" s="14">
        <f t="shared" si="11"/>
        <v>512000</v>
      </c>
      <c r="U160" s="14">
        <f t="shared" si="12"/>
        <v>512000</v>
      </c>
      <c r="V160" s="14">
        <f t="shared" si="13"/>
        <v>512000</v>
      </c>
      <c r="W160" s="14">
        <f t="shared" si="14"/>
        <v>512000</v>
      </c>
    </row>
    <row r="161" spans="18:23" x14ac:dyDescent="0.15">
      <c r="R161" s="5">
        <v>157</v>
      </c>
      <c r="S161" s="14">
        <f t="shared" si="10"/>
        <v>512000</v>
      </c>
      <c r="T161" s="14">
        <f t="shared" si="11"/>
        <v>512000</v>
      </c>
      <c r="U161" s="14">
        <f t="shared" si="12"/>
        <v>512000</v>
      </c>
      <c r="V161" s="14">
        <f t="shared" si="13"/>
        <v>512000</v>
      </c>
      <c r="W161" s="14">
        <f t="shared" si="14"/>
        <v>512000</v>
      </c>
    </row>
    <row r="162" spans="18:23" x14ac:dyDescent="0.15">
      <c r="R162" s="5">
        <v>158</v>
      </c>
      <c r="S162" s="14">
        <f t="shared" si="10"/>
        <v>512000</v>
      </c>
      <c r="T162" s="14">
        <f t="shared" si="11"/>
        <v>512000</v>
      </c>
      <c r="U162" s="14">
        <f t="shared" si="12"/>
        <v>512000</v>
      </c>
      <c r="V162" s="14">
        <f t="shared" si="13"/>
        <v>512000</v>
      </c>
      <c r="W162" s="14">
        <f t="shared" si="14"/>
        <v>512000</v>
      </c>
    </row>
    <row r="163" spans="18:23" x14ac:dyDescent="0.15">
      <c r="R163" s="5">
        <v>159</v>
      </c>
      <c r="S163" s="14">
        <f t="shared" si="10"/>
        <v>512000</v>
      </c>
      <c r="T163" s="14">
        <f t="shared" si="11"/>
        <v>512000</v>
      </c>
      <c r="U163" s="14">
        <f t="shared" si="12"/>
        <v>512000</v>
      </c>
      <c r="V163" s="14">
        <f t="shared" si="13"/>
        <v>512000</v>
      </c>
      <c r="W163" s="14">
        <f t="shared" si="14"/>
        <v>512000</v>
      </c>
    </row>
    <row r="164" spans="18:23" x14ac:dyDescent="0.15">
      <c r="R164" s="5">
        <v>160</v>
      </c>
      <c r="S164" s="14">
        <f t="shared" si="10"/>
        <v>512000</v>
      </c>
      <c r="T164" s="14">
        <f t="shared" si="11"/>
        <v>512000</v>
      </c>
      <c r="U164" s="14">
        <f t="shared" si="12"/>
        <v>512000</v>
      </c>
      <c r="V164" s="14">
        <f t="shared" si="13"/>
        <v>512000</v>
      </c>
      <c r="W164" s="14">
        <f t="shared" si="14"/>
        <v>512000</v>
      </c>
    </row>
  </sheetData>
  <mergeCells count="12">
    <mergeCell ref="E3:H3"/>
    <mergeCell ref="S3:W3"/>
    <mergeCell ref="L3:O3"/>
    <mergeCell ref="L22:O22"/>
    <mergeCell ref="L41:O41"/>
    <mergeCell ref="L60:O60"/>
    <mergeCell ref="L79:O79"/>
    <mergeCell ref="P3:P4"/>
    <mergeCell ref="P22:P23"/>
    <mergeCell ref="P41:P42"/>
    <mergeCell ref="P60:P61"/>
    <mergeCell ref="P79:P80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101FB-F145-48BC-A8DC-D8BFC007DC30}">
  <sheetPr codeName="Sheet10"/>
  <dimension ref="D3:R164"/>
  <sheetViews>
    <sheetView workbookViewId="0">
      <selection activeCell="K93" sqref="K93"/>
    </sheetView>
  </sheetViews>
  <sheetFormatPr defaultRowHeight="11.25" x14ac:dyDescent="0.15"/>
  <cols>
    <col min="1" max="5" width="9" style="14"/>
    <col min="6" max="7" width="10.5" style="14" bestFit="1" customWidth="1"/>
    <col min="8" max="8" width="9" style="14"/>
    <col min="9" max="9" width="10.5" style="14" bestFit="1" customWidth="1"/>
    <col min="10" max="12" width="9" style="14"/>
    <col min="13" max="13" width="9" style="5"/>
    <col min="14" max="16384" width="9" style="14"/>
  </cols>
  <sheetData>
    <row r="3" spans="4:18" x14ac:dyDescent="0.15">
      <c r="N3" s="59" t="s">
        <v>306</v>
      </c>
      <c r="O3" s="59"/>
      <c r="P3" s="59"/>
      <c r="Q3" s="59"/>
      <c r="R3" s="59"/>
    </row>
    <row r="4" spans="4:18" x14ac:dyDescent="0.15">
      <c r="M4" s="5" t="s">
        <v>141</v>
      </c>
      <c r="N4" s="14" t="s">
        <v>127</v>
      </c>
      <c r="O4" s="14" t="s">
        <v>128</v>
      </c>
      <c r="P4" s="14" t="s">
        <v>129</v>
      </c>
      <c r="Q4" s="14" t="s">
        <v>130</v>
      </c>
      <c r="R4" s="14" t="s">
        <v>131</v>
      </c>
    </row>
    <row r="5" spans="4:18" x14ac:dyDescent="0.15">
      <c r="D5" s="5" t="s">
        <v>127</v>
      </c>
      <c r="E5" s="13" t="s">
        <v>141</v>
      </c>
      <c r="F5" s="13" t="s">
        <v>186</v>
      </c>
      <c r="G5" s="13" t="s">
        <v>187</v>
      </c>
      <c r="H5" s="13" t="s">
        <v>188</v>
      </c>
      <c r="I5" s="13" t="s">
        <v>307</v>
      </c>
      <c r="J5" s="13" t="s">
        <v>308</v>
      </c>
      <c r="K5" s="13" t="s">
        <v>309</v>
      </c>
      <c r="M5" s="5">
        <v>1</v>
      </c>
      <c r="N5" s="14">
        <f>求节点($E$6:$E$21,$H$6:$H$21,$M5)</f>
        <v>0</v>
      </c>
      <c r="O5" s="14">
        <f>求节点($E$25:$E$40,$H$25:$H$40,$M5)</f>
        <v>0</v>
      </c>
      <c r="P5" s="14">
        <f>求节点($E$44:$E$59,$H$44:$H$59,$M5)</f>
        <v>0</v>
      </c>
      <c r="Q5" s="14">
        <f>求节点($E$63:$E$78,$H$63:$H$78,$M5)</f>
        <v>0</v>
      </c>
      <c r="R5" s="14">
        <f>求节点($E$82:$E$97,$H$82:$H$97,$M5)</f>
        <v>0</v>
      </c>
    </row>
    <row r="6" spans="4:18" x14ac:dyDescent="0.15">
      <c r="D6" s="5"/>
      <c r="E6" s="13">
        <v>10</v>
      </c>
      <c r="F6" s="13">
        <f>阵法升星!S5</f>
        <v>0</v>
      </c>
      <c r="G6" s="13">
        <f>阵旗升级!S5</f>
        <v>0</v>
      </c>
      <c r="H6" s="13">
        <f>F6+G6</f>
        <v>0</v>
      </c>
      <c r="I6" s="44">
        <f>(F6)*INDEX([3]非r将兵属性验证!$AX$7:$AX$166,$E6)</f>
        <v>0</v>
      </c>
      <c r="J6" s="44">
        <f>(G6)*INDEX([3]非r将兵属性验证!$AX$7:$AX$166,$E6)</f>
        <v>0</v>
      </c>
      <c r="K6" s="13">
        <f>I6+J6</f>
        <v>0</v>
      </c>
      <c r="M6" s="5">
        <v>2</v>
      </c>
      <c r="N6" s="14">
        <f t="shared" ref="N6:N69" si="0">求节点($E$6:$E$21,$H$6:$H$21,$M6)</f>
        <v>0</v>
      </c>
      <c r="O6" s="14">
        <f t="shared" ref="O6:O69" si="1">求节点($E$25:$E$40,$H$25:$H$40,$M6)</f>
        <v>0</v>
      </c>
      <c r="P6" s="14">
        <f t="shared" ref="P6:P69" si="2">求节点($E$44:$E$59,$H$44:$H$59,$M6)</f>
        <v>0</v>
      </c>
      <c r="Q6" s="14">
        <f t="shared" ref="Q6:Q69" si="3">求节点($E$63:$E$78,$H$63:$H$78,$M6)</f>
        <v>0</v>
      </c>
      <c r="R6" s="14">
        <f t="shared" ref="R6:R69" si="4">求节点($E$82:$E$97,$H$82:$H$97,$M6)</f>
        <v>0</v>
      </c>
    </row>
    <row r="7" spans="4:18" x14ac:dyDescent="0.15">
      <c r="D7" s="5"/>
      <c r="E7" s="13">
        <v>20</v>
      </c>
      <c r="F7" s="13">
        <f>阵法升星!S6</f>
        <v>0</v>
      </c>
      <c r="G7" s="13">
        <f>阵旗升级!S6</f>
        <v>0</v>
      </c>
      <c r="H7" s="13">
        <f t="shared" ref="H7:H21" si="5">F7+G7</f>
        <v>0</v>
      </c>
      <c r="I7" s="13">
        <f>(F7-F6)*INDEX([3]非r将兵属性验证!$AX$7:$AX$166,$E7)+I6</f>
        <v>0</v>
      </c>
      <c r="J7" s="13">
        <f>(G7-G6)*INDEX([3]非r将兵属性验证!$AX$7:$AX$166,$E7)+J6</f>
        <v>0</v>
      </c>
      <c r="K7" s="13">
        <f t="shared" ref="K7:K21" si="6">I7+J7</f>
        <v>0</v>
      </c>
      <c r="M7" s="5">
        <v>3</v>
      </c>
      <c r="N7" s="14">
        <f t="shared" si="0"/>
        <v>0</v>
      </c>
      <c r="O7" s="14">
        <f t="shared" si="1"/>
        <v>0</v>
      </c>
      <c r="P7" s="14">
        <f t="shared" si="2"/>
        <v>0</v>
      </c>
      <c r="Q7" s="14">
        <f t="shared" si="3"/>
        <v>0</v>
      </c>
      <c r="R7" s="14">
        <f t="shared" si="4"/>
        <v>0</v>
      </c>
    </row>
    <row r="8" spans="4:18" x14ac:dyDescent="0.15">
      <c r="D8" s="5"/>
      <c r="E8" s="13">
        <v>30</v>
      </c>
      <c r="F8" s="13">
        <f>阵法升星!S7</f>
        <v>0</v>
      </c>
      <c r="G8" s="13">
        <f>阵旗升级!S7</f>
        <v>0</v>
      </c>
      <c r="H8" s="13">
        <f t="shared" si="5"/>
        <v>0</v>
      </c>
      <c r="I8" s="13">
        <f>(F8-F7)*INDEX([3]非r将兵属性验证!$AX$7:$AX$166,$E8)+I7</f>
        <v>0</v>
      </c>
      <c r="J8" s="13">
        <f>(G8-G7)*INDEX([3]非r将兵属性验证!$AX$7:$AX$166,$E8)+J7</f>
        <v>0</v>
      </c>
      <c r="K8" s="13">
        <f t="shared" si="6"/>
        <v>0</v>
      </c>
      <c r="M8" s="5">
        <v>4</v>
      </c>
      <c r="N8" s="14">
        <f t="shared" si="0"/>
        <v>0</v>
      </c>
      <c r="O8" s="14">
        <f t="shared" si="1"/>
        <v>0</v>
      </c>
      <c r="P8" s="14">
        <f t="shared" si="2"/>
        <v>0</v>
      </c>
      <c r="Q8" s="14">
        <f t="shared" si="3"/>
        <v>0</v>
      </c>
      <c r="R8" s="14">
        <f t="shared" si="4"/>
        <v>0</v>
      </c>
    </row>
    <row r="9" spans="4:18" x14ac:dyDescent="0.15">
      <c r="D9" s="5"/>
      <c r="E9" s="13">
        <v>40</v>
      </c>
      <c r="F9" s="13">
        <f>阵法升星!S8</f>
        <v>0</v>
      </c>
      <c r="G9" s="13">
        <f>阵旗升级!S8</f>
        <v>0</v>
      </c>
      <c r="H9" s="13">
        <f t="shared" si="5"/>
        <v>0</v>
      </c>
      <c r="I9" s="13">
        <f>(F9-F8)*INDEX([3]非r将兵属性验证!$AX$7:$AX$166,$E9)+I8</f>
        <v>0</v>
      </c>
      <c r="J9" s="13">
        <f>(G9-G8)*INDEX([3]非r将兵属性验证!$AX$7:$AX$166,$E9)+J8</f>
        <v>0</v>
      </c>
      <c r="K9" s="13">
        <f t="shared" si="6"/>
        <v>0</v>
      </c>
      <c r="M9" s="5">
        <v>5</v>
      </c>
      <c r="N9" s="14">
        <f t="shared" si="0"/>
        <v>0</v>
      </c>
      <c r="O9" s="14">
        <f t="shared" si="1"/>
        <v>0</v>
      </c>
      <c r="P9" s="14">
        <f t="shared" si="2"/>
        <v>0</v>
      </c>
      <c r="Q9" s="14">
        <f t="shared" si="3"/>
        <v>0</v>
      </c>
      <c r="R9" s="14">
        <f t="shared" si="4"/>
        <v>0</v>
      </c>
    </row>
    <row r="10" spans="4:18" x14ac:dyDescent="0.15">
      <c r="D10" s="5"/>
      <c r="E10" s="13">
        <v>50</v>
      </c>
      <c r="F10" s="13">
        <f>阵法升星!S9</f>
        <v>0</v>
      </c>
      <c r="G10" s="13">
        <f>阵旗升级!S9</f>
        <v>0</v>
      </c>
      <c r="H10" s="13">
        <f t="shared" si="5"/>
        <v>0</v>
      </c>
      <c r="I10" s="13">
        <f>(F10-F9)*INDEX([3]非r将兵属性验证!$AX$7:$AX$166,$E10)+I9</f>
        <v>0</v>
      </c>
      <c r="J10" s="13">
        <f>(G10-G9)*INDEX([3]非r将兵属性验证!$AX$7:$AX$166,$E10)+J9</f>
        <v>0</v>
      </c>
      <c r="K10" s="13">
        <f t="shared" si="6"/>
        <v>0</v>
      </c>
      <c r="M10" s="5">
        <v>6</v>
      </c>
      <c r="N10" s="14">
        <f t="shared" si="0"/>
        <v>0</v>
      </c>
      <c r="O10" s="14">
        <f t="shared" si="1"/>
        <v>0</v>
      </c>
      <c r="P10" s="14">
        <f t="shared" si="2"/>
        <v>0</v>
      </c>
      <c r="Q10" s="14">
        <f t="shared" si="3"/>
        <v>0</v>
      </c>
      <c r="R10" s="14">
        <f t="shared" si="4"/>
        <v>0</v>
      </c>
    </row>
    <row r="11" spans="4:18" x14ac:dyDescent="0.15">
      <c r="D11" s="5"/>
      <c r="E11" s="13">
        <v>60</v>
      </c>
      <c r="F11" s="13">
        <f>阵法升星!S10</f>
        <v>0</v>
      </c>
      <c r="G11" s="13">
        <f>阵旗升级!S10</f>
        <v>0</v>
      </c>
      <c r="H11" s="13">
        <f t="shared" si="5"/>
        <v>0</v>
      </c>
      <c r="I11" s="13">
        <f>(F11-F10)*INDEX([3]非r将兵属性验证!$AX$7:$AX$166,$E11)+I10</f>
        <v>0</v>
      </c>
      <c r="J11" s="13">
        <f>(G11-G10)*INDEX([3]非r将兵属性验证!$AX$7:$AX$166,$E11)+J10</f>
        <v>0</v>
      </c>
      <c r="K11" s="13">
        <f t="shared" si="6"/>
        <v>0</v>
      </c>
      <c r="M11" s="5">
        <v>7</v>
      </c>
      <c r="N11" s="14">
        <f t="shared" si="0"/>
        <v>0</v>
      </c>
      <c r="O11" s="14">
        <f t="shared" si="1"/>
        <v>0</v>
      </c>
      <c r="P11" s="14">
        <f t="shared" si="2"/>
        <v>0</v>
      </c>
      <c r="Q11" s="14">
        <f t="shared" si="3"/>
        <v>0</v>
      </c>
      <c r="R11" s="14">
        <f t="shared" si="4"/>
        <v>0</v>
      </c>
    </row>
    <row r="12" spans="4:18" x14ac:dyDescent="0.15">
      <c r="D12" s="5"/>
      <c r="E12" s="13">
        <v>70</v>
      </c>
      <c r="F12" s="13">
        <f>阵法升星!S11</f>
        <v>9.2202289515276994E-2</v>
      </c>
      <c r="G12" s="13">
        <f>阵旗升级!S11</f>
        <v>0.12301918401981039</v>
      </c>
      <c r="H12" s="13">
        <f t="shared" si="5"/>
        <v>0.21522147353508739</v>
      </c>
      <c r="I12" s="13">
        <f>(F12-F11)*INDEX([3]非r将兵属性验证!$AX$7:$AX$166,$E12)+I11</f>
        <v>1155114318.7290752</v>
      </c>
      <c r="J12" s="13">
        <f>(G12-G11)*INDEX([3]非r将兵属性验证!$AX$7:$AX$166,$E12)+J11</f>
        <v>1541189721.9331553</v>
      </c>
      <c r="K12" s="13">
        <f t="shared" si="6"/>
        <v>2696304040.6622305</v>
      </c>
      <c r="M12" s="5">
        <v>8</v>
      </c>
      <c r="N12" s="14">
        <f t="shared" si="0"/>
        <v>0</v>
      </c>
      <c r="O12" s="14">
        <f t="shared" si="1"/>
        <v>0</v>
      </c>
      <c r="P12" s="14">
        <f t="shared" si="2"/>
        <v>0</v>
      </c>
      <c r="Q12" s="14">
        <f t="shared" si="3"/>
        <v>0</v>
      </c>
      <c r="R12" s="14">
        <f t="shared" si="4"/>
        <v>0</v>
      </c>
    </row>
    <row r="13" spans="4:18" x14ac:dyDescent="0.15">
      <c r="D13" s="5"/>
      <c r="E13" s="13">
        <v>80</v>
      </c>
      <c r="F13" s="13">
        <f>阵法升星!S12</f>
        <v>0.18</v>
      </c>
      <c r="G13" s="13">
        <f>阵旗升级!S12</f>
        <v>0.30507899477051431</v>
      </c>
      <c r="H13" s="13">
        <f t="shared" si="5"/>
        <v>0.4850789947705143</v>
      </c>
      <c r="I13" s="13">
        <f>(F13-F12)*INDEX([3]非r将兵属性验证!$AX$7:$AX$166,$E13)+I12</f>
        <v>4528523313.7691126</v>
      </c>
      <c r="J13" s="13">
        <f>(G13-G12)*INDEX([3]非r将兵属性验证!$AX$7:$AX$166,$E13)+J12</f>
        <v>8536385836.1709757</v>
      </c>
      <c r="K13" s="13">
        <f t="shared" si="6"/>
        <v>13064909149.940088</v>
      </c>
      <c r="M13" s="5">
        <v>9</v>
      </c>
      <c r="N13" s="14">
        <f t="shared" si="0"/>
        <v>0</v>
      </c>
      <c r="O13" s="14">
        <f t="shared" si="1"/>
        <v>0</v>
      </c>
      <c r="P13" s="14">
        <f t="shared" si="2"/>
        <v>0</v>
      </c>
      <c r="Q13" s="14">
        <f t="shared" si="3"/>
        <v>0</v>
      </c>
      <c r="R13" s="14">
        <f t="shared" si="4"/>
        <v>0</v>
      </c>
    </row>
    <row r="14" spans="4:18" x14ac:dyDescent="0.15">
      <c r="D14" s="5"/>
      <c r="E14" s="13">
        <v>90</v>
      </c>
      <c r="F14" s="13">
        <f>阵法升星!S13</f>
        <v>0.18</v>
      </c>
      <c r="G14" s="13">
        <f>阵旗升级!S13</f>
        <v>0.41716923110762505</v>
      </c>
      <c r="H14" s="13">
        <f t="shared" si="5"/>
        <v>0.5971692311076251</v>
      </c>
      <c r="I14" s="13">
        <f>(F14-F13)*INDEX([3]非r将兵属性验证!$AX$7:$AX$166,$E14)+I13</f>
        <v>4528523313.7691126</v>
      </c>
      <c r="J14" s="13">
        <f>(G14-G13)*INDEX([3]非r将兵属性验证!$AX$7:$AX$166,$E14)+J13</f>
        <v>19172388326.064568</v>
      </c>
      <c r="K14" s="13">
        <f t="shared" si="6"/>
        <v>23700911639.833679</v>
      </c>
      <c r="M14" s="5">
        <v>10</v>
      </c>
      <c r="N14" s="14">
        <f t="shared" si="0"/>
        <v>0</v>
      </c>
      <c r="O14" s="14">
        <f t="shared" si="1"/>
        <v>0</v>
      </c>
      <c r="P14" s="14">
        <f t="shared" si="2"/>
        <v>0</v>
      </c>
      <c r="Q14" s="14">
        <f t="shared" si="3"/>
        <v>0</v>
      </c>
      <c r="R14" s="14">
        <f t="shared" si="4"/>
        <v>0</v>
      </c>
    </row>
    <row r="15" spans="4:18" x14ac:dyDescent="0.15">
      <c r="D15" s="5"/>
      <c r="E15" s="13">
        <v>100</v>
      </c>
      <c r="F15" s="13">
        <f>阵法升星!S14</f>
        <v>0.22130192166073845</v>
      </c>
      <c r="G15" s="13">
        <f>阵旗升级!S14</f>
        <v>0.69815787846482624</v>
      </c>
      <c r="H15" s="13">
        <f t="shared" si="5"/>
        <v>0.91945980012556472</v>
      </c>
      <c r="I15" s="13">
        <f>(F15-F14)*INDEX([3]非r将兵属性验证!$AX$7:$AX$166,$E15)+I14</f>
        <v>13856023555.996082</v>
      </c>
      <c r="J15" s="13">
        <f>(G15-G14)*INDEX([3]非r将兵属性验证!$AX$7:$AX$166,$E15)+J14</f>
        <v>82630008962.122467</v>
      </c>
      <c r="K15" s="13">
        <f t="shared" si="6"/>
        <v>96486032518.118546</v>
      </c>
      <c r="M15" s="5">
        <v>11</v>
      </c>
      <c r="N15" s="14">
        <f t="shared" si="0"/>
        <v>0</v>
      </c>
      <c r="O15" s="14">
        <f t="shared" si="1"/>
        <v>0</v>
      </c>
      <c r="P15" s="14">
        <f t="shared" si="2"/>
        <v>0</v>
      </c>
      <c r="Q15" s="14">
        <f t="shared" si="3"/>
        <v>0</v>
      </c>
      <c r="R15" s="14">
        <f t="shared" si="4"/>
        <v>0</v>
      </c>
    </row>
    <row r="16" spans="4:18" x14ac:dyDescent="0.15">
      <c r="D16" s="5"/>
      <c r="E16" s="13">
        <v>110</v>
      </c>
      <c r="F16" s="13">
        <f>阵法升星!S15</f>
        <v>0.36903422799155661</v>
      </c>
      <c r="G16" s="13">
        <f>阵旗升级!S15</f>
        <v>1.4847588984546274</v>
      </c>
      <c r="H16" s="13">
        <f t="shared" si="5"/>
        <v>1.853793126446184</v>
      </c>
      <c r="I16" s="13">
        <f>(F16-F15)*INDEX([3]非r将兵属性验证!$AX$7:$AX$166,$E16)+I15</f>
        <v>78308653245.590759</v>
      </c>
      <c r="J16" s="13">
        <f>(G16-G15)*INDEX([3]非r将兵属性验证!$AX$7:$AX$166,$E16)+J15</f>
        <v>425808190593.77271</v>
      </c>
      <c r="K16" s="13">
        <f t="shared" si="6"/>
        <v>504116843839.36346</v>
      </c>
      <c r="M16" s="5">
        <v>12</v>
      </c>
      <c r="N16" s="14">
        <f t="shared" si="0"/>
        <v>0</v>
      </c>
      <c r="O16" s="14">
        <f t="shared" si="1"/>
        <v>0</v>
      </c>
      <c r="P16" s="14">
        <f t="shared" si="2"/>
        <v>0</v>
      </c>
      <c r="Q16" s="14">
        <f t="shared" si="3"/>
        <v>0</v>
      </c>
      <c r="R16" s="14">
        <f t="shared" si="4"/>
        <v>0</v>
      </c>
    </row>
    <row r="17" spans="4:18" x14ac:dyDescent="0.15">
      <c r="D17" s="5"/>
      <c r="E17" s="13">
        <v>120</v>
      </c>
      <c r="F17" s="13">
        <f>阵法升星!S16</f>
        <v>0.48</v>
      </c>
      <c r="G17" s="13">
        <f>阵旗升级!S16</f>
        <v>1.8050137531371757</v>
      </c>
      <c r="H17" s="13">
        <f t="shared" si="5"/>
        <v>2.2850137531371759</v>
      </c>
      <c r="I17" s="13">
        <f>(F17-F16)*INDEX([3]非r将兵属性验证!$AX$7:$AX$166,$E17)+I16</f>
        <v>164764922037.06195</v>
      </c>
      <c r="J17" s="13">
        <f>(G17-G16)*INDEX([3]非r将兵属性验证!$AX$7:$AX$166,$E17)+J16</f>
        <v>675326932247.74109</v>
      </c>
      <c r="K17" s="13">
        <f t="shared" si="6"/>
        <v>840091854284.80298</v>
      </c>
      <c r="M17" s="5">
        <v>13</v>
      </c>
      <c r="N17" s="14">
        <f t="shared" si="0"/>
        <v>0</v>
      </c>
      <c r="O17" s="14">
        <f t="shared" si="1"/>
        <v>0</v>
      </c>
      <c r="P17" s="14">
        <f t="shared" si="2"/>
        <v>0</v>
      </c>
      <c r="Q17" s="14">
        <f t="shared" si="3"/>
        <v>0</v>
      </c>
      <c r="R17" s="14">
        <f t="shared" si="4"/>
        <v>0</v>
      </c>
    </row>
    <row r="18" spans="4:18" x14ac:dyDescent="0.15">
      <c r="D18" s="5"/>
      <c r="E18" s="13">
        <v>130</v>
      </c>
      <c r="F18" s="13">
        <f>阵法升星!S17</f>
        <v>0.48</v>
      </c>
      <c r="G18" s="13">
        <f>阵旗升级!S17</f>
        <v>1.983610355718527</v>
      </c>
      <c r="H18" s="13">
        <f t="shared" si="5"/>
        <v>2.4636103557185267</v>
      </c>
      <c r="I18" s="13">
        <f>(F18-F17)*INDEX([3]非r将兵属性验证!$AX$7:$AX$166,$E18)+I17</f>
        <v>164764922037.06195</v>
      </c>
      <c r="J18" s="13">
        <f>(G18-G17)*INDEX([3]非r将兵属性验证!$AX$7:$AX$166,$E18)+J17</f>
        <v>899191074156.68286</v>
      </c>
      <c r="K18" s="13">
        <f t="shared" si="6"/>
        <v>1063955996193.7449</v>
      </c>
      <c r="M18" s="5">
        <v>14</v>
      </c>
      <c r="N18" s="14">
        <f t="shared" si="0"/>
        <v>0</v>
      </c>
      <c r="O18" s="14">
        <f t="shared" si="1"/>
        <v>0</v>
      </c>
      <c r="P18" s="14">
        <f t="shared" si="2"/>
        <v>0</v>
      </c>
      <c r="Q18" s="14">
        <f t="shared" si="3"/>
        <v>0</v>
      </c>
      <c r="R18" s="14">
        <f t="shared" si="4"/>
        <v>0</v>
      </c>
    </row>
    <row r="19" spans="4:18" x14ac:dyDescent="0.15">
      <c r="D19" s="5"/>
      <c r="E19" s="13">
        <v>140</v>
      </c>
      <c r="F19" s="13">
        <f>阵法升星!S18</f>
        <v>0.48</v>
      </c>
      <c r="G19" s="13">
        <f>阵旗升级!S18</f>
        <v>2.0764112254278051</v>
      </c>
      <c r="H19" s="13">
        <f t="shared" si="5"/>
        <v>2.5564112254278051</v>
      </c>
      <c r="I19" s="13">
        <f>(F19-F18)*INDEX([3]非r将兵属性验证!$AX$7:$AX$166,$E19)+I18</f>
        <v>164764922037.06195</v>
      </c>
      <c r="J19" s="13">
        <f>(G19-G18)*INDEX([3]非r将兵属性验证!$AX$7:$AX$166,$E19)+J18</f>
        <v>1081586167621.1401</v>
      </c>
      <c r="K19" s="13">
        <f t="shared" si="6"/>
        <v>1246351089658.2021</v>
      </c>
      <c r="M19" s="5">
        <v>15</v>
      </c>
      <c r="N19" s="14">
        <f t="shared" si="0"/>
        <v>0</v>
      </c>
      <c r="O19" s="14">
        <f t="shared" si="1"/>
        <v>0</v>
      </c>
      <c r="P19" s="14">
        <f t="shared" si="2"/>
        <v>0</v>
      </c>
      <c r="Q19" s="14">
        <f t="shared" si="3"/>
        <v>0</v>
      </c>
      <c r="R19" s="14">
        <f t="shared" si="4"/>
        <v>0</v>
      </c>
    </row>
    <row r="20" spans="4:18" x14ac:dyDescent="0.15">
      <c r="D20" s="5"/>
      <c r="E20" s="13">
        <v>150</v>
      </c>
      <c r="F20" s="13">
        <f>阵法升星!S19</f>
        <v>0.48</v>
      </c>
      <c r="G20" s="13">
        <f>阵旗升级!S19</f>
        <v>2.1794334836751976</v>
      </c>
      <c r="H20" s="13">
        <f t="shared" si="5"/>
        <v>2.6594334836751976</v>
      </c>
      <c r="I20" s="13">
        <f>(F20-F19)*INDEX([3]非r将兵属性验证!$AX$7:$AX$166,$E20)+I19</f>
        <v>164764922037.06195</v>
      </c>
      <c r="J20" s="13">
        <f>(G20-G19)*INDEX([3]非r将兵属性验证!$AX$7:$AX$166,$E20)+J19</f>
        <v>1389315293459.3879</v>
      </c>
      <c r="K20" s="13">
        <f t="shared" si="6"/>
        <v>1554080215496.45</v>
      </c>
      <c r="M20" s="5">
        <v>16</v>
      </c>
      <c r="N20" s="14">
        <f t="shared" si="0"/>
        <v>0</v>
      </c>
      <c r="O20" s="14">
        <f t="shared" si="1"/>
        <v>0</v>
      </c>
      <c r="P20" s="14">
        <f t="shared" si="2"/>
        <v>0</v>
      </c>
      <c r="Q20" s="14">
        <f t="shared" si="3"/>
        <v>0</v>
      </c>
      <c r="R20" s="14">
        <f t="shared" si="4"/>
        <v>0</v>
      </c>
    </row>
    <row r="21" spans="4:18" x14ac:dyDescent="0.15">
      <c r="D21" s="5"/>
      <c r="E21" s="13">
        <v>160</v>
      </c>
      <c r="F21" s="13">
        <f>阵法升星!S20</f>
        <v>0.48</v>
      </c>
      <c r="G21" s="13">
        <f>阵旗升级!S20</f>
        <v>2.250760845517453</v>
      </c>
      <c r="H21" s="13">
        <f t="shared" si="5"/>
        <v>2.730760845517453</v>
      </c>
      <c r="I21" s="13">
        <f>(F21-F20)*INDEX([3]非r将兵属性验证!$AX$7:$AX$166,$E21)+I20</f>
        <v>164764922037.06195</v>
      </c>
      <c r="J21" s="13">
        <f>(G21-G20)*INDEX([3]非r将兵属性验证!$AX$7:$AX$166,$E21)+J20</f>
        <v>1674757420012.3894</v>
      </c>
      <c r="K21" s="13">
        <f t="shared" si="6"/>
        <v>1839522342049.4514</v>
      </c>
      <c r="M21" s="5">
        <v>17</v>
      </c>
      <c r="N21" s="14">
        <f t="shared" si="0"/>
        <v>0</v>
      </c>
      <c r="O21" s="14">
        <f t="shared" si="1"/>
        <v>0</v>
      </c>
      <c r="P21" s="14">
        <f t="shared" si="2"/>
        <v>0</v>
      </c>
      <c r="Q21" s="14">
        <f t="shared" si="3"/>
        <v>0</v>
      </c>
      <c r="R21" s="14">
        <f t="shared" si="4"/>
        <v>0</v>
      </c>
    </row>
    <row r="22" spans="4:18" x14ac:dyDescent="0.15">
      <c r="D22" s="5"/>
      <c r="E22" s="5"/>
      <c r="F22" s="5"/>
      <c r="G22" s="5"/>
      <c r="H22" s="5"/>
      <c r="I22" s="5"/>
      <c r="J22" s="5"/>
      <c r="K22" s="5"/>
      <c r="M22" s="5">
        <v>18</v>
      </c>
      <c r="N22" s="14">
        <f t="shared" si="0"/>
        <v>0</v>
      </c>
      <c r="O22" s="14">
        <f t="shared" si="1"/>
        <v>0</v>
      </c>
      <c r="P22" s="14">
        <f t="shared" si="2"/>
        <v>0</v>
      </c>
      <c r="Q22" s="14">
        <f t="shared" si="3"/>
        <v>0</v>
      </c>
      <c r="R22" s="14">
        <f t="shared" si="4"/>
        <v>0</v>
      </c>
    </row>
    <row r="23" spans="4:18" x14ac:dyDescent="0.15">
      <c r="D23" s="5"/>
      <c r="E23" s="13"/>
      <c r="F23" s="13"/>
      <c r="G23" s="13"/>
      <c r="H23" s="13"/>
      <c r="I23" s="13"/>
      <c r="J23" s="13"/>
      <c r="K23" s="13"/>
      <c r="M23" s="5">
        <v>19</v>
      </c>
      <c r="N23" s="14">
        <f t="shared" si="0"/>
        <v>0</v>
      </c>
      <c r="O23" s="14">
        <f t="shared" si="1"/>
        <v>0</v>
      </c>
      <c r="P23" s="14">
        <f t="shared" si="2"/>
        <v>0</v>
      </c>
      <c r="Q23" s="14">
        <f t="shared" si="3"/>
        <v>0</v>
      </c>
      <c r="R23" s="14">
        <f t="shared" si="4"/>
        <v>0</v>
      </c>
    </row>
    <row r="24" spans="4:18" x14ac:dyDescent="0.15">
      <c r="D24" s="5" t="s">
        <v>128</v>
      </c>
      <c r="E24" s="13" t="s">
        <v>141</v>
      </c>
      <c r="F24" s="13" t="s">
        <v>186</v>
      </c>
      <c r="G24" s="13" t="s">
        <v>187</v>
      </c>
      <c r="H24" s="13" t="s">
        <v>188</v>
      </c>
      <c r="I24" s="13" t="s">
        <v>307</v>
      </c>
      <c r="J24" s="13" t="s">
        <v>308</v>
      </c>
      <c r="K24" s="13" t="s">
        <v>309</v>
      </c>
      <c r="M24" s="5">
        <v>20</v>
      </c>
      <c r="N24" s="14">
        <f t="shared" si="0"/>
        <v>0</v>
      </c>
      <c r="O24" s="14">
        <f t="shared" si="1"/>
        <v>0</v>
      </c>
      <c r="P24" s="14">
        <f t="shared" si="2"/>
        <v>0</v>
      </c>
      <c r="Q24" s="14">
        <f t="shared" si="3"/>
        <v>0</v>
      </c>
      <c r="R24" s="14">
        <f t="shared" si="4"/>
        <v>0</v>
      </c>
    </row>
    <row r="25" spans="4:18" x14ac:dyDescent="0.15">
      <c r="D25" s="5"/>
      <c r="E25" s="13">
        <v>10</v>
      </c>
      <c r="F25" s="13">
        <f>阵法升星!S24</f>
        <v>0</v>
      </c>
      <c r="G25" s="13">
        <f>阵旗升级!S24</f>
        <v>0</v>
      </c>
      <c r="H25" s="13">
        <f>F25+G25</f>
        <v>0</v>
      </c>
      <c r="I25" s="44">
        <f>(F25)*INDEX([3]小r将兵属性验证!$AX$7:$AX$166,$E25)</f>
        <v>0</v>
      </c>
      <c r="J25" s="44">
        <f>(G25)*INDEX([3]小r将兵属性验证!$AX$7:$AX$166,$E25)</f>
        <v>0</v>
      </c>
      <c r="K25" s="13">
        <f>I25+J25</f>
        <v>0</v>
      </c>
      <c r="M25" s="5">
        <v>21</v>
      </c>
      <c r="N25" s="14">
        <f t="shared" si="0"/>
        <v>0</v>
      </c>
      <c r="O25" s="14">
        <f t="shared" si="1"/>
        <v>0</v>
      </c>
      <c r="P25" s="14">
        <f t="shared" si="2"/>
        <v>0</v>
      </c>
      <c r="Q25" s="14">
        <f t="shared" si="3"/>
        <v>0</v>
      </c>
      <c r="R25" s="14">
        <f t="shared" si="4"/>
        <v>0</v>
      </c>
    </row>
    <row r="26" spans="4:18" x14ac:dyDescent="0.15">
      <c r="D26" s="5"/>
      <c r="E26" s="13">
        <v>20</v>
      </c>
      <c r="F26" s="13">
        <f>阵法升星!S25</f>
        <v>0</v>
      </c>
      <c r="G26" s="13">
        <f>阵旗升级!S25</f>
        <v>0</v>
      </c>
      <c r="H26" s="13">
        <f t="shared" ref="H26:H40" si="7">F26+G26</f>
        <v>0</v>
      </c>
      <c r="I26" s="13">
        <f>(F26-F25)*INDEX([3]小r将兵属性验证!$AX$7:$AX$166,$E26)+I25</f>
        <v>0</v>
      </c>
      <c r="J26" s="13">
        <f>(G26-G25)*INDEX([3]小r将兵属性验证!$AX$7:$AX$166,$E26)+J25</f>
        <v>0</v>
      </c>
      <c r="K26" s="13">
        <f t="shared" ref="K26:K40" si="8">I26+J26</f>
        <v>0</v>
      </c>
      <c r="M26" s="5">
        <v>22</v>
      </c>
      <c r="N26" s="14">
        <f t="shared" si="0"/>
        <v>0</v>
      </c>
      <c r="O26" s="14">
        <f t="shared" si="1"/>
        <v>0</v>
      </c>
      <c r="P26" s="14">
        <f t="shared" si="2"/>
        <v>0</v>
      </c>
      <c r="Q26" s="14">
        <f t="shared" si="3"/>
        <v>0</v>
      </c>
      <c r="R26" s="14">
        <f t="shared" si="4"/>
        <v>0</v>
      </c>
    </row>
    <row r="27" spans="4:18" x14ac:dyDescent="0.15">
      <c r="D27" s="5"/>
      <c r="E27" s="13">
        <v>30</v>
      </c>
      <c r="F27" s="13">
        <f>阵法升星!S26</f>
        <v>0</v>
      </c>
      <c r="G27" s="13">
        <f>阵旗升级!S26</f>
        <v>0</v>
      </c>
      <c r="H27" s="13">
        <f t="shared" si="7"/>
        <v>0</v>
      </c>
      <c r="I27" s="13">
        <f>(F27-F26)*INDEX([3]小r将兵属性验证!$AX$7:$AX$166,$E27)+I26</f>
        <v>0</v>
      </c>
      <c r="J27" s="13">
        <f>(G27-G26)*INDEX([3]小r将兵属性验证!$AX$7:$AX$166,$E27)+J26</f>
        <v>0</v>
      </c>
      <c r="K27" s="13">
        <f t="shared" si="8"/>
        <v>0</v>
      </c>
      <c r="M27" s="5">
        <v>23</v>
      </c>
      <c r="N27" s="14">
        <f t="shared" si="0"/>
        <v>0</v>
      </c>
      <c r="O27" s="14">
        <f t="shared" si="1"/>
        <v>0</v>
      </c>
      <c r="P27" s="14">
        <f t="shared" si="2"/>
        <v>0</v>
      </c>
      <c r="Q27" s="14">
        <f t="shared" si="3"/>
        <v>0</v>
      </c>
      <c r="R27" s="14">
        <f t="shared" si="4"/>
        <v>0</v>
      </c>
    </row>
    <row r="28" spans="4:18" x14ac:dyDescent="0.15">
      <c r="D28" s="5"/>
      <c r="E28" s="13">
        <v>40</v>
      </c>
      <c r="F28" s="13">
        <f>阵法升星!S27</f>
        <v>0</v>
      </c>
      <c r="G28" s="13">
        <f>阵旗升级!S27</f>
        <v>0</v>
      </c>
      <c r="H28" s="13">
        <f t="shared" si="7"/>
        <v>0</v>
      </c>
      <c r="I28" s="13">
        <f>(F28-F27)*INDEX([3]小r将兵属性验证!$AX$7:$AX$166,$E28)+I27</f>
        <v>0</v>
      </c>
      <c r="J28" s="13">
        <f>(G28-G27)*INDEX([3]小r将兵属性验证!$AX$7:$AX$166,$E28)+J27</f>
        <v>0</v>
      </c>
      <c r="K28" s="13">
        <f t="shared" si="8"/>
        <v>0</v>
      </c>
      <c r="M28" s="5">
        <v>24</v>
      </c>
      <c r="N28" s="14">
        <f t="shared" si="0"/>
        <v>0</v>
      </c>
      <c r="O28" s="14">
        <f t="shared" si="1"/>
        <v>0</v>
      </c>
      <c r="P28" s="14">
        <f t="shared" si="2"/>
        <v>0</v>
      </c>
      <c r="Q28" s="14">
        <f t="shared" si="3"/>
        <v>0</v>
      </c>
      <c r="R28" s="14">
        <f t="shared" si="4"/>
        <v>0</v>
      </c>
    </row>
    <row r="29" spans="4:18" x14ac:dyDescent="0.15">
      <c r="D29" s="5"/>
      <c r="E29" s="13">
        <v>50</v>
      </c>
      <c r="F29" s="13">
        <f>阵法升星!S28</f>
        <v>0</v>
      </c>
      <c r="G29" s="13">
        <f>阵旗升级!S28</f>
        <v>0</v>
      </c>
      <c r="H29" s="13">
        <f t="shared" si="7"/>
        <v>0</v>
      </c>
      <c r="I29" s="13">
        <f>(F29-F28)*INDEX([3]小r将兵属性验证!$AX$7:$AX$166,$E29)+I28</f>
        <v>0</v>
      </c>
      <c r="J29" s="13">
        <f>(G29-G28)*INDEX([3]小r将兵属性验证!$AX$7:$AX$166,$E29)+J28</f>
        <v>0</v>
      </c>
      <c r="K29" s="13">
        <f t="shared" si="8"/>
        <v>0</v>
      </c>
      <c r="M29" s="5">
        <v>25</v>
      </c>
      <c r="N29" s="14">
        <f t="shared" si="0"/>
        <v>0</v>
      </c>
      <c r="O29" s="14">
        <f t="shared" si="1"/>
        <v>0</v>
      </c>
      <c r="P29" s="14">
        <f t="shared" si="2"/>
        <v>0</v>
      </c>
      <c r="Q29" s="14">
        <f t="shared" si="3"/>
        <v>0</v>
      </c>
      <c r="R29" s="14">
        <f t="shared" si="4"/>
        <v>0</v>
      </c>
    </row>
    <row r="30" spans="4:18" x14ac:dyDescent="0.15">
      <c r="D30" s="5"/>
      <c r="E30" s="13">
        <v>60</v>
      </c>
      <c r="F30" s="13">
        <f>阵法升星!S29</f>
        <v>0</v>
      </c>
      <c r="G30" s="13">
        <f>阵旗升级!S29</f>
        <v>0</v>
      </c>
      <c r="H30" s="13">
        <f t="shared" si="7"/>
        <v>0</v>
      </c>
      <c r="I30" s="13">
        <f>(F30-F29)*INDEX([3]小r将兵属性验证!$AX$7:$AX$166,$E30)+I29</f>
        <v>0</v>
      </c>
      <c r="J30" s="13">
        <f>(G30-G29)*INDEX([3]小r将兵属性验证!$AX$7:$AX$166,$E30)+J29</f>
        <v>0</v>
      </c>
      <c r="K30" s="13">
        <f t="shared" si="8"/>
        <v>0</v>
      </c>
      <c r="M30" s="5">
        <v>26</v>
      </c>
      <c r="N30" s="14">
        <f t="shared" si="0"/>
        <v>0</v>
      </c>
      <c r="O30" s="14">
        <f t="shared" si="1"/>
        <v>0</v>
      </c>
      <c r="P30" s="14">
        <f t="shared" si="2"/>
        <v>0</v>
      </c>
      <c r="Q30" s="14">
        <f t="shared" si="3"/>
        <v>0</v>
      </c>
      <c r="R30" s="14">
        <f t="shared" si="4"/>
        <v>0</v>
      </c>
    </row>
    <row r="31" spans="4:18" x14ac:dyDescent="0.15">
      <c r="D31" s="5"/>
      <c r="E31" s="13">
        <v>70</v>
      </c>
      <c r="F31" s="13">
        <f>阵法升星!S30</f>
        <v>0.12782186345479526</v>
      </c>
      <c r="G31" s="13">
        <f>阵旗升级!S30</f>
        <v>0.55538617354584419</v>
      </c>
      <c r="H31" s="13">
        <f t="shared" si="7"/>
        <v>0.68320803700063948</v>
      </c>
      <c r="I31" s="13">
        <f>(F31-F30)*INDEX([3]小r将兵属性验证!$AX$7:$AX$166,$E31)+I30</f>
        <v>1942464134.148947</v>
      </c>
      <c r="J31" s="13">
        <f>(G31-G30)*INDEX([3]小r将兵属性验证!$AX$7:$AX$166,$E31)+J30</f>
        <v>8440009350.1731291</v>
      </c>
      <c r="K31" s="13">
        <f t="shared" si="8"/>
        <v>10382473484.322077</v>
      </c>
      <c r="M31" s="5">
        <v>27</v>
      </c>
      <c r="N31" s="14">
        <f t="shared" si="0"/>
        <v>0</v>
      </c>
      <c r="O31" s="14">
        <f t="shared" si="1"/>
        <v>0</v>
      </c>
      <c r="P31" s="14">
        <f t="shared" si="2"/>
        <v>0</v>
      </c>
      <c r="Q31" s="14">
        <f t="shared" si="3"/>
        <v>0</v>
      </c>
      <c r="R31" s="14">
        <f t="shared" si="4"/>
        <v>0</v>
      </c>
    </row>
    <row r="32" spans="4:18" x14ac:dyDescent="0.15">
      <c r="D32" s="5"/>
      <c r="E32" s="13">
        <v>80</v>
      </c>
      <c r="F32" s="13">
        <f>阵法升星!S31</f>
        <v>0.18</v>
      </c>
      <c r="G32" s="13">
        <f>阵旗升级!S31</f>
        <v>0.70582897070904693</v>
      </c>
      <c r="H32" s="13">
        <f t="shared" si="7"/>
        <v>0.88582897070904698</v>
      </c>
      <c r="I32" s="13">
        <f>(F32-F31)*INDEX([3]小r将兵属性验证!$AX$7:$AX$166,$E32)+I31</f>
        <v>4346326972.9364681</v>
      </c>
      <c r="J32" s="13">
        <f>(G32-G31)*INDEX([3]小r将兵属性验证!$AX$7:$AX$166,$E32)+J31</f>
        <v>15370955401.697224</v>
      </c>
      <c r="K32" s="13">
        <f t="shared" si="8"/>
        <v>19717282374.63369</v>
      </c>
      <c r="M32" s="5">
        <v>28</v>
      </c>
      <c r="N32" s="14">
        <f t="shared" si="0"/>
        <v>0</v>
      </c>
      <c r="O32" s="14">
        <f t="shared" si="1"/>
        <v>0</v>
      </c>
      <c r="P32" s="14">
        <f t="shared" si="2"/>
        <v>0</v>
      </c>
      <c r="Q32" s="14">
        <f t="shared" si="3"/>
        <v>0</v>
      </c>
      <c r="R32" s="14">
        <f t="shared" si="4"/>
        <v>0</v>
      </c>
    </row>
    <row r="33" spans="4:18" x14ac:dyDescent="0.15">
      <c r="D33" s="5"/>
      <c r="E33" s="13">
        <v>90</v>
      </c>
      <c r="F33" s="13">
        <f>阵法升星!S32</f>
        <v>0.18</v>
      </c>
      <c r="G33" s="13">
        <f>阵旗升级!S32</f>
        <v>1.1188246572960037</v>
      </c>
      <c r="H33" s="13">
        <f t="shared" si="7"/>
        <v>1.2988246572960036</v>
      </c>
      <c r="I33" s="13">
        <f>(F33-F32)*INDEX([3]小r将兵属性验证!$AX$7:$AX$166,$E33)+I32</f>
        <v>4346326972.9364681</v>
      </c>
      <c r="J33" s="13">
        <f>(G33-G32)*INDEX([3]小r将兵属性验证!$AX$7:$AX$166,$E33)+J32</f>
        <v>65880649214.16301</v>
      </c>
      <c r="K33" s="13">
        <f t="shared" si="8"/>
        <v>70226976187.099472</v>
      </c>
      <c r="M33" s="5">
        <v>29</v>
      </c>
      <c r="N33" s="14">
        <f t="shared" si="0"/>
        <v>0</v>
      </c>
      <c r="O33" s="14">
        <f t="shared" si="1"/>
        <v>0</v>
      </c>
      <c r="P33" s="14">
        <f t="shared" si="2"/>
        <v>0</v>
      </c>
      <c r="Q33" s="14">
        <f t="shared" si="3"/>
        <v>0</v>
      </c>
      <c r="R33" s="14">
        <f t="shared" si="4"/>
        <v>0</v>
      </c>
    </row>
    <row r="34" spans="4:18" x14ac:dyDescent="0.15">
      <c r="D34" s="5"/>
      <c r="E34" s="13">
        <v>100</v>
      </c>
      <c r="F34" s="13">
        <f>阵法升星!S33</f>
        <v>0.28487328917029903</v>
      </c>
      <c r="G34" s="13">
        <f>阵旗升级!S33</f>
        <v>1.370985338031347</v>
      </c>
      <c r="H34" s="13">
        <f t="shared" si="7"/>
        <v>1.655858627201646</v>
      </c>
      <c r="I34" s="13">
        <f>(F34-F33)*INDEX([3]小r将兵属性验证!$AX$7:$AX$166,$E34)+I33</f>
        <v>35391687872.503174</v>
      </c>
      <c r="J34" s="13">
        <f>(G34-G33)*INDEX([3]小r将兵属性验证!$AX$7:$AX$166,$E34)+J33</f>
        <v>140527104951.78113</v>
      </c>
      <c r="K34" s="13">
        <f t="shared" si="8"/>
        <v>175918792824.2843</v>
      </c>
      <c r="M34" s="5">
        <v>30</v>
      </c>
      <c r="N34" s="14">
        <f t="shared" si="0"/>
        <v>0</v>
      </c>
      <c r="O34" s="14">
        <f t="shared" si="1"/>
        <v>0</v>
      </c>
      <c r="P34" s="14">
        <f t="shared" si="2"/>
        <v>0</v>
      </c>
      <c r="Q34" s="14">
        <f t="shared" si="3"/>
        <v>0</v>
      </c>
      <c r="R34" s="14">
        <f t="shared" si="4"/>
        <v>0</v>
      </c>
    </row>
    <row r="35" spans="4:18" x14ac:dyDescent="0.15">
      <c r="D35" s="5"/>
      <c r="E35" s="13">
        <v>110</v>
      </c>
      <c r="F35" s="13">
        <f>阵法升星!S34</f>
        <v>0.48</v>
      </c>
      <c r="G35" s="13">
        <f>阵旗升级!S34</f>
        <v>2.0002697466731072</v>
      </c>
      <c r="H35" s="13">
        <f t="shared" si="7"/>
        <v>2.4802697466731072</v>
      </c>
      <c r="I35" s="13">
        <f>(F35-F34)*INDEX([3]小r将兵属性验证!$AX$7:$AX$166,$E35)+I34</f>
        <v>142868750907.64212</v>
      </c>
      <c r="J35" s="13">
        <f>(G35-G34)*INDEX([3]小r将兵属性验证!$AX$7:$AX$166,$E35)+J34</f>
        <v>487141055276.85278</v>
      </c>
      <c r="K35" s="13">
        <f t="shared" si="8"/>
        <v>630009806184.49487</v>
      </c>
      <c r="M35" s="5">
        <v>31</v>
      </c>
      <c r="N35" s="14">
        <f t="shared" si="0"/>
        <v>0</v>
      </c>
      <c r="O35" s="14">
        <f t="shared" si="1"/>
        <v>0</v>
      </c>
      <c r="P35" s="14">
        <f t="shared" si="2"/>
        <v>0</v>
      </c>
      <c r="Q35" s="14">
        <f t="shared" si="3"/>
        <v>0</v>
      </c>
      <c r="R35" s="14">
        <f t="shared" si="4"/>
        <v>0</v>
      </c>
    </row>
    <row r="36" spans="4:18" x14ac:dyDescent="0.15">
      <c r="D36" s="5"/>
      <c r="E36" s="13">
        <v>120</v>
      </c>
      <c r="F36" s="13">
        <f>阵法升星!S35</f>
        <v>0.48</v>
      </c>
      <c r="G36" s="13">
        <f>阵旗升级!S35</f>
        <v>2.2274740439472747</v>
      </c>
      <c r="H36" s="13">
        <f t="shared" si="7"/>
        <v>2.7074740439472746</v>
      </c>
      <c r="I36" s="13">
        <f>(F36-F35)*INDEX([3]小r将兵属性验证!$AX$7:$AX$166,$E36)+I35</f>
        <v>142868750907.64212</v>
      </c>
      <c r="J36" s="13">
        <f>(G36-G35)*INDEX([3]小r将兵属性验证!$AX$7:$AX$166,$E36)+J35</f>
        <v>693973646314.81494</v>
      </c>
      <c r="K36" s="13">
        <f t="shared" si="8"/>
        <v>836842397222.45703</v>
      </c>
      <c r="M36" s="5">
        <v>32</v>
      </c>
      <c r="N36" s="14">
        <f t="shared" si="0"/>
        <v>0</v>
      </c>
      <c r="O36" s="14">
        <f t="shared" si="1"/>
        <v>0</v>
      </c>
      <c r="P36" s="14">
        <f t="shared" si="2"/>
        <v>0</v>
      </c>
      <c r="Q36" s="14">
        <f t="shared" si="3"/>
        <v>0</v>
      </c>
      <c r="R36" s="14">
        <f t="shared" si="4"/>
        <v>0</v>
      </c>
    </row>
    <row r="37" spans="4:18" x14ac:dyDescent="0.15">
      <c r="D37" s="5"/>
      <c r="E37" s="13">
        <v>130</v>
      </c>
      <c r="F37" s="13">
        <f>阵法升星!S36</f>
        <v>0.48</v>
      </c>
      <c r="G37" s="13">
        <f>阵旗升级!S36</f>
        <v>2.3414407025849426</v>
      </c>
      <c r="H37" s="13">
        <f t="shared" si="7"/>
        <v>2.8214407025849426</v>
      </c>
      <c r="I37" s="13">
        <f>(F37-F36)*INDEX([3]小r将兵属性验证!$AX$7:$AX$166,$E37)+I36</f>
        <v>142868750907.64212</v>
      </c>
      <c r="J37" s="13">
        <f>(G37-G36)*INDEX([3]小r将兵属性验证!$AX$7:$AX$166,$E37)+J36</f>
        <v>859472727230.09949</v>
      </c>
      <c r="K37" s="13">
        <f t="shared" si="8"/>
        <v>1002341478137.7416</v>
      </c>
      <c r="M37" s="5">
        <v>33</v>
      </c>
      <c r="N37" s="14">
        <f t="shared" si="0"/>
        <v>0</v>
      </c>
      <c r="O37" s="14">
        <f t="shared" si="1"/>
        <v>0</v>
      </c>
      <c r="P37" s="14">
        <f t="shared" si="2"/>
        <v>0</v>
      </c>
      <c r="Q37" s="14">
        <f t="shared" si="3"/>
        <v>0</v>
      </c>
      <c r="R37" s="14">
        <f t="shared" si="4"/>
        <v>0</v>
      </c>
    </row>
    <row r="38" spans="4:18" x14ac:dyDescent="0.15">
      <c r="D38" s="5"/>
      <c r="E38" s="13">
        <v>140</v>
      </c>
      <c r="F38" s="13">
        <f>阵法升星!S37</f>
        <v>0.48</v>
      </c>
      <c r="G38" s="13">
        <f>阵旗升级!S37</f>
        <v>2.3823032126720936</v>
      </c>
      <c r="H38" s="13">
        <f t="shared" si="7"/>
        <v>2.8623032126720935</v>
      </c>
      <c r="I38" s="13">
        <f>(F38-F37)*INDEX([3]小r将兵属性验证!$AX$7:$AX$166,$E38)+I37</f>
        <v>142868750907.64212</v>
      </c>
      <c r="J38" s="13">
        <f>(G38-G37)*INDEX([3]小r将兵属性验证!$AX$7:$AX$166,$E38)+J37</f>
        <v>953644795324.80286</v>
      </c>
      <c r="K38" s="13">
        <f t="shared" si="8"/>
        <v>1096513546232.4449</v>
      </c>
      <c r="M38" s="5">
        <v>34</v>
      </c>
      <c r="N38" s="14">
        <f t="shared" si="0"/>
        <v>0</v>
      </c>
      <c r="O38" s="14">
        <f t="shared" si="1"/>
        <v>0</v>
      </c>
      <c r="P38" s="14">
        <f t="shared" si="2"/>
        <v>0</v>
      </c>
      <c r="Q38" s="14">
        <f t="shared" si="3"/>
        <v>0</v>
      </c>
      <c r="R38" s="14">
        <f t="shared" si="4"/>
        <v>0</v>
      </c>
    </row>
    <row r="39" spans="4:18" x14ac:dyDescent="0.15">
      <c r="D39" s="5"/>
      <c r="E39" s="13">
        <v>150</v>
      </c>
      <c r="F39" s="13">
        <f>阵法升星!S38</f>
        <v>0.48</v>
      </c>
      <c r="G39" s="13">
        <f>阵旗升级!S38</f>
        <v>2.4649387878150986</v>
      </c>
      <c r="H39" s="13">
        <f t="shared" si="7"/>
        <v>2.9449387878150985</v>
      </c>
      <c r="I39" s="13">
        <f>(F39-F38)*INDEX([3]小r将兵属性验证!$AX$7:$AX$166,$E39)+I38</f>
        <v>142868750907.64212</v>
      </c>
      <c r="J39" s="13">
        <f>(G39-G38)*INDEX([3]小r将兵属性验证!$AX$7:$AX$166,$E39)+J38</f>
        <v>1252672269733.6123</v>
      </c>
      <c r="K39" s="13">
        <f t="shared" si="8"/>
        <v>1395541020641.2544</v>
      </c>
      <c r="M39" s="5">
        <v>35</v>
      </c>
      <c r="N39" s="14">
        <f t="shared" si="0"/>
        <v>0</v>
      </c>
      <c r="O39" s="14">
        <f t="shared" si="1"/>
        <v>0</v>
      </c>
      <c r="P39" s="14">
        <f t="shared" si="2"/>
        <v>0</v>
      </c>
      <c r="Q39" s="14">
        <f t="shared" si="3"/>
        <v>0</v>
      </c>
      <c r="R39" s="14">
        <f t="shared" si="4"/>
        <v>0</v>
      </c>
    </row>
    <row r="40" spans="4:18" x14ac:dyDescent="0.15">
      <c r="D40" s="5"/>
      <c r="E40" s="13">
        <v>160</v>
      </c>
      <c r="F40" s="13">
        <f>阵法升星!S39</f>
        <v>0.48</v>
      </c>
      <c r="G40" s="13">
        <f>阵旗升级!S39</f>
        <v>2.5490672545010611</v>
      </c>
      <c r="H40" s="13">
        <f t="shared" si="7"/>
        <v>3.0290672545010611</v>
      </c>
      <c r="I40" s="13">
        <f>(F40-F39)*INDEX([3]小r将兵属性验证!$AX$7:$AX$166,$E40)+I39</f>
        <v>142868750907.64212</v>
      </c>
      <c r="J40" s="13">
        <f>(G40-G39)*INDEX([3]小r将兵属性验证!$AX$7:$AX$166,$E40)+J39</f>
        <v>1647880523358.6763</v>
      </c>
      <c r="K40" s="13">
        <f t="shared" si="8"/>
        <v>1790749274266.3184</v>
      </c>
      <c r="M40" s="5">
        <v>36</v>
      </c>
      <c r="N40" s="14">
        <f t="shared" si="0"/>
        <v>0</v>
      </c>
      <c r="O40" s="14">
        <f t="shared" si="1"/>
        <v>0</v>
      </c>
      <c r="P40" s="14">
        <f t="shared" si="2"/>
        <v>0</v>
      </c>
      <c r="Q40" s="14">
        <f t="shared" si="3"/>
        <v>0</v>
      </c>
      <c r="R40" s="14">
        <f t="shared" si="4"/>
        <v>0</v>
      </c>
    </row>
    <row r="41" spans="4:18" x14ac:dyDescent="0.15">
      <c r="D41" s="5"/>
      <c r="E41" s="5"/>
      <c r="F41" s="5"/>
      <c r="G41" s="5"/>
      <c r="H41" s="5"/>
      <c r="I41" s="5"/>
      <c r="J41" s="5"/>
      <c r="K41" s="5"/>
      <c r="M41" s="5">
        <v>37</v>
      </c>
      <c r="N41" s="14">
        <f t="shared" si="0"/>
        <v>0</v>
      </c>
      <c r="O41" s="14">
        <f t="shared" si="1"/>
        <v>0</v>
      </c>
      <c r="P41" s="14">
        <f t="shared" si="2"/>
        <v>0</v>
      </c>
      <c r="Q41" s="14">
        <f t="shared" si="3"/>
        <v>0</v>
      </c>
      <c r="R41" s="14">
        <f t="shared" si="4"/>
        <v>0</v>
      </c>
    </row>
    <row r="42" spans="4:18" x14ac:dyDescent="0.15">
      <c r="D42" s="5"/>
      <c r="E42" s="13"/>
      <c r="F42" s="13"/>
      <c r="G42" s="13"/>
      <c r="H42" s="13"/>
      <c r="I42" s="13"/>
      <c r="J42" s="13"/>
      <c r="K42" s="13"/>
      <c r="M42" s="5">
        <v>38</v>
      </c>
      <c r="N42" s="14">
        <f t="shared" si="0"/>
        <v>0</v>
      </c>
      <c r="O42" s="14">
        <f t="shared" si="1"/>
        <v>0</v>
      </c>
      <c r="P42" s="14">
        <f t="shared" si="2"/>
        <v>0</v>
      </c>
      <c r="Q42" s="14">
        <f t="shared" si="3"/>
        <v>0</v>
      </c>
      <c r="R42" s="14">
        <f t="shared" si="4"/>
        <v>0</v>
      </c>
    </row>
    <row r="43" spans="4:18" x14ac:dyDescent="0.15">
      <c r="D43" s="5" t="s">
        <v>129</v>
      </c>
      <c r="E43" s="13" t="s">
        <v>141</v>
      </c>
      <c r="F43" s="13" t="s">
        <v>186</v>
      </c>
      <c r="G43" s="13" t="s">
        <v>187</v>
      </c>
      <c r="H43" s="13" t="s">
        <v>188</v>
      </c>
      <c r="I43" s="13" t="s">
        <v>307</v>
      </c>
      <c r="J43" s="13" t="s">
        <v>308</v>
      </c>
      <c r="K43" s="13" t="s">
        <v>309</v>
      </c>
      <c r="M43" s="5">
        <v>39</v>
      </c>
      <c r="N43" s="14">
        <f t="shared" si="0"/>
        <v>0</v>
      </c>
      <c r="O43" s="14">
        <f t="shared" si="1"/>
        <v>0</v>
      </c>
      <c r="P43" s="14">
        <f t="shared" si="2"/>
        <v>0</v>
      </c>
      <c r="Q43" s="14">
        <f t="shared" si="3"/>
        <v>0</v>
      </c>
      <c r="R43" s="14">
        <f t="shared" si="4"/>
        <v>0</v>
      </c>
    </row>
    <row r="44" spans="4:18" x14ac:dyDescent="0.15">
      <c r="D44" s="5"/>
      <c r="E44" s="13">
        <v>10</v>
      </c>
      <c r="F44" s="13">
        <f>阵法升星!S43</f>
        <v>0</v>
      </c>
      <c r="G44" s="13">
        <f>阵旗升级!S43</f>
        <v>0</v>
      </c>
      <c r="H44" s="13">
        <f>F44+G44</f>
        <v>0</v>
      </c>
      <c r="I44" s="44">
        <f>(F44)*INDEX([3]中r将兵属性验证!$AX$7:$AX$166,$E44)</f>
        <v>0</v>
      </c>
      <c r="J44" s="44">
        <f>(G44)*INDEX([3]中r将兵属性验证!$AX$7:$AX$166,$E44)</f>
        <v>0</v>
      </c>
      <c r="K44" s="13">
        <f>I44+J44</f>
        <v>0</v>
      </c>
      <c r="M44" s="5">
        <v>40</v>
      </c>
      <c r="N44" s="14">
        <f t="shared" si="0"/>
        <v>0</v>
      </c>
      <c r="O44" s="14">
        <f t="shared" si="1"/>
        <v>0</v>
      </c>
      <c r="P44" s="14">
        <f t="shared" si="2"/>
        <v>0</v>
      </c>
      <c r="Q44" s="14">
        <f t="shared" si="3"/>
        <v>0</v>
      </c>
      <c r="R44" s="14">
        <f t="shared" si="4"/>
        <v>0</v>
      </c>
    </row>
    <row r="45" spans="4:18" x14ac:dyDescent="0.15">
      <c r="D45" s="5"/>
      <c r="E45" s="13">
        <v>20</v>
      </c>
      <c r="F45" s="13">
        <f>阵法升星!S44</f>
        <v>0</v>
      </c>
      <c r="G45" s="13">
        <f>阵旗升级!S44</f>
        <v>0</v>
      </c>
      <c r="H45" s="13">
        <f t="shared" ref="H45:H59" si="9">F45+G45</f>
        <v>0</v>
      </c>
      <c r="I45" s="13">
        <f>(F45-F44)*INDEX([3]中r将兵属性验证!$AX$7:$AX$166,$E45)+I44</f>
        <v>0</v>
      </c>
      <c r="J45" s="13">
        <f>(G45-G44)*INDEX([3]中r将兵属性验证!$AX$7:$AX$166,$E45)+J44</f>
        <v>0</v>
      </c>
      <c r="K45" s="13">
        <f t="shared" ref="K45:K59" si="10">I45+J45</f>
        <v>0</v>
      </c>
      <c r="M45" s="5">
        <v>41</v>
      </c>
      <c r="N45" s="14">
        <f t="shared" si="0"/>
        <v>0</v>
      </c>
      <c r="O45" s="14">
        <f t="shared" si="1"/>
        <v>0</v>
      </c>
      <c r="P45" s="14">
        <f t="shared" si="2"/>
        <v>0</v>
      </c>
      <c r="Q45" s="14">
        <f t="shared" si="3"/>
        <v>0</v>
      </c>
      <c r="R45" s="14">
        <f t="shared" si="4"/>
        <v>0</v>
      </c>
    </row>
    <row r="46" spans="4:18" x14ac:dyDescent="0.15">
      <c r="D46" s="5"/>
      <c r="E46" s="13">
        <v>30</v>
      </c>
      <c r="F46" s="13">
        <f>阵法升星!S45</f>
        <v>0</v>
      </c>
      <c r="G46" s="13">
        <f>阵旗升级!S45</f>
        <v>0</v>
      </c>
      <c r="H46" s="13">
        <f t="shared" si="9"/>
        <v>0</v>
      </c>
      <c r="I46" s="13">
        <f>(F46-F45)*INDEX([3]中r将兵属性验证!$AX$7:$AX$166,$E46)+I45</f>
        <v>0</v>
      </c>
      <c r="J46" s="13">
        <f>(G46-G45)*INDEX([3]中r将兵属性验证!$AX$7:$AX$166,$E46)+J45</f>
        <v>0</v>
      </c>
      <c r="K46" s="13">
        <f t="shared" si="10"/>
        <v>0</v>
      </c>
      <c r="M46" s="5">
        <v>42</v>
      </c>
      <c r="N46" s="14">
        <f t="shared" si="0"/>
        <v>0</v>
      </c>
      <c r="O46" s="14">
        <f t="shared" si="1"/>
        <v>0</v>
      </c>
      <c r="P46" s="14">
        <f t="shared" si="2"/>
        <v>0</v>
      </c>
      <c r="Q46" s="14">
        <f t="shared" si="3"/>
        <v>0</v>
      </c>
      <c r="R46" s="14">
        <f t="shared" si="4"/>
        <v>0</v>
      </c>
    </row>
    <row r="47" spans="4:18" x14ac:dyDescent="0.15">
      <c r="D47" s="5"/>
      <c r="E47" s="13">
        <v>40</v>
      </c>
      <c r="F47" s="13">
        <f>阵法升星!S46</f>
        <v>0</v>
      </c>
      <c r="G47" s="13">
        <f>阵旗升级!S46</f>
        <v>0</v>
      </c>
      <c r="H47" s="13">
        <f t="shared" si="9"/>
        <v>0</v>
      </c>
      <c r="I47" s="13">
        <f>(F47-F46)*INDEX([3]中r将兵属性验证!$AX$7:$AX$166,$E47)+I46</f>
        <v>0</v>
      </c>
      <c r="J47" s="13">
        <f>(G47-G46)*INDEX([3]中r将兵属性验证!$AX$7:$AX$166,$E47)+J46</f>
        <v>0</v>
      </c>
      <c r="K47" s="13">
        <f t="shared" si="10"/>
        <v>0</v>
      </c>
      <c r="M47" s="5">
        <v>43</v>
      </c>
      <c r="N47" s="14">
        <f t="shared" si="0"/>
        <v>0</v>
      </c>
      <c r="O47" s="14">
        <f t="shared" si="1"/>
        <v>0</v>
      </c>
      <c r="P47" s="14">
        <f t="shared" si="2"/>
        <v>0</v>
      </c>
      <c r="Q47" s="14">
        <f t="shared" si="3"/>
        <v>0</v>
      </c>
      <c r="R47" s="14">
        <f t="shared" si="4"/>
        <v>0</v>
      </c>
    </row>
    <row r="48" spans="4:18" x14ac:dyDescent="0.15">
      <c r="D48" s="5"/>
      <c r="E48" s="13">
        <v>50</v>
      </c>
      <c r="F48" s="13">
        <f>阵法升星!S47</f>
        <v>0</v>
      </c>
      <c r="G48" s="13">
        <f>阵旗升级!S47</f>
        <v>0</v>
      </c>
      <c r="H48" s="13">
        <f t="shared" si="9"/>
        <v>0</v>
      </c>
      <c r="I48" s="13">
        <f>(F48-F47)*INDEX([3]中r将兵属性验证!$AX$7:$AX$166,$E48)+I47</f>
        <v>0</v>
      </c>
      <c r="J48" s="13">
        <f>(G48-G47)*INDEX([3]中r将兵属性验证!$AX$7:$AX$166,$E48)+J47</f>
        <v>0</v>
      </c>
      <c r="K48" s="13">
        <f t="shared" si="10"/>
        <v>0</v>
      </c>
      <c r="M48" s="5">
        <v>44</v>
      </c>
      <c r="N48" s="14">
        <f t="shared" si="0"/>
        <v>0</v>
      </c>
      <c r="O48" s="14">
        <f t="shared" si="1"/>
        <v>0</v>
      </c>
      <c r="P48" s="14">
        <f t="shared" si="2"/>
        <v>0</v>
      </c>
      <c r="Q48" s="14">
        <f t="shared" si="3"/>
        <v>0</v>
      </c>
      <c r="R48" s="14">
        <f t="shared" si="4"/>
        <v>0</v>
      </c>
    </row>
    <row r="49" spans="4:18" x14ac:dyDescent="0.15">
      <c r="D49" s="5"/>
      <c r="E49" s="13">
        <v>60</v>
      </c>
      <c r="F49" s="13">
        <f>阵法升星!S48</f>
        <v>0</v>
      </c>
      <c r="G49" s="13">
        <f>阵旗升级!S48</f>
        <v>0</v>
      </c>
      <c r="H49" s="13">
        <f t="shared" si="9"/>
        <v>0</v>
      </c>
      <c r="I49" s="13">
        <f>(F49-F48)*INDEX([3]中r将兵属性验证!$AX$7:$AX$166,$E49)+I48</f>
        <v>0</v>
      </c>
      <c r="J49" s="13">
        <f>(G49-G48)*INDEX([3]中r将兵属性验证!$AX$7:$AX$166,$E49)+J48</f>
        <v>0</v>
      </c>
      <c r="K49" s="13">
        <f t="shared" si="10"/>
        <v>0</v>
      </c>
      <c r="M49" s="5">
        <v>45</v>
      </c>
      <c r="N49" s="14">
        <f t="shared" si="0"/>
        <v>0</v>
      </c>
      <c r="O49" s="14">
        <f t="shared" si="1"/>
        <v>0</v>
      </c>
      <c r="P49" s="14">
        <f t="shared" si="2"/>
        <v>0</v>
      </c>
      <c r="Q49" s="14">
        <f t="shared" si="3"/>
        <v>0</v>
      </c>
      <c r="R49" s="14">
        <f t="shared" si="4"/>
        <v>0</v>
      </c>
    </row>
    <row r="50" spans="4:18" x14ac:dyDescent="0.15">
      <c r="D50" s="5"/>
      <c r="E50" s="13">
        <v>70</v>
      </c>
      <c r="F50" s="13">
        <f>阵法升星!S49</f>
        <v>0.18</v>
      </c>
      <c r="G50" s="13">
        <f>阵旗升级!S49</f>
        <v>0.60985304638715054</v>
      </c>
      <c r="H50" s="13">
        <f t="shared" si="9"/>
        <v>0.78985304638715048</v>
      </c>
      <c r="I50" s="13">
        <f>(F50-F49)*INDEX([3]中r将兵属性验证!$AX$7:$AX$166,$E50)+I49</f>
        <v>3506003397.3414741</v>
      </c>
      <c r="J50" s="13">
        <f>(G50-G49)*INDEX([3]中r将兵属性验证!$AX$7:$AX$166,$E50)+J49</f>
        <v>11878593625.068874</v>
      </c>
      <c r="K50" s="13">
        <f t="shared" si="10"/>
        <v>15384597022.410349</v>
      </c>
      <c r="M50" s="5">
        <v>46</v>
      </c>
      <c r="N50" s="14">
        <f t="shared" si="0"/>
        <v>0</v>
      </c>
      <c r="O50" s="14">
        <f t="shared" si="1"/>
        <v>0</v>
      </c>
      <c r="P50" s="14">
        <f t="shared" si="2"/>
        <v>0</v>
      </c>
      <c r="Q50" s="14">
        <f t="shared" si="3"/>
        <v>0</v>
      </c>
      <c r="R50" s="14">
        <f t="shared" si="4"/>
        <v>0</v>
      </c>
    </row>
    <row r="51" spans="4:18" x14ac:dyDescent="0.15">
      <c r="D51" s="5"/>
      <c r="E51" s="13">
        <v>80</v>
      </c>
      <c r="F51" s="13">
        <f>阵法升星!S50</f>
        <v>0.18</v>
      </c>
      <c r="G51" s="13">
        <f>阵旗升级!S50</f>
        <v>0.77598091490903975</v>
      </c>
      <c r="H51" s="13">
        <f t="shared" si="9"/>
        <v>0.95598091490903969</v>
      </c>
      <c r="I51" s="13">
        <f>(F51-F50)*INDEX([3]中r将兵属性验证!$AX$7:$AX$166,$E51)+I50</f>
        <v>3506003397.3414741</v>
      </c>
      <c r="J51" s="13">
        <f>(G51-G50)*INDEX([3]中r将兵属性验证!$AX$7:$AX$166,$E51)+J50</f>
        <v>21404128329.645386</v>
      </c>
      <c r="K51" s="13">
        <f t="shared" si="10"/>
        <v>24910131726.986858</v>
      </c>
      <c r="M51" s="5">
        <v>47</v>
      </c>
      <c r="N51" s="14">
        <f t="shared" si="0"/>
        <v>0</v>
      </c>
      <c r="O51" s="14">
        <f t="shared" si="1"/>
        <v>0</v>
      </c>
      <c r="P51" s="14">
        <f t="shared" si="2"/>
        <v>0</v>
      </c>
      <c r="Q51" s="14">
        <f t="shared" si="3"/>
        <v>0</v>
      </c>
      <c r="R51" s="14">
        <f t="shared" si="4"/>
        <v>0</v>
      </c>
    </row>
    <row r="52" spans="4:18" x14ac:dyDescent="0.15">
      <c r="D52" s="5"/>
      <c r="E52" s="13">
        <v>90</v>
      </c>
      <c r="F52" s="13">
        <f>阵法升星!S51</f>
        <v>0.2187099399102834</v>
      </c>
      <c r="G52" s="13">
        <f>阵旗升级!S51</f>
        <v>1.2162477796987858</v>
      </c>
      <c r="H52" s="13">
        <f t="shared" si="9"/>
        <v>1.4349577196090693</v>
      </c>
      <c r="I52" s="13">
        <f>(F52-F51)*INDEX([3]中r将兵属性验证!$AX$7:$AX$166,$E52)+I51</f>
        <v>9680929180.9076843</v>
      </c>
      <c r="J52" s="13">
        <f>(G52-G51)*INDEX([3]中r将兵属性验证!$AX$7:$AX$166,$E52)+J51</f>
        <v>91634545151.291077</v>
      </c>
      <c r="K52" s="13">
        <f t="shared" si="10"/>
        <v>101315474332.19876</v>
      </c>
      <c r="M52" s="5">
        <v>48</v>
      </c>
      <c r="N52" s="14">
        <f t="shared" si="0"/>
        <v>0</v>
      </c>
      <c r="O52" s="14">
        <f t="shared" si="1"/>
        <v>0</v>
      </c>
      <c r="P52" s="14">
        <f t="shared" si="2"/>
        <v>0</v>
      </c>
      <c r="Q52" s="14">
        <f t="shared" si="3"/>
        <v>0</v>
      </c>
      <c r="R52" s="14">
        <f t="shared" si="4"/>
        <v>0</v>
      </c>
    </row>
    <row r="53" spans="4:18" x14ac:dyDescent="0.15">
      <c r="D53" s="5"/>
      <c r="E53" s="13">
        <v>100</v>
      </c>
      <c r="F53" s="13">
        <f>阵法升星!S52</f>
        <v>0.48</v>
      </c>
      <c r="G53" s="13">
        <f>阵旗升级!S52</f>
        <v>1.7591153847607652</v>
      </c>
      <c r="H53" s="13">
        <f t="shared" si="9"/>
        <v>2.2391153847607654</v>
      </c>
      <c r="I53" s="13">
        <f>(F53-F52)*INDEX([3]中r将兵属性验证!$AX$7:$AX$166,$E53)+I52</f>
        <v>108400160336.39293</v>
      </c>
      <c r="J53" s="13">
        <f>(G53-G52)*INDEX([3]中r将兵属性验证!$AX$7:$AX$166,$E53)+J52</f>
        <v>296737917903.15564</v>
      </c>
      <c r="K53" s="13">
        <f t="shared" si="10"/>
        <v>405138078239.54858</v>
      </c>
      <c r="M53" s="5">
        <v>49</v>
      </c>
      <c r="N53" s="14">
        <f t="shared" si="0"/>
        <v>0</v>
      </c>
      <c r="O53" s="14">
        <f t="shared" si="1"/>
        <v>0</v>
      </c>
      <c r="P53" s="14">
        <f t="shared" si="2"/>
        <v>0</v>
      </c>
      <c r="Q53" s="14">
        <f t="shared" si="3"/>
        <v>0</v>
      </c>
      <c r="R53" s="14">
        <f t="shared" si="4"/>
        <v>0</v>
      </c>
    </row>
    <row r="54" spans="4:18" x14ac:dyDescent="0.15">
      <c r="D54" s="5"/>
      <c r="E54" s="13">
        <v>110</v>
      </c>
      <c r="F54" s="13">
        <f>阵法升星!S53</f>
        <v>0.48</v>
      </c>
      <c r="G54" s="13">
        <f>阵旗升级!S53</f>
        <v>2.1988220211584637</v>
      </c>
      <c r="H54" s="13">
        <f t="shared" si="9"/>
        <v>2.6788220211584637</v>
      </c>
      <c r="I54" s="13">
        <f>(F54-F53)*INDEX([3]中r将兵属性验证!$AX$7:$AX$166,$E54)+I53</f>
        <v>108400160336.39293</v>
      </c>
      <c r="J54" s="13">
        <f>(G54-G53)*INDEX([3]中r将兵属性验证!$AX$7:$AX$166,$E54)+J53</f>
        <v>578329344180.40869</v>
      </c>
      <c r="K54" s="13">
        <f t="shared" si="10"/>
        <v>686729504516.80164</v>
      </c>
      <c r="M54" s="5">
        <v>50</v>
      </c>
      <c r="N54" s="14">
        <f t="shared" si="0"/>
        <v>0</v>
      </c>
      <c r="O54" s="14">
        <f t="shared" si="1"/>
        <v>0</v>
      </c>
      <c r="P54" s="14">
        <f t="shared" si="2"/>
        <v>0</v>
      </c>
      <c r="Q54" s="14">
        <f t="shared" si="3"/>
        <v>0</v>
      </c>
      <c r="R54" s="14">
        <f t="shared" si="4"/>
        <v>0</v>
      </c>
    </row>
    <row r="55" spans="4:18" x14ac:dyDescent="0.15">
      <c r="D55" s="5"/>
      <c r="E55" s="13">
        <v>120</v>
      </c>
      <c r="F55" s="13">
        <f>阵法升星!S54</f>
        <v>0.48</v>
      </c>
      <c r="G55" s="13">
        <f>阵旗升级!S54</f>
        <v>2.2963780610217963</v>
      </c>
      <c r="H55" s="13">
        <f t="shared" si="9"/>
        <v>2.7763780610217963</v>
      </c>
      <c r="I55" s="13">
        <f>(F55-F54)*INDEX([3]中r将兵属性验证!$AX$7:$AX$166,$E55)+I54</f>
        <v>108400160336.39293</v>
      </c>
      <c r="J55" s="13">
        <f>(G55-G54)*INDEX([3]中r将兵属性验证!$AX$7:$AX$166,$E55)+J54</f>
        <v>683205337569.35754</v>
      </c>
      <c r="K55" s="13">
        <f t="shared" si="10"/>
        <v>791605497905.75049</v>
      </c>
      <c r="M55" s="5">
        <v>51</v>
      </c>
      <c r="N55" s="14">
        <f t="shared" si="0"/>
        <v>0</v>
      </c>
      <c r="O55" s="14">
        <f t="shared" si="1"/>
        <v>0</v>
      </c>
      <c r="P55" s="14">
        <f t="shared" si="2"/>
        <v>0</v>
      </c>
      <c r="Q55" s="14">
        <f t="shared" si="3"/>
        <v>0</v>
      </c>
      <c r="R55" s="14">
        <f t="shared" si="4"/>
        <v>0</v>
      </c>
    </row>
    <row r="56" spans="4:18" x14ac:dyDescent="0.15">
      <c r="D56" s="5"/>
      <c r="E56" s="13">
        <v>130</v>
      </c>
      <c r="F56" s="13">
        <f>阵法升星!S55</f>
        <v>0.48</v>
      </c>
      <c r="G56" s="13">
        <f>阵旗升级!S55</f>
        <v>2.3648626523958258</v>
      </c>
      <c r="H56" s="13">
        <f t="shared" si="9"/>
        <v>2.8448626523958258</v>
      </c>
      <c r="I56" s="13">
        <f>(F56-F55)*INDEX([3]中r将兵属性验证!$AX$7:$AX$166,$E56)+I55</f>
        <v>108400160336.39293</v>
      </c>
      <c r="J56" s="13">
        <f>(G56-G55)*INDEX([3]中r将兵属性验证!$AX$7:$AX$166,$E56)+J55</f>
        <v>802137832996.80566</v>
      </c>
      <c r="K56" s="13">
        <f t="shared" si="10"/>
        <v>910537993333.19861</v>
      </c>
      <c r="M56" s="5">
        <v>52</v>
      </c>
      <c r="N56" s="14">
        <f t="shared" si="0"/>
        <v>0</v>
      </c>
      <c r="O56" s="14">
        <f t="shared" si="1"/>
        <v>0</v>
      </c>
      <c r="P56" s="14">
        <f t="shared" si="2"/>
        <v>0</v>
      </c>
      <c r="Q56" s="14">
        <f t="shared" si="3"/>
        <v>0</v>
      </c>
      <c r="R56" s="14">
        <f t="shared" si="4"/>
        <v>0</v>
      </c>
    </row>
    <row r="57" spans="4:18" x14ac:dyDescent="0.15">
      <c r="D57" s="5"/>
      <c r="E57" s="13">
        <v>140</v>
      </c>
      <c r="F57" s="13">
        <f>阵法升星!S56</f>
        <v>0.48</v>
      </c>
      <c r="G57" s="13">
        <f>阵旗升级!S56</f>
        <v>2.4307478268974929</v>
      </c>
      <c r="H57" s="13">
        <f t="shared" si="9"/>
        <v>2.9107478268974929</v>
      </c>
      <c r="I57" s="13">
        <f>(F57-F56)*INDEX([3]中r将兵属性验证!$AX$7:$AX$166,$E57)+I56</f>
        <v>108400160336.39293</v>
      </c>
      <c r="J57" s="13">
        <f>(G57-G56)*INDEX([3]中r将兵属性验证!$AX$7:$AX$166,$E57)+J56</f>
        <v>979422137449.48022</v>
      </c>
      <c r="K57" s="13">
        <f t="shared" si="10"/>
        <v>1087822297785.8732</v>
      </c>
      <c r="M57" s="5">
        <v>53</v>
      </c>
      <c r="N57" s="14">
        <f t="shared" si="0"/>
        <v>0</v>
      </c>
      <c r="O57" s="14">
        <f t="shared" si="1"/>
        <v>0</v>
      </c>
      <c r="P57" s="14">
        <f t="shared" si="2"/>
        <v>0</v>
      </c>
      <c r="Q57" s="14">
        <f t="shared" si="3"/>
        <v>0</v>
      </c>
      <c r="R57" s="14">
        <f t="shared" si="4"/>
        <v>0</v>
      </c>
    </row>
    <row r="58" spans="4:18" x14ac:dyDescent="0.15">
      <c r="D58" s="5"/>
      <c r="E58" s="13">
        <v>150</v>
      </c>
      <c r="F58" s="13">
        <f>阵法升星!S57</f>
        <v>0.48</v>
      </c>
      <c r="G58" s="13">
        <f>阵旗升级!S57</f>
        <v>2.5273641763133381</v>
      </c>
      <c r="H58" s="13">
        <f t="shared" si="9"/>
        <v>3.0073641763133381</v>
      </c>
      <c r="I58" s="13">
        <f>(F58-F57)*INDEX([3]中r将兵属性验证!$AX$7:$AX$166,$E58)+I57</f>
        <v>108400160336.39293</v>
      </c>
      <c r="J58" s="13">
        <f>(G58-G57)*INDEX([3]中r将兵属性验证!$AX$7:$AX$166,$E58)+J57</f>
        <v>1376066632476.7161</v>
      </c>
      <c r="K58" s="13">
        <f t="shared" si="10"/>
        <v>1484466792813.1089</v>
      </c>
      <c r="M58" s="5">
        <v>54</v>
      </c>
      <c r="N58" s="14">
        <f t="shared" si="0"/>
        <v>0</v>
      </c>
      <c r="O58" s="14">
        <f t="shared" si="1"/>
        <v>0</v>
      </c>
      <c r="P58" s="14">
        <f t="shared" si="2"/>
        <v>0</v>
      </c>
      <c r="Q58" s="14">
        <f t="shared" si="3"/>
        <v>0</v>
      </c>
      <c r="R58" s="14">
        <f t="shared" si="4"/>
        <v>0</v>
      </c>
    </row>
    <row r="59" spans="4:18" x14ac:dyDescent="0.15">
      <c r="D59" s="5"/>
      <c r="E59" s="13">
        <v>160</v>
      </c>
      <c r="F59" s="13">
        <f>阵法升星!S58</f>
        <v>0.48</v>
      </c>
      <c r="G59" s="13">
        <f>阵旗升级!S58</f>
        <v>2.6198075193949917</v>
      </c>
      <c r="H59" s="13">
        <f t="shared" si="9"/>
        <v>3.0998075193949917</v>
      </c>
      <c r="I59" s="13">
        <f>(F59-F58)*INDEX([3]中r将兵属性验证!$AX$7:$AX$166,$E59)+I58</f>
        <v>108400160336.39293</v>
      </c>
      <c r="J59" s="13">
        <f>(G59-G58)*INDEX([3]中r将兵属性验证!$AX$7:$AX$166,$E59)+J58</f>
        <v>1833810486669.7095</v>
      </c>
      <c r="K59" s="13">
        <f t="shared" si="10"/>
        <v>1942210647006.1023</v>
      </c>
      <c r="M59" s="5">
        <v>55</v>
      </c>
      <c r="N59" s="14">
        <f t="shared" si="0"/>
        <v>0</v>
      </c>
      <c r="O59" s="14">
        <f t="shared" si="1"/>
        <v>0</v>
      </c>
      <c r="P59" s="14">
        <f t="shared" si="2"/>
        <v>0</v>
      </c>
      <c r="Q59" s="14">
        <f t="shared" si="3"/>
        <v>0</v>
      </c>
      <c r="R59" s="14">
        <f t="shared" si="4"/>
        <v>0</v>
      </c>
    </row>
    <row r="60" spans="4:18" x14ac:dyDescent="0.15">
      <c r="D60" s="5"/>
      <c r="E60" s="5"/>
      <c r="F60" s="5"/>
      <c r="G60" s="5"/>
      <c r="H60" s="5"/>
      <c r="I60" s="5"/>
      <c r="J60" s="5"/>
      <c r="K60" s="5"/>
      <c r="M60" s="5">
        <v>56</v>
      </c>
      <c r="N60" s="14">
        <f t="shared" si="0"/>
        <v>0</v>
      </c>
      <c r="O60" s="14">
        <f t="shared" si="1"/>
        <v>0</v>
      </c>
      <c r="P60" s="14">
        <f t="shared" si="2"/>
        <v>0</v>
      </c>
      <c r="Q60" s="14">
        <f t="shared" si="3"/>
        <v>0</v>
      </c>
      <c r="R60" s="14">
        <f t="shared" si="4"/>
        <v>0</v>
      </c>
    </row>
    <row r="61" spans="4:18" x14ac:dyDescent="0.15">
      <c r="D61" s="5"/>
      <c r="E61" s="13"/>
      <c r="F61" s="13"/>
      <c r="G61" s="13"/>
      <c r="H61" s="13"/>
      <c r="I61" s="13"/>
      <c r="J61" s="13"/>
      <c r="K61" s="13"/>
      <c r="M61" s="5">
        <v>57</v>
      </c>
      <c r="N61" s="14">
        <f t="shared" si="0"/>
        <v>0</v>
      </c>
      <c r="O61" s="14">
        <f t="shared" si="1"/>
        <v>0</v>
      </c>
      <c r="P61" s="14">
        <f t="shared" si="2"/>
        <v>0</v>
      </c>
      <c r="Q61" s="14">
        <f t="shared" si="3"/>
        <v>0</v>
      </c>
      <c r="R61" s="14">
        <f t="shared" si="4"/>
        <v>0</v>
      </c>
    </row>
    <row r="62" spans="4:18" x14ac:dyDescent="0.15">
      <c r="D62" s="5" t="s">
        <v>130</v>
      </c>
      <c r="E62" s="13" t="s">
        <v>141</v>
      </c>
      <c r="F62" s="13" t="s">
        <v>186</v>
      </c>
      <c r="G62" s="13" t="s">
        <v>187</v>
      </c>
      <c r="H62" s="13" t="s">
        <v>188</v>
      </c>
      <c r="I62" s="13" t="s">
        <v>307</v>
      </c>
      <c r="J62" s="13" t="s">
        <v>308</v>
      </c>
      <c r="K62" s="13" t="s">
        <v>309</v>
      </c>
      <c r="M62" s="5">
        <v>58</v>
      </c>
      <c r="N62" s="14">
        <f t="shared" si="0"/>
        <v>0</v>
      </c>
      <c r="O62" s="14">
        <f t="shared" si="1"/>
        <v>0</v>
      </c>
      <c r="P62" s="14">
        <f t="shared" si="2"/>
        <v>0</v>
      </c>
      <c r="Q62" s="14">
        <f t="shared" si="3"/>
        <v>0</v>
      </c>
      <c r="R62" s="14">
        <f t="shared" si="4"/>
        <v>0</v>
      </c>
    </row>
    <row r="63" spans="4:18" x14ac:dyDescent="0.15">
      <c r="D63" s="5"/>
      <c r="E63" s="13">
        <v>10</v>
      </c>
      <c r="F63" s="13">
        <f>阵法升星!S62</f>
        <v>0</v>
      </c>
      <c r="G63" s="13">
        <f>阵旗升级!S62</f>
        <v>0</v>
      </c>
      <c r="H63" s="13">
        <f>F63+G63</f>
        <v>0</v>
      </c>
      <c r="I63" s="44">
        <f>(F63)*INDEX([3]大r将兵属性验证!$AX$7:$AX$166,$E63)</f>
        <v>0</v>
      </c>
      <c r="J63" s="44">
        <f>(G63)*INDEX([3]大r将兵属性验证!$AX$7:$AX$166,$E63)</f>
        <v>0</v>
      </c>
      <c r="K63" s="13">
        <f>I63+J63</f>
        <v>0</v>
      </c>
      <c r="M63" s="5">
        <v>59</v>
      </c>
      <c r="N63" s="14">
        <f t="shared" si="0"/>
        <v>0</v>
      </c>
      <c r="O63" s="14">
        <f t="shared" si="1"/>
        <v>0</v>
      </c>
      <c r="P63" s="14">
        <f t="shared" si="2"/>
        <v>0</v>
      </c>
      <c r="Q63" s="14">
        <f t="shared" si="3"/>
        <v>0</v>
      </c>
      <c r="R63" s="14">
        <f t="shared" si="4"/>
        <v>0</v>
      </c>
    </row>
    <row r="64" spans="4:18" x14ac:dyDescent="0.15">
      <c r="D64" s="5"/>
      <c r="E64" s="13">
        <v>20</v>
      </c>
      <c r="F64" s="13">
        <f>阵法升星!S63</f>
        <v>0</v>
      </c>
      <c r="G64" s="13">
        <f>阵旗升级!S63</f>
        <v>0</v>
      </c>
      <c r="H64" s="13">
        <f t="shared" ref="H64:H78" si="11">F64+G64</f>
        <v>0</v>
      </c>
      <c r="I64" s="13">
        <f>(F64-F63)*INDEX([3]大r将兵属性验证!$AX$7:$AX$166,$E64)+I63</f>
        <v>0</v>
      </c>
      <c r="J64" s="13">
        <f>(G64-G63)*INDEX([3]大r将兵属性验证!$AX$7:$AX$166,$E64)+J63</f>
        <v>0</v>
      </c>
      <c r="K64" s="13">
        <f t="shared" ref="K64:K78" si="12">I64+J64</f>
        <v>0</v>
      </c>
      <c r="M64" s="5">
        <v>60</v>
      </c>
      <c r="N64" s="14">
        <f t="shared" si="0"/>
        <v>0</v>
      </c>
      <c r="O64" s="14">
        <f t="shared" si="1"/>
        <v>0</v>
      </c>
      <c r="P64" s="14">
        <f t="shared" si="2"/>
        <v>0</v>
      </c>
      <c r="Q64" s="14">
        <f t="shared" si="3"/>
        <v>0</v>
      </c>
      <c r="R64" s="14">
        <f t="shared" si="4"/>
        <v>0</v>
      </c>
    </row>
    <row r="65" spans="4:18" x14ac:dyDescent="0.15">
      <c r="D65" s="5"/>
      <c r="E65" s="13">
        <v>30</v>
      </c>
      <c r="F65" s="13">
        <f>阵法升星!S64</f>
        <v>0</v>
      </c>
      <c r="G65" s="13">
        <f>阵旗升级!S64</f>
        <v>0</v>
      </c>
      <c r="H65" s="13">
        <f t="shared" si="11"/>
        <v>0</v>
      </c>
      <c r="I65" s="13">
        <f>(F65-F64)*INDEX([3]大r将兵属性验证!$AX$7:$AX$166,$E65)+I64</f>
        <v>0</v>
      </c>
      <c r="J65" s="13">
        <f>(G65-G64)*INDEX([3]大r将兵属性验证!$AX$7:$AX$166,$E65)+J64</f>
        <v>0</v>
      </c>
      <c r="K65" s="13">
        <f t="shared" si="12"/>
        <v>0</v>
      </c>
      <c r="M65" s="5">
        <v>61</v>
      </c>
      <c r="N65" s="14">
        <f t="shared" si="0"/>
        <v>2.1522147353508738E-2</v>
      </c>
      <c r="O65" s="14">
        <f t="shared" si="1"/>
        <v>6.8320803700063951E-2</v>
      </c>
      <c r="P65" s="14">
        <f t="shared" si="2"/>
        <v>7.8985304638715045E-2</v>
      </c>
      <c r="Q65" s="14">
        <f t="shared" si="3"/>
        <v>8.8803162232676397E-2</v>
      </c>
      <c r="R65" s="14">
        <f t="shared" si="4"/>
        <v>9.215757331668431E-2</v>
      </c>
    </row>
    <row r="66" spans="4:18" x14ac:dyDescent="0.15">
      <c r="D66" s="5"/>
      <c r="E66" s="13">
        <v>40</v>
      </c>
      <c r="F66" s="13">
        <f>阵法升星!S65</f>
        <v>0</v>
      </c>
      <c r="G66" s="13">
        <f>阵旗升级!S65</f>
        <v>0</v>
      </c>
      <c r="H66" s="13">
        <f t="shared" si="11"/>
        <v>0</v>
      </c>
      <c r="I66" s="13">
        <f>(F66-F65)*INDEX([3]大r将兵属性验证!$AX$7:$AX$166,$E66)+I65</f>
        <v>0</v>
      </c>
      <c r="J66" s="13">
        <f>(G66-G65)*INDEX([3]大r将兵属性验证!$AX$7:$AX$166,$E66)+J65</f>
        <v>0</v>
      </c>
      <c r="K66" s="13">
        <f t="shared" si="12"/>
        <v>0</v>
      </c>
      <c r="M66" s="5">
        <v>62</v>
      </c>
      <c r="N66" s="14">
        <f t="shared" si="0"/>
        <v>4.3044294707017476E-2</v>
      </c>
      <c r="O66" s="14">
        <f t="shared" si="1"/>
        <v>0.1366416074001279</v>
      </c>
      <c r="P66" s="14">
        <f t="shared" si="2"/>
        <v>0.15797060927743009</v>
      </c>
      <c r="Q66" s="14">
        <f t="shared" si="3"/>
        <v>0.17760632446535279</v>
      </c>
      <c r="R66" s="14">
        <f t="shared" si="4"/>
        <v>0.18431514663336862</v>
      </c>
    </row>
    <row r="67" spans="4:18" x14ac:dyDescent="0.15">
      <c r="D67" s="5"/>
      <c r="E67" s="13">
        <v>50</v>
      </c>
      <c r="F67" s="13">
        <f>阵法升星!S66</f>
        <v>0</v>
      </c>
      <c r="G67" s="13">
        <f>阵旗升级!S66</f>
        <v>0</v>
      </c>
      <c r="H67" s="13">
        <f t="shared" si="11"/>
        <v>0</v>
      </c>
      <c r="I67" s="13">
        <f>(F67-F66)*INDEX([3]大r将兵属性验证!$AX$7:$AX$166,$E67)+I66</f>
        <v>0</v>
      </c>
      <c r="J67" s="13">
        <f>(G67-G66)*INDEX([3]大r将兵属性验证!$AX$7:$AX$166,$E67)+J66</f>
        <v>0</v>
      </c>
      <c r="K67" s="13">
        <f t="shared" si="12"/>
        <v>0</v>
      </c>
      <c r="M67" s="5">
        <v>63</v>
      </c>
      <c r="N67" s="14">
        <f t="shared" si="0"/>
        <v>6.4566442060526211E-2</v>
      </c>
      <c r="O67" s="14">
        <f t="shared" si="1"/>
        <v>0.20496241110019187</v>
      </c>
      <c r="P67" s="14">
        <f t="shared" si="2"/>
        <v>0.23695591391614512</v>
      </c>
      <c r="Q67" s="14">
        <f t="shared" si="3"/>
        <v>0.26640948669802922</v>
      </c>
      <c r="R67" s="14">
        <f t="shared" si="4"/>
        <v>0.27647271995005296</v>
      </c>
    </row>
    <row r="68" spans="4:18" x14ac:dyDescent="0.15">
      <c r="D68" s="5"/>
      <c r="E68" s="13">
        <v>60</v>
      </c>
      <c r="F68" s="13">
        <f>阵法升星!S67</f>
        <v>0</v>
      </c>
      <c r="G68" s="13">
        <f>阵旗升级!S67</f>
        <v>0</v>
      </c>
      <c r="H68" s="13">
        <f t="shared" si="11"/>
        <v>0</v>
      </c>
      <c r="I68" s="13">
        <f>(F68-F67)*INDEX([3]大r将兵属性验证!$AX$7:$AX$166,$E68)+I67</f>
        <v>0</v>
      </c>
      <c r="J68" s="13">
        <f>(G68-G67)*INDEX([3]大r将兵属性验证!$AX$7:$AX$166,$E68)+J67</f>
        <v>0</v>
      </c>
      <c r="K68" s="13">
        <f t="shared" si="12"/>
        <v>0</v>
      </c>
      <c r="M68" s="5">
        <v>64</v>
      </c>
      <c r="N68" s="14">
        <f t="shared" si="0"/>
        <v>8.6088589414034952E-2</v>
      </c>
      <c r="O68" s="14">
        <f t="shared" si="1"/>
        <v>0.2732832148002558</v>
      </c>
      <c r="P68" s="14">
        <f t="shared" si="2"/>
        <v>0.31594121855486018</v>
      </c>
      <c r="Q68" s="14">
        <f t="shared" si="3"/>
        <v>0.35521264893070559</v>
      </c>
      <c r="R68" s="14">
        <f t="shared" si="4"/>
        <v>0.36863029326673724</v>
      </c>
    </row>
    <row r="69" spans="4:18" x14ac:dyDescent="0.15">
      <c r="D69" s="5"/>
      <c r="E69" s="13">
        <v>70</v>
      </c>
      <c r="F69" s="13">
        <f>阵法升星!S68</f>
        <v>0.18</v>
      </c>
      <c r="G69" s="13">
        <f>阵旗升级!S68</f>
        <v>0.70803162232676398</v>
      </c>
      <c r="H69" s="13">
        <f t="shared" si="11"/>
        <v>0.88803162232676391</v>
      </c>
      <c r="I69" s="13">
        <f>(F69-F68)*INDEX([3]大r将兵属性验证!$AX$7:$AX$166,$E69)+I68</f>
        <v>4768966113.7067852</v>
      </c>
      <c r="J69" s="13">
        <f>(G69-G68)*INDEX([3]大r将兵属性验证!$AX$7:$AX$166,$E69)+J68</f>
        <v>18758771190.606544</v>
      </c>
      <c r="K69" s="13">
        <f t="shared" si="12"/>
        <v>23527737304.313332</v>
      </c>
      <c r="M69" s="5">
        <v>65</v>
      </c>
      <c r="N69" s="14">
        <f t="shared" si="0"/>
        <v>0.10761073676754369</v>
      </c>
      <c r="O69" s="14">
        <f t="shared" si="1"/>
        <v>0.34160401850031974</v>
      </c>
      <c r="P69" s="14">
        <f t="shared" si="2"/>
        <v>0.39492652319357524</v>
      </c>
      <c r="Q69" s="14">
        <f t="shared" si="3"/>
        <v>0.44401581116338196</v>
      </c>
      <c r="R69" s="14">
        <f t="shared" si="4"/>
        <v>0.46078786658342152</v>
      </c>
    </row>
    <row r="70" spans="4:18" x14ac:dyDescent="0.15">
      <c r="D70" s="5"/>
      <c r="E70" s="13">
        <v>80</v>
      </c>
      <c r="F70" s="13">
        <f>阵法升星!S69</f>
        <v>0.21319517207775712</v>
      </c>
      <c r="G70" s="13">
        <f>阵旗升级!S69</f>
        <v>1.1956998814488022</v>
      </c>
      <c r="H70" s="13">
        <f t="shared" si="11"/>
        <v>1.4088950535265594</v>
      </c>
      <c r="I70" s="13">
        <f>(F70-F69)*INDEX([3]大r将兵属性验证!$AX$7:$AX$166,$E70)+I69</f>
        <v>7502754687.570199</v>
      </c>
      <c r="J70" s="13">
        <f>(G70-G69)*INDEX([3]大r将兵属性验证!$AX$7:$AX$166,$E70)+J69</f>
        <v>58920693276.770607</v>
      </c>
      <c r="K70" s="13">
        <f t="shared" si="12"/>
        <v>66423447964.340805</v>
      </c>
      <c r="M70" s="5">
        <v>66</v>
      </c>
      <c r="N70" s="14">
        <f t="shared" ref="N70:N133" si="13">求节点($E$6:$E$21,$H$6:$H$21,$M70)</f>
        <v>0.12913288412105242</v>
      </c>
      <c r="O70" s="14">
        <f t="shared" ref="O70:O133" si="14">求节点($E$25:$E$40,$H$25:$H$40,$M70)</f>
        <v>0.40992482220038373</v>
      </c>
      <c r="P70" s="14">
        <f t="shared" ref="P70:P133" si="15">求节点($E$44:$E$59,$H$44:$H$59,$M70)</f>
        <v>0.47391182783229024</v>
      </c>
      <c r="Q70" s="14">
        <f t="shared" ref="Q70:Q133" si="16">求节点($E$63:$E$78,$H$63:$H$78,$M70)</f>
        <v>0.53281897339605844</v>
      </c>
      <c r="R70" s="14">
        <f t="shared" ref="R70:R133" si="17">求节点($E$82:$E$97,$H$82:$H$97,$M70)</f>
        <v>0.55294543990010592</v>
      </c>
    </row>
    <row r="71" spans="4:18" x14ac:dyDescent="0.15">
      <c r="D71" s="5"/>
      <c r="E71" s="13">
        <v>90</v>
      </c>
      <c r="F71" s="13">
        <f>阵法升星!S70</f>
        <v>0.48</v>
      </c>
      <c r="G71" s="13">
        <f>阵旗升级!S70</f>
        <v>1.7604766609695954</v>
      </c>
      <c r="H71" s="13">
        <f t="shared" si="11"/>
        <v>2.2404766609695956</v>
      </c>
      <c r="I71" s="13">
        <f>(F71-F70)*INDEX([3]大r将兵属性验证!$AX$7:$AX$166,$E71)+I70</f>
        <v>68332308216.568359</v>
      </c>
      <c r="J71" s="13">
        <f>(G71-G70)*INDEX([3]大r将兵属性验证!$AX$7:$AX$166,$E71)+J70</f>
        <v>187685677064.12427</v>
      </c>
      <c r="K71" s="13">
        <f t="shared" si="12"/>
        <v>256017985280.69263</v>
      </c>
      <c r="M71" s="5">
        <v>67</v>
      </c>
      <c r="N71" s="14">
        <f t="shared" si="13"/>
        <v>0.15065503147456116</v>
      </c>
      <c r="O71" s="14">
        <f t="shared" si="14"/>
        <v>0.47824562590044767</v>
      </c>
      <c r="P71" s="14">
        <f t="shared" si="15"/>
        <v>0.55289713247100536</v>
      </c>
      <c r="Q71" s="14">
        <f t="shared" si="16"/>
        <v>0.62162213562873481</v>
      </c>
      <c r="R71" s="14">
        <f t="shared" si="17"/>
        <v>0.6451030132167902</v>
      </c>
    </row>
    <row r="72" spans="4:18" x14ac:dyDescent="0.15">
      <c r="D72" s="5"/>
      <c r="E72" s="13">
        <v>100</v>
      </c>
      <c r="F72" s="13">
        <f>阵法升星!S71</f>
        <v>0.48</v>
      </c>
      <c r="G72" s="13">
        <f>阵旗升级!S71</f>
        <v>2.2010049728967758</v>
      </c>
      <c r="H72" s="13">
        <f t="shared" si="11"/>
        <v>2.6810049728967758</v>
      </c>
      <c r="I72" s="13">
        <f>(F72-F71)*INDEX([3]大r将兵属性验证!$AX$7:$AX$166,$E72)+I71</f>
        <v>68332308216.568359</v>
      </c>
      <c r="J72" s="13">
        <f>(G72-G71)*INDEX([3]大r将兵属性验证!$AX$7:$AX$166,$E72)+J71</f>
        <v>397223067507.97595</v>
      </c>
      <c r="K72" s="13">
        <f t="shared" si="12"/>
        <v>465555375724.54431</v>
      </c>
      <c r="M72" s="5">
        <v>68</v>
      </c>
      <c r="N72" s="14">
        <f t="shared" si="13"/>
        <v>0.1721771788280699</v>
      </c>
      <c r="O72" s="14">
        <f t="shared" si="14"/>
        <v>0.54656642960051161</v>
      </c>
      <c r="P72" s="14">
        <f t="shared" si="15"/>
        <v>0.63188243710972036</v>
      </c>
      <c r="Q72" s="14">
        <f t="shared" si="16"/>
        <v>0.71042529786141118</v>
      </c>
      <c r="R72" s="14">
        <f t="shared" si="17"/>
        <v>0.73726058653347448</v>
      </c>
    </row>
    <row r="73" spans="4:18" x14ac:dyDescent="0.15">
      <c r="D73" s="5"/>
      <c r="E73" s="13">
        <v>110</v>
      </c>
      <c r="F73" s="13">
        <f>阵法升星!S72</f>
        <v>0.48</v>
      </c>
      <c r="G73" s="13">
        <f>阵旗升级!S72</f>
        <v>2.3040651977873914</v>
      </c>
      <c r="H73" s="13">
        <f t="shared" si="11"/>
        <v>2.7840651977873914</v>
      </c>
      <c r="I73" s="13">
        <f>(F73-F72)*INDEX([3]大r将兵属性验证!$AX$7:$AX$166,$E73)+I72</f>
        <v>68332308216.568359</v>
      </c>
      <c r="J73" s="13">
        <f>(G73-G72)*INDEX([3]大r将兵属性验证!$AX$7:$AX$166,$E73)+J72</f>
        <v>476189788493.82806</v>
      </c>
      <c r="K73" s="13">
        <f t="shared" si="12"/>
        <v>544522096710.39642</v>
      </c>
      <c r="M73" s="5">
        <v>69</v>
      </c>
      <c r="N73" s="14">
        <f t="shared" si="13"/>
        <v>0.19369932618157865</v>
      </c>
      <c r="O73" s="14">
        <f t="shared" si="14"/>
        <v>0.6148872333005756</v>
      </c>
      <c r="P73" s="14">
        <f t="shared" si="15"/>
        <v>0.71086774174843537</v>
      </c>
      <c r="Q73" s="14">
        <f t="shared" si="16"/>
        <v>0.79922846009408754</v>
      </c>
      <c r="R73" s="14">
        <f t="shared" si="17"/>
        <v>0.82941815985015876</v>
      </c>
    </row>
    <row r="74" spans="4:18" x14ac:dyDescent="0.15">
      <c r="D74" s="5"/>
      <c r="E74" s="13">
        <v>120</v>
      </c>
      <c r="F74" s="13">
        <f>阵法升星!S73</f>
        <v>0.48</v>
      </c>
      <c r="G74" s="13">
        <f>阵旗升级!S73</f>
        <v>2.3688698312705787</v>
      </c>
      <c r="H74" s="13">
        <f t="shared" si="11"/>
        <v>2.8488698312705787</v>
      </c>
      <c r="I74" s="13">
        <f>(F74-F73)*INDEX([3]大r将兵属性验证!$AX$7:$AX$166,$E74)+I73</f>
        <v>68332308216.568359</v>
      </c>
      <c r="J74" s="13">
        <f>(G74-G73)*INDEX([3]大r将兵属性验证!$AX$7:$AX$166,$E74)+J73</f>
        <v>554507321444.23047</v>
      </c>
      <c r="K74" s="13">
        <f t="shared" si="12"/>
        <v>622839629660.79883</v>
      </c>
      <c r="M74" s="5">
        <v>70</v>
      </c>
      <c r="N74" s="14">
        <f t="shared" si="13"/>
        <v>0.21522147353508739</v>
      </c>
      <c r="O74" s="14">
        <f t="shared" si="14"/>
        <v>0.68320803700063948</v>
      </c>
      <c r="P74" s="14">
        <f t="shared" si="15"/>
        <v>0.78985304638715048</v>
      </c>
      <c r="Q74" s="14">
        <f t="shared" si="16"/>
        <v>0.88803162232676391</v>
      </c>
      <c r="R74" s="14">
        <f t="shared" si="17"/>
        <v>0.92157573316684305</v>
      </c>
    </row>
    <row r="75" spans="4:18" x14ac:dyDescent="0.15">
      <c r="D75" s="5"/>
      <c r="E75" s="13">
        <v>130</v>
      </c>
      <c r="F75" s="13">
        <f>阵法升星!S74</f>
        <v>0.48</v>
      </c>
      <c r="G75" s="13">
        <f>阵旗升级!S74</f>
        <v>2.440691575674879</v>
      </c>
      <c r="H75" s="13">
        <f t="shared" si="11"/>
        <v>2.920691575674879</v>
      </c>
      <c r="I75" s="13">
        <f>(F75-F74)*INDEX([3]大r将兵属性验证!$AX$7:$AX$166,$E75)+I74</f>
        <v>68332308216.568359</v>
      </c>
      <c r="J75" s="13">
        <f>(G75-G74)*INDEX([3]大r将兵属性验证!$AX$7:$AX$166,$E75)+J74</f>
        <v>690890966138.19263</v>
      </c>
      <c r="K75" s="13">
        <f t="shared" si="12"/>
        <v>759223274354.76099</v>
      </c>
      <c r="M75" s="5">
        <v>71</v>
      </c>
      <c r="N75" s="14">
        <f t="shared" si="13"/>
        <v>0.24220722565863009</v>
      </c>
      <c r="O75" s="14">
        <f t="shared" si="14"/>
        <v>0.70347013037148021</v>
      </c>
      <c r="P75" s="14">
        <f t="shared" si="15"/>
        <v>0.8064658332393394</v>
      </c>
      <c r="Q75" s="14">
        <f t="shared" si="16"/>
        <v>0.94011796544674342</v>
      </c>
      <c r="R75" s="14">
        <f t="shared" si="17"/>
        <v>0.98806247012898363</v>
      </c>
    </row>
    <row r="76" spans="4:18" x14ac:dyDescent="0.15">
      <c r="D76" s="5"/>
      <c r="E76" s="13">
        <v>140</v>
      </c>
      <c r="F76" s="13">
        <f>阵法升星!S75</f>
        <v>0.48</v>
      </c>
      <c r="G76" s="13">
        <f>阵旗升级!S75</f>
        <v>2.5309898393076926</v>
      </c>
      <c r="H76" s="13">
        <f t="shared" si="11"/>
        <v>3.0109898393076926</v>
      </c>
      <c r="I76" s="13">
        <f>(F76-F75)*INDEX([3]大r将兵属性验证!$AX$7:$AX$166,$E76)+I75</f>
        <v>68332308216.568359</v>
      </c>
      <c r="J76" s="13">
        <f>(G76-G75)*INDEX([3]大r将兵属性验证!$AX$7:$AX$166,$E76)+J75</f>
        <v>953737933942.17078</v>
      </c>
      <c r="K76" s="13">
        <f t="shared" si="12"/>
        <v>1022070242158.7391</v>
      </c>
      <c r="M76" s="5">
        <v>72</v>
      </c>
      <c r="N76" s="14">
        <f t="shared" si="13"/>
        <v>0.26919297778217277</v>
      </c>
      <c r="O76" s="14">
        <f t="shared" si="14"/>
        <v>0.72373222374232093</v>
      </c>
      <c r="P76" s="14">
        <f t="shared" si="15"/>
        <v>0.82307862009152832</v>
      </c>
      <c r="Q76" s="14">
        <f t="shared" si="16"/>
        <v>0.99220430856672304</v>
      </c>
      <c r="R76" s="14">
        <f t="shared" si="17"/>
        <v>1.0545492070911242</v>
      </c>
    </row>
    <row r="77" spans="4:18" x14ac:dyDescent="0.15">
      <c r="D77" s="5"/>
      <c r="E77" s="13">
        <v>150</v>
      </c>
      <c r="F77" s="13">
        <f>阵法升星!S76</f>
        <v>0.48</v>
      </c>
      <c r="G77" s="13">
        <f>阵旗升级!S76</f>
        <v>2.5814640712576025</v>
      </c>
      <c r="H77" s="13">
        <f t="shared" si="11"/>
        <v>3.0614640712576024</v>
      </c>
      <c r="I77" s="13">
        <f>(F77-F76)*INDEX([3]大r将兵属性验证!$AX$7:$AX$166,$E77)+I76</f>
        <v>68332308216.568359</v>
      </c>
      <c r="J77" s="13">
        <f>(G77-G76)*INDEX([3]大r将兵属性验证!$AX$7:$AX$166,$E77)+J76</f>
        <v>1177439093031.981</v>
      </c>
      <c r="K77" s="13">
        <f t="shared" si="12"/>
        <v>1245771401248.5493</v>
      </c>
      <c r="M77" s="5">
        <v>73</v>
      </c>
      <c r="N77" s="14">
        <f t="shared" si="13"/>
        <v>0.29617872990571548</v>
      </c>
      <c r="O77" s="14">
        <f t="shared" si="14"/>
        <v>0.74399431711316177</v>
      </c>
      <c r="P77" s="14">
        <f t="shared" si="15"/>
        <v>0.83969140694371724</v>
      </c>
      <c r="Q77" s="14">
        <f t="shared" si="16"/>
        <v>1.0442906516867025</v>
      </c>
      <c r="R77" s="14">
        <f t="shared" si="17"/>
        <v>1.1210359440532649</v>
      </c>
    </row>
    <row r="78" spans="4:18" x14ac:dyDescent="0.15">
      <c r="D78" s="5"/>
      <c r="E78" s="13">
        <v>160</v>
      </c>
      <c r="F78" s="13">
        <f>阵法升星!S77</f>
        <v>0.48</v>
      </c>
      <c r="G78" s="13">
        <f>阵旗升级!S77</f>
        <v>2.7359169240868537</v>
      </c>
      <c r="H78" s="13">
        <f t="shared" si="11"/>
        <v>3.2159169240868537</v>
      </c>
      <c r="I78" s="13">
        <f>(F78-F77)*INDEX([3]大r将兵属性验证!$AX$7:$AX$166,$E78)+I77</f>
        <v>68332308216.568359</v>
      </c>
      <c r="J78" s="13">
        <f>(G78-G77)*INDEX([3]大r将兵属性验证!$AX$7:$AX$166,$E78)+J77</f>
        <v>1972973493630.4929</v>
      </c>
      <c r="K78" s="13">
        <f t="shared" si="12"/>
        <v>2041305801847.0613</v>
      </c>
      <c r="M78" s="5">
        <v>74</v>
      </c>
      <c r="N78" s="14">
        <f t="shared" si="13"/>
        <v>0.32316448202925818</v>
      </c>
      <c r="O78" s="14">
        <f t="shared" si="14"/>
        <v>0.7642564104840025</v>
      </c>
      <c r="P78" s="14">
        <f t="shared" si="15"/>
        <v>0.85630419379590617</v>
      </c>
      <c r="Q78" s="14">
        <f t="shared" si="16"/>
        <v>1.0963769948066822</v>
      </c>
      <c r="R78" s="14">
        <f t="shared" si="17"/>
        <v>1.1875226810154054</v>
      </c>
    </row>
    <row r="79" spans="4:18" x14ac:dyDescent="0.15">
      <c r="D79" s="5"/>
      <c r="E79" s="5"/>
      <c r="F79" s="5"/>
      <c r="G79" s="5"/>
      <c r="H79" s="5"/>
      <c r="I79" s="5"/>
      <c r="J79" s="5"/>
      <c r="K79" s="5"/>
      <c r="M79" s="5">
        <v>75</v>
      </c>
      <c r="N79" s="14">
        <f t="shared" si="13"/>
        <v>0.35015023415280089</v>
      </c>
      <c r="O79" s="14">
        <f t="shared" si="14"/>
        <v>0.78451850385484323</v>
      </c>
      <c r="P79" s="14">
        <f t="shared" si="15"/>
        <v>0.87291698064809509</v>
      </c>
      <c r="Q79" s="14">
        <f t="shared" si="16"/>
        <v>1.1484633379266618</v>
      </c>
      <c r="R79" s="14">
        <f t="shared" si="17"/>
        <v>1.2540094179775458</v>
      </c>
    </row>
    <row r="80" spans="4:18" x14ac:dyDescent="0.15">
      <c r="D80" s="5"/>
      <c r="E80" s="13"/>
      <c r="F80" s="13"/>
      <c r="G80" s="13"/>
      <c r="H80" s="13"/>
      <c r="I80" s="13"/>
      <c r="J80" s="13"/>
      <c r="K80" s="13"/>
      <c r="M80" s="5">
        <v>76</v>
      </c>
      <c r="N80" s="14">
        <f t="shared" si="13"/>
        <v>0.37713598627634359</v>
      </c>
      <c r="O80" s="14">
        <f t="shared" si="14"/>
        <v>0.80478059722568396</v>
      </c>
      <c r="P80" s="14">
        <f t="shared" si="15"/>
        <v>0.88952976750028401</v>
      </c>
      <c r="Q80" s="14">
        <f t="shared" si="16"/>
        <v>1.2005496810466412</v>
      </c>
      <c r="R80" s="14">
        <f t="shared" si="17"/>
        <v>1.3204961549396865</v>
      </c>
    </row>
    <row r="81" spans="4:18" x14ac:dyDescent="0.15">
      <c r="D81" s="5" t="s">
        <v>131</v>
      </c>
      <c r="E81" s="13" t="s">
        <v>141</v>
      </c>
      <c r="F81" s="13" t="s">
        <v>186</v>
      </c>
      <c r="G81" s="13" t="s">
        <v>187</v>
      </c>
      <c r="H81" s="13" t="s">
        <v>188</v>
      </c>
      <c r="I81" s="13" t="s">
        <v>307</v>
      </c>
      <c r="J81" s="13" t="s">
        <v>308</v>
      </c>
      <c r="K81" s="13" t="s">
        <v>309</v>
      </c>
      <c r="M81" s="5">
        <v>77</v>
      </c>
      <c r="N81" s="14">
        <f t="shared" si="13"/>
        <v>0.40412173839988624</v>
      </c>
      <c r="O81" s="14">
        <f t="shared" si="14"/>
        <v>0.82504269059652469</v>
      </c>
      <c r="P81" s="14">
        <f t="shared" si="15"/>
        <v>0.90614255435247293</v>
      </c>
      <c r="Q81" s="14">
        <f t="shared" si="16"/>
        <v>1.2526360241666208</v>
      </c>
      <c r="R81" s="14">
        <f t="shared" si="17"/>
        <v>1.3869828919018272</v>
      </c>
    </row>
    <row r="82" spans="4:18" x14ac:dyDescent="0.15">
      <c r="D82" s="5"/>
      <c r="E82" s="13">
        <v>10</v>
      </c>
      <c r="F82" s="13">
        <f>阵法升星!S81</f>
        <v>0</v>
      </c>
      <c r="G82" s="13">
        <f>阵旗升级!S81</f>
        <v>0</v>
      </c>
      <c r="H82" s="13">
        <f>F82+G82</f>
        <v>0</v>
      </c>
      <c r="I82" s="44">
        <f>(F82)*INDEX([3]超r将兵属性验证!$AX$7:$AX$166,$E82)</f>
        <v>0</v>
      </c>
      <c r="J82" s="44">
        <f>(G82)*INDEX([3]超r将兵属性验证!$AX$7:$AX$166,$E82)</f>
        <v>0</v>
      </c>
      <c r="K82" s="13">
        <f>I82+J82</f>
        <v>0</v>
      </c>
      <c r="M82" s="5">
        <v>78</v>
      </c>
      <c r="N82" s="14">
        <f t="shared" si="13"/>
        <v>0.43110749052342895</v>
      </c>
      <c r="O82" s="14">
        <f t="shared" si="14"/>
        <v>0.84530478396736553</v>
      </c>
      <c r="P82" s="14">
        <f t="shared" si="15"/>
        <v>0.92275534120466185</v>
      </c>
      <c r="Q82" s="14">
        <f t="shared" si="16"/>
        <v>1.3047223672866002</v>
      </c>
      <c r="R82" s="14">
        <f t="shared" si="17"/>
        <v>1.4534696288639677</v>
      </c>
    </row>
    <row r="83" spans="4:18" x14ac:dyDescent="0.15">
      <c r="D83" s="5"/>
      <c r="E83" s="13">
        <v>20</v>
      </c>
      <c r="F83" s="13">
        <f>阵法升星!S82</f>
        <v>0</v>
      </c>
      <c r="G83" s="13">
        <f>阵旗升级!S82</f>
        <v>0</v>
      </c>
      <c r="H83" s="13">
        <f t="shared" ref="H83:H97" si="18">F83+G83</f>
        <v>0</v>
      </c>
      <c r="I83" s="13">
        <f>(F83-F82)*INDEX([3]超r将兵属性验证!$AX$7:$AX$166,$E83)+I82</f>
        <v>0</v>
      </c>
      <c r="J83" s="13">
        <f>(G83-G82)*INDEX([3]超r将兵属性验证!$AX$7:$AX$166,$E83)+J82</f>
        <v>0</v>
      </c>
      <c r="K83" s="13">
        <f t="shared" ref="K83:K97" si="19">I83+J83</f>
        <v>0</v>
      </c>
      <c r="M83" s="5">
        <v>79</v>
      </c>
      <c r="N83" s="14">
        <f t="shared" si="13"/>
        <v>0.45809324264697165</v>
      </c>
      <c r="O83" s="14">
        <f t="shared" si="14"/>
        <v>0.86556687733820625</v>
      </c>
      <c r="P83" s="14">
        <f t="shared" si="15"/>
        <v>0.93936812805685077</v>
      </c>
      <c r="Q83" s="14">
        <f t="shared" si="16"/>
        <v>1.3568087104065798</v>
      </c>
      <c r="R83" s="14">
        <f t="shared" si="17"/>
        <v>1.5199563658261082</v>
      </c>
    </row>
    <row r="84" spans="4:18" x14ac:dyDescent="0.15">
      <c r="D84" s="5"/>
      <c r="E84" s="13">
        <v>30</v>
      </c>
      <c r="F84" s="13">
        <f>阵法升星!S83</f>
        <v>0</v>
      </c>
      <c r="G84" s="13">
        <f>阵旗升级!S83</f>
        <v>0</v>
      </c>
      <c r="H84" s="13">
        <f t="shared" si="18"/>
        <v>0</v>
      </c>
      <c r="I84" s="13">
        <f>(F84-F83)*INDEX([3]超r将兵属性验证!$AX$7:$AX$166,$E84)+I83</f>
        <v>0</v>
      </c>
      <c r="J84" s="13">
        <f>(G84-G83)*INDEX([3]超r将兵属性验证!$AX$7:$AX$166,$E84)+J83</f>
        <v>0</v>
      </c>
      <c r="K84" s="13">
        <f t="shared" si="19"/>
        <v>0</v>
      </c>
      <c r="M84" s="5">
        <v>80</v>
      </c>
      <c r="N84" s="14">
        <f t="shared" si="13"/>
        <v>0.4850789947705143</v>
      </c>
      <c r="O84" s="14">
        <f t="shared" si="14"/>
        <v>0.88582897070904698</v>
      </c>
      <c r="P84" s="14">
        <f t="shared" si="15"/>
        <v>0.95598091490903969</v>
      </c>
      <c r="Q84" s="14">
        <f t="shared" si="16"/>
        <v>1.4088950535265594</v>
      </c>
      <c r="R84" s="14">
        <f t="shared" si="17"/>
        <v>1.5864431027882488</v>
      </c>
    </row>
    <row r="85" spans="4:18" x14ac:dyDescent="0.15">
      <c r="D85" s="5"/>
      <c r="E85" s="13">
        <v>40</v>
      </c>
      <c r="F85" s="13">
        <f>阵法升星!S84</f>
        <v>0</v>
      </c>
      <c r="G85" s="13">
        <f>阵旗升级!S84</f>
        <v>0</v>
      </c>
      <c r="H85" s="13">
        <f t="shared" si="18"/>
        <v>0</v>
      </c>
      <c r="I85" s="13">
        <f>(F85-F84)*INDEX([3]超r将兵属性验证!$AX$7:$AX$166,$E85)+I84</f>
        <v>0</v>
      </c>
      <c r="J85" s="13">
        <f>(G85-G84)*INDEX([3]超r将兵属性验证!$AX$7:$AX$166,$E85)+J84</f>
        <v>0</v>
      </c>
      <c r="K85" s="13">
        <f t="shared" si="19"/>
        <v>0</v>
      </c>
      <c r="M85" s="5">
        <v>81</v>
      </c>
      <c r="N85" s="14">
        <f t="shared" si="13"/>
        <v>0.49628801840422537</v>
      </c>
      <c r="O85" s="14">
        <f t="shared" si="14"/>
        <v>0.92712853936774264</v>
      </c>
      <c r="P85" s="14">
        <f t="shared" si="15"/>
        <v>1.0038785953790426</v>
      </c>
      <c r="Q85" s="14">
        <f t="shared" si="16"/>
        <v>1.4920532142708631</v>
      </c>
      <c r="R85" s="14">
        <f t="shared" si="17"/>
        <v>1.6820411451154951</v>
      </c>
    </row>
    <row r="86" spans="4:18" x14ac:dyDescent="0.15">
      <c r="D86" s="5"/>
      <c r="E86" s="13">
        <v>50</v>
      </c>
      <c r="F86" s="13">
        <f>阵法升星!S85</f>
        <v>0</v>
      </c>
      <c r="G86" s="13">
        <f>阵旗升级!S85</f>
        <v>0</v>
      </c>
      <c r="H86" s="13">
        <f t="shared" si="18"/>
        <v>0</v>
      </c>
      <c r="I86" s="13">
        <f>(F86-F85)*INDEX([3]超r将兵属性验证!$AX$7:$AX$166,$E86)+I85</f>
        <v>0</v>
      </c>
      <c r="J86" s="13">
        <f>(G86-G85)*INDEX([3]超r将兵属性验证!$AX$7:$AX$166,$E86)+J85</f>
        <v>0</v>
      </c>
      <c r="K86" s="13">
        <f t="shared" si="19"/>
        <v>0</v>
      </c>
      <c r="M86" s="5">
        <v>82</v>
      </c>
      <c r="N86" s="14">
        <f t="shared" si="13"/>
        <v>0.50749704203793644</v>
      </c>
      <c r="O86" s="14">
        <f t="shared" si="14"/>
        <v>0.96842810802643831</v>
      </c>
      <c r="P86" s="14">
        <f t="shared" si="15"/>
        <v>1.0517762758490456</v>
      </c>
      <c r="Q86" s="14">
        <f t="shared" si="16"/>
        <v>1.5752113750151666</v>
      </c>
      <c r="R86" s="14">
        <f t="shared" si="17"/>
        <v>1.7776391874427411</v>
      </c>
    </row>
    <row r="87" spans="4:18" x14ac:dyDescent="0.15">
      <c r="D87" s="5"/>
      <c r="E87" s="13">
        <v>60</v>
      </c>
      <c r="F87" s="13">
        <f>阵法升星!S86</f>
        <v>0</v>
      </c>
      <c r="G87" s="13">
        <f>阵旗升级!S86</f>
        <v>0</v>
      </c>
      <c r="H87" s="13">
        <f t="shared" si="18"/>
        <v>0</v>
      </c>
      <c r="I87" s="13">
        <f>(F87-F86)*INDEX([3]超r将兵属性验证!$AX$7:$AX$166,$E87)+I86</f>
        <v>0</v>
      </c>
      <c r="J87" s="13">
        <f>(G87-G86)*INDEX([3]超r将兵属性验证!$AX$7:$AX$166,$E87)+J86</f>
        <v>0</v>
      </c>
      <c r="K87" s="13">
        <f t="shared" si="19"/>
        <v>0</v>
      </c>
      <c r="M87" s="5">
        <v>83</v>
      </c>
      <c r="N87" s="14">
        <f t="shared" si="13"/>
        <v>0.51870606567164756</v>
      </c>
      <c r="O87" s="14">
        <f t="shared" si="14"/>
        <v>1.009727676685134</v>
      </c>
      <c r="P87" s="14">
        <f t="shared" si="15"/>
        <v>1.0996739563190485</v>
      </c>
      <c r="Q87" s="14">
        <f t="shared" si="16"/>
        <v>1.6583695357594703</v>
      </c>
      <c r="R87" s="14">
        <f t="shared" si="17"/>
        <v>1.8732372297699871</v>
      </c>
    </row>
    <row r="88" spans="4:18" x14ac:dyDescent="0.15">
      <c r="D88" s="5"/>
      <c r="E88" s="13">
        <v>70</v>
      </c>
      <c r="F88" s="13">
        <f>阵法升星!S87</f>
        <v>0.18</v>
      </c>
      <c r="G88" s="13">
        <f>阵旗升级!S87</f>
        <v>0.741575733166843</v>
      </c>
      <c r="H88" s="13">
        <f t="shared" si="18"/>
        <v>0.92157573316684305</v>
      </c>
      <c r="I88" s="13">
        <f>(F88-F87)*INDEX([3]超r将兵属性验证!$AX$7:$AX$166,$E88)+I87</f>
        <v>5554563264.6394663</v>
      </c>
      <c r="J88" s="13">
        <f>(G88-G87)*INDEX([3]超r将兵属性验证!$AX$7:$AX$166,$E88)+J87</f>
        <v>22884051807.759029</v>
      </c>
      <c r="K88" s="13">
        <f t="shared" si="19"/>
        <v>28438615072.398495</v>
      </c>
      <c r="M88" s="5">
        <v>84</v>
      </c>
      <c r="N88" s="14">
        <f t="shared" si="13"/>
        <v>0.52991508930535858</v>
      </c>
      <c r="O88" s="14">
        <f t="shared" si="14"/>
        <v>1.0510272453438296</v>
      </c>
      <c r="P88" s="14">
        <f t="shared" si="15"/>
        <v>1.1475716367890516</v>
      </c>
      <c r="Q88" s="14">
        <f t="shared" si="16"/>
        <v>1.7415276965037738</v>
      </c>
      <c r="R88" s="14">
        <f t="shared" si="17"/>
        <v>1.9688352720972333</v>
      </c>
    </row>
    <row r="89" spans="4:18" x14ac:dyDescent="0.15">
      <c r="D89" s="5"/>
      <c r="E89" s="13">
        <v>80</v>
      </c>
      <c r="F89" s="13">
        <f>阵法升星!S88</f>
        <v>0.26830805540212871</v>
      </c>
      <c r="G89" s="13">
        <f>阵旗升级!S88</f>
        <v>1.3181350473861202</v>
      </c>
      <c r="H89" s="13">
        <f t="shared" si="18"/>
        <v>1.5864431027882488</v>
      </c>
      <c r="I89" s="13">
        <f>(F89-F88)*INDEX([3]超r将兵属性验证!$AX$7:$AX$166,$E89)+I88</f>
        <v>14376438033.209263</v>
      </c>
      <c r="J89" s="13">
        <f>(G89-G88)*INDEX([3]超r将兵属性验证!$AX$7:$AX$166,$E89)+J88</f>
        <v>80481674624.084091</v>
      </c>
      <c r="K89" s="13">
        <f t="shared" si="19"/>
        <v>94858112657.29335</v>
      </c>
      <c r="M89" s="5">
        <v>85</v>
      </c>
      <c r="N89" s="14">
        <f t="shared" si="13"/>
        <v>0.5411241129390697</v>
      </c>
      <c r="O89" s="14">
        <f t="shared" si="14"/>
        <v>1.0923268140025253</v>
      </c>
      <c r="P89" s="14">
        <f t="shared" si="15"/>
        <v>1.1954693172590545</v>
      </c>
      <c r="Q89" s="14">
        <f t="shared" si="16"/>
        <v>1.8246858572480775</v>
      </c>
      <c r="R89" s="14">
        <f t="shared" si="17"/>
        <v>2.0644333144244795</v>
      </c>
    </row>
    <row r="90" spans="4:18" x14ac:dyDescent="0.15">
      <c r="D90" s="5"/>
      <c r="E90" s="13">
        <v>90</v>
      </c>
      <c r="F90" s="13">
        <f>阵法升星!S89</f>
        <v>0.48</v>
      </c>
      <c r="G90" s="13">
        <f>阵旗升级!S89</f>
        <v>2.06242352606071</v>
      </c>
      <c r="H90" s="13">
        <f t="shared" si="18"/>
        <v>2.54242352606071</v>
      </c>
      <c r="I90" s="13">
        <f>(F90-F89)*INDEX([3]超r将兵属性验证!$AX$7:$AX$166,$E90)+I89</f>
        <v>69271252786.548325</v>
      </c>
      <c r="J90" s="13">
        <f>(G90-G89)*INDEX([3]超r将兵属性验证!$AX$7:$AX$166,$E90)+J89</f>
        <v>273486553659.50964</v>
      </c>
      <c r="K90" s="13">
        <f t="shared" si="19"/>
        <v>342757806446.05798</v>
      </c>
      <c r="M90" s="5">
        <v>86</v>
      </c>
      <c r="N90" s="14">
        <f t="shared" si="13"/>
        <v>0.55233313657278083</v>
      </c>
      <c r="O90" s="14">
        <f t="shared" si="14"/>
        <v>1.133626382661221</v>
      </c>
      <c r="P90" s="14">
        <f t="shared" si="15"/>
        <v>1.2433669977290576</v>
      </c>
      <c r="Q90" s="14">
        <f t="shared" si="16"/>
        <v>1.9078440179923812</v>
      </c>
      <c r="R90" s="14">
        <f t="shared" si="17"/>
        <v>2.1600313567517255</v>
      </c>
    </row>
    <row r="91" spans="4:18" x14ac:dyDescent="0.15">
      <c r="D91" s="5"/>
      <c r="E91" s="13">
        <v>100</v>
      </c>
      <c r="F91" s="13">
        <f>阵法升星!S90</f>
        <v>0.48</v>
      </c>
      <c r="G91" s="13">
        <f>阵旗升级!S90</f>
        <v>2.2320653515994464</v>
      </c>
      <c r="H91" s="13">
        <f t="shared" si="18"/>
        <v>2.7120653515994464</v>
      </c>
      <c r="I91" s="13">
        <f>(F91-F90)*INDEX([3]超r将兵属性验证!$AX$7:$AX$166,$E91)+I90</f>
        <v>69271252786.548325</v>
      </c>
      <c r="J91" s="13">
        <f>(G91-G90)*INDEX([3]超r将兵属性验证!$AX$7:$AX$166,$E91)+J90</f>
        <v>359537278752.3335</v>
      </c>
      <c r="K91" s="13">
        <f t="shared" si="19"/>
        <v>428808531538.88184</v>
      </c>
      <c r="M91" s="5">
        <v>87</v>
      </c>
      <c r="N91" s="14">
        <f t="shared" si="13"/>
        <v>0.56354216020649184</v>
      </c>
      <c r="O91" s="14">
        <f t="shared" si="14"/>
        <v>1.1749259513199166</v>
      </c>
      <c r="P91" s="14">
        <f t="shared" si="15"/>
        <v>1.2912646781990604</v>
      </c>
      <c r="Q91" s="14">
        <f t="shared" si="16"/>
        <v>1.9910021787366849</v>
      </c>
      <c r="R91" s="14">
        <f t="shared" si="17"/>
        <v>2.2556293990789715</v>
      </c>
    </row>
    <row r="92" spans="4:18" x14ac:dyDescent="0.15">
      <c r="D92" s="5"/>
      <c r="E92" s="13">
        <v>110</v>
      </c>
      <c r="F92" s="13">
        <f>阵法升星!S91</f>
        <v>0.48</v>
      </c>
      <c r="G92" s="13">
        <f>阵旗升级!S91</f>
        <v>2.3450385330633683</v>
      </c>
      <c r="H92" s="13">
        <f t="shared" si="18"/>
        <v>2.8250385330633683</v>
      </c>
      <c r="I92" s="13">
        <f>(F92-F91)*INDEX([3]超r将兵属性验证!$AX$7:$AX$166,$E92)+I91</f>
        <v>69271252786.548325</v>
      </c>
      <c r="J92" s="13">
        <f>(G92-G91)*INDEX([3]超r将兵属性验证!$AX$7:$AX$166,$E92)+J91</f>
        <v>451678551110.53125</v>
      </c>
      <c r="K92" s="13">
        <f t="shared" si="19"/>
        <v>520949803897.07959</v>
      </c>
      <c r="M92" s="5">
        <v>88</v>
      </c>
      <c r="N92" s="14">
        <f t="shared" si="13"/>
        <v>0.57475118384020296</v>
      </c>
      <c r="O92" s="14">
        <f t="shared" si="14"/>
        <v>1.2162255199786123</v>
      </c>
      <c r="P92" s="14">
        <f t="shared" si="15"/>
        <v>1.3391623586690633</v>
      </c>
      <c r="Q92" s="14">
        <f t="shared" si="16"/>
        <v>2.0741603394809882</v>
      </c>
      <c r="R92" s="14">
        <f t="shared" si="17"/>
        <v>2.351227441406218</v>
      </c>
    </row>
    <row r="93" spans="4:18" x14ac:dyDescent="0.15">
      <c r="D93" s="5"/>
      <c r="E93" s="13">
        <v>120</v>
      </c>
      <c r="F93" s="13">
        <f>阵法升星!S92</f>
        <v>0.48</v>
      </c>
      <c r="G93" s="13">
        <f>阵旗升级!S92</f>
        <v>2.3918270544323921</v>
      </c>
      <c r="H93" s="13">
        <f t="shared" si="18"/>
        <v>2.8718270544323921</v>
      </c>
      <c r="I93" s="13">
        <f>(F93-F92)*INDEX([3]超r将兵属性验证!$AX$7:$AX$166,$E93)+I92</f>
        <v>69271252786.548325</v>
      </c>
      <c r="J93" s="13">
        <f>(G93-G92)*INDEX([3]超r将兵属性验证!$AX$7:$AX$166,$E93)+J92</f>
        <v>512955922055.38403</v>
      </c>
      <c r="K93" s="13">
        <f t="shared" si="19"/>
        <v>582227174841.93237</v>
      </c>
      <c r="M93" s="5">
        <v>89</v>
      </c>
      <c r="N93" s="14">
        <f t="shared" si="13"/>
        <v>0.58596020747391397</v>
      </c>
      <c r="O93" s="14">
        <f t="shared" si="14"/>
        <v>1.2575250886373079</v>
      </c>
      <c r="P93" s="14">
        <f t="shared" si="15"/>
        <v>1.3870600391390664</v>
      </c>
      <c r="Q93" s="14">
        <f t="shared" si="16"/>
        <v>2.1573185002252919</v>
      </c>
      <c r="R93" s="14">
        <f t="shared" si="17"/>
        <v>2.446825483733464</v>
      </c>
    </row>
    <row r="94" spans="4:18" x14ac:dyDescent="0.15">
      <c r="D94" s="5"/>
      <c r="E94" s="13">
        <v>130</v>
      </c>
      <c r="F94" s="13">
        <f>阵法升星!S93</f>
        <v>0.48</v>
      </c>
      <c r="G94" s="13">
        <f>阵旗升级!S93</f>
        <v>2.4892970782936548</v>
      </c>
      <c r="H94" s="13">
        <f t="shared" si="18"/>
        <v>2.9692970782936547</v>
      </c>
      <c r="I94" s="13">
        <f>(F94-F93)*INDEX([3]超r将兵属性验证!$AX$7:$AX$166,$E94)+I93</f>
        <v>69271252786.548325</v>
      </c>
      <c r="J94" s="13">
        <f>(G94-G93)*INDEX([3]超r将兵属性验证!$AX$7:$AX$166,$E94)+J93</f>
        <v>716895735735.58801</v>
      </c>
      <c r="K94" s="13">
        <f t="shared" si="19"/>
        <v>786166988522.13635</v>
      </c>
      <c r="M94" s="5">
        <v>90</v>
      </c>
      <c r="N94" s="14">
        <f t="shared" si="13"/>
        <v>0.5971692311076251</v>
      </c>
      <c r="O94" s="14">
        <f t="shared" si="14"/>
        <v>1.2988246572960036</v>
      </c>
      <c r="P94" s="14">
        <f t="shared" si="15"/>
        <v>1.4349577196090693</v>
      </c>
      <c r="Q94" s="14">
        <f t="shared" si="16"/>
        <v>2.2404766609695956</v>
      </c>
      <c r="R94" s="14">
        <f t="shared" si="17"/>
        <v>2.54242352606071</v>
      </c>
    </row>
    <row r="95" spans="4:18" x14ac:dyDescent="0.15">
      <c r="D95" s="5"/>
      <c r="E95" s="13">
        <v>140</v>
      </c>
      <c r="F95" s="13">
        <f>阵法升星!S94</f>
        <v>0.48</v>
      </c>
      <c r="G95" s="13">
        <f>阵旗升级!S94</f>
        <v>2.5475721222533911</v>
      </c>
      <c r="H95" s="13">
        <f t="shared" si="18"/>
        <v>3.0275721222533911</v>
      </c>
      <c r="I95" s="13">
        <f>(F95-F94)*INDEX([3]超r将兵属性验证!$AX$7:$AX$166,$E95)+I94</f>
        <v>69271252786.548325</v>
      </c>
      <c r="J95" s="13">
        <f>(G95-G94)*INDEX([3]超r将兵属性验证!$AX$7:$AX$166,$E95)+J94</f>
        <v>900948049972.08521</v>
      </c>
      <c r="K95" s="13">
        <f t="shared" si="19"/>
        <v>970219302758.63354</v>
      </c>
      <c r="M95" s="5">
        <v>91</v>
      </c>
      <c r="N95" s="14">
        <f t="shared" si="13"/>
        <v>0.6293982880094191</v>
      </c>
      <c r="O95" s="14">
        <f t="shared" si="14"/>
        <v>1.3345280542865678</v>
      </c>
      <c r="P95" s="14">
        <f t="shared" si="15"/>
        <v>1.5153734861242389</v>
      </c>
      <c r="Q95" s="14">
        <f t="shared" si="16"/>
        <v>2.2845294921623136</v>
      </c>
      <c r="R95" s="14">
        <f t="shared" si="17"/>
        <v>2.5593877086145835</v>
      </c>
    </row>
    <row r="96" spans="4:18" x14ac:dyDescent="0.15">
      <c r="D96" s="5"/>
      <c r="E96" s="13">
        <v>150</v>
      </c>
      <c r="F96" s="13">
        <f>阵法升星!S95</f>
        <v>0.48</v>
      </c>
      <c r="G96" s="13">
        <f>阵旗升级!S95</f>
        <v>2.6159632783957969</v>
      </c>
      <c r="H96" s="13">
        <f t="shared" si="18"/>
        <v>3.0959632783957969</v>
      </c>
      <c r="I96" s="13">
        <f>(F96-F95)*INDEX([3]超r将兵属性验证!$AX$7:$AX$166,$E96)+I95</f>
        <v>69271252786.548325</v>
      </c>
      <c r="J96" s="13">
        <f>(G96-G95)*INDEX([3]超r将兵属性验证!$AX$7:$AX$166,$E96)+J95</f>
        <v>1222178499226.8547</v>
      </c>
      <c r="K96" s="13">
        <f t="shared" si="19"/>
        <v>1291449752013.4031</v>
      </c>
      <c r="M96" s="5">
        <v>92</v>
      </c>
      <c r="N96" s="14">
        <f t="shared" si="13"/>
        <v>0.661627344911213</v>
      </c>
      <c r="O96" s="14">
        <f t="shared" si="14"/>
        <v>1.3702314512771321</v>
      </c>
      <c r="P96" s="14">
        <f t="shared" si="15"/>
        <v>1.5957892526394084</v>
      </c>
      <c r="Q96" s="14">
        <f t="shared" si="16"/>
        <v>2.3285823233550316</v>
      </c>
      <c r="R96" s="14">
        <f t="shared" si="17"/>
        <v>2.5763518911684571</v>
      </c>
    </row>
    <row r="97" spans="4:18" x14ac:dyDescent="0.15">
      <c r="D97" s="5"/>
      <c r="E97" s="13">
        <v>160</v>
      </c>
      <c r="F97" s="13">
        <f>阵法升星!S96</f>
        <v>0.48</v>
      </c>
      <c r="G97" s="13">
        <f>阵旗升级!S96</f>
        <v>2.8472812949115989</v>
      </c>
      <c r="H97" s="13">
        <f t="shared" si="18"/>
        <v>3.3272812949115989</v>
      </c>
      <c r="I97" s="13">
        <f>(F97-F96)*INDEX([3]超r将兵属性验证!$AX$7:$AX$166,$E97)+I96</f>
        <v>69271252786.548325</v>
      </c>
      <c r="J97" s="13">
        <f>(G97-G96)*INDEX([3]超r将兵属性验证!$AX$7:$AX$166,$E97)+J96</f>
        <v>2417517131273.9131</v>
      </c>
      <c r="K97" s="13">
        <f t="shared" si="19"/>
        <v>2486788384060.4614</v>
      </c>
      <c r="M97" s="5">
        <v>93</v>
      </c>
      <c r="N97" s="14">
        <f t="shared" si="13"/>
        <v>0.69385640181300701</v>
      </c>
      <c r="O97" s="14">
        <f t="shared" si="14"/>
        <v>1.4059348482676963</v>
      </c>
      <c r="P97" s="14">
        <f t="shared" si="15"/>
        <v>1.6762050191545781</v>
      </c>
      <c r="Q97" s="14">
        <f t="shared" si="16"/>
        <v>2.3726351545477495</v>
      </c>
      <c r="R97" s="14">
        <f t="shared" si="17"/>
        <v>2.5933160737223311</v>
      </c>
    </row>
    <row r="98" spans="4:18" x14ac:dyDescent="0.15">
      <c r="M98" s="5">
        <v>94</v>
      </c>
      <c r="N98" s="14">
        <f t="shared" si="13"/>
        <v>0.7260854587148009</v>
      </c>
      <c r="O98" s="14">
        <f t="shared" si="14"/>
        <v>1.4416382452582606</v>
      </c>
      <c r="P98" s="14">
        <f t="shared" si="15"/>
        <v>1.7566207856697478</v>
      </c>
      <c r="Q98" s="14">
        <f t="shared" si="16"/>
        <v>2.4166879857404675</v>
      </c>
      <c r="R98" s="14">
        <f t="shared" si="17"/>
        <v>2.6102802562762046</v>
      </c>
    </row>
    <row r="99" spans="4:18" x14ac:dyDescent="0.15">
      <c r="M99" s="5">
        <v>95</v>
      </c>
      <c r="N99" s="14">
        <f t="shared" si="13"/>
        <v>0.75831451561659491</v>
      </c>
      <c r="O99" s="14">
        <f t="shared" si="14"/>
        <v>1.4773416422488248</v>
      </c>
      <c r="P99" s="14">
        <f t="shared" si="15"/>
        <v>1.8370365521849172</v>
      </c>
      <c r="Q99" s="14">
        <f t="shared" si="16"/>
        <v>2.4607408169331855</v>
      </c>
      <c r="R99" s="14">
        <f t="shared" si="17"/>
        <v>2.6272444388300782</v>
      </c>
    </row>
    <row r="100" spans="4:18" x14ac:dyDescent="0.15">
      <c r="M100" s="5">
        <v>96</v>
      </c>
      <c r="N100" s="14">
        <f t="shared" si="13"/>
        <v>0.79054357251838892</v>
      </c>
      <c r="O100" s="14">
        <f t="shared" si="14"/>
        <v>1.513045039239389</v>
      </c>
      <c r="P100" s="14">
        <f t="shared" si="15"/>
        <v>1.9174523187000869</v>
      </c>
      <c r="Q100" s="14">
        <f t="shared" si="16"/>
        <v>2.5047936481259034</v>
      </c>
      <c r="R100" s="14">
        <f t="shared" si="17"/>
        <v>2.6442086213839517</v>
      </c>
    </row>
    <row r="101" spans="4:18" x14ac:dyDescent="0.15">
      <c r="M101" s="5">
        <v>97</v>
      </c>
      <c r="N101" s="14">
        <f t="shared" si="13"/>
        <v>0.82277262942018292</v>
      </c>
      <c r="O101" s="14">
        <f t="shared" si="14"/>
        <v>1.5487484362299533</v>
      </c>
      <c r="P101" s="14">
        <f t="shared" si="15"/>
        <v>1.9978680852152566</v>
      </c>
      <c r="Q101" s="14">
        <f t="shared" si="16"/>
        <v>2.5488464793186218</v>
      </c>
      <c r="R101" s="14">
        <f t="shared" si="17"/>
        <v>2.6611728039378253</v>
      </c>
    </row>
    <row r="102" spans="4:18" x14ac:dyDescent="0.15">
      <c r="M102" s="5">
        <v>98</v>
      </c>
      <c r="N102" s="14">
        <f t="shared" si="13"/>
        <v>0.85500168632197682</v>
      </c>
      <c r="O102" s="14">
        <f t="shared" si="14"/>
        <v>1.5844518332205175</v>
      </c>
      <c r="P102" s="14">
        <f t="shared" si="15"/>
        <v>2.0782838517304261</v>
      </c>
      <c r="Q102" s="14">
        <f t="shared" si="16"/>
        <v>2.5928993105113398</v>
      </c>
      <c r="R102" s="14">
        <f t="shared" si="17"/>
        <v>2.6781369864916993</v>
      </c>
    </row>
    <row r="103" spans="4:18" x14ac:dyDescent="0.15">
      <c r="M103" s="5">
        <v>99</v>
      </c>
      <c r="N103" s="14">
        <f t="shared" si="13"/>
        <v>0.88723074322377071</v>
      </c>
      <c r="O103" s="14">
        <f t="shared" si="14"/>
        <v>1.6201552302110818</v>
      </c>
      <c r="P103" s="14">
        <f t="shared" si="15"/>
        <v>2.1586996182455955</v>
      </c>
      <c r="Q103" s="14">
        <f t="shared" si="16"/>
        <v>2.6369521417040578</v>
      </c>
      <c r="R103" s="14">
        <f t="shared" si="17"/>
        <v>2.6951011690455728</v>
      </c>
    </row>
    <row r="104" spans="4:18" x14ac:dyDescent="0.15">
      <c r="M104" s="5">
        <v>100</v>
      </c>
      <c r="N104" s="14">
        <f t="shared" si="13"/>
        <v>0.91945980012556472</v>
      </c>
      <c r="O104" s="14">
        <f t="shared" si="14"/>
        <v>1.655858627201646</v>
      </c>
      <c r="P104" s="14">
        <f t="shared" si="15"/>
        <v>2.2391153847607654</v>
      </c>
      <c r="Q104" s="14">
        <f t="shared" si="16"/>
        <v>2.6810049728967758</v>
      </c>
      <c r="R104" s="14">
        <f t="shared" si="17"/>
        <v>2.7120653515994464</v>
      </c>
    </row>
    <row r="105" spans="4:18" x14ac:dyDescent="0.15">
      <c r="M105" s="5">
        <v>101</v>
      </c>
      <c r="N105" s="14">
        <f t="shared" si="13"/>
        <v>1.0128931327576267</v>
      </c>
      <c r="O105" s="14">
        <f t="shared" si="14"/>
        <v>1.7382997391487922</v>
      </c>
      <c r="P105" s="14">
        <f t="shared" si="15"/>
        <v>2.2830860484005351</v>
      </c>
      <c r="Q105" s="14">
        <f t="shared" si="16"/>
        <v>2.6913109953858374</v>
      </c>
      <c r="R105" s="14">
        <f t="shared" si="17"/>
        <v>2.7233626697458386</v>
      </c>
    </row>
    <row r="106" spans="4:18" x14ac:dyDescent="0.15">
      <c r="M106" s="5">
        <v>102</v>
      </c>
      <c r="N106" s="14">
        <f t="shared" si="13"/>
        <v>1.1063264653896885</v>
      </c>
      <c r="O106" s="14">
        <f t="shared" si="14"/>
        <v>1.8207408510959382</v>
      </c>
      <c r="P106" s="14">
        <f t="shared" si="15"/>
        <v>2.3270567120403052</v>
      </c>
      <c r="Q106" s="14">
        <f t="shared" si="16"/>
        <v>2.7016170178748991</v>
      </c>
      <c r="R106" s="14">
        <f t="shared" si="17"/>
        <v>2.7346599878922309</v>
      </c>
    </row>
    <row r="107" spans="4:18" x14ac:dyDescent="0.15">
      <c r="M107" s="5">
        <v>103</v>
      </c>
      <c r="N107" s="14">
        <f t="shared" si="13"/>
        <v>1.1997597980217505</v>
      </c>
      <c r="O107" s="14">
        <f t="shared" si="14"/>
        <v>1.9031819630430844</v>
      </c>
      <c r="P107" s="14">
        <f t="shared" si="15"/>
        <v>2.3710273756800748</v>
      </c>
      <c r="Q107" s="14">
        <f t="shared" si="16"/>
        <v>2.7119230403639603</v>
      </c>
      <c r="R107" s="14">
        <f t="shared" si="17"/>
        <v>2.7459573060386231</v>
      </c>
    </row>
    <row r="108" spans="4:18" x14ac:dyDescent="0.15">
      <c r="M108" s="5">
        <v>104</v>
      </c>
      <c r="N108" s="14">
        <f t="shared" si="13"/>
        <v>1.2931931306538125</v>
      </c>
      <c r="O108" s="14">
        <f t="shared" si="14"/>
        <v>1.9856230749902304</v>
      </c>
      <c r="P108" s="14">
        <f t="shared" si="15"/>
        <v>2.4149980393198449</v>
      </c>
      <c r="Q108" s="14">
        <f t="shared" si="16"/>
        <v>2.7222290628530219</v>
      </c>
      <c r="R108" s="14">
        <f t="shared" si="17"/>
        <v>2.7572546241850153</v>
      </c>
    </row>
    <row r="109" spans="4:18" x14ac:dyDescent="0.15">
      <c r="M109" s="5">
        <v>105</v>
      </c>
      <c r="N109" s="14">
        <f t="shared" si="13"/>
        <v>1.3866264632858742</v>
      </c>
      <c r="O109" s="14">
        <f t="shared" si="14"/>
        <v>2.0680641869373764</v>
      </c>
      <c r="P109" s="14">
        <f t="shared" si="15"/>
        <v>2.4589687029596146</v>
      </c>
      <c r="Q109" s="14">
        <f t="shared" si="16"/>
        <v>2.7325350853420836</v>
      </c>
      <c r="R109" s="14">
        <f t="shared" si="17"/>
        <v>2.7685519423314071</v>
      </c>
    </row>
    <row r="110" spans="4:18" x14ac:dyDescent="0.15">
      <c r="M110" s="5">
        <v>106</v>
      </c>
      <c r="N110" s="14">
        <f t="shared" si="13"/>
        <v>1.4800597959179362</v>
      </c>
      <c r="O110" s="14">
        <f t="shared" si="14"/>
        <v>2.1505052988845228</v>
      </c>
      <c r="P110" s="14">
        <f t="shared" si="15"/>
        <v>2.5029393665993842</v>
      </c>
      <c r="Q110" s="14">
        <f t="shared" si="16"/>
        <v>2.7428411078311452</v>
      </c>
      <c r="R110" s="14">
        <f t="shared" si="17"/>
        <v>2.7798492604777993</v>
      </c>
    </row>
    <row r="111" spans="4:18" x14ac:dyDescent="0.15">
      <c r="M111" s="5">
        <v>107</v>
      </c>
      <c r="N111" s="14">
        <f t="shared" si="13"/>
        <v>1.5734931285499982</v>
      </c>
      <c r="O111" s="14">
        <f t="shared" si="14"/>
        <v>2.2329464108316688</v>
      </c>
      <c r="P111" s="14">
        <f t="shared" si="15"/>
        <v>2.5469100302391543</v>
      </c>
      <c r="Q111" s="14">
        <f t="shared" si="16"/>
        <v>2.7531471303202069</v>
      </c>
      <c r="R111" s="14">
        <f t="shared" si="17"/>
        <v>2.7911465786241916</v>
      </c>
    </row>
    <row r="112" spans="4:18" x14ac:dyDescent="0.15">
      <c r="M112" s="5">
        <v>108</v>
      </c>
      <c r="N112" s="14">
        <f t="shared" si="13"/>
        <v>1.6669264611820602</v>
      </c>
      <c r="O112" s="14">
        <f t="shared" si="14"/>
        <v>2.3153875227788152</v>
      </c>
      <c r="P112" s="14">
        <f t="shared" si="15"/>
        <v>2.5908806938789239</v>
      </c>
      <c r="Q112" s="14">
        <f t="shared" si="16"/>
        <v>2.7634531528092681</v>
      </c>
      <c r="R112" s="14">
        <f t="shared" si="17"/>
        <v>2.8024438967705838</v>
      </c>
    </row>
    <row r="113" spans="13:18" x14ac:dyDescent="0.15">
      <c r="M113" s="5">
        <v>109</v>
      </c>
      <c r="N113" s="14">
        <f t="shared" si="13"/>
        <v>1.760359793814122</v>
      </c>
      <c r="O113" s="14">
        <f t="shared" si="14"/>
        <v>2.3978286347259612</v>
      </c>
      <c r="P113" s="14">
        <f t="shared" si="15"/>
        <v>2.634851357518694</v>
      </c>
      <c r="Q113" s="14">
        <f t="shared" si="16"/>
        <v>2.7737591752983297</v>
      </c>
      <c r="R113" s="14">
        <f t="shared" si="17"/>
        <v>2.813741214916976</v>
      </c>
    </row>
    <row r="114" spans="13:18" x14ac:dyDescent="0.15">
      <c r="M114" s="5">
        <v>110</v>
      </c>
      <c r="N114" s="14">
        <f t="shared" si="13"/>
        <v>1.853793126446184</v>
      </c>
      <c r="O114" s="14">
        <f t="shared" si="14"/>
        <v>2.4802697466731072</v>
      </c>
      <c r="P114" s="14">
        <f t="shared" si="15"/>
        <v>2.6788220211584637</v>
      </c>
      <c r="Q114" s="14">
        <f t="shared" si="16"/>
        <v>2.7840651977873914</v>
      </c>
      <c r="R114" s="14">
        <f t="shared" si="17"/>
        <v>2.8250385330633683</v>
      </c>
    </row>
    <row r="115" spans="13:18" x14ac:dyDescent="0.15">
      <c r="M115" s="5">
        <v>111</v>
      </c>
      <c r="N115" s="14">
        <f t="shared" si="13"/>
        <v>1.8969151891152831</v>
      </c>
      <c r="O115" s="14">
        <f t="shared" si="14"/>
        <v>2.502990176400524</v>
      </c>
      <c r="P115" s="14">
        <f t="shared" si="15"/>
        <v>2.6885776251447968</v>
      </c>
      <c r="Q115" s="14">
        <f t="shared" si="16"/>
        <v>2.79054566113571</v>
      </c>
      <c r="R115" s="14">
        <f t="shared" si="17"/>
        <v>2.8297173852002708</v>
      </c>
    </row>
    <row r="116" spans="13:18" x14ac:dyDescent="0.15">
      <c r="M116" s="5">
        <v>112</v>
      </c>
      <c r="N116" s="14">
        <f t="shared" si="13"/>
        <v>1.9400372517843825</v>
      </c>
      <c r="O116" s="14">
        <f t="shared" si="14"/>
        <v>2.5257106061279408</v>
      </c>
      <c r="P116" s="14">
        <f t="shared" si="15"/>
        <v>2.6983332291311304</v>
      </c>
      <c r="Q116" s="14">
        <f t="shared" si="16"/>
        <v>2.7970261244840287</v>
      </c>
      <c r="R116" s="14">
        <f t="shared" si="17"/>
        <v>2.8343962373371729</v>
      </c>
    </row>
    <row r="117" spans="13:18" x14ac:dyDescent="0.15">
      <c r="M117" s="5">
        <v>113</v>
      </c>
      <c r="N117" s="14">
        <f t="shared" si="13"/>
        <v>1.9831593144534816</v>
      </c>
      <c r="O117" s="14">
        <f t="shared" si="14"/>
        <v>2.5484310358553572</v>
      </c>
      <c r="P117" s="14">
        <f t="shared" si="15"/>
        <v>2.7080888331174635</v>
      </c>
      <c r="Q117" s="14">
        <f t="shared" si="16"/>
        <v>2.8035065878323477</v>
      </c>
      <c r="R117" s="14">
        <f t="shared" si="17"/>
        <v>2.8390750894740755</v>
      </c>
    </row>
    <row r="118" spans="13:18" x14ac:dyDescent="0.15">
      <c r="M118" s="5">
        <v>114</v>
      </c>
      <c r="N118" s="14">
        <f t="shared" si="13"/>
        <v>2.0262813771225807</v>
      </c>
      <c r="O118" s="14">
        <f t="shared" si="14"/>
        <v>2.5711514655827741</v>
      </c>
      <c r="P118" s="14">
        <f t="shared" si="15"/>
        <v>2.7178444371037966</v>
      </c>
      <c r="Q118" s="14">
        <f t="shared" si="16"/>
        <v>2.8099870511806664</v>
      </c>
      <c r="R118" s="14">
        <f t="shared" si="17"/>
        <v>2.8437539416109776</v>
      </c>
    </row>
    <row r="119" spans="13:18" x14ac:dyDescent="0.15">
      <c r="M119" s="5">
        <v>115</v>
      </c>
      <c r="N119" s="14">
        <f t="shared" si="13"/>
        <v>2.0694034397916798</v>
      </c>
      <c r="O119" s="14">
        <f t="shared" si="14"/>
        <v>2.5938718953101909</v>
      </c>
      <c r="P119" s="14">
        <f t="shared" si="15"/>
        <v>2.7276000410901302</v>
      </c>
      <c r="Q119" s="14">
        <f t="shared" si="16"/>
        <v>2.816467514528985</v>
      </c>
      <c r="R119" s="14">
        <f t="shared" si="17"/>
        <v>2.8484327937478802</v>
      </c>
    </row>
    <row r="120" spans="13:18" x14ac:dyDescent="0.15">
      <c r="M120" s="5">
        <v>116</v>
      </c>
      <c r="N120" s="14">
        <f t="shared" si="13"/>
        <v>2.1125255024607794</v>
      </c>
      <c r="O120" s="14">
        <f t="shared" si="14"/>
        <v>2.6165923250376077</v>
      </c>
      <c r="P120" s="14">
        <f t="shared" si="15"/>
        <v>2.7373556450764633</v>
      </c>
      <c r="Q120" s="14">
        <f t="shared" si="16"/>
        <v>2.8229479778773037</v>
      </c>
      <c r="R120" s="14">
        <f t="shared" si="17"/>
        <v>2.8531116458847827</v>
      </c>
    </row>
    <row r="121" spans="13:18" x14ac:dyDescent="0.15">
      <c r="M121" s="5">
        <v>117</v>
      </c>
      <c r="N121" s="14">
        <f t="shared" si="13"/>
        <v>2.1556475651298785</v>
      </c>
      <c r="O121" s="14">
        <f t="shared" si="14"/>
        <v>2.6393127547650246</v>
      </c>
      <c r="P121" s="14">
        <f t="shared" si="15"/>
        <v>2.7471112490627965</v>
      </c>
      <c r="Q121" s="14">
        <f t="shared" si="16"/>
        <v>2.8294284412256223</v>
      </c>
      <c r="R121" s="14">
        <f t="shared" si="17"/>
        <v>2.8577904980216848</v>
      </c>
    </row>
    <row r="122" spans="13:18" x14ac:dyDescent="0.15">
      <c r="M122" s="5">
        <v>118</v>
      </c>
      <c r="N122" s="14">
        <f t="shared" si="13"/>
        <v>2.1987696277989777</v>
      </c>
      <c r="O122" s="14">
        <f t="shared" si="14"/>
        <v>2.662033184492441</v>
      </c>
      <c r="P122" s="14">
        <f t="shared" si="15"/>
        <v>2.7568668530491296</v>
      </c>
      <c r="Q122" s="14">
        <f t="shared" si="16"/>
        <v>2.8359089045739414</v>
      </c>
      <c r="R122" s="14">
        <f t="shared" si="17"/>
        <v>2.8624693501585874</v>
      </c>
    </row>
    <row r="123" spans="13:18" x14ac:dyDescent="0.15">
      <c r="M123" s="5">
        <v>119</v>
      </c>
      <c r="N123" s="14">
        <f t="shared" si="13"/>
        <v>2.2418916904680768</v>
      </c>
      <c r="O123" s="14">
        <f t="shared" si="14"/>
        <v>2.6847536142198578</v>
      </c>
      <c r="P123" s="14">
        <f t="shared" si="15"/>
        <v>2.7666224570354632</v>
      </c>
      <c r="Q123" s="14">
        <f t="shared" si="16"/>
        <v>2.84238936792226</v>
      </c>
      <c r="R123" s="14">
        <f t="shared" si="17"/>
        <v>2.8671482022954895</v>
      </c>
    </row>
    <row r="124" spans="13:18" x14ac:dyDescent="0.15">
      <c r="M124" s="5">
        <v>120</v>
      </c>
      <c r="N124" s="14">
        <f t="shared" si="13"/>
        <v>2.2850137531371759</v>
      </c>
      <c r="O124" s="14">
        <f t="shared" si="14"/>
        <v>2.7074740439472746</v>
      </c>
      <c r="P124" s="14">
        <f t="shared" si="15"/>
        <v>2.7763780610217963</v>
      </c>
      <c r="Q124" s="14">
        <f t="shared" si="16"/>
        <v>2.8488698312705787</v>
      </c>
      <c r="R124" s="14">
        <f t="shared" si="17"/>
        <v>2.8718270544323921</v>
      </c>
    </row>
    <row r="125" spans="13:18" x14ac:dyDescent="0.15">
      <c r="M125" s="5">
        <v>121</v>
      </c>
      <c r="N125" s="14">
        <f t="shared" si="13"/>
        <v>2.3028734133953108</v>
      </c>
      <c r="O125" s="14">
        <f t="shared" si="14"/>
        <v>2.7188707098110414</v>
      </c>
      <c r="P125" s="14">
        <f t="shared" si="15"/>
        <v>2.7832265201591992</v>
      </c>
      <c r="Q125" s="14">
        <f t="shared" si="16"/>
        <v>2.8560520057110086</v>
      </c>
      <c r="R125" s="14">
        <f t="shared" si="17"/>
        <v>2.8815740568185184</v>
      </c>
    </row>
    <row r="126" spans="13:18" x14ac:dyDescent="0.15">
      <c r="M126" s="5">
        <v>122</v>
      </c>
      <c r="N126" s="14">
        <f t="shared" si="13"/>
        <v>2.3207330736534462</v>
      </c>
      <c r="O126" s="14">
        <f t="shared" si="14"/>
        <v>2.7302673756748082</v>
      </c>
      <c r="P126" s="14">
        <f t="shared" si="15"/>
        <v>2.7900749792966022</v>
      </c>
      <c r="Q126" s="14">
        <f t="shared" si="16"/>
        <v>2.8632341801514389</v>
      </c>
      <c r="R126" s="14">
        <f t="shared" si="17"/>
        <v>2.8913210592046448</v>
      </c>
    </row>
    <row r="127" spans="13:18" x14ac:dyDescent="0.15">
      <c r="M127" s="5">
        <v>123</v>
      </c>
      <c r="N127" s="14">
        <f t="shared" si="13"/>
        <v>2.3385927339115811</v>
      </c>
      <c r="O127" s="14">
        <f t="shared" si="14"/>
        <v>2.7416640415385749</v>
      </c>
      <c r="P127" s="14">
        <f t="shared" si="15"/>
        <v>2.7969234384340051</v>
      </c>
      <c r="Q127" s="14">
        <f t="shared" si="16"/>
        <v>2.8704163545918688</v>
      </c>
      <c r="R127" s="14">
        <f t="shared" si="17"/>
        <v>2.9010680615907707</v>
      </c>
    </row>
    <row r="128" spans="13:18" x14ac:dyDescent="0.15">
      <c r="M128" s="5">
        <v>124</v>
      </c>
      <c r="N128" s="14">
        <f t="shared" si="13"/>
        <v>2.3564523941697164</v>
      </c>
      <c r="O128" s="14">
        <f t="shared" si="14"/>
        <v>2.7530607074023417</v>
      </c>
      <c r="P128" s="14">
        <f t="shared" si="15"/>
        <v>2.8037718975714081</v>
      </c>
      <c r="Q128" s="14">
        <f t="shared" si="16"/>
        <v>2.8775985290322987</v>
      </c>
      <c r="R128" s="14">
        <f t="shared" si="17"/>
        <v>2.910815063976897</v>
      </c>
    </row>
    <row r="129" spans="13:18" x14ac:dyDescent="0.15">
      <c r="M129" s="5">
        <v>125</v>
      </c>
      <c r="N129" s="14">
        <f t="shared" si="13"/>
        <v>2.3743120544278513</v>
      </c>
      <c r="O129" s="14">
        <f t="shared" si="14"/>
        <v>2.7644573732661089</v>
      </c>
      <c r="P129" s="14">
        <f t="shared" si="15"/>
        <v>2.8106203567088111</v>
      </c>
      <c r="Q129" s="14">
        <f t="shared" si="16"/>
        <v>2.8847807034727291</v>
      </c>
      <c r="R129" s="14">
        <f t="shared" si="17"/>
        <v>2.9205620663630234</v>
      </c>
    </row>
    <row r="130" spans="13:18" x14ac:dyDescent="0.15">
      <c r="M130" s="5">
        <v>126</v>
      </c>
      <c r="N130" s="14">
        <f t="shared" si="13"/>
        <v>2.3921717146859862</v>
      </c>
      <c r="O130" s="14">
        <f t="shared" si="14"/>
        <v>2.7758540391298756</v>
      </c>
      <c r="P130" s="14">
        <f t="shared" si="15"/>
        <v>2.817468815846214</v>
      </c>
      <c r="Q130" s="14">
        <f t="shared" si="16"/>
        <v>2.891962877913159</v>
      </c>
      <c r="R130" s="14">
        <f t="shared" si="17"/>
        <v>2.9303090687491498</v>
      </c>
    </row>
    <row r="131" spans="13:18" x14ac:dyDescent="0.15">
      <c r="M131" s="5">
        <v>127</v>
      </c>
      <c r="N131" s="14">
        <f t="shared" si="13"/>
        <v>2.4100313749441216</v>
      </c>
      <c r="O131" s="14">
        <f t="shared" si="14"/>
        <v>2.7872507049936424</v>
      </c>
      <c r="P131" s="14">
        <f t="shared" si="15"/>
        <v>2.824317274983617</v>
      </c>
      <c r="Q131" s="14">
        <f t="shared" si="16"/>
        <v>2.8991450523535889</v>
      </c>
      <c r="R131" s="14">
        <f t="shared" si="17"/>
        <v>2.9400560711352761</v>
      </c>
    </row>
    <row r="132" spans="13:18" x14ac:dyDescent="0.15">
      <c r="M132" s="5">
        <v>128</v>
      </c>
      <c r="N132" s="14">
        <f t="shared" si="13"/>
        <v>2.4278910352022565</v>
      </c>
      <c r="O132" s="14">
        <f t="shared" si="14"/>
        <v>2.7986473708574091</v>
      </c>
      <c r="P132" s="14">
        <f t="shared" si="15"/>
        <v>2.8311657341210199</v>
      </c>
      <c r="Q132" s="14">
        <f t="shared" si="16"/>
        <v>2.9063272267940188</v>
      </c>
      <c r="R132" s="14">
        <f t="shared" si="17"/>
        <v>2.949803073521402</v>
      </c>
    </row>
    <row r="133" spans="13:18" x14ac:dyDescent="0.15">
      <c r="M133" s="5">
        <v>129</v>
      </c>
      <c r="N133" s="14">
        <f t="shared" si="13"/>
        <v>2.4457506954603918</v>
      </c>
      <c r="O133" s="14">
        <f t="shared" si="14"/>
        <v>2.8100440367211759</v>
      </c>
      <c r="P133" s="14">
        <f t="shared" si="15"/>
        <v>2.8380141932584229</v>
      </c>
      <c r="Q133" s="14">
        <f t="shared" si="16"/>
        <v>2.9135094012344491</v>
      </c>
      <c r="R133" s="14">
        <f t="shared" si="17"/>
        <v>2.9595500759075284</v>
      </c>
    </row>
    <row r="134" spans="13:18" x14ac:dyDescent="0.15">
      <c r="M134" s="5">
        <v>130</v>
      </c>
      <c r="N134" s="14">
        <f t="shared" ref="N134:N164" si="20">求节点($E$6:$E$21,$H$6:$H$21,$M134)</f>
        <v>2.4636103557185267</v>
      </c>
      <c r="O134" s="14">
        <f t="shared" ref="O134:O164" si="21">求节点($E$25:$E$40,$H$25:$H$40,$M134)</f>
        <v>2.8214407025849426</v>
      </c>
      <c r="P134" s="14">
        <f t="shared" ref="P134:P164" si="22">求节点($E$44:$E$59,$H$44:$H$59,$M134)</f>
        <v>2.8448626523958258</v>
      </c>
      <c r="Q134" s="14">
        <f t="shared" ref="Q134:Q164" si="23">求节点($E$63:$E$78,$H$63:$H$78,$M134)</f>
        <v>2.920691575674879</v>
      </c>
      <c r="R134" s="14">
        <f t="shared" ref="R134:R164" si="24">求节点($E$82:$E$97,$H$82:$H$97,$M134)</f>
        <v>2.9692970782936547</v>
      </c>
    </row>
    <row r="135" spans="13:18" x14ac:dyDescent="0.15">
      <c r="M135" s="5">
        <v>131</v>
      </c>
      <c r="N135" s="14">
        <f t="shared" si="20"/>
        <v>2.4728904426894545</v>
      </c>
      <c r="O135" s="14">
        <f t="shared" si="21"/>
        <v>2.8255269535936578</v>
      </c>
      <c r="P135" s="14">
        <f t="shared" si="22"/>
        <v>2.8514511698459923</v>
      </c>
      <c r="Q135" s="14">
        <f t="shared" si="23"/>
        <v>2.9297214020381603</v>
      </c>
      <c r="R135" s="14">
        <f t="shared" si="24"/>
        <v>2.9751245826896282</v>
      </c>
    </row>
    <row r="136" spans="13:18" x14ac:dyDescent="0.15">
      <c r="M136" s="5">
        <v>132</v>
      </c>
      <c r="N136" s="14">
        <f t="shared" si="20"/>
        <v>2.4821705296603822</v>
      </c>
      <c r="O136" s="14">
        <f t="shared" si="21"/>
        <v>2.829613204602373</v>
      </c>
      <c r="P136" s="14">
        <f t="shared" si="22"/>
        <v>2.8580396872961593</v>
      </c>
      <c r="Q136" s="14">
        <f t="shared" si="23"/>
        <v>2.9387512284014417</v>
      </c>
      <c r="R136" s="14">
        <f t="shared" si="24"/>
        <v>2.9809520870856021</v>
      </c>
    </row>
    <row r="137" spans="13:18" x14ac:dyDescent="0.15">
      <c r="M137" s="5">
        <v>133</v>
      </c>
      <c r="N137" s="14">
        <f t="shared" si="20"/>
        <v>2.4914506166313104</v>
      </c>
      <c r="O137" s="14">
        <f t="shared" si="21"/>
        <v>2.8336994556110877</v>
      </c>
      <c r="P137" s="14">
        <f t="shared" si="22"/>
        <v>2.8646282047463258</v>
      </c>
      <c r="Q137" s="14">
        <f t="shared" si="23"/>
        <v>2.947781054764723</v>
      </c>
      <c r="R137" s="14">
        <f t="shared" si="24"/>
        <v>2.9867795914815756</v>
      </c>
    </row>
    <row r="138" spans="13:18" x14ac:dyDescent="0.15">
      <c r="M138" s="5">
        <v>134</v>
      </c>
      <c r="N138" s="14">
        <f t="shared" si="20"/>
        <v>2.5007307036022381</v>
      </c>
      <c r="O138" s="14">
        <f t="shared" si="21"/>
        <v>2.8377857066198029</v>
      </c>
      <c r="P138" s="14">
        <f t="shared" si="22"/>
        <v>2.8712167221964928</v>
      </c>
      <c r="Q138" s="14">
        <f t="shared" si="23"/>
        <v>2.9568108811280043</v>
      </c>
      <c r="R138" s="14">
        <f t="shared" si="24"/>
        <v>2.9926070958775495</v>
      </c>
    </row>
    <row r="139" spans="13:18" x14ac:dyDescent="0.15">
      <c r="M139" s="5">
        <v>135</v>
      </c>
      <c r="N139" s="14">
        <f t="shared" si="20"/>
        <v>2.5100107905731659</v>
      </c>
      <c r="O139" s="14">
        <f t="shared" si="21"/>
        <v>2.8418719576285181</v>
      </c>
      <c r="P139" s="14">
        <f t="shared" si="22"/>
        <v>2.8778052396466594</v>
      </c>
      <c r="Q139" s="14">
        <f t="shared" si="23"/>
        <v>2.965840707491286</v>
      </c>
      <c r="R139" s="14">
        <f t="shared" si="24"/>
        <v>2.9984346002735229</v>
      </c>
    </row>
    <row r="140" spans="13:18" x14ac:dyDescent="0.15">
      <c r="M140" s="5">
        <v>136</v>
      </c>
      <c r="N140" s="14">
        <f t="shared" si="20"/>
        <v>2.5192908775440936</v>
      </c>
      <c r="O140" s="14">
        <f t="shared" si="21"/>
        <v>2.8459582086372333</v>
      </c>
      <c r="P140" s="14">
        <f t="shared" si="22"/>
        <v>2.8843937570968259</v>
      </c>
      <c r="Q140" s="14">
        <f t="shared" si="23"/>
        <v>2.9748705338545673</v>
      </c>
      <c r="R140" s="14">
        <f t="shared" si="24"/>
        <v>3.0042621046694964</v>
      </c>
    </row>
    <row r="141" spans="13:18" x14ac:dyDescent="0.15">
      <c r="M141" s="5">
        <v>137</v>
      </c>
      <c r="N141" s="14">
        <f t="shared" si="20"/>
        <v>2.5285709645150214</v>
      </c>
      <c r="O141" s="14">
        <f t="shared" si="21"/>
        <v>2.8500444596459484</v>
      </c>
      <c r="P141" s="14">
        <f t="shared" si="22"/>
        <v>2.8909822745469929</v>
      </c>
      <c r="Q141" s="14">
        <f t="shared" si="23"/>
        <v>2.9839003602178487</v>
      </c>
      <c r="R141" s="14">
        <f t="shared" si="24"/>
        <v>3.0100896090654703</v>
      </c>
    </row>
    <row r="142" spans="13:18" x14ac:dyDescent="0.15">
      <c r="M142" s="5">
        <v>138</v>
      </c>
      <c r="N142" s="14">
        <f t="shared" si="20"/>
        <v>2.5378510514859496</v>
      </c>
      <c r="O142" s="14">
        <f t="shared" si="21"/>
        <v>2.8541307106546632</v>
      </c>
      <c r="P142" s="14">
        <f t="shared" si="22"/>
        <v>2.8975707919971594</v>
      </c>
      <c r="Q142" s="14">
        <f t="shared" si="23"/>
        <v>2.99293018658113</v>
      </c>
      <c r="R142" s="14">
        <f t="shared" si="24"/>
        <v>3.0159171134614438</v>
      </c>
    </row>
    <row r="143" spans="13:18" x14ac:dyDescent="0.15">
      <c r="M143" s="5">
        <v>139</v>
      </c>
      <c r="N143" s="14">
        <f t="shared" si="20"/>
        <v>2.5471311384568773</v>
      </c>
      <c r="O143" s="14">
        <f t="shared" si="21"/>
        <v>2.8582169616633784</v>
      </c>
      <c r="P143" s="14">
        <f t="shared" si="22"/>
        <v>2.9041593094473264</v>
      </c>
      <c r="Q143" s="14">
        <f t="shared" si="23"/>
        <v>3.0019600129444113</v>
      </c>
      <c r="R143" s="14">
        <f t="shared" si="24"/>
        <v>3.0217446178574177</v>
      </c>
    </row>
    <row r="144" spans="13:18" x14ac:dyDescent="0.15">
      <c r="M144" s="5">
        <v>140</v>
      </c>
      <c r="N144" s="14">
        <f t="shared" si="20"/>
        <v>2.5564112254278051</v>
      </c>
      <c r="O144" s="14">
        <f t="shared" si="21"/>
        <v>2.8623032126720935</v>
      </c>
      <c r="P144" s="14">
        <f t="shared" si="22"/>
        <v>2.9107478268974929</v>
      </c>
      <c r="Q144" s="14">
        <f t="shared" si="23"/>
        <v>3.0109898393076926</v>
      </c>
      <c r="R144" s="14">
        <f t="shared" si="24"/>
        <v>3.0275721222533911</v>
      </c>
    </row>
    <row r="145" spans="13:18" x14ac:dyDescent="0.15">
      <c r="M145" s="5">
        <v>141</v>
      </c>
      <c r="N145" s="14">
        <f t="shared" si="20"/>
        <v>2.5667134512525442</v>
      </c>
      <c r="O145" s="14">
        <f t="shared" si="21"/>
        <v>2.8705667701863939</v>
      </c>
      <c r="P145" s="14">
        <f t="shared" si="22"/>
        <v>2.9204094618390775</v>
      </c>
      <c r="Q145" s="14">
        <f t="shared" si="23"/>
        <v>3.0160372625026834</v>
      </c>
      <c r="R145" s="14">
        <f t="shared" si="24"/>
        <v>3.0344112378676318</v>
      </c>
    </row>
    <row r="146" spans="13:18" x14ac:dyDescent="0.15">
      <c r="M146" s="5">
        <v>142</v>
      </c>
      <c r="N146" s="14">
        <f t="shared" si="20"/>
        <v>2.5770156770772834</v>
      </c>
      <c r="O146" s="14">
        <f t="shared" si="21"/>
        <v>2.8788303277006944</v>
      </c>
      <c r="P146" s="14">
        <f t="shared" si="22"/>
        <v>2.930071096780662</v>
      </c>
      <c r="Q146" s="14">
        <f t="shared" si="23"/>
        <v>3.0210846856976747</v>
      </c>
      <c r="R146" s="14">
        <f t="shared" si="24"/>
        <v>3.0412503534818724</v>
      </c>
    </row>
    <row r="147" spans="13:18" x14ac:dyDescent="0.15">
      <c r="M147" s="5">
        <v>143</v>
      </c>
      <c r="N147" s="14">
        <f t="shared" si="20"/>
        <v>2.587317902902023</v>
      </c>
      <c r="O147" s="14">
        <f t="shared" si="21"/>
        <v>2.8870938852149952</v>
      </c>
      <c r="P147" s="14">
        <f t="shared" si="22"/>
        <v>2.9397327317222466</v>
      </c>
      <c r="Q147" s="14">
        <f t="shared" si="23"/>
        <v>3.0261321088926656</v>
      </c>
      <c r="R147" s="14">
        <f t="shared" si="24"/>
        <v>3.0480894690961127</v>
      </c>
    </row>
    <row r="148" spans="13:18" x14ac:dyDescent="0.15">
      <c r="M148" s="5">
        <v>144</v>
      </c>
      <c r="N148" s="14">
        <f t="shared" si="20"/>
        <v>2.5976201287267622</v>
      </c>
      <c r="O148" s="14">
        <f t="shared" si="21"/>
        <v>2.8953574427292956</v>
      </c>
      <c r="P148" s="14">
        <f t="shared" si="22"/>
        <v>2.9493943666638311</v>
      </c>
      <c r="Q148" s="14">
        <f t="shared" si="23"/>
        <v>3.0311795320876564</v>
      </c>
      <c r="R148" s="14">
        <f t="shared" si="24"/>
        <v>3.0549285847103533</v>
      </c>
    </row>
    <row r="149" spans="13:18" x14ac:dyDescent="0.15">
      <c r="M149" s="5">
        <v>145</v>
      </c>
      <c r="N149" s="14">
        <f t="shared" si="20"/>
        <v>2.6079223545515013</v>
      </c>
      <c r="O149" s="14">
        <f t="shared" si="21"/>
        <v>2.903621000243596</v>
      </c>
      <c r="P149" s="14">
        <f t="shared" si="22"/>
        <v>2.9590560016054157</v>
      </c>
      <c r="Q149" s="14">
        <f t="shared" si="23"/>
        <v>3.0362269552826477</v>
      </c>
      <c r="R149" s="14">
        <f t="shared" si="24"/>
        <v>3.061767700324594</v>
      </c>
    </row>
    <row r="150" spans="13:18" x14ac:dyDescent="0.15">
      <c r="M150" s="5">
        <v>146</v>
      </c>
      <c r="N150" s="14">
        <f t="shared" si="20"/>
        <v>2.6182245803762405</v>
      </c>
      <c r="O150" s="14">
        <f t="shared" si="21"/>
        <v>2.9118845577578965</v>
      </c>
      <c r="P150" s="14">
        <f t="shared" si="22"/>
        <v>2.9687176365469998</v>
      </c>
      <c r="Q150" s="14">
        <f t="shared" si="23"/>
        <v>3.0412743784776386</v>
      </c>
      <c r="R150" s="14">
        <f t="shared" si="24"/>
        <v>3.0686068159388347</v>
      </c>
    </row>
    <row r="151" spans="13:18" x14ac:dyDescent="0.15">
      <c r="M151" s="5">
        <v>147</v>
      </c>
      <c r="N151" s="14">
        <f t="shared" si="20"/>
        <v>2.6285268062009797</v>
      </c>
      <c r="O151" s="14">
        <f t="shared" si="21"/>
        <v>2.9201481152721969</v>
      </c>
      <c r="P151" s="14">
        <f t="shared" si="22"/>
        <v>2.9783792714885844</v>
      </c>
      <c r="Q151" s="14">
        <f t="shared" si="23"/>
        <v>3.0463218016726294</v>
      </c>
      <c r="R151" s="14">
        <f t="shared" si="24"/>
        <v>3.0754459315530753</v>
      </c>
    </row>
    <row r="152" spans="13:18" x14ac:dyDescent="0.15">
      <c r="M152" s="5">
        <v>148</v>
      </c>
      <c r="N152" s="14">
        <f t="shared" si="20"/>
        <v>2.6388290320257193</v>
      </c>
      <c r="O152" s="14">
        <f t="shared" si="21"/>
        <v>2.9284116727864977</v>
      </c>
      <c r="P152" s="14">
        <f t="shared" si="22"/>
        <v>2.988040906430169</v>
      </c>
      <c r="Q152" s="14">
        <f t="shared" si="23"/>
        <v>3.0513692248676203</v>
      </c>
      <c r="R152" s="14">
        <f t="shared" si="24"/>
        <v>3.0822850471673156</v>
      </c>
    </row>
    <row r="153" spans="13:18" x14ac:dyDescent="0.15">
      <c r="M153" s="5">
        <v>149</v>
      </c>
      <c r="N153" s="14">
        <f t="shared" si="20"/>
        <v>2.6491312578504584</v>
      </c>
      <c r="O153" s="14">
        <f t="shared" si="21"/>
        <v>2.9366752303007981</v>
      </c>
      <c r="P153" s="14">
        <f t="shared" si="22"/>
        <v>2.9977025413717535</v>
      </c>
      <c r="Q153" s="14">
        <f t="shared" si="23"/>
        <v>3.0564166480626116</v>
      </c>
      <c r="R153" s="14">
        <f t="shared" si="24"/>
        <v>3.0891241627815562</v>
      </c>
    </row>
    <row r="154" spans="13:18" x14ac:dyDescent="0.15">
      <c r="M154" s="5">
        <v>150</v>
      </c>
      <c r="N154" s="14">
        <f t="shared" si="20"/>
        <v>2.6594334836751976</v>
      </c>
      <c r="O154" s="14">
        <f t="shared" si="21"/>
        <v>2.9449387878150985</v>
      </c>
      <c r="P154" s="14">
        <f t="shared" si="22"/>
        <v>3.0073641763133381</v>
      </c>
      <c r="Q154" s="14">
        <f t="shared" si="23"/>
        <v>3.0614640712576024</v>
      </c>
      <c r="R154" s="14">
        <f t="shared" si="24"/>
        <v>3.0959632783957969</v>
      </c>
    </row>
    <row r="155" spans="13:18" x14ac:dyDescent="0.15">
      <c r="M155" s="5">
        <v>151</v>
      </c>
      <c r="N155" s="14">
        <f t="shared" si="20"/>
        <v>2.6665662198594231</v>
      </c>
      <c r="O155" s="14">
        <f t="shared" si="21"/>
        <v>2.953351634483695</v>
      </c>
      <c r="P155" s="14">
        <f t="shared" si="22"/>
        <v>3.0166085106215035</v>
      </c>
      <c r="Q155" s="14">
        <f t="shared" si="23"/>
        <v>3.0769093565405274</v>
      </c>
      <c r="R155" s="14">
        <f t="shared" si="24"/>
        <v>3.1190950800473769</v>
      </c>
    </row>
    <row r="156" spans="13:18" x14ac:dyDescent="0.15">
      <c r="M156" s="5">
        <v>152</v>
      </c>
      <c r="N156" s="14">
        <f t="shared" si="20"/>
        <v>2.6736989560436486</v>
      </c>
      <c r="O156" s="14">
        <f t="shared" si="21"/>
        <v>2.961764481152291</v>
      </c>
      <c r="P156" s="14">
        <f t="shared" si="22"/>
        <v>3.0258528449296689</v>
      </c>
      <c r="Q156" s="14">
        <f t="shared" si="23"/>
        <v>3.0923546418234529</v>
      </c>
      <c r="R156" s="14">
        <f t="shared" si="24"/>
        <v>3.1422268816989574</v>
      </c>
    </row>
    <row r="157" spans="13:18" x14ac:dyDescent="0.15">
      <c r="M157" s="5">
        <v>153</v>
      </c>
      <c r="N157" s="14">
        <f t="shared" si="20"/>
        <v>2.6808316922278741</v>
      </c>
      <c r="O157" s="14">
        <f t="shared" si="21"/>
        <v>2.9701773278208874</v>
      </c>
      <c r="P157" s="14">
        <f t="shared" si="22"/>
        <v>3.0350971792378343</v>
      </c>
      <c r="Q157" s="14">
        <f t="shared" si="23"/>
        <v>3.1077999271063779</v>
      </c>
      <c r="R157" s="14">
        <f t="shared" si="24"/>
        <v>3.1653586833505374</v>
      </c>
    </row>
    <row r="158" spans="13:18" x14ac:dyDescent="0.15">
      <c r="M158" s="5">
        <v>154</v>
      </c>
      <c r="N158" s="14">
        <f t="shared" si="20"/>
        <v>2.6879644284120996</v>
      </c>
      <c r="O158" s="14">
        <f t="shared" si="21"/>
        <v>2.9785901744894834</v>
      </c>
      <c r="P158" s="14">
        <f t="shared" si="22"/>
        <v>3.0443415135459997</v>
      </c>
      <c r="Q158" s="14">
        <f t="shared" si="23"/>
        <v>3.1232452123893029</v>
      </c>
      <c r="R158" s="14">
        <f t="shared" si="24"/>
        <v>3.1884904850021178</v>
      </c>
    </row>
    <row r="159" spans="13:18" x14ac:dyDescent="0.15">
      <c r="M159" s="5">
        <v>155</v>
      </c>
      <c r="N159" s="14">
        <f t="shared" si="20"/>
        <v>2.6950971645963255</v>
      </c>
      <c r="O159" s="14">
        <f t="shared" si="21"/>
        <v>2.9870030211580798</v>
      </c>
      <c r="P159" s="14">
        <f t="shared" si="22"/>
        <v>3.0535858478541646</v>
      </c>
      <c r="Q159" s="14">
        <f t="shared" si="23"/>
        <v>3.1386904976722283</v>
      </c>
      <c r="R159" s="14">
        <f t="shared" si="24"/>
        <v>3.2116222866536979</v>
      </c>
    </row>
    <row r="160" spans="13:18" x14ac:dyDescent="0.15">
      <c r="M160" s="5">
        <v>156</v>
      </c>
      <c r="N160" s="14">
        <f t="shared" si="20"/>
        <v>2.702229900780551</v>
      </c>
      <c r="O160" s="14">
        <f t="shared" si="21"/>
        <v>2.9954158678266762</v>
      </c>
      <c r="P160" s="14">
        <f t="shared" si="22"/>
        <v>3.0628301821623301</v>
      </c>
      <c r="Q160" s="14">
        <f t="shared" si="23"/>
        <v>3.1541357829551533</v>
      </c>
      <c r="R160" s="14">
        <f t="shared" si="24"/>
        <v>3.2347540883052779</v>
      </c>
    </row>
    <row r="161" spans="13:18" x14ac:dyDescent="0.15">
      <c r="M161" s="5">
        <v>157</v>
      </c>
      <c r="N161" s="14">
        <f t="shared" si="20"/>
        <v>2.7093626369647765</v>
      </c>
      <c r="O161" s="14">
        <f t="shared" si="21"/>
        <v>3.0038287144952722</v>
      </c>
      <c r="P161" s="14">
        <f t="shared" si="22"/>
        <v>3.0720745164704955</v>
      </c>
      <c r="Q161" s="14">
        <f t="shared" si="23"/>
        <v>3.1695810682380783</v>
      </c>
      <c r="R161" s="14">
        <f t="shared" si="24"/>
        <v>3.2578858899568583</v>
      </c>
    </row>
    <row r="162" spans="13:18" x14ac:dyDescent="0.15">
      <c r="M162" s="5">
        <v>158</v>
      </c>
      <c r="N162" s="14">
        <f t="shared" si="20"/>
        <v>2.716495373149002</v>
      </c>
      <c r="O162" s="14">
        <f t="shared" si="21"/>
        <v>3.0122415611638687</v>
      </c>
      <c r="P162" s="14">
        <f t="shared" si="22"/>
        <v>3.0813188507786609</v>
      </c>
      <c r="Q162" s="14">
        <f t="shared" si="23"/>
        <v>3.1850263535210033</v>
      </c>
      <c r="R162" s="14">
        <f t="shared" si="24"/>
        <v>3.2810176916084384</v>
      </c>
    </row>
    <row r="163" spans="13:18" x14ac:dyDescent="0.15">
      <c r="M163" s="5">
        <v>159</v>
      </c>
      <c r="N163" s="14">
        <f t="shared" si="20"/>
        <v>2.7236281093332275</v>
      </c>
      <c r="O163" s="14">
        <f t="shared" si="21"/>
        <v>3.0206544078324646</v>
      </c>
      <c r="P163" s="14">
        <f t="shared" si="22"/>
        <v>3.0905631850868263</v>
      </c>
      <c r="Q163" s="14">
        <f t="shared" si="23"/>
        <v>3.2004716388039287</v>
      </c>
      <c r="R163" s="14">
        <f t="shared" si="24"/>
        <v>3.3041494932600188</v>
      </c>
    </row>
    <row r="164" spans="13:18" x14ac:dyDescent="0.15">
      <c r="M164" s="5">
        <v>160</v>
      </c>
      <c r="N164" s="14">
        <f t="shared" si="20"/>
        <v>2.730760845517453</v>
      </c>
      <c r="O164" s="14">
        <f t="shared" si="21"/>
        <v>3.0290672545010611</v>
      </c>
      <c r="P164" s="14">
        <f t="shared" si="22"/>
        <v>3.0998075193949917</v>
      </c>
      <c r="Q164" s="14">
        <f t="shared" si="23"/>
        <v>3.2159169240868537</v>
      </c>
      <c r="R164" s="14">
        <f t="shared" si="24"/>
        <v>3.3272812949115989</v>
      </c>
    </row>
  </sheetData>
  <mergeCells count="1">
    <mergeCell ref="N3:R3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B2:AI114"/>
  <sheetViews>
    <sheetView workbookViewId="0">
      <selection activeCell="U18" sqref="U18"/>
    </sheetView>
  </sheetViews>
  <sheetFormatPr defaultRowHeight="12" x14ac:dyDescent="0.15"/>
  <cols>
    <col min="1" max="21" width="9" style="1"/>
    <col min="22" max="25" width="9" style="1" customWidth="1"/>
    <col min="26" max="16384" width="9" style="1"/>
  </cols>
  <sheetData>
    <row r="2" spans="2:35" x14ac:dyDescent="0.15">
      <c r="B2" s="1" t="s">
        <v>21</v>
      </c>
      <c r="D2" s="1" t="s">
        <v>22</v>
      </c>
    </row>
    <row r="3" spans="2:35" x14ac:dyDescent="0.15">
      <c r="J3" s="65" t="s">
        <v>57</v>
      </c>
      <c r="K3" s="65"/>
      <c r="L3" s="65"/>
      <c r="M3" s="65"/>
      <c r="N3" s="65"/>
    </row>
    <row r="4" spans="2:35" x14ac:dyDescent="0.15">
      <c r="I4" s="1" t="s">
        <v>60</v>
      </c>
      <c r="J4" s="1" t="s">
        <v>45</v>
      </c>
      <c r="K4" s="1" t="s">
        <v>49</v>
      </c>
      <c r="L4" s="1" t="s">
        <v>50</v>
      </c>
      <c r="M4" s="1" t="s">
        <v>51</v>
      </c>
      <c r="N4" s="1" t="s">
        <v>52</v>
      </c>
      <c r="P4" s="1" t="s">
        <v>58</v>
      </c>
      <c r="Q4" s="1" t="s">
        <v>59</v>
      </c>
      <c r="S4" s="1" t="s">
        <v>41</v>
      </c>
      <c r="T4" s="1" t="s">
        <v>103</v>
      </c>
      <c r="U4" s="1" t="s">
        <v>98</v>
      </c>
      <c r="V4" s="65" t="s">
        <v>101</v>
      </c>
      <c r="W4" s="65"/>
      <c r="X4" s="65"/>
      <c r="Y4" s="65"/>
      <c r="Z4" s="65" t="s">
        <v>104</v>
      </c>
      <c r="AA4" s="65"/>
      <c r="AB4" s="65"/>
      <c r="AC4" s="65"/>
      <c r="AD4" s="1" t="s">
        <v>102</v>
      </c>
      <c r="AE4" s="1" t="s">
        <v>117</v>
      </c>
      <c r="AG4" s="1" t="s">
        <v>61</v>
      </c>
      <c r="AH4" s="1" t="s">
        <v>118</v>
      </c>
      <c r="AI4" s="1" t="s">
        <v>119</v>
      </c>
    </row>
    <row r="5" spans="2:35" x14ac:dyDescent="0.15">
      <c r="B5" s="1" t="s">
        <v>4</v>
      </c>
      <c r="C5" s="1" t="s">
        <v>5</v>
      </c>
      <c r="I5" s="1">
        <v>1</v>
      </c>
      <c r="J5" s="1">
        <f t="shared" ref="J5:J36" si="0">IF($I5&lt;=C$27,C$28+C$29*$I5,"")</f>
        <v>15</v>
      </c>
      <c r="K5" s="1">
        <f t="shared" ref="K5:K36" si="1">IF($I5&lt;=D$27,D$28+D$29*$I5,"")</f>
        <v>30</v>
      </c>
      <c r="L5" s="1">
        <f t="shared" ref="L5:L36" si="2">IF($I5&lt;=E$27,E$28+E$29*$I5,"")</f>
        <v>45</v>
      </c>
      <c r="M5" s="1">
        <f t="shared" ref="M5:M36" si="3">IF($I5&lt;=F$27,F$28+F$29*$I5,"")</f>
        <v>60</v>
      </c>
      <c r="N5" s="1">
        <f t="shared" ref="N5:N36" si="4">IF($I5&lt;=G$27,G$28+G$29*$I5,"")</f>
        <v>75</v>
      </c>
      <c r="P5" s="1" t="s">
        <v>23</v>
      </c>
      <c r="Q5" s="1">
        <f>J24</f>
        <v>110</v>
      </c>
      <c r="S5" s="1">
        <v>0</v>
      </c>
      <c r="T5" s="1">
        <v>0</v>
      </c>
      <c r="U5" s="1">
        <v>0</v>
      </c>
      <c r="AD5" s="1">
        <v>0</v>
      </c>
      <c r="AE5" s="1">
        <v>0</v>
      </c>
      <c r="AG5" s="1">
        <v>1</v>
      </c>
      <c r="AH5" s="1">
        <f>IF(AG5&lt;=$U$22,求节点($U$5:$U$22,$AD$5:$AD$22,AG5),$AD$22)</f>
        <v>36.666666666666664</v>
      </c>
      <c r="AI5" s="1">
        <f>IF(AG5&lt;=$U$22,求节点($U$5:$U$22,$AE$5:$AE$22,AG5),$AE$18)</f>
        <v>183.33333333333334</v>
      </c>
    </row>
    <row r="6" spans="2:35" x14ac:dyDescent="0.15">
      <c r="C6" s="1" t="s">
        <v>6</v>
      </c>
      <c r="I6" s="1">
        <v>2</v>
      </c>
      <c r="J6" s="1">
        <f t="shared" si="0"/>
        <v>20</v>
      </c>
      <c r="K6" s="1">
        <f t="shared" si="1"/>
        <v>40</v>
      </c>
      <c r="L6" s="1">
        <f t="shared" si="2"/>
        <v>60</v>
      </c>
      <c r="M6" s="1">
        <f t="shared" si="3"/>
        <v>80</v>
      </c>
      <c r="N6" s="1">
        <f t="shared" si="4"/>
        <v>100</v>
      </c>
      <c r="P6" s="1" t="s">
        <v>24</v>
      </c>
      <c r="Q6" s="1">
        <f>K34</f>
        <v>320</v>
      </c>
      <c r="S6" s="1" t="s">
        <v>23</v>
      </c>
      <c r="T6" s="1" t="s">
        <v>99</v>
      </c>
      <c r="U6" s="1">
        <v>3</v>
      </c>
      <c r="V6" s="1" t="s">
        <v>42</v>
      </c>
      <c r="W6" s="1">
        <v>1</v>
      </c>
      <c r="Z6" s="1" t="s">
        <v>42</v>
      </c>
      <c r="AA6" s="1">
        <v>5</v>
      </c>
      <c r="AD6" s="1">
        <v>110</v>
      </c>
      <c r="AE6" s="1">
        <v>550</v>
      </c>
      <c r="AG6" s="1">
        <v>2</v>
      </c>
      <c r="AH6" s="1">
        <f t="shared" ref="AH6:AH69" si="5">IF(AG6&lt;=$U$22,求节点($U$5:$U$22,$AD$5:$AD$22,AG6),$AD$22)</f>
        <v>73.333333333333329</v>
      </c>
      <c r="AI6" s="1">
        <f t="shared" ref="AI6:AI69" si="6">IF(AG6&lt;=$U$22,求节点($U$5:$U$22,$AE$5:$AE$22,AG6),$AE$18)</f>
        <v>366.66666666666669</v>
      </c>
    </row>
    <row r="7" spans="2:35" x14ac:dyDescent="0.15">
      <c r="C7" s="1" t="s">
        <v>7</v>
      </c>
      <c r="I7" s="1">
        <v>3</v>
      </c>
      <c r="J7" s="1">
        <f t="shared" si="0"/>
        <v>25</v>
      </c>
      <c r="K7" s="1">
        <f t="shared" si="1"/>
        <v>50</v>
      </c>
      <c r="L7" s="1">
        <f t="shared" si="2"/>
        <v>75</v>
      </c>
      <c r="M7" s="1">
        <f t="shared" si="3"/>
        <v>100</v>
      </c>
      <c r="N7" s="1">
        <f t="shared" si="4"/>
        <v>125</v>
      </c>
      <c r="P7" s="1" t="s">
        <v>26</v>
      </c>
      <c r="Q7" s="1">
        <f>K44</f>
        <v>420</v>
      </c>
      <c r="S7" s="1" t="s">
        <v>38</v>
      </c>
      <c r="T7" s="1" t="s">
        <v>100</v>
      </c>
      <c r="U7" s="1">
        <v>4</v>
      </c>
      <c r="V7" s="1" t="s">
        <v>42</v>
      </c>
      <c r="W7" s="1">
        <v>3</v>
      </c>
      <c r="Z7" s="1" t="s">
        <v>42</v>
      </c>
      <c r="AA7" s="1">
        <v>11</v>
      </c>
      <c r="AD7" s="1">
        <v>330</v>
      </c>
      <c r="AE7" s="1">
        <v>1210</v>
      </c>
      <c r="AG7" s="1">
        <v>3</v>
      </c>
      <c r="AH7" s="1">
        <f t="shared" si="5"/>
        <v>110</v>
      </c>
      <c r="AI7" s="1">
        <f t="shared" si="6"/>
        <v>550</v>
      </c>
    </row>
    <row r="8" spans="2:35" x14ac:dyDescent="0.15">
      <c r="I8" s="1">
        <v>4</v>
      </c>
      <c r="J8" s="1">
        <f t="shared" si="0"/>
        <v>30</v>
      </c>
      <c r="K8" s="1">
        <f t="shared" si="1"/>
        <v>60</v>
      </c>
      <c r="L8" s="1">
        <f t="shared" si="2"/>
        <v>90</v>
      </c>
      <c r="M8" s="1">
        <f t="shared" si="3"/>
        <v>120</v>
      </c>
      <c r="N8" s="1">
        <f t="shared" si="4"/>
        <v>150</v>
      </c>
      <c r="P8" s="1" t="s">
        <v>1</v>
      </c>
      <c r="Q8" s="1">
        <f>L44</f>
        <v>630</v>
      </c>
      <c r="S8" s="1" t="s">
        <v>40</v>
      </c>
      <c r="T8" s="1" t="s">
        <v>97</v>
      </c>
      <c r="U8" s="1">
        <v>8</v>
      </c>
      <c r="V8" s="1" t="s">
        <v>49</v>
      </c>
      <c r="W8" s="1">
        <v>1</v>
      </c>
      <c r="X8" s="1" t="s">
        <v>45</v>
      </c>
      <c r="Y8" s="1">
        <v>17</v>
      </c>
      <c r="Z8" s="1" t="s">
        <v>43</v>
      </c>
      <c r="AA8" s="1">
        <v>4</v>
      </c>
      <c r="AB8" s="1" t="s">
        <v>42</v>
      </c>
      <c r="AC8" s="1">
        <v>14</v>
      </c>
      <c r="AD8" s="1">
        <f t="shared" ref="AD8:AD22" si="7">IFERROR(INDEX($Q$5:$Q$20,MATCH(V8,$P$5:$P$20,0))*W8+INDEX($Q$5:$Q$20,MATCH(X8,$P$5:$P$20,0))*Y8,INDEX($Q$5:$Q$20,MATCH(V8,$P$5:$P$20,0))*W8)</f>
        <v>2190</v>
      </c>
      <c r="AE8" s="1">
        <f>IFERROR(INDEX($Q$5:$Q$20,MATCH(Z8,$P$5:$P$20,0))*AA8+INDEX($Q$5:$Q$20,MATCH(AB8,$P$5:$P$20,0))*AC8,INDEX($Q$5:$Q$20,MATCH(Z8,$P$5:$P$20,0))*AA8)</f>
        <v>2820</v>
      </c>
      <c r="AG8" s="1">
        <v>4</v>
      </c>
      <c r="AH8" s="1">
        <f t="shared" si="5"/>
        <v>330</v>
      </c>
      <c r="AI8" s="1">
        <f t="shared" si="6"/>
        <v>1210</v>
      </c>
    </row>
    <row r="9" spans="2:35" x14ac:dyDescent="0.15">
      <c r="B9" s="1" t="s">
        <v>8</v>
      </c>
      <c r="C9" s="1" t="s">
        <v>9</v>
      </c>
      <c r="I9" s="1">
        <v>5</v>
      </c>
      <c r="J9" s="1">
        <f t="shared" si="0"/>
        <v>35</v>
      </c>
      <c r="K9" s="1">
        <f t="shared" si="1"/>
        <v>70</v>
      </c>
      <c r="L9" s="1">
        <f t="shared" si="2"/>
        <v>105</v>
      </c>
      <c r="M9" s="1">
        <f t="shared" si="3"/>
        <v>140</v>
      </c>
      <c r="N9" s="1">
        <f t="shared" si="4"/>
        <v>175</v>
      </c>
      <c r="P9" s="1" t="s">
        <v>27</v>
      </c>
      <c r="Q9" s="1">
        <f>L54</f>
        <v>780</v>
      </c>
      <c r="S9" s="1" t="s">
        <v>39</v>
      </c>
      <c r="T9" s="1" t="s">
        <v>96</v>
      </c>
      <c r="U9" s="1">
        <v>14</v>
      </c>
      <c r="V9" s="1" t="s">
        <v>49</v>
      </c>
      <c r="W9" s="1">
        <v>3</v>
      </c>
      <c r="X9" s="1" t="s">
        <v>45</v>
      </c>
      <c r="Y9" s="1">
        <v>15</v>
      </c>
      <c r="Z9" s="1" t="s">
        <v>105</v>
      </c>
      <c r="AA9" s="1">
        <v>18</v>
      </c>
      <c r="AD9" s="1">
        <f t="shared" si="7"/>
        <v>2610</v>
      </c>
      <c r="AE9" s="1">
        <f t="shared" ref="AE9:AE18" si="8">IFERROR(INDEX($Q$5:$Q$20,MATCH(Z9,$P$5:$P$20,0))*AA9+INDEX($Q$5:$Q$20,MATCH(AB9,$P$5:$P$20,0))*AC9,INDEX($Q$5:$Q$20,MATCH(Z9,$P$5:$P$20,0))*AA9)</f>
        <v>7560</v>
      </c>
      <c r="AG9" s="1">
        <v>5</v>
      </c>
      <c r="AH9" s="1">
        <f t="shared" si="5"/>
        <v>795</v>
      </c>
      <c r="AI9" s="1">
        <f t="shared" si="6"/>
        <v>1612.5</v>
      </c>
    </row>
    <row r="10" spans="2:35" x14ac:dyDescent="0.15">
      <c r="C10" s="1" t="s">
        <v>10</v>
      </c>
      <c r="I10" s="1">
        <v>6</v>
      </c>
      <c r="J10" s="1">
        <f t="shared" si="0"/>
        <v>40</v>
      </c>
      <c r="K10" s="1">
        <f t="shared" si="1"/>
        <v>80</v>
      </c>
      <c r="L10" s="1">
        <f t="shared" si="2"/>
        <v>120</v>
      </c>
      <c r="M10" s="1">
        <f t="shared" si="3"/>
        <v>160</v>
      </c>
      <c r="N10" s="1">
        <f t="shared" si="4"/>
        <v>200</v>
      </c>
      <c r="P10" s="1" t="s">
        <v>28</v>
      </c>
      <c r="Q10" s="1">
        <f>L64</f>
        <v>930</v>
      </c>
      <c r="S10" s="1" t="s">
        <v>62</v>
      </c>
      <c r="T10" s="1" t="s">
        <v>75</v>
      </c>
      <c r="U10" s="1">
        <v>18</v>
      </c>
      <c r="V10" s="1" t="s">
        <v>50</v>
      </c>
      <c r="W10" s="1">
        <v>1</v>
      </c>
      <c r="X10" s="1" t="s">
        <v>49</v>
      </c>
      <c r="Y10" s="1">
        <v>17</v>
      </c>
      <c r="Z10" s="1" t="s">
        <v>106</v>
      </c>
      <c r="AA10" s="1">
        <v>14</v>
      </c>
      <c r="AB10" s="1" t="s">
        <v>105</v>
      </c>
      <c r="AC10" s="1">
        <v>4</v>
      </c>
      <c r="AD10" s="1">
        <f t="shared" si="7"/>
        <v>6070</v>
      </c>
      <c r="AE10" s="1">
        <f t="shared" si="8"/>
        <v>10500</v>
      </c>
      <c r="AG10" s="1">
        <v>6</v>
      </c>
      <c r="AH10" s="1">
        <f t="shared" si="5"/>
        <v>1260</v>
      </c>
      <c r="AI10" s="1">
        <f t="shared" si="6"/>
        <v>2015</v>
      </c>
    </row>
    <row r="11" spans="2:35" x14ac:dyDescent="0.15">
      <c r="I11" s="1">
        <v>7</v>
      </c>
      <c r="J11" s="1">
        <f t="shared" si="0"/>
        <v>45</v>
      </c>
      <c r="K11" s="1">
        <f t="shared" si="1"/>
        <v>90</v>
      </c>
      <c r="L11" s="1">
        <f t="shared" si="2"/>
        <v>135</v>
      </c>
      <c r="M11" s="1">
        <f t="shared" si="3"/>
        <v>180</v>
      </c>
      <c r="N11" s="1">
        <f t="shared" si="4"/>
        <v>225</v>
      </c>
      <c r="P11" s="1" t="s">
        <v>25</v>
      </c>
      <c r="Q11" s="1">
        <f>M54</f>
        <v>1040</v>
      </c>
      <c r="S11" s="1" t="s">
        <v>63</v>
      </c>
      <c r="T11" s="1" t="s">
        <v>76</v>
      </c>
      <c r="U11" s="1">
        <v>20</v>
      </c>
      <c r="V11" s="1" t="s">
        <v>50</v>
      </c>
      <c r="W11" s="1">
        <v>3</v>
      </c>
      <c r="X11" s="1" t="s">
        <v>49</v>
      </c>
      <c r="Y11" s="1">
        <v>15</v>
      </c>
      <c r="Z11" s="1" t="s">
        <v>108</v>
      </c>
      <c r="AA11" s="1">
        <v>5</v>
      </c>
      <c r="AB11" s="1" t="s">
        <v>107</v>
      </c>
      <c r="AC11" s="1">
        <v>13</v>
      </c>
      <c r="AD11" s="1">
        <f t="shared" si="7"/>
        <v>6690</v>
      </c>
      <c r="AE11" s="1">
        <f t="shared" si="8"/>
        <v>14790</v>
      </c>
      <c r="AG11" s="1">
        <v>7</v>
      </c>
      <c r="AH11" s="1">
        <f t="shared" si="5"/>
        <v>1725</v>
      </c>
      <c r="AI11" s="1">
        <f t="shared" si="6"/>
        <v>2417.5</v>
      </c>
    </row>
    <row r="12" spans="2:35" x14ac:dyDescent="0.15">
      <c r="B12" s="1" t="s">
        <v>11</v>
      </c>
      <c r="C12" s="1" t="s">
        <v>17</v>
      </c>
      <c r="I12" s="1">
        <v>8</v>
      </c>
      <c r="J12" s="1">
        <f t="shared" si="0"/>
        <v>50</v>
      </c>
      <c r="K12" s="1">
        <f t="shared" si="1"/>
        <v>100</v>
      </c>
      <c r="L12" s="1">
        <f t="shared" si="2"/>
        <v>150</v>
      </c>
      <c r="M12" s="1">
        <f t="shared" si="3"/>
        <v>200</v>
      </c>
      <c r="N12" s="1">
        <f t="shared" si="4"/>
        <v>250</v>
      </c>
      <c r="P12" s="1" t="s">
        <v>29</v>
      </c>
      <c r="Q12" s="1">
        <f>M64</f>
        <v>1240</v>
      </c>
      <c r="S12" s="1" t="s">
        <v>64</v>
      </c>
      <c r="T12" s="1" t="s">
        <v>77</v>
      </c>
      <c r="U12" s="1">
        <v>25</v>
      </c>
      <c r="V12" s="1" t="s">
        <v>50</v>
      </c>
      <c r="W12" s="1">
        <v>9</v>
      </c>
      <c r="X12" s="1" t="s">
        <v>88</v>
      </c>
      <c r="Y12" s="1">
        <v>9</v>
      </c>
      <c r="Z12" s="1" t="s">
        <v>108</v>
      </c>
      <c r="AA12" s="1">
        <v>18</v>
      </c>
      <c r="AD12" s="1">
        <f t="shared" si="7"/>
        <v>9450</v>
      </c>
      <c r="AE12" s="1">
        <f t="shared" si="8"/>
        <v>16740</v>
      </c>
      <c r="AG12" s="1">
        <v>8</v>
      </c>
      <c r="AH12" s="1">
        <f t="shared" si="5"/>
        <v>2190</v>
      </c>
      <c r="AI12" s="1">
        <f t="shared" si="6"/>
        <v>2820</v>
      </c>
    </row>
    <row r="13" spans="2:35" x14ac:dyDescent="0.15">
      <c r="C13" s="1" t="s">
        <v>12</v>
      </c>
      <c r="I13" s="1">
        <v>9</v>
      </c>
      <c r="J13" s="1">
        <f t="shared" si="0"/>
        <v>55</v>
      </c>
      <c r="K13" s="1">
        <f t="shared" si="1"/>
        <v>110</v>
      </c>
      <c r="L13" s="1">
        <f t="shared" si="2"/>
        <v>165</v>
      </c>
      <c r="M13" s="1">
        <f t="shared" si="3"/>
        <v>220</v>
      </c>
      <c r="N13" s="1">
        <f t="shared" si="4"/>
        <v>275</v>
      </c>
      <c r="P13" s="1" t="s">
        <v>30</v>
      </c>
      <c r="Q13" s="1">
        <f>M74</f>
        <v>1440</v>
      </c>
      <c r="S13" s="1" t="s">
        <v>65</v>
      </c>
      <c r="T13" s="1" t="s">
        <v>78</v>
      </c>
      <c r="U13" s="1">
        <v>30</v>
      </c>
      <c r="V13" s="1" t="s">
        <v>51</v>
      </c>
      <c r="W13" s="1">
        <v>1</v>
      </c>
      <c r="X13" s="1" t="s">
        <v>50</v>
      </c>
      <c r="Y13" s="1">
        <v>17</v>
      </c>
      <c r="Z13" s="1" t="s">
        <v>110</v>
      </c>
      <c r="AA13" s="1">
        <v>6</v>
      </c>
      <c r="AB13" s="1" t="s">
        <v>109</v>
      </c>
      <c r="AC13" s="1">
        <v>12</v>
      </c>
      <c r="AD13" s="1">
        <f t="shared" si="7"/>
        <v>11750</v>
      </c>
      <c r="AE13" s="1">
        <f t="shared" si="8"/>
        <v>19920</v>
      </c>
      <c r="AG13" s="1">
        <v>9</v>
      </c>
      <c r="AH13" s="1">
        <f t="shared" si="5"/>
        <v>2260</v>
      </c>
      <c r="AI13" s="1">
        <f t="shared" si="6"/>
        <v>3610</v>
      </c>
    </row>
    <row r="14" spans="2:35" x14ac:dyDescent="0.15">
      <c r="C14" s="1" t="s">
        <v>13</v>
      </c>
      <c r="I14" s="1">
        <v>10</v>
      </c>
      <c r="J14" s="1">
        <f t="shared" si="0"/>
        <v>60</v>
      </c>
      <c r="K14" s="1">
        <f t="shared" si="1"/>
        <v>120</v>
      </c>
      <c r="L14" s="1">
        <f t="shared" si="2"/>
        <v>180</v>
      </c>
      <c r="M14" s="1">
        <f t="shared" si="3"/>
        <v>240</v>
      </c>
      <c r="N14" s="1">
        <f t="shared" si="4"/>
        <v>300</v>
      </c>
      <c r="P14" s="1" t="s">
        <v>31</v>
      </c>
      <c r="Q14" s="1">
        <f>M84</f>
        <v>1640</v>
      </c>
      <c r="S14" s="1" t="s">
        <v>66</v>
      </c>
      <c r="T14" s="1" t="s">
        <v>79</v>
      </c>
      <c r="U14" s="1">
        <v>33</v>
      </c>
      <c r="V14" s="1" t="s">
        <v>51</v>
      </c>
      <c r="W14" s="1">
        <v>3</v>
      </c>
      <c r="X14" s="1" t="s">
        <v>89</v>
      </c>
      <c r="Y14" s="1">
        <v>15</v>
      </c>
      <c r="Z14" s="1" t="s">
        <v>112</v>
      </c>
      <c r="AA14" s="1">
        <v>5</v>
      </c>
      <c r="AB14" s="1" t="s">
        <v>111</v>
      </c>
      <c r="AC14" s="1">
        <v>13</v>
      </c>
      <c r="AD14" s="1">
        <f t="shared" si="7"/>
        <v>14820</v>
      </c>
      <c r="AE14" s="1">
        <f t="shared" si="8"/>
        <v>26920</v>
      </c>
      <c r="AG14" s="1">
        <v>10</v>
      </c>
      <c r="AH14" s="1">
        <f t="shared" si="5"/>
        <v>2330</v>
      </c>
      <c r="AI14" s="1">
        <f t="shared" si="6"/>
        <v>4400</v>
      </c>
    </row>
    <row r="15" spans="2:35" x14ac:dyDescent="0.15">
      <c r="C15" s="1" t="s">
        <v>14</v>
      </c>
      <c r="I15" s="1">
        <v>11</v>
      </c>
      <c r="J15" s="1">
        <f t="shared" si="0"/>
        <v>65</v>
      </c>
      <c r="K15" s="1">
        <f t="shared" si="1"/>
        <v>130</v>
      </c>
      <c r="L15" s="1">
        <f t="shared" si="2"/>
        <v>195</v>
      </c>
      <c r="M15" s="1">
        <f t="shared" si="3"/>
        <v>260</v>
      </c>
      <c r="N15" s="1">
        <f t="shared" si="4"/>
        <v>325</v>
      </c>
      <c r="P15" s="1" t="s">
        <v>32</v>
      </c>
      <c r="Q15" s="1">
        <f>N64</f>
        <v>1550</v>
      </c>
      <c r="S15" s="1" t="s">
        <v>67</v>
      </c>
      <c r="T15" s="1" t="s">
        <v>80</v>
      </c>
      <c r="U15" s="1">
        <v>40</v>
      </c>
      <c r="V15" s="1" t="s">
        <v>51</v>
      </c>
      <c r="W15" s="1">
        <v>9</v>
      </c>
      <c r="X15" s="1" t="s">
        <v>90</v>
      </c>
      <c r="Y15" s="1">
        <v>9</v>
      </c>
      <c r="Z15" s="1" t="s">
        <v>113</v>
      </c>
      <c r="AA15" s="1">
        <v>18</v>
      </c>
      <c r="AD15" s="1">
        <f t="shared" si="7"/>
        <v>17730</v>
      </c>
      <c r="AE15" s="1">
        <f t="shared" si="8"/>
        <v>29520</v>
      </c>
      <c r="AG15" s="1">
        <v>11</v>
      </c>
      <c r="AH15" s="1">
        <f t="shared" si="5"/>
        <v>2400</v>
      </c>
      <c r="AI15" s="1">
        <f t="shared" si="6"/>
        <v>5190</v>
      </c>
    </row>
    <row r="16" spans="2:35" x14ac:dyDescent="0.15">
      <c r="C16" s="1" t="s">
        <v>15</v>
      </c>
      <c r="I16" s="1">
        <v>12</v>
      </c>
      <c r="J16" s="1">
        <f t="shared" si="0"/>
        <v>70</v>
      </c>
      <c r="K16" s="1">
        <f t="shared" si="1"/>
        <v>140</v>
      </c>
      <c r="L16" s="1">
        <f t="shared" si="2"/>
        <v>210</v>
      </c>
      <c r="M16" s="1">
        <f t="shared" si="3"/>
        <v>280</v>
      </c>
      <c r="N16" s="1">
        <f t="shared" si="4"/>
        <v>350</v>
      </c>
      <c r="P16" s="1" t="s">
        <v>33</v>
      </c>
      <c r="Q16" s="1">
        <f>N74</f>
        <v>1800</v>
      </c>
      <c r="S16" s="1" t="s">
        <v>69</v>
      </c>
      <c r="T16" s="1" t="s">
        <v>82</v>
      </c>
      <c r="U16" s="1">
        <v>50</v>
      </c>
      <c r="V16" s="1" t="s">
        <v>52</v>
      </c>
      <c r="W16" s="1">
        <v>1</v>
      </c>
      <c r="X16" s="1" t="s">
        <v>91</v>
      </c>
      <c r="Y16" s="1">
        <v>17</v>
      </c>
      <c r="Z16" s="1" t="s">
        <v>114</v>
      </c>
      <c r="AA16" s="1">
        <v>11</v>
      </c>
      <c r="AB16" s="1" t="s">
        <v>115</v>
      </c>
      <c r="AC16" s="1">
        <v>7</v>
      </c>
      <c r="AD16" s="1">
        <f t="shared" si="7"/>
        <v>26030</v>
      </c>
      <c r="AE16" s="1">
        <f t="shared" si="8"/>
        <v>30650</v>
      </c>
      <c r="AG16" s="1">
        <v>12</v>
      </c>
      <c r="AH16" s="1">
        <f t="shared" si="5"/>
        <v>2470</v>
      </c>
      <c r="AI16" s="1">
        <f t="shared" si="6"/>
        <v>5980</v>
      </c>
    </row>
    <row r="17" spans="2:35" x14ac:dyDescent="0.15">
      <c r="C17" s="1" t="s">
        <v>16</v>
      </c>
      <c r="I17" s="1">
        <v>13</v>
      </c>
      <c r="J17" s="1">
        <f t="shared" si="0"/>
        <v>75</v>
      </c>
      <c r="K17" s="1">
        <f t="shared" si="1"/>
        <v>150</v>
      </c>
      <c r="L17" s="1">
        <f t="shared" si="2"/>
        <v>225</v>
      </c>
      <c r="M17" s="1">
        <f t="shared" si="3"/>
        <v>300</v>
      </c>
      <c r="N17" s="1">
        <f t="shared" si="4"/>
        <v>375</v>
      </c>
      <c r="P17" s="1" t="s">
        <v>34</v>
      </c>
      <c r="Q17" s="1">
        <f>N84</f>
        <v>2050</v>
      </c>
      <c r="S17" s="1" t="s">
        <v>70</v>
      </c>
      <c r="T17" s="1" t="s">
        <v>81</v>
      </c>
      <c r="U17" s="1">
        <v>53</v>
      </c>
      <c r="V17" s="1" t="s">
        <v>52</v>
      </c>
      <c r="W17" s="1">
        <v>3</v>
      </c>
      <c r="X17" s="1" t="s">
        <v>92</v>
      </c>
      <c r="Y17" s="1">
        <v>15</v>
      </c>
      <c r="Z17" s="1" t="s">
        <v>116</v>
      </c>
      <c r="AA17" s="1">
        <v>18</v>
      </c>
      <c r="AD17" s="1">
        <f t="shared" si="7"/>
        <v>29250</v>
      </c>
      <c r="AE17" s="1">
        <f t="shared" si="8"/>
        <v>45900</v>
      </c>
      <c r="AG17" s="1">
        <v>13</v>
      </c>
      <c r="AH17" s="1">
        <f t="shared" si="5"/>
        <v>2540</v>
      </c>
      <c r="AI17" s="1">
        <f t="shared" si="6"/>
        <v>6770</v>
      </c>
    </row>
    <row r="18" spans="2:35" x14ac:dyDescent="0.15">
      <c r="I18" s="1">
        <v>14</v>
      </c>
      <c r="J18" s="1">
        <f t="shared" si="0"/>
        <v>80</v>
      </c>
      <c r="K18" s="1">
        <f t="shared" si="1"/>
        <v>160</v>
      </c>
      <c r="L18" s="1">
        <f t="shared" si="2"/>
        <v>240</v>
      </c>
      <c r="M18" s="1">
        <f t="shared" si="3"/>
        <v>320</v>
      </c>
      <c r="N18" s="1">
        <f t="shared" si="4"/>
        <v>400</v>
      </c>
      <c r="P18" s="1" t="s">
        <v>35</v>
      </c>
      <c r="Q18" s="1">
        <f>N94</f>
        <v>2300</v>
      </c>
      <c r="S18" s="1" t="s">
        <v>68</v>
      </c>
      <c r="T18" s="1" t="s">
        <v>83</v>
      </c>
      <c r="U18" s="1">
        <v>59</v>
      </c>
      <c r="V18" s="1" t="s">
        <v>52</v>
      </c>
      <c r="W18" s="1">
        <v>9</v>
      </c>
      <c r="X18" s="1" t="s">
        <v>92</v>
      </c>
      <c r="Y18" s="1">
        <v>9</v>
      </c>
      <c r="Z18" s="1" t="s">
        <v>44</v>
      </c>
      <c r="AA18" s="1">
        <v>18</v>
      </c>
      <c r="AD18" s="1">
        <f t="shared" si="7"/>
        <v>28710</v>
      </c>
      <c r="AE18" s="1">
        <f t="shared" si="8"/>
        <v>50400</v>
      </c>
      <c r="AG18" s="1">
        <v>14</v>
      </c>
      <c r="AH18" s="1">
        <f t="shared" si="5"/>
        <v>2610</v>
      </c>
      <c r="AI18" s="1">
        <f t="shared" si="6"/>
        <v>7560</v>
      </c>
    </row>
    <row r="19" spans="2:35" x14ac:dyDescent="0.15">
      <c r="B19" s="1" t="s">
        <v>18</v>
      </c>
      <c r="C19" s="1" t="s">
        <v>19</v>
      </c>
      <c r="I19" s="1">
        <v>15</v>
      </c>
      <c r="J19" s="1">
        <f t="shared" si="0"/>
        <v>85</v>
      </c>
      <c r="K19" s="1">
        <f t="shared" si="1"/>
        <v>170</v>
      </c>
      <c r="L19" s="1">
        <f t="shared" si="2"/>
        <v>255</v>
      </c>
      <c r="M19" s="1">
        <f t="shared" si="3"/>
        <v>340</v>
      </c>
      <c r="N19" s="1">
        <f t="shared" si="4"/>
        <v>425</v>
      </c>
      <c r="P19" s="1" t="s">
        <v>36</v>
      </c>
      <c r="Q19" s="1">
        <f>N104</f>
        <v>2550</v>
      </c>
      <c r="S19" s="1" t="s">
        <v>71</v>
      </c>
      <c r="T19" s="1" t="s">
        <v>84</v>
      </c>
      <c r="U19" s="1">
        <v>65</v>
      </c>
      <c r="V19" s="1" t="s">
        <v>52</v>
      </c>
      <c r="W19" s="1">
        <v>18</v>
      </c>
      <c r="AD19" s="1">
        <f t="shared" si="7"/>
        <v>27900</v>
      </c>
      <c r="AE19" s="1">
        <f>AE18</f>
        <v>50400</v>
      </c>
      <c r="AG19" s="1">
        <v>15</v>
      </c>
      <c r="AH19" s="1">
        <f t="shared" si="5"/>
        <v>3475</v>
      </c>
      <c r="AI19" s="1">
        <f t="shared" si="6"/>
        <v>8295</v>
      </c>
    </row>
    <row r="20" spans="2:35" x14ac:dyDescent="0.15">
      <c r="C20" s="1" t="s">
        <v>20</v>
      </c>
      <c r="I20" s="1">
        <v>16</v>
      </c>
      <c r="J20" s="1">
        <f t="shared" si="0"/>
        <v>90</v>
      </c>
      <c r="K20" s="1">
        <f t="shared" si="1"/>
        <v>180</v>
      </c>
      <c r="L20" s="1">
        <f t="shared" si="2"/>
        <v>270</v>
      </c>
      <c r="M20" s="1">
        <f t="shared" si="3"/>
        <v>360</v>
      </c>
      <c r="N20" s="1">
        <f t="shared" si="4"/>
        <v>450</v>
      </c>
      <c r="P20" s="1" t="s">
        <v>37</v>
      </c>
      <c r="Q20" s="1">
        <f>N114</f>
        <v>2800</v>
      </c>
      <c r="S20" s="1" t="s">
        <v>72</v>
      </c>
      <c r="T20" s="1" t="s">
        <v>85</v>
      </c>
      <c r="U20" s="1">
        <v>71</v>
      </c>
      <c r="V20" s="1" t="s">
        <v>93</v>
      </c>
      <c r="W20" s="1">
        <v>18</v>
      </c>
      <c r="AD20" s="1">
        <f t="shared" si="7"/>
        <v>32400</v>
      </c>
      <c r="AE20" s="1">
        <f>AE19</f>
        <v>50400</v>
      </c>
      <c r="AG20" s="1">
        <v>16</v>
      </c>
      <c r="AH20" s="1">
        <f t="shared" si="5"/>
        <v>4340</v>
      </c>
      <c r="AI20" s="1">
        <f t="shared" si="6"/>
        <v>9030</v>
      </c>
    </row>
    <row r="21" spans="2:35" x14ac:dyDescent="0.15">
      <c r="I21" s="1">
        <v>17</v>
      </c>
      <c r="J21" s="1">
        <f t="shared" si="0"/>
        <v>95</v>
      </c>
      <c r="K21" s="1">
        <f t="shared" si="1"/>
        <v>190</v>
      </c>
      <c r="L21" s="1">
        <f t="shared" si="2"/>
        <v>285</v>
      </c>
      <c r="M21" s="1">
        <f t="shared" si="3"/>
        <v>380</v>
      </c>
      <c r="N21" s="1">
        <f t="shared" si="4"/>
        <v>475</v>
      </c>
      <c r="S21" s="1" t="s">
        <v>73</v>
      </c>
      <c r="T21" s="1" t="s">
        <v>86</v>
      </c>
      <c r="U21" s="1">
        <v>78</v>
      </c>
      <c r="V21" s="1" t="s">
        <v>94</v>
      </c>
      <c r="W21" s="1">
        <v>18</v>
      </c>
      <c r="AD21" s="1">
        <f t="shared" si="7"/>
        <v>41400</v>
      </c>
      <c r="AE21" s="1">
        <f>AE20</f>
        <v>50400</v>
      </c>
      <c r="AG21" s="1">
        <v>17</v>
      </c>
      <c r="AH21" s="1">
        <f t="shared" si="5"/>
        <v>5205</v>
      </c>
      <c r="AI21" s="1">
        <f t="shared" si="6"/>
        <v>9765</v>
      </c>
    </row>
    <row r="22" spans="2:35" x14ac:dyDescent="0.15">
      <c r="I22" s="1">
        <v>18</v>
      </c>
      <c r="J22" s="1">
        <f t="shared" si="0"/>
        <v>100</v>
      </c>
      <c r="K22" s="1">
        <f t="shared" si="1"/>
        <v>200</v>
      </c>
      <c r="L22" s="1">
        <f t="shared" si="2"/>
        <v>300</v>
      </c>
      <c r="M22" s="1">
        <f t="shared" si="3"/>
        <v>400</v>
      </c>
      <c r="N22" s="1">
        <f t="shared" si="4"/>
        <v>500</v>
      </c>
      <c r="S22" s="1" t="s">
        <v>74</v>
      </c>
      <c r="T22" s="1" t="s">
        <v>87</v>
      </c>
      <c r="U22" s="1">
        <v>83</v>
      </c>
      <c r="V22" s="1" t="s">
        <v>95</v>
      </c>
      <c r="W22" s="1">
        <v>18</v>
      </c>
      <c r="AD22" s="1">
        <f t="shared" si="7"/>
        <v>50400</v>
      </c>
      <c r="AE22" s="1">
        <f>AE21</f>
        <v>50400</v>
      </c>
      <c r="AG22" s="1">
        <v>18</v>
      </c>
      <c r="AH22" s="1">
        <f t="shared" si="5"/>
        <v>6070</v>
      </c>
      <c r="AI22" s="1">
        <f t="shared" si="6"/>
        <v>10500</v>
      </c>
    </row>
    <row r="23" spans="2:35" x14ac:dyDescent="0.15">
      <c r="I23" s="1">
        <v>19</v>
      </c>
      <c r="J23" s="1">
        <f t="shared" si="0"/>
        <v>105</v>
      </c>
      <c r="K23" s="1">
        <f t="shared" si="1"/>
        <v>210</v>
      </c>
      <c r="L23" s="1">
        <f t="shared" si="2"/>
        <v>315</v>
      </c>
      <c r="M23" s="1">
        <f t="shared" si="3"/>
        <v>420</v>
      </c>
      <c r="N23" s="1">
        <f t="shared" si="4"/>
        <v>525</v>
      </c>
      <c r="AG23" s="1">
        <v>19</v>
      </c>
      <c r="AH23" s="1">
        <f t="shared" si="5"/>
        <v>6380</v>
      </c>
      <c r="AI23" s="1">
        <f t="shared" si="6"/>
        <v>12645</v>
      </c>
    </row>
    <row r="24" spans="2:35" x14ac:dyDescent="0.15">
      <c r="B24" s="2"/>
      <c r="C24" s="2"/>
      <c r="I24" s="1">
        <v>20</v>
      </c>
      <c r="J24" s="1">
        <f t="shared" si="0"/>
        <v>110</v>
      </c>
      <c r="K24" s="1">
        <f t="shared" si="1"/>
        <v>220</v>
      </c>
      <c r="L24" s="1">
        <f t="shared" si="2"/>
        <v>330</v>
      </c>
      <c r="M24" s="1">
        <f t="shared" si="3"/>
        <v>440</v>
      </c>
      <c r="N24" s="1">
        <f t="shared" si="4"/>
        <v>550</v>
      </c>
      <c r="AG24" s="1">
        <v>20</v>
      </c>
      <c r="AH24" s="1">
        <f t="shared" si="5"/>
        <v>6690</v>
      </c>
      <c r="AI24" s="1">
        <f t="shared" si="6"/>
        <v>14790</v>
      </c>
    </row>
    <row r="25" spans="2:35" x14ac:dyDescent="0.15">
      <c r="B25" s="1" t="s">
        <v>46</v>
      </c>
      <c r="C25" s="1" t="s">
        <v>45</v>
      </c>
      <c r="D25" s="1" t="s">
        <v>49</v>
      </c>
      <c r="E25" s="1" t="s">
        <v>50</v>
      </c>
      <c r="F25" s="1" t="s">
        <v>51</v>
      </c>
      <c r="G25" s="1" t="s">
        <v>52</v>
      </c>
      <c r="I25" s="1">
        <v>21</v>
      </c>
      <c r="J25" s="1" t="str">
        <f t="shared" si="0"/>
        <v/>
      </c>
      <c r="K25" s="1">
        <f t="shared" si="1"/>
        <v>230</v>
      </c>
      <c r="L25" s="1">
        <f t="shared" si="2"/>
        <v>345</v>
      </c>
      <c r="M25" s="1">
        <f t="shared" si="3"/>
        <v>460</v>
      </c>
      <c r="N25" s="1">
        <f t="shared" si="4"/>
        <v>575</v>
      </c>
      <c r="AG25" s="1">
        <v>21</v>
      </c>
      <c r="AH25" s="1">
        <f t="shared" si="5"/>
        <v>7242</v>
      </c>
      <c r="AI25" s="1">
        <f t="shared" si="6"/>
        <v>15180</v>
      </c>
    </row>
    <row r="26" spans="2:35" x14ac:dyDescent="0.15">
      <c r="B26" s="1" t="s">
        <v>56</v>
      </c>
      <c r="C26" s="1">
        <v>20</v>
      </c>
      <c r="D26" s="1">
        <v>30</v>
      </c>
      <c r="E26" s="1">
        <v>40</v>
      </c>
      <c r="F26" s="1">
        <v>50</v>
      </c>
      <c r="G26" s="1">
        <v>60</v>
      </c>
      <c r="I26" s="1">
        <v>22</v>
      </c>
      <c r="J26" s="1" t="str">
        <f t="shared" si="0"/>
        <v/>
      </c>
      <c r="K26" s="1">
        <f t="shared" si="1"/>
        <v>240</v>
      </c>
      <c r="L26" s="1">
        <f t="shared" si="2"/>
        <v>360</v>
      </c>
      <c r="M26" s="1">
        <f t="shared" si="3"/>
        <v>480</v>
      </c>
      <c r="N26" s="1">
        <f t="shared" si="4"/>
        <v>600</v>
      </c>
      <c r="AG26" s="1">
        <v>22</v>
      </c>
      <c r="AH26" s="1">
        <f t="shared" si="5"/>
        <v>7794</v>
      </c>
      <c r="AI26" s="1">
        <f t="shared" si="6"/>
        <v>15570</v>
      </c>
    </row>
    <row r="27" spans="2:35" x14ac:dyDescent="0.15">
      <c r="B27" s="1" t="s">
        <v>55</v>
      </c>
      <c r="C27" s="1">
        <v>20</v>
      </c>
      <c r="D27" s="1">
        <v>40</v>
      </c>
      <c r="E27" s="1">
        <v>60</v>
      </c>
      <c r="F27" s="1">
        <v>80</v>
      </c>
      <c r="G27" s="1">
        <v>110</v>
      </c>
      <c r="I27" s="1">
        <v>23</v>
      </c>
      <c r="J27" s="1" t="str">
        <f t="shared" si="0"/>
        <v/>
      </c>
      <c r="K27" s="1">
        <f t="shared" si="1"/>
        <v>250</v>
      </c>
      <c r="L27" s="1">
        <f t="shared" si="2"/>
        <v>375</v>
      </c>
      <c r="M27" s="1">
        <f t="shared" si="3"/>
        <v>500</v>
      </c>
      <c r="N27" s="1">
        <f t="shared" si="4"/>
        <v>625</v>
      </c>
      <c r="AG27" s="1">
        <v>23</v>
      </c>
      <c r="AH27" s="1">
        <f t="shared" si="5"/>
        <v>8346</v>
      </c>
      <c r="AI27" s="1">
        <f t="shared" si="6"/>
        <v>15960</v>
      </c>
    </row>
    <row r="28" spans="2:35" x14ac:dyDescent="0.15">
      <c r="B28" s="1" t="s">
        <v>47</v>
      </c>
      <c r="C28" s="1">
        <v>10</v>
      </c>
      <c r="D28" s="1">
        <v>20</v>
      </c>
      <c r="E28" s="1">
        <v>30</v>
      </c>
      <c r="F28" s="1">
        <v>40</v>
      </c>
      <c r="G28" s="1">
        <v>50</v>
      </c>
      <c r="I28" s="1">
        <v>24</v>
      </c>
      <c r="J28" s="1" t="str">
        <f t="shared" si="0"/>
        <v/>
      </c>
      <c r="K28" s="1">
        <f t="shared" si="1"/>
        <v>260</v>
      </c>
      <c r="L28" s="1">
        <f t="shared" si="2"/>
        <v>390</v>
      </c>
      <c r="M28" s="1">
        <f t="shared" si="3"/>
        <v>520</v>
      </c>
      <c r="N28" s="1">
        <f t="shared" si="4"/>
        <v>650</v>
      </c>
      <c r="AG28" s="1">
        <v>24</v>
      </c>
      <c r="AH28" s="1">
        <f t="shared" si="5"/>
        <v>8898</v>
      </c>
      <c r="AI28" s="1">
        <f t="shared" si="6"/>
        <v>16350</v>
      </c>
    </row>
    <row r="29" spans="2:35" x14ac:dyDescent="0.15">
      <c r="B29" s="1" t="s">
        <v>48</v>
      </c>
      <c r="C29" s="1">
        <v>5</v>
      </c>
      <c r="D29" s="1">
        <v>10</v>
      </c>
      <c r="E29" s="1">
        <v>15</v>
      </c>
      <c r="F29" s="1">
        <v>20</v>
      </c>
      <c r="G29" s="1">
        <v>25</v>
      </c>
      <c r="I29" s="1">
        <v>25</v>
      </c>
      <c r="J29" s="1" t="str">
        <f t="shared" si="0"/>
        <v/>
      </c>
      <c r="K29" s="1">
        <f t="shared" si="1"/>
        <v>270</v>
      </c>
      <c r="L29" s="1">
        <f t="shared" si="2"/>
        <v>405</v>
      </c>
      <c r="M29" s="1">
        <f t="shared" si="3"/>
        <v>540</v>
      </c>
      <c r="N29" s="1">
        <f t="shared" si="4"/>
        <v>675</v>
      </c>
      <c r="AG29" s="1">
        <v>25</v>
      </c>
      <c r="AH29" s="1">
        <f t="shared" si="5"/>
        <v>9450</v>
      </c>
      <c r="AI29" s="1">
        <f t="shared" si="6"/>
        <v>16740</v>
      </c>
    </row>
    <row r="30" spans="2:35" x14ac:dyDescent="0.15">
      <c r="B30" s="1" t="s">
        <v>54</v>
      </c>
      <c r="C30" s="1">
        <v>0</v>
      </c>
      <c r="D30" s="1">
        <v>1</v>
      </c>
      <c r="E30" s="1">
        <v>2</v>
      </c>
      <c r="F30" s="1">
        <v>3</v>
      </c>
      <c r="G30" s="1">
        <v>5</v>
      </c>
      <c r="I30" s="1">
        <v>26</v>
      </c>
      <c r="J30" s="1" t="str">
        <f t="shared" si="0"/>
        <v/>
      </c>
      <c r="K30" s="1">
        <f t="shared" si="1"/>
        <v>280</v>
      </c>
      <c r="L30" s="1">
        <f t="shared" si="2"/>
        <v>420</v>
      </c>
      <c r="M30" s="1">
        <f t="shared" si="3"/>
        <v>560</v>
      </c>
      <c r="N30" s="1">
        <f t="shared" si="4"/>
        <v>700</v>
      </c>
      <c r="AG30" s="1">
        <v>26</v>
      </c>
      <c r="AH30" s="1">
        <f t="shared" si="5"/>
        <v>9910</v>
      </c>
      <c r="AI30" s="1">
        <f t="shared" si="6"/>
        <v>17376</v>
      </c>
    </row>
    <row r="31" spans="2:35" x14ac:dyDescent="0.15">
      <c r="B31" s="1" t="s">
        <v>53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I31" s="1">
        <v>27</v>
      </c>
      <c r="J31" s="1" t="str">
        <f t="shared" si="0"/>
        <v/>
      </c>
      <c r="K31" s="1">
        <f t="shared" si="1"/>
        <v>290</v>
      </c>
      <c r="L31" s="1">
        <f t="shared" si="2"/>
        <v>435</v>
      </c>
      <c r="M31" s="1">
        <f t="shared" si="3"/>
        <v>580</v>
      </c>
      <c r="N31" s="1">
        <f t="shared" si="4"/>
        <v>725</v>
      </c>
      <c r="AG31" s="1">
        <v>27</v>
      </c>
      <c r="AH31" s="1">
        <f t="shared" si="5"/>
        <v>10370</v>
      </c>
      <c r="AI31" s="1">
        <f t="shared" si="6"/>
        <v>18012</v>
      </c>
    </row>
    <row r="32" spans="2:35" x14ac:dyDescent="0.15">
      <c r="B32" s="2"/>
      <c r="C32" s="2"/>
      <c r="D32" s="2"/>
      <c r="E32" s="2"/>
      <c r="F32" s="2"/>
      <c r="I32" s="1">
        <v>28</v>
      </c>
      <c r="J32" s="1" t="str">
        <f t="shared" si="0"/>
        <v/>
      </c>
      <c r="K32" s="1">
        <f t="shared" si="1"/>
        <v>300</v>
      </c>
      <c r="L32" s="1">
        <f t="shared" si="2"/>
        <v>450</v>
      </c>
      <c r="M32" s="1">
        <f t="shared" si="3"/>
        <v>600</v>
      </c>
      <c r="N32" s="1">
        <f t="shared" si="4"/>
        <v>750</v>
      </c>
      <c r="O32" s="2"/>
      <c r="AG32" s="1">
        <v>28</v>
      </c>
      <c r="AH32" s="1">
        <f t="shared" si="5"/>
        <v>10830</v>
      </c>
      <c r="AI32" s="1">
        <f t="shared" si="6"/>
        <v>18648</v>
      </c>
    </row>
    <row r="33" spans="2:35" x14ac:dyDescent="0.15">
      <c r="B33" s="2"/>
      <c r="C33" s="2"/>
      <c r="D33" s="2"/>
      <c r="E33" s="2"/>
      <c r="F33" s="2"/>
      <c r="I33" s="1">
        <v>29</v>
      </c>
      <c r="J33" s="1" t="str">
        <f t="shared" si="0"/>
        <v/>
      </c>
      <c r="K33" s="1">
        <f t="shared" si="1"/>
        <v>310</v>
      </c>
      <c r="L33" s="1">
        <f t="shared" si="2"/>
        <v>465</v>
      </c>
      <c r="M33" s="1">
        <f t="shared" si="3"/>
        <v>620</v>
      </c>
      <c r="N33" s="1">
        <f t="shared" si="4"/>
        <v>775</v>
      </c>
      <c r="O33" s="2"/>
      <c r="AG33" s="1">
        <v>29</v>
      </c>
      <c r="AH33" s="1">
        <f t="shared" si="5"/>
        <v>11290</v>
      </c>
      <c r="AI33" s="1">
        <f t="shared" si="6"/>
        <v>19284</v>
      </c>
    </row>
    <row r="34" spans="2:35" x14ac:dyDescent="0.15">
      <c r="B34" s="2"/>
      <c r="C34" s="2"/>
      <c r="D34" s="2"/>
      <c r="E34" s="2"/>
      <c r="F34" s="2"/>
      <c r="I34" s="1">
        <v>30</v>
      </c>
      <c r="J34" s="1" t="str">
        <f t="shared" si="0"/>
        <v/>
      </c>
      <c r="K34" s="1">
        <f t="shared" si="1"/>
        <v>320</v>
      </c>
      <c r="L34" s="1">
        <f t="shared" si="2"/>
        <v>480</v>
      </c>
      <c r="M34" s="1">
        <f t="shared" si="3"/>
        <v>640</v>
      </c>
      <c r="N34" s="1">
        <f t="shared" si="4"/>
        <v>800</v>
      </c>
      <c r="O34" s="2"/>
      <c r="AG34" s="1">
        <v>30</v>
      </c>
      <c r="AH34" s="1">
        <f t="shared" si="5"/>
        <v>11750</v>
      </c>
      <c r="AI34" s="1">
        <f t="shared" si="6"/>
        <v>19920</v>
      </c>
    </row>
    <row r="35" spans="2:35" x14ac:dyDescent="0.15">
      <c r="B35" s="2"/>
      <c r="C35" s="2"/>
      <c r="D35" s="2"/>
      <c r="E35" s="2"/>
      <c r="F35" s="2"/>
      <c r="I35" s="1">
        <v>31</v>
      </c>
      <c r="J35" s="1" t="str">
        <f t="shared" si="0"/>
        <v/>
      </c>
      <c r="K35" s="1">
        <f t="shared" si="1"/>
        <v>330</v>
      </c>
      <c r="L35" s="1">
        <f t="shared" si="2"/>
        <v>495</v>
      </c>
      <c r="M35" s="1">
        <f t="shared" si="3"/>
        <v>660</v>
      </c>
      <c r="N35" s="1">
        <f t="shared" si="4"/>
        <v>825</v>
      </c>
      <c r="O35" s="2"/>
      <c r="AG35" s="1">
        <v>31</v>
      </c>
      <c r="AH35" s="1">
        <f t="shared" si="5"/>
        <v>12773.333333333334</v>
      </c>
      <c r="AI35" s="1">
        <f t="shared" si="6"/>
        <v>22253.333333333332</v>
      </c>
    </row>
    <row r="36" spans="2:35" x14ac:dyDescent="0.15">
      <c r="B36" s="2"/>
      <c r="C36" s="2"/>
      <c r="D36" s="2"/>
      <c r="E36" s="2"/>
      <c r="F36" s="2"/>
      <c r="I36" s="1">
        <v>32</v>
      </c>
      <c r="J36" s="1" t="str">
        <f t="shared" si="0"/>
        <v/>
      </c>
      <c r="K36" s="1">
        <f t="shared" si="1"/>
        <v>340</v>
      </c>
      <c r="L36" s="1">
        <f t="shared" si="2"/>
        <v>510</v>
      </c>
      <c r="M36" s="1">
        <f t="shared" si="3"/>
        <v>680</v>
      </c>
      <c r="N36" s="1">
        <f t="shared" si="4"/>
        <v>850</v>
      </c>
      <c r="O36" s="2"/>
      <c r="AG36" s="1">
        <v>32</v>
      </c>
      <c r="AH36" s="1">
        <f t="shared" si="5"/>
        <v>13796.666666666666</v>
      </c>
      <c r="AI36" s="1">
        <f t="shared" si="6"/>
        <v>24586.666666666668</v>
      </c>
    </row>
    <row r="37" spans="2:35" x14ac:dyDescent="0.15">
      <c r="B37" s="2"/>
      <c r="C37" s="2"/>
      <c r="D37" s="2"/>
      <c r="E37" s="2"/>
      <c r="F37" s="2"/>
      <c r="I37" s="1">
        <v>33</v>
      </c>
      <c r="J37" s="1" t="str">
        <f t="shared" ref="J37:J68" si="9">IF($I37&lt;=C$27,C$28+C$29*$I37,"")</f>
        <v/>
      </c>
      <c r="K37" s="1">
        <f t="shared" ref="K37:K68" si="10">IF($I37&lt;=D$27,D$28+D$29*$I37,"")</f>
        <v>350</v>
      </c>
      <c r="L37" s="1">
        <f t="shared" ref="L37:L68" si="11">IF($I37&lt;=E$27,E$28+E$29*$I37,"")</f>
        <v>525</v>
      </c>
      <c r="M37" s="1">
        <f t="shared" ref="M37:M68" si="12">IF($I37&lt;=F$27,F$28+F$29*$I37,"")</f>
        <v>700</v>
      </c>
      <c r="N37" s="1">
        <f t="shared" ref="N37:N68" si="13">IF($I37&lt;=G$27,G$28+G$29*$I37,"")</f>
        <v>875</v>
      </c>
      <c r="O37" s="2"/>
      <c r="AG37" s="1">
        <v>33</v>
      </c>
      <c r="AH37" s="1">
        <f t="shared" si="5"/>
        <v>14820</v>
      </c>
      <c r="AI37" s="1">
        <f t="shared" si="6"/>
        <v>26920</v>
      </c>
    </row>
    <row r="38" spans="2:35" x14ac:dyDescent="0.15">
      <c r="B38" s="2"/>
      <c r="C38" s="2"/>
      <c r="D38" s="2"/>
      <c r="E38" s="2"/>
      <c r="F38" s="2"/>
      <c r="I38" s="1">
        <v>34</v>
      </c>
      <c r="J38" s="1" t="str">
        <f t="shared" si="9"/>
        <v/>
      </c>
      <c r="K38" s="1">
        <f t="shared" si="10"/>
        <v>360</v>
      </c>
      <c r="L38" s="1">
        <f t="shared" si="11"/>
        <v>540</v>
      </c>
      <c r="M38" s="1">
        <f t="shared" si="12"/>
        <v>720</v>
      </c>
      <c r="N38" s="1">
        <f t="shared" si="13"/>
        <v>900</v>
      </c>
      <c r="O38" s="2"/>
      <c r="AG38" s="1">
        <v>34</v>
      </c>
      <c r="AH38" s="1">
        <f t="shared" si="5"/>
        <v>15235.714285714286</v>
      </c>
      <c r="AI38" s="1">
        <f t="shared" si="6"/>
        <v>27291.428571428572</v>
      </c>
    </row>
    <row r="39" spans="2:35" x14ac:dyDescent="0.15">
      <c r="B39" s="2"/>
      <c r="C39" s="2"/>
      <c r="D39" s="2"/>
      <c r="E39" s="2"/>
      <c r="F39" s="2"/>
      <c r="I39" s="1">
        <v>35</v>
      </c>
      <c r="J39" s="1" t="str">
        <f t="shared" si="9"/>
        <v/>
      </c>
      <c r="K39" s="1">
        <f t="shared" si="10"/>
        <v>370</v>
      </c>
      <c r="L39" s="1">
        <f t="shared" si="11"/>
        <v>555</v>
      </c>
      <c r="M39" s="1">
        <f t="shared" si="12"/>
        <v>740</v>
      </c>
      <c r="N39" s="1">
        <f t="shared" si="13"/>
        <v>925</v>
      </c>
      <c r="O39" s="2"/>
      <c r="AG39" s="1">
        <v>35</v>
      </c>
      <c r="AH39" s="1">
        <f t="shared" si="5"/>
        <v>15651.428571428571</v>
      </c>
      <c r="AI39" s="1">
        <f t="shared" si="6"/>
        <v>27662.857142857141</v>
      </c>
    </row>
    <row r="40" spans="2:35" x14ac:dyDescent="0.15">
      <c r="B40" s="2"/>
      <c r="C40" s="2"/>
      <c r="D40" s="2"/>
      <c r="E40" s="2"/>
      <c r="F40" s="2"/>
      <c r="I40" s="1">
        <v>36</v>
      </c>
      <c r="J40" s="1" t="str">
        <f t="shared" si="9"/>
        <v/>
      </c>
      <c r="K40" s="1">
        <f t="shared" si="10"/>
        <v>380</v>
      </c>
      <c r="L40" s="1">
        <f t="shared" si="11"/>
        <v>570</v>
      </c>
      <c r="M40" s="1">
        <f t="shared" si="12"/>
        <v>760</v>
      </c>
      <c r="N40" s="1">
        <f t="shared" si="13"/>
        <v>950</v>
      </c>
      <c r="O40" s="2"/>
      <c r="AG40" s="1">
        <v>36</v>
      </c>
      <c r="AH40" s="1">
        <f t="shared" si="5"/>
        <v>16067.142857142857</v>
      </c>
      <c r="AI40" s="1">
        <f t="shared" si="6"/>
        <v>28034.285714285714</v>
      </c>
    </row>
    <row r="41" spans="2:35" x14ac:dyDescent="0.15">
      <c r="B41" s="2"/>
      <c r="C41" s="2"/>
      <c r="D41" s="2"/>
      <c r="E41" s="2"/>
      <c r="F41" s="2"/>
      <c r="I41" s="1">
        <v>37</v>
      </c>
      <c r="J41" s="1" t="str">
        <f t="shared" si="9"/>
        <v/>
      </c>
      <c r="K41" s="1">
        <f t="shared" si="10"/>
        <v>390</v>
      </c>
      <c r="L41" s="1">
        <f t="shared" si="11"/>
        <v>585</v>
      </c>
      <c r="M41" s="1">
        <f t="shared" si="12"/>
        <v>780</v>
      </c>
      <c r="N41" s="1">
        <f t="shared" si="13"/>
        <v>975</v>
      </c>
      <c r="O41" s="2"/>
      <c r="AG41" s="1">
        <v>37</v>
      </c>
      <c r="AH41" s="1">
        <f t="shared" si="5"/>
        <v>16482.857142857141</v>
      </c>
      <c r="AI41" s="1">
        <f t="shared" si="6"/>
        <v>28405.714285714286</v>
      </c>
    </row>
    <row r="42" spans="2:35" x14ac:dyDescent="0.15">
      <c r="B42" s="2"/>
      <c r="C42" s="2"/>
      <c r="D42" s="2"/>
      <c r="E42" s="2"/>
      <c r="F42" s="2"/>
      <c r="I42" s="1">
        <v>38</v>
      </c>
      <c r="J42" s="1" t="str">
        <f t="shared" si="9"/>
        <v/>
      </c>
      <c r="K42" s="1">
        <f t="shared" si="10"/>
        <v>400</v>
      </c>
      <c r="L42" s="1">
        <f t="shared" si="11"/>
        <v>600</v>
      </c>
      <c r="M42" s="1">
        <f t="shared" si="12"/>
        <v>800</v>
      </c>
      <c r="N42" s="1">
        <f t="shared" si="13"/>
        <v>1000</v>
      </c>
      <c r="O42" s="2"/>
      <c r="AG42" s="1">
        <v>38</v>
      </c>
      <c r="AH42" s="1">
        <f t="shared" si="5"/>
        <v>16898.571428571428</v>
      </c>
      <c r="AI42" s="1">
        <f t="shared" si="6"/>
        <v>28777.142857142859</v>
      </c>
    </row>
    <row r="43" spans="2:35" x14ac:dyDescent="0.15">
      <c r="I43" s="1">
        <v>39</v>
      </c>
      <c r="J43" s="1" t="str">
        <f t="shared" si="9"/>
        <v/>
      </c>
      <c r="K43" s="1">
        <f t="shared" si="10"/>
        <v>410</v>
      </c>
      <c r="L43" s="1">
        <f t="shared" si="11"/>
        <v>615</v>
      </c>
      <c r="M43" s="1">
        <f t="shared" si="12"/>
        <v>820</v>
      </c>
      <c r="N43" s="1">
        <f t="shared" si="13"/>
        <v>1025</v>
      </c>
      <c r="O43" s="2"/>
      <c r="AG43" s="1">
        <v>39</v>
      </c>
      <c r="AH43" s="1">
        <f t="shared" si="5"/>
        <v>17314.285714285714</v>
      </c>
      <c r="AI43" s="1">
        <f t="shared" si="6"/>
        <v>29148.571428571428</v>
      </c>
    </row>
    <row r="44" spans="2:35" x14ac:dyDescent="0.15">
      <c r="I44" s="1">
        <v>40</v>
      </c>
      <c r="J44" s="1" t="str">
        <f t="shared" si="9"/>
        <v/>
      </c>
      <c r="K44" s="1">
        <f t="shared" si="10"/>
        <v>420</v>
      </c>
      <c r="L44" s="1">
        <f t="shared" si="11"/>
        <v>630</v>
      </c>
      <c r="M44" s="1">
        <f t="shared" si="12"/>
        <v>840</v>
      </c>
      <c r="N44" s="1">
        <f t="shared" si="13"/>
        <v>1050</v>
      </c>
      <c r="O44" s="2"/>
      <c r="AG44" s="1">
        <v>40</v>
      </c>
      <c r="AH44" s="1">
        <f t="shared" si="5"/>
        <v>17730</v>
      </c>
      <c r="AI44" s="1">
        <f t="shared" si="6"/>
        <v>29520</v>
      </c>
    </row>
    <row r="45" spans="2:35" x14ac:dyDescent="0.15">
      <c r="I45" s="1">
        <v>41</v>
      </c>
      <c r="J45" s="1" t="str">
        <f t="shared" si="9"/>
        <v/>
      </c>
      <c r="K45" s="1" t="str">
        <f t="shared" si="10"/>
        <v/>
      </c>
      <c r="L45" s="1">
        <f t="shared" si="11"/>
        <v>645</v>
      </c>
      <c r="M45" s="1">
        <f t="shared" si="12"/>
        <v>860</v>
      </c>
      <c r="N45" s="1">
        <f t="shared" si="13"/>
        <v>1075</v>
      </c>
      <c r="O45" s="2"/>
      <c r="AG45" s="1">
        <v>41</v>
      </c>
      <c r="AH45" s="1">
        <f t="shared" si="5"/>
        <v>18560</v>
      </c>
      <c r="AI45" s="1">
        <f t="shared" si="6"/>
        <v>29633</v>
      </c>
    </row>
    <row r="46" spans="2:35" x14ac:dyDescent="0.15">
      <c r="I46" s="1">
        <v>42</v>
      </c>
      <c r="J46" s="1" t="str">
        <f t="shared" si="9"/>
        <v/>
      </c>
      <c r="K46" s="1" t="str">
        <f t="shared" si="10"/>
        <v/>
      </c>
      <c r="L46" s="1">
        <f t="shared" si="11"/>
        <v>660</v>
      </c>
      <c r="M46" s="1">
        <f t="shared" si="12"/>
        <v>880</v>
      </c>
      <c r="N46" s="1">
        <f t="shared" si="13"/>
        <v>1100</v>
      </c>
      <c r="O46" s="2"/>
      <c r="AG46" s="1">
        <v>42</v>
      </c>
      <c r="AH46" s="1">
        <f t="shared" si="5"/>
        <v>19390</v>
      </c>
      <c r="AI46" s="1">
        <f t="shared" si="6"/>
        <v>29746</v>
      </c>
    </row>
    <row r="47" spans="2:35" x14ac:dyDescent="0.15">
      <c r="I47" s="1">
        <v>43</v>
      </c>
      <c r="J47" s="1" t="str">
        <f t="shared" si="9"/>
        <v/>
      </c>
      <c r="K47" s="1" t="str">
        <f t="shared" si="10"/>
        <v/>
      </c>
      <c r="L47" s="1">
        <f t="shared" si="11"/>
        <v>675</v>
      </c>
      <c r="M47" s="1">
        <f t="shared" si="12"/>
        <v>900</v>
      </c>
      <c r="N47" s="1">
        <f t="shared" si="13"/>
        <v>1125</v>
      </c>
      <c r="AG47" s="1">
        <v>43</v>
      </c>
      <c r="AH47" s="1">
        <f t="shared" si="5"/>
        <v>20220</v>
      </c>
      <c r="AI47" s="1">
        <f t="shared" si="6"/>
        <v>29859</v>
      </c>
    </row>
    <row r="48" spans="2:35" x14ac:dyDescent="0.15">
      <c r="I48" s="1">
        <v>44</v>
      </c>
      <c r="J48" s="1" t="str">
        <f t="shared" si="9"/>
        <v/>
      </c>
      <c r="K48" s="1" t="str">
        <f t="shared" si="10"/>
        <v/>
      </c>
      <c r="L48" s="1">
        <f t="shared" si="11"/>
        <v>690</v>
      </c>
      <c r="M48" s="1">
        <f t="shared" si="12"/>
        <v>920</v>
      </c>
      <c r="N48" s="1">
        <f t="shared" si="13"/>
        <v>1150</v>
      </c>
      <c r="AG48" s="1">
        <v>44</v>
      </c>
      <c r="AH48" s="1">
        <f t="shared" si="5"/>
        <v>21050</v>
      </c>
      <c r="AI48" s="1">
        <f t="shared" si="6"/>
        <v>29972</v>
      </c>
    </row>
    <row r="49" spans="9:35" x14ac:dyDescent="0.15">
      <c r="I49" s="1">
        <v>45</v>
      </c>
      <c r="J49" s="1" t="str">
        <f t="shared" si="9"/>
        <v/>
      </c>
      <c r="K49" s="1" t="str">
        <f t="shared" si="10"/>
        <v/>
      </c>
      <c r="L49" s="1">
        <f t="shared" si="11"/>
        <v>705</v>
      </c>
      <c r="M49" s="1">
        <f t="shared" si="12"/>
        <v>940</v>
      </c>
      <c r="N49" s="1">
        <f t="shared" si="13"/>
        <v>1175</v>
      </c>
      <c r="AG49" s="1">
        <v>45</v>
      </c>
      <c r="AH49" s="1">
        <f t="shared" si="5"/>
        <v>21880</v>
      </c>
      <c r="AI49" s="1">
        <f t="shared" si="6"/>
        <v>30085</v>
      </c>
    </row>
    <row r="50" spans="9:35" x14ac:dyDescent="0.15">
      <c r="I50" s="1">
        <v>46</v>
      </c>
      <c r="J50" s="1" t="str">
        <f t="shared" si="9"/>
        <v/>
      </c>
      <c r="K50" s="1" t="str">
        <f t="shared" si="10"/>
        <v/>
      </c>
      <c r="L50" s="1">
        <f t="shared" si="11"/>
        <v>720</v>
      </c>
      <c r="M50" s="1">
        <f t="shared" si="12"/>
        <v>960</v>
      </c>
      <c r="N50" s="1">
        <f t="shared" si="13"/>
        <v>1200</v>
      </c>
      <c r="AG50" s="1">
        <v>46</v>
      </c>
      <c r="AH50" s="1">
        <f t="shared" si="5"/>
        <v>22710</v>
      </c>
      <c r="AI50" s="1">
        <f t="shared" si="6"/>
        <v>30198</v>
      </c>
    </row>
    <row r="51" spans="9:35" x14ac:dyDescent="0.15">
      <c r="I51" s="1">
        <v>47</v>
      </c>
      <c r="J51" s="1" t="str">
        <f t="shared" si="9"/>
        <v/>
      </c>
      <c r="K51" s="1" t="str">
        <f t="shared" si="10"/>
        <v/>
      </c>
      <c r="L51" s="1">
        <f t="shared" si="11"/>
        <v>735</v>
      </c>
      <c r="M51" s="1">
        <f t="shared" si="12"/>
        <v>980</v>
      </c>
      <c r="N51" s="1">
        <f t="shared" si="13"/>
        <v>1225</v>
      </c>
      <c r="AG51" s="1">
        <v>47</v>
      </c>
      <c r="AH51" s="1">
        <f t="shared" si="5"/>
        <v>23540</v>
      </c>
      <c r="AI51" s="1">
        <f t="shared" si="6"/>
        <v>30311</v>
      </c>
    </row>
    <row r="52" spans="9:35" x14ac:dyDescent="0.15">
      <c r="I52" s="1">
        <v>48</v>
      </c>
      <c r="J52" s="1" t="str">
        <f t="shared" si="9"/>
        <v/>
      </c>
      <c r="K52" s="1" t="str">
        <f t="shared" si="10"/>
        <v/>
      </c>
      <c r="L52" s="1">
        <f t="shared" si="11"/>
        <v>750</v>
      </c>
      <c r="M52" s="1">
        <f t="shared" si="12"/>
        <v>1000</v>
      </c>
      <c r="N52" s="1">
        <f t="shared" si="13"/>
        <v>1250</v>
      </c>
      <c r="AG52" s="1">
        <v>48</v>
      </c>
      <c r="AH52" s="1">
        <f t="shared" si="5"/>
        <v>24370</v>
      </c>
      <c r="AI52" s="1">
        <f t="shared" si="6"/>
        <v>30424</v>
      </c>
    </row>
    <row r="53" spans="9:35" x14ac:dyDescent="0.15">
      <c r="I53" s="1">
        <v>49</v>
      </c>
      <c r="J53" s="1" t="str">
        <f t="shared" si="9"/>
        <v/>
      </c>
      <c r="K53" s="1" t="str">
        <f t="shared" si="10"/>
        <v/>
      </c>
      <c r="L53" s="1">
        <f t="shared" si="11"/>
        <v>765</v>
      </c>
      <c r="M53" s="1">
        <f t="shared" si="12"/>
        <v>1020</v>
      </c>
      <c r="N53" s="1">
        <f t="shared" si="13"/>
        <v>1275</v>
      </c>
      <c r="AG53" s="1">
        <v>49</v>
      </c>
      <c r="AH53" s="1">
        <f t="shared" si="5"/>
        <v>25200</v>
      </c>
      <c r="AI53" s="1">
        <f t="shared" si="6"/>
        <v>30537</v>
      </c>
    </row>
    <row r="54" spans="9:35" x14ac:dyDescent="0.15">
      <c r="I54" s="1">
        <v>50</v>
      </c>
      <c r="J54" s="1" t="str">
        <f t="shared" si="9"/>
        <v/>
      </c>
      <c r="K54" s="1" t="str">
        <f t="shared" si="10"/>
        <v/>
      </c>
      <c r="L54" s="1">
        <f t="shared" si="11"/>
        <v>780</v>
      </c>
      <c r="M54" s="1">
        <f t="shared" si="12"/>
        <v>1040</v>
      </c>
      <c r="N54" s="1">
        <f t="shared" si="13"/>
        <v>1300</v>
      </c>
      <c r="AG54" s="1">
        <v>50</v>
      </c>
      <c r="AH54" s="1">
        <f t="shared" si="5"/>
        <v>26030</v>
      </c>
      <c r="AI54" s="1">
        <f t="shared" si="6"/>
        <v>30650</v>
      </c>
    </row>
    <row r="55" spans="9:35" x14ac:dyDescent="0.15">
      <c r="I55" s="1">
        <v>51</v>
      </c>
      <c r="J55" s="1" t="str">
        <f t="shared" si="9"/>
        <v/>
      </c>
      <c r="K55" s="1" t="str">
        <f t="shared" si="10"/>
        <v/>
      </c>
      <c r="L55" s="1">
        <f t="shared" si="11"/>
        <v>795</v>
      </c>
      <c r="M55" s="1">
        <f t="shared" si="12"/>
        <v>1060</v>
      </c>
      <c r="N55" s="1">
        <f t="shared" si="13"/>
        <v>1325</v>
      </c>
      <c r="AG55" s="1">
        <v>51</v>
      </c>
      <c r="AH55" s="1">
        <f t="shared" si="5"/>
        <v>27103.333333333332</v>
      </c>
      <c r="AI55" s="1">
        <f t="shared" si="6"/>
        <v>35733.333333333336</v>
      </c>
    </row>
    <row r="56" spans="9:35" x14ac:dyDescent="0.15">
      <c r="I56" s="1">
        <v>52</v>
      </c>
      <c r="J56" s="1" t="str">
        <f t="shared" si="9"/>
        <v/>
      </c>
      <c r="K56" s="1" t="str">
        <f t="shared" si="10"/>
        <v/>
      </c>
      <c r="L56" s="1">
        <f t="shared" si="11"/>
        <v>810</v>
      </c>
      <c r="M56" s="1">
        <f t="shared" si="12"/>
        <v>1080</v>
      </c>
      <c r="N56" s="1">
        <f t="shared" si="13"/>
        <v>1350</v>
      </c>
      <c r="AG56" s="1">
        <v>52</v>
      </c>
      <c r="AH56" s="1">
        <f t="shared" si="5"/>
        <v>28176.666666666668</v>
      </c>
      <c r="AI56" s="1">
        <f t="shared" si="6"/>
        <v>40816.666666666664</v>
      </c>
    </row>
    <row r="57" spans="9:35" x14ac:dyDescent="0.15">
      <c r="I57" s="1">
        <v>53</v>
      </c>
      <c r="J57" s="1" t="str">
        <f t="shared" si="9"/>
        <v/>
      </c>
      <c r="K57" s="1" t="str">
        <f t="shared" si="10"/>
        <v/>
      </c>
      <c r="L57" s="1">
        <f t="shared" si="11"/>
        <v>825</v>
      </c>
      <c r="M57" s="1">
        <f t="shared" si="12"/>
        <v>1100</v>
      </c>
      <c r="N57" s="1">
        <f t="shared" si="13"/>
        <v>1375</v>
      </c>
      <c r="AG57" s="1">
        <v>53</v>
      </c>
      <c r="AH57" s="1">
        <f t="shared" si="5"/>
        <v>29250</v>
      </c>
      <c r="AI57" s="1">
        <f t="shared" si="6"/>
        <v>45900</v>
      </c>
    </row>
    <row r="58" spans="9:35" x14ac:dyDescent="0.15">
      <c r="I58" s="1">
        <v>54</v>
      </c>
      <c r="J58" s="1" t="str">
        <f t="shared" si="9"/>
        <v/>
      </c>
      <c r="K58" s="1" t="str">
        <f t="shared" si="10"/>
        <v/>
      </c>
      <c r="L58" s="1">
        <f t="shared" si="11"/>
        <v>840</v>
      </c>
      <c r="M58" s="1">
        <f t="shared" si="12"/>
        <v>1120</v>
      </c>
      <c r="N58" s="1">
        <f t="shared" si="13"/>
        <v>1400</v>
      </c>
      <c r="AG58" s="1">
        <v>54</v>
      </c>
      <c r="AH58" s="1">
        <f t="shared" si="5"/>
        <v>29160</v>
      </c>
      <c r="AI58" s="1">
        <f t="shared" si="6"/>
        <v>46650</v>
      </c>
    </row>
    <row r="59" spans="9:35" x14ac:dyDescent="0.15">
      <c r="I59" s="1">
        <v>55</v>
      </c>
      <c r="J59" s="1" t="str">
        <f t="shared" si="9"/>
        <v/>
      </c>
      <c r="K59" s="1" t="str">
        <f t="shared" si="10"/>
        <v/>
      </c>
      <c r="L59" s="1">
        <f t="shared" si="11"/>
        <v>855</v>
      </c>
      <c r="M59" s="1">
        <f t="shared" si="12"/>
        <v>1140</v>
      </c>
      <c r="N59" s="1">
        <f t="shared" si="13"/>
        <v>1425</v>
      </c>
      <c r="AG59" s="1">
        <v>55</v>
      </c>
      <c r="AH59" s="1">
        <f t="shared" si="5"/>
        <v>29070</v>
      </c>
      <c r="AI59" s="1">
        <f t="shared" si="6"/>
        <v>47400</v>
      </c>
    </row>
    <row r="60" spans="9:35" x14ac:dyDescent="0.15">
      <c r="I60" s="1">
        <v>56</v>
      </c>
      <c r="J60" s="1" t="str">
        <f t="shared" si="9"/>
        <v/>
      </c>
      <c r="K60" s="1" t="str">
        <f t="shared" si="10"/>
        <v/>
      </c>
      <c r="L60" s="1">
        <f t="shared" si="11"/>
        <v>870</v>
      </c>
      <c r="M60" s="1">
        <f t="shared" si="12"/>
        <v>1160</v>
      </c>
      <c r="N60" s="1">
        <f t="shared" si="13"/>
        <v>1450</v>
      </c>
      <c r="AG60" s="1">
        <v>56</v>
      </c>
      <c r="AH60" s="1">
        <f t="shared" si="5"/>
        <v>28980</v>
      </c>
      <c r="AI60" s="1">
        <f t="shared" si="6"/>
        <v>48150</v>
      </c>
    </row>
    <row r="61" spans="9:35" x14ac:dyDescent="0.15">
      <c r="I61" s="1">
        <v>57</v>
      </c>
      <c r="J61" s="1" t="str">
        <f t="shared" si="9"/>
        <v/>
      </c>
      <c r="K61" s="1" t="str">
        <f t="shared" si="10"/>
        <v/>
      </c>
      <c r="L61" s="1">
        <f t="shared" si="11"/>
        <v>885</v>
      </c>
      <c r="M61" s="1">
        <f t="shared" si="12"/>
        <v>1180</v>
      </c>
      <c r="N61" s="1">
        <f t="shared" si="13"/>
        <v>1475</v>
      </c>
      <c r="AG61" s="1">
        <v>57</v>
      </c>
      <c r="AH61" s="1">
        <f t="shared" si="5"/>
        <v>28890</v>
      </c>
      <c r="AI61" s="1">
        <f t="shared" si="6"/>
        <v>48900</v>
      </c>
    </row>
    <row r="62" spans="9:35" x14ac:dyDescent="0.15">
      <c r="I62" s="1">
        <v>58</v>
      </c>
      <c r="J62" s="1" t="str">
        <f t="shared" si="9"/>
        <v/>
      </c>
      <c r="K62" s="1" t="str">
        <f t="shared" si="10"/>
        <v/>
      </c>
      <c r="L62" s="1">
        <f t="shared" si="11"/>
        <v>900</v>
      </c>
      <c r="M62" s="1">
        <f t="shared" si="12"/>
        <v>1200</v>
      </c>
      <c r="N62" s="1">
        <f t="shared" si="13"/>
        <v>1500</v>
      </c>
      <c r="AG62" s="1">
        <v>58</v>
      </c>
      <c r="AH62" s="1">
        <f t="shared" si="5"/>
        <v>28800</v>
      </c>
      <c r="AI62" s="1">
        <f t="shared" si="6"/>
        <v>49650</v>
      </c>
    </row>
    <row r="63" spans="9:35" x14ac:dyDescent="0.15">
      <c r="I63" s="1">
        <v>59</v>
      </c>
      <c r="J63" s="1" t="str">
        <f t="shared" si="9"/>
        <v/>
      </c>
      <c r="K63" s="1" t="str">
        <f t="shared" si="10"/>
        <v/>
      </c>
      <c r="L63" s="1">
        <f t="shared" si="11"/>
        <v>915</v>
      </c>
      <c r="M63" s="1">
        <f t="shared" si="12"/>
        <v>1220</v>
      </c>
      <c r="N63" s="1">
        <f t="shared" si="13"/>
        <v>1525</v>
      </c>
      <c r="AG63" s="1">
        <v>59</v>
      </c>
      <c r="AH63" s="1">
        <f t="shared" si="5"/>
        <v>28710</v>
      </c>
      <c r="AI63" s="1">
        <f t="shared" si="6"/>
        <v>50400</v>
      </c>
    </row>
    <row r="64" spans="9:35" x14ac:dyDescent="0.15">
      <c r="I64" s="1">
        <v>60</v>
      </c>
      <c r="J64" s="1" t="str">
        <f t="shared" si="9"/>
        <v/>
      </c>
      <c r="K64" s="1" t="str">
        <f t="shared" si="10"/>
        <v/>
      </c>
      <c r="L64" s="1">
        <f t="shared" si="11"/>
        <v>930</v>
      </c>
      <c r="M64" s="1">
        <f t="shared" si="12"/>
        <v>1240</v>
      </c>
      <c r="N64" s="1">
        <f t="shared" si="13"/>
        <v>1550</v>
      </c>
      <c r="AG64" s="1">
        <v>60</v>
      </c>
      <c r="AH64" s="1">
        <f t="shared" si="5"/>
        <v>28575</v>
      </c>
      <c r="AI64" s="1">
        <f t="shared" si="6"/>
        <v>50400</v>
      </c>
    </row>
    <row r="65" spans="9:35" x14ac:dyDescent="0.15">
      <c r="I65" s="1">
        <v>61</v>
      </c>
      <c r="J65" s="1" t="str">
        <f t="shared" si="9"/>
        <v/>
      </c>
      <c r="K65" s="1" t="str">
        <f t="shared" si="10"/>
        <v/>
      </c>
      <c r="L65" s="1" t="str">
        <f t="shared" si="11"/>
        <v/>
      </c>
      <c r="M65" s="1">
        <f t="shared" si="12"/>
        <v>1260</v>
      </c>
      <c r="N65" s="1">
        <f t="shared" si="13"/>
        <v>1575</v>
      </c>
      <c r="AG65" s="1">
        <v>61</v>
      </c>
      <c r="AH65" s="1">
        <f t="shared" si="5"/>
        <v>28440</v>
      </c>
      <c r="AI65" s="1">
        <f t="shared" si="6"/>
        <v>50400</v>
      </c>
    </row>
    <row r="66" spans="9:35" x14ac:dyDescent="0.15">
      <c r="I66" s="1">
        <v>62</v>
      </c>
      <c r="J66" s="1" t="str">
        <f t="shared" si="9"/>
        <v/>
      </c>
      <c r="K66" s="1" t="str">
        <f t="shared" si="10"/>
        <v/>
      </c>
      <c r="L66" s="1" t="str">
        <f t="shared" si="11"/>
        <v/>
      </c>
      <c r="M66" s="1">
        <f t="shared" si="12"/>
        <v>1280</v>
      </c>
      <c r="N66" s="1">
        <f t="shared" si="13"/>
        <v>1600</v>
      </c>
      <c r="AG66" s="1">
        <v>62</v>
      </c>
      <c r="AH66" s="1">
        <f t="shared" si="5"/>
        <v>28305</v>
      </c>
      <c r="AI66" s="1">
        <f t="shared" si="6"/>
        <v>50400</v>
      </c>
    </row>
    <row r="67" spans="9:35" x14ac:dyDescent="0.15">
      <c r="I67" s="1">
        <v>63</v>
      </c>
      <c r="J67" s="1" t="str">
        <f t="shared" si="9"/>
        <v/>
      </c>
      <c r="K67" s="1" t="str">
        <f t="shared" si="10"/>
        <v/>
      </c>
      <c r="L67" s="1" t="str">
        <f t="shared" si="11"/>
        <v/>
      </c>
      <c r="M67" s="1">
        <f t="shared" si="12"/>
        <v>1300</v>
      </c>
      <c r="N67" s="1">
        <f t="shared" si="13"/>
        <v>1625</v>
      </c>
      <c r="AG67" s="1">
        <v>63</v>
      </c>
      <c r="AH67" s="1">
        <f t="shared" si="5"/>
        <v>28170</v>
      </c>
      <c r="AI67" s="1">
        <f t="shared" si="6"/>
        <v>50400</v>
      </c>
    </row>
    <row r="68" spans="9:35" x14ac:dyDescent="0.15">
      <c r="I68" s="1">
        <v>64</v>
      </c>
      <c r="J68" s="1" t="str">
        <f t="shared" si="9"/>
        <v/>
      </c>
      <c r="K68" s="1" t="str">
        <f t="shared" si="10"/>
        <v/>
      </c>
      <c r="L68" s="1" t="str">
        <f t="shared" si="11"/>
        <v/>
      </c>
      <c r="M68" s="1">
        <f t="shared" si="12"/>
        <v>1320</v>
      </c>
      <c r="N68" s="1">
        <f t="shared" si="13"/>
        <v>1650</v>
      </c>
      <c r="AG68" s="1">
        <v>64</v>
      </c>
      <c r="AH68" s="1">
        <f t="shared" si="5"/>
        <v>28035</v>
      </c>
      <c r="AI68" s="1">
        <f t="shared" si="6"/>
        <v>50400</v>
      </c>
    </row>
    <row r="69" spans="9:35" x14ac:dyDescent="0.15">
      <c r="I69" s="1">
        <v>65</v>
      </c>
      <c r="J69" s="1" t="str">
        <f t="shared" ref="J69:J100" si="14">IF($I69&lt;=C$27,C$28+C$29*$I69,"")</f>
        <v/>
      </c>
      <c r="K69" s="1" t="str">
        <f t="shared" ref="K69:K100" si="15">IF($I69&lt;=D$27,D$28+D$29*$I69,"")</f>
        <v/>
      </c>
      <c r="L69" s="1" t="str">
        <f t="shared" ref="L69:L100" si="16">IF($I69&lt;=E$27,E$28+E$29*$I69,"")</f>
        <v/>
      </c>
      <c r="M69" s="1">
        <f t="shared" ref="M69:M100" si="17">IF($I69&lt;=F$27,F$28+F$29*$I69,"")</f>
        <v>1340</v>
      </c>
      <c r="N69" s="1">
        <f t="shared" ref="N69:N100" si="18">IF($I69&lt;=G$27,G$28+G$29*$I69,"")</f>
        <v>1675</v>
      </c>
      <c r="AG69" s="1">
        <v>65</v>
      </c>
      <c r="AH69" s="1">
        <f t="shared" si="5"/>
        <v>27900</v>
      </c>
      <c r="AI69" s="1">
        <f t="shared" si="6"/>
        <v>50400</v>
      </c>
    </row>
    <row r="70" spans="9:35" x14ac:dyDescent="0.15">
      <c r="I70" s="1">
        <v>66</v>
      </c>
      <c r="J70" s="1" t="str">
        <f t="shared" si="14"/>
        <v/>
      </c>
      <c r="K70" s="1" t="str">
        <f t="shared" si="15"/>
        <v/>
      </c>
      <c r="L70" s="1" t="str">
        <f t="shared" si="16"/>
        <v/>
      </c>
      <c r="M70" s="1">
        <f t="shared" si="17"/>
        <v>1360</v>
      </c>
      <c r="N70" s="1">
        <f t="shared" si="18"/>
        <v>1700</v>
      </c>
      <c r="AG70" s="1">
        <v>66</v>
      </c>
      <c r="AH70" s="1">
        <f t="shared" ref="AH70:AH114" si="19">IF(AG70&lt;=$U$22,求节点($U$5:$U$22,$AD$5:$AD$22,AG70),$AD$22)</f>
        <v>28650</v>
      </c>
      <c r="AI70" s="1">
        <f t="shared" ref="AI70:AI114" si="20">IF(AG70&lt;=$U$22,求节点($U$5:$U$22,$AE$5:$AE$22,AG70),$AE$18)</f>
        <v>50400</v>
      </c>
    </row>
    <row r="71" spans="9:35" x14ac:dyDescent="0.15">
      <c r="I71" s="1">
        <v>67</v>
      </c>
      <c r="J71" s="1" t="str">
        <f t="shared" si="14"/>
        <v/>
      </c>
      <c r="K71" s="1" t="str">
        <f t="shared" si="15"/>
        <v/>
      </c>
      <c r="L71" s="1" t="str">
        <f t="shared" si="16"/>
        <v/>
      </c>
      <c r="M71" s="1">
        <f t="shared" si="17"/>
        <v>1380</v>
      </c>
      <c r="N71" s="1">
        <f t="shared" si="18"/>
        <v>1725</v>
      </c>
      <c r="AG71" s="1">
        <v>67</v>
      </c>
      <c r="AH71" s="1">
        <f t="shared" si="19"/>
        <v>29400</v>
      </c>
      <c r="AI71" s="1">
        <f t="shared" si="20"/>
        <v>50400</v>
      </c>
    </row>
    <row r="72" spans="9:35" x14ac:dyDescent="0.15">
      <c r="I72" s="1">
        <v>68</v>
      </c>
      <c r="J72" s="1" t="str">
        <f t="shared" si="14"/>
        <v/>
      </c>
      <c r="K72" s="1" t="str">
        <f t="shared" si="15"/>
        <v/>
      </c>
      <c r="L72" s="1" t="str">
        <f t="shared" si="16"/>
        <v/>
      </c>
      <c r="M72" s="1">
        <f t="shared" si="17"/>
        <v>1400</v>
      </c>
      <c r="N72" s="1">
        <f t="shared" si="18"/>
        <v>1750</v>
      </c>
      <c r="AG72" s="1">
        <v>68</v>
      </c>
      <c r="AH72" s="1">
        <f t="shared" si="19"/>
        <v>30150</v>
      </c>
      <c r="AI72" s="1">
        <f t="shared" si="20"/>
        <v>50400</v>
      </c>
    </row>
    <row r="73" spans="9:35" x14ac:dyDescent="0.15">
      <c r="I73" s="1">
        <v>69</v>
      </c>
      <c r="J73" s="1" t="str">
        <f t="shared" si="14"/>
        <v/>
      </c>
      <c r="K73" s="1" t="str">
        <f t="shared" si="15"/>
        <v/>
      </c>
      <c r="L73" s="1" t="str">
        <f t="shared" si="16"/>
        <v/>
      </c>
      <c r="M73" s="1">
        <f t="shared" si="17"/>
        <v>1420</v>
      </c>
      <c r="N73" s="1">
        <f t="shared" si="18"/>
        <v>1775</v>
      </c>
      <c r="AG73" s="1">
        <v>69</v>
      </c>
      <c r="AH73" s="1">
        <f t="shared" si="19"/>
        <v>30900</v>
      </c>
      <c r="AI73" s="1">
        <f t="shared" si="20"/>
        <v>50400</v>
      </c>
    </row>
    <row r="74" spans="9:35" x14ac:dyDescent="0.15">
      <c r="I74" s="1">
        <v>70</v>
      </c>
      <c r="J74" s="1" t="str">
        <f t="shared" si="14"/>
        <v/>
      </c>
      <c r="K74" s="1" t="str">
        <f t="shared" si="15"/>
        <v/>
      </c>
      <c r="L74" s="1" t="str">
        <f t="shared" si="16"/>
        <v/>
      </c>
      <c r="M74" s="1">
        <f t="shared" si="17"/>
        <v>1440</v>
      </c>
      <c r="N74" s="1">
        <f t="shared" si="18"/>
        <v>1800</v>
      </c>
      <c r="AG74" s="1">
        <v>70</v>
      </c>
      <c r="AH74" s="1">
        <f t="shared" si="19"/>
        <v>31650</v>
      </c>
      <c r="AI74" s="1">
        <f t="shared" si="20"/>
        <v>50400</v>
      </c>
    </row>
    <row r="75" spans="9:35" x14ac:dyDescent="0.15">
      <c r="I75" s="1">
        <v>71</v>
      </c>
      <c r="J75" s="1" t="str">
        <f t="shared" si="14"/>
        <v/>
      </c>
      <c r="K75" s="1" t="str">
        <f t="shared" si="15"/>
        <v/>
      </c>
      <c r="L75" s="1" t="str">
        <f t="shared" si="16"/>
        <v/>
      </c>
      <c r="M75" s="1">
        <f t="shared" si="17"/>
        <v>1460</v>
      </c>
      <c r="N75" s="1">
        <f t="shared" si="18"/>
        <v>1825</v>
      </c>
      <c r="AG75" s="1">
        <v>71</v>
      </c>
      <c r="AH75" s="1">
        <f t="shared" si="19"/>
        <v>32400</v>
      </c>
      <c r="AI75" s="1">
        <f t="shared" si="20"/>
        <v>50400</v>
      </c>
    </row>
    <row r="76" spans="9:35" x14ac:dyDescent="0.15">
      <c r="I76" s="1">
        <v>72</v>
      </c>
      <c r="J76" s="1" t="str">
        <f t="shared" si="14"/>
        <v/>
      </c>
      <c r="K76" s="1" t="str">
        <f t="shared" si="15"/>
        <v/>
      </c>
      <c r="L76" s="1" t="str">
        <f t="shared" si="16"/>
        <v/>
      </c>
      <c r="M76" s="1">
        <f t="shared" si="17"/>
        <v>1480</v>
      </c>
      <c r="N76" s="1">
        <f t="shared" si="18"/>
        <v>1850</v>
      </c>
      <c r="AG76" s="1">
        <v>72</v>
      </c>
      <c r="AH76" s="1">
        <f t="shared" si="19"/>
        <v>33685.714285714283</v>
      </c>
      <c r="AI76" s="1">
        <f t="shared" si="20"/>
        <v>50400</v>
      </c>
    </row>
    <row r="77" spans="9:35" x14ac:dyDescent="0.15">
      <c r="I77" s="1">
        <v>73</v>
      </c>
      <c r="J77" s="1" t="str">
        <f t="shared" si="14"/>
        <v/>
      </c>
      <c r="K77" s="1" t="str">
        <f t="shared" si="15"/>
        <v/>
      </c>
      <c r="L77" s="1" t="str">
        <f t="shared" si="16"/>
        <v/>
      </c>
      <c r="M77" s="1">
        <f t="shared" si="17"/>
        <v>1500</v>
      </c>
      <c r="N77" s="1">
        <f t="shared" si="18"/>
        <v>1875</v>
      </c>
      <c r="AG77" s="1">
        <v>73</v>
      </c>
      <c r="AH77" s="1">
        <f t="shared" si="19"/>
        <v>34971.428571428572</v>
      </c>
      <c r="AI77" s="1">
        <f t="shared" si="20"/>
        <v>50400</v>
      </c>
    </row>
    <row r="78" spans="9:35" x14ac:dyDescent="0.15">
      <c r="I78" s="1">
        <v>74</v>
      </c>
      <c r="J78" s="1" t="str">
        <f t="shared" si="14"/>
        <v/>
      </c>
      <c r="K78" s="1" t="str">
        <f t="shared" si="15"/>
        <v/>
      </c>
      <c r="L78" s="1" t="str">
        <f t="shared" si="16"/>
        <v/>
      </c>
      <c r="M78" s="1">
        <f t="shared" si="17"/>
        <v>1520</v>
      </c>
      <c r="N78" s="1">
        <f t="shared" si="18"/>
        <v>1900</v>
      </c>
      <c r="AG78" s="1">
        <v>74</v>
      </c>
      <c r="AH78" s="1">
        <f t="shared" si="19"/>
        <v>36257.142857142855</v>
      </c>
      <c r="AI78" s="1">
        <f t="shared" si="20"/>
        <v>50400</v>
      </c>
    </row>
    <row r="79" spans="9:35" x14ac:dyDescent="0.15">
      <c r="I79" s="1">
        <v>75</v>
      </c>
      <c r="J79" s="1" t="str">
        <f t="shared" si="14"/>
        <v/>
      </c>
      <c r="K79" s="1" t="str">
        <f t="shared" si="15"/>
        <v/>
      </c>
      <c r="L79" s="1" t="str">
        <f t="shared" si="16"/>
        <v/>
      </c>
      <c r="M79" s="1">
        <f t="shared" si="17"/>
        <v>1540</v>
      </c>
      <c r="N79" s="1">
        <f t="shared" si="18"/>
        <v>1925</v>
      </c>
      <c r="AG79" s="1">
        <v>75</v>
      </c>
      <c r="AH79" s="1">
        <f t="shared" si="19"/>
        <v>37542.857142857145</v>
      </c>
      <c r="AI79" s="1">
        <f t="shared" si="20"/>
        <v>50400</v>
      </c>
    </row>
    <row r="80" spans="9:35" x14ac:dyDescent="0.15">
      <c r="I80" s="1">
        <v>76</v>
      </c>
      <c r="J80" s="1" t="str">
        <f t="shared" si="14"/>
        <v/>
      </c>
      <c r="K80" s="1" t="str">
        <f t="shared" si="15"/>
        <v/>
      </c>
      <c r="L80" s="1" t="str">
        <f t="shared" si="16"/>
        <v/>
      </c>
      <c r="M80" s="1">
        <f t="shared" si="17"/>
        <v>1560</v>
      </c>
      <c r="N80" s="1">
        <f t="shared" si="18"/>
        <v>1950</v>
      </c>
      <c r="AG80" s="1">
        <v>76</v>
      </c>
      <c r="AH80" s="1">
        <f t="shared" si="19"/>
        <v>38828.571428571428</v>
      </c>
      <c r="AI80" s="1">
        <f t="shared" si="20"/>
        <v>50400</v>
      </c>
    </row>
    <row r="81" spans="9:35" x14ac:dyDescent="0.15">
      <c r="I81" s="1">
        <v>77</v>
      </c>
      <c r="J81" s="1" t="str">
        <f t="shared" si="14"/>
        <v/>
      </c>
      <c r="K81" s="1" t="str">
        <f t="shared" si="15"/>
        <v/>
      </c>
      <c r="L81" s="1" t="str">
        <f t="shared" si="16"/>
        <v/>
      </c>
      <c r="M81" s="1">
        <f t="shared" si="17"/>
        <v>1580</v>
      </c>
      <c r="N81" s="1">
        <f t="shared" si="18"/>
        <v>1975</v>
      </c>
      <c r="AG81" s="1">
        <v>77</v>
      </c>
      <c r="AH81" s="1">
        <f t="shared" si="19"/>
        <v>40114.285714285717</v>
      </c>
      <c r="AI81" s="1">
        <f t="shared" si="20"/>
        <v>50400</v>
      </c>
    </row>
    <row r="82" spans="9:35" x14ac:dyDescent="0.15">
      <c r="I82" s="1">
        <v>78</v>
      </c>
      <c r="J82" s="1" t="str">
        <f t="shared" si="14"/>
        <v/>
      </c>
      <c r="K82" s="1" t="str">
        <f t="shared" si="15"/>
        <v/>
      </c>
      <c r="L82" s="1" t="str">
        <f t="shared" si="16"/>
        <v/>
      </c>
      <c r="M82" s="1">
        <f t="shared" si="17"/>
        <v>1600</v>
      </c>
      <c r="N82" s="1">
        <f t="shared" si="18"/>
        <v>2000</v>
      </c>
      <c r="AG82" s="1">
        <v>78</v>
      </c>
      <c r="AH82" s="1">
        <f t="shared" si="19"/>
        <v>41400</v>
      </c>
      <c r="AI82" s="1">
        <f t="shared" si="20"/>
        <v>50400</v>
      </c>
    </row>
    <row r="83" spans="9:35" x14ac:dyDescent="0.15">
      <c r="I83" s="1">
        <v>79</v>
      </c>
      <c r="J83" s="1" t="str">
        <f t="shared" si="14"/>
        <v/>
      </c>
      <c r="K83" s="1" t="str">
        <f t="shared" si="15"/>
        <v/>
      </c>
      <c r="L83" s="1" t="str">
        <f t="shared" si="16"/>
        <v/>
      </c>
      <c r="M83" s="1">
        <f t="shared" si="17"/>
        <v>1620</v>
      </c>
      <c r="N83" s="1">
        <f t="shared" si="18"/>
        <v>2025</v>
      </c>
      <c r="AG83" s="1">
        <v>79</v>
      </c>
      <c r="AH83" s="1">
        <f t="shared" si="19"/>
        <v>43200</v>
      </c>
      <c r="AI83" s="1">
        <f t="shared" si="20"/>
        <v>50400</v>
      </c>
    </row>
    <row r="84" spans="9:35" x14ac:dyDescent="0.15">
      <c r="I84" s="1">
        <v>80</v>
      </c>
      <c r="J84" s="1" t="str">
        <f t="shared" si="14"/>
        <v/>
      </c>
      <c r="K84" s="1" t="str">
        <f t="shared" si="15"/>
        <v/>
      </c>
      <c r="L84" s="1" t="str">
        <f t="shared" si="16"/>
        <v/>
      </c>
      <c r="M84" s="1">
        <f t="shared" si="17"/>
        <v>1640</v>
      </c>
      <c r="N84" s="1">
        <f t="shared" si="18"/>
        <v>2050</v>
      </c>
      <c r="AG84" s="1">
        <v>80</v>
      </c>
      <c r="AH84" s="1">
        <f t="shared" si="19"/>
        <v>45000</v>
      </c>
      <c r="AI84" s="1">
        <f t="shared" si="20"/>
        <v>50400</v>
      </c>
    </row>
    <row r="85" spans="9:35" x14ac:dyDescent="0.15">
      <c r="I85" s="1">
        <v>81</v>
      </c>
      <c r="J85" s="1" t="str">
        <f t="shared" si="14"/>
        <v/>
      </c>
      <c r="K85" s="1" t="str">
        <f t="shared" si="15"/>
        <v/>
      </c>
      <c r="L85" s="1" t="str">
        <f t="shared" si="16"/>
        <v/>
      </c>
      <c r="M85" s="1" t="str">
        <f t="shared" si="17"/>
        <v/>
      </c>
      <c r="N85" s="1">
        <f t="shared" si="18"/>
        <v>2075</v>
      </c>
      <c r="AG85" s="1">
        <v>81</v>
      </c>
      <c r="AH85" s="1">
        <f t="shared" si="19"/>
        <v>46800</v>
      </c>
      <c r="AI85" s="1">
        <f t="shared" si="20"/>
        <v>50400</v>
      </c>
    </row>
    <row r="86" spans="9:35" x14ac:dyDescent="0.15">
      <c r="I86" s="1">
        <v>82</v>
      </c>
      <c r="J86" s="1" t="str">
        <f t="shared" si="14"/>
        <v/>
      </c>
      <c r="K86" s="1" t="str">
        <f t="shared" si="15"/>
        <v/>
      </c>
      <c r="L86" s="1" t="str">
        <f t="shared" si="16"/>
        <v/>
      </c>
      <c r="M86" s="1" t="str">
        <f t="shared" si="17"/>
        <v/>
      </c>
      <c r="N86" s="1">
        <f t="shared" si="18"/>
        <v>2100</v>
      </c>
      <c r="AG86" s="1">
        <v>82</v>
      </c>
      <c r="AH86" s="1">
        <f t="shared" si="19"/>
        <v>48600</v>
      </c>
      <c r="AI86" s="1">
        <f t="shared" si="20"/>
        <v>50400</v>
      </c>
    </row>
    <row r="87" spans="9:35" x14ac:dyDescent="0.15">
      <c r="I87" s="1">
        <v>83</v>
      </c>
      <c r="J87" s="1" t="str">
        <f t="shared" si="14"/>
        <v/>
      </c>
      <c r="K87" s="1" t="str">
        <f t="shared" si="15"/>
        <v/>
      </c>
      <c r="L87" s="1" t="str">
        <f t="shared" si="16"/>
        <v/>
      </c>
      <c r="M87" s="1" t="str">
        <f t="shared" si="17"/>
        <v/>
      </c>
      <c r="N87" s="1">
        <f t="shared" si="18"/>
        <v>2125</v>
      </c>
      <c r="AG87" s="1">
        <v>83</v>
      </c>
      <c r="AH87" s="1">
        <f t="shared" si="19"/>
        <v>50400</v>
      </c>
      <c r="AI87" s="1">
        <f t="shared" si="20"/>
        <v>50400</v>
      </c>
    </row>
    <row r="88" spans="9:35" x14ac:dyDescent="0.15">
      <c r="I88" s="1">
        <v>84</v>
      </c>
      <c r="J88" s="1" t="str">
        <f t="shared" si="14"/>
        <v/>
      </c>
      <c r="K88" s="1" t="str">
        <f t="shared" si="15"/>
        <v/>
      </c>
      <c r="L88" s="1" t="str">
        <f t="shared" si="16"/>
        <v/>
      </c>
      <c r="M88" s="1" t="str">
        <f t="shared" si="17"/>
        <v/>
      </c>
      <c r="N88" s="1">
        <f t="shared" si="18"/>
        <v>2150</v>
      </c>
      <c r="AG88" s="1">
        <v>84</v>
      </c>
      <c r="AH88" s="1">
        <f t="shared" si="19"/>
        <v>50400</v>
      </c>
      <c r="AI88" s="1">
        <f t="shared" si="20"/>
        <v>50400</v>
      </c>
    </row>
    <row r="89" spans="9:35" x14ac:dyDescent="0.15">
      <c r="I89" s="1">
        <v>85</v>
      </c>
      <c r="J89" s="1" t="str">
        <f t="shared" si="14"/>
        <v/>
      </c>
      <c r="K89" s="1" t="str">
        <f t="shared" si="15"/>
        <v/>
      </c>
      <c r="L89" s="1" t="str">
        <f t="shared" si="16"/>
        <v/>
      </c>
      <c r="M89" s="1" t="str">
        <f t="shared" si="17"/>
        <v/>
      </c>
      <c r="N89" s="1">
        <f t="shared" si="18"/>
        <v>2175</v>
      </c>
      <c r="AG89" s="1">
        <v>85</v>
      </c>
      <c r="AH89" s="1">
        <f t="shared" si="19"/>
        <v>50400</v>
      </c>
      <c r="AI89" s="1">
        <f t="shared" si="20"/>
        <v>50400</v>
      </c>
    </row>
    <row r="90" spans="9:35" x14ac:dyDescent="0.15">
      <c r="I90" s="1">
        <v>86</v>
      </c>
      <c r="J90" s="1" t="str">
        <f t="shared" si="14"/>
        <v/>
      </c>
      <c r="K90" s="1" t="str">
        <f t="shared" si="15"/>
        <v/>
      </c>
      <c r="L90" s="1" t="str">
        <f t="shared" si="16"/>
        <v/>
      </c>
      <c r="M90" s="1" t="str">
        <f t="shared" si="17"/>
        <v/>
      </c>
      <c r="N90" s="1">
        <f t="shared" si="18"/>
        <v>2200</v>
      </c>
      <c r="AG90" s="1">
        <v>86</v>
      </c>
      <c r="AH90" s="1">
        <f t="shared" si="19"/>
        <v>50400</v>
      </c>
      <c r="AI90" s="1">
        <f t="shared" si="20"/>
        <v>50400</v>
      </c>
    </row>
    <row r="91" spans="9:35" x14ac:dyDescent="0.15">
      <c r="I91" s="1">
        <v>87</v>
      </c>
      <c r="J91" s="1" t="str">
        <f t="shared" si="14"/>
        <v/>
      </c>
      <c r="K91" s="1" t="str">
        <f t="shared" si="15"/>
        <v/>
      </c>
      <c r="L91" s="1" t="str">
        <f t="shared" si="16"/>
        <v/>
      </c>
      <c r="M91" s="1" t="str">
        <f t="shared" si="17"/>
        <v/>
      </c>
      <c r="N91" s="1">
        <f t="shared" si="18"/>
        <v>2225</v>
      </c>
      <c r="AG91" s="1">
        <v>87</v>
      </c>
      <c r="AH91" s="1">
        <f t="shared" si="19"/>
        <v>50400</v>
      </c>
      <c r="AI91" s="1">
        <f t="shared" si="20"/>
        <v>50400</v>
      </c>
    </row>
    <row r="92" spans="9:35" x14ac:dyDescent="0.15">
      <c r="I92" s="1">
        <v>88</v>
      </c>
      <c r="J92" s="1" t="str">
        <f t="shared" si="14"/>
        <v/>
      </c>
      <c r="K92" s="1" t="str">
        <f t="shared" si="15"/>
        <v/>
      </c>
      <c r="L92" s="1" t="str">
        <f t="shared" si="16"/>
        <v/>
      </c>
      <c r="M92" s="1" t="str">
        <f t="shared" si="17"/>
        <v/>
      </c>
      <c r="N92" s="1">
        <f t="shared" si="18"/>
        <v>2250</v>
      </c>
      <c r="AG92" s="1">
        <v>88</v>
      </c>
      <c r="AH92" s="1">
        <f t="shared" si="19"/>
        <v>50400</v>
      </c>
      <c r="AI92" s="1">
        <f t="shared" si="20"/>
        <v>50400</v>
      </c>
    </row>
    <row r="93" spans="9:35" x14ac:dyDescent="0.15">
      <c r="I93" s="1">
        <v>89</v>
      </c>
      <c r="J93" s="1" t="str">
        <f t="shared" si="14"/>
        <v/>
      </c>
      <c r="K93" s="1" t="str">
        <f t="shared" si="15"/>
        <v/>
      </c>
      <c r="L93" s="1" t="str">
        <f t="shared" si="16"/>
        <v/>
      </c>
      <c r="M93" s="1" t="str">
        <f t="shared" si="17"/>
        <v/>
      </c>
      <c r="N93" s="1">
        <f t="shared" si="18"/>
        <v>2275</v>
      </c>
      <c r="AG93" s="1">
        <v>89</v>
      </c>
      <c r="AH93" s="1">
        <f t="shared" si="19"/>
        <v>50400</v>
      </c>
      <c r="AI93" s="1">
        <f t="shared" si="20"/>
        <v>50400</v>
      </c>
    </row>
    <row r="94" spans="9:35" x14ac:dyDescent="0.15">
      <c r="I94" s="1">
        <v>90</v>
      </c>
      <c r="J94" s="1" t="str">
        <f t="shared" si="14"/>
        <v/>
      </c>
      <c r="K94" s="1" t="str">
        <f t="shared" si="15"/>
        <v/>
      </c>
      <c r="L94" s="1" t="str">
        <f t="shared" si="16"/>
        <v/>
      </c>
      <c r="M94" s="1" t="str">
        <f t="shared" si="17"/>
        <v/>
      </c>
      <c r="N94" s="1">
        <f t="shared" si="18"/>
        <v>2300</v>
      </c>
      <c r="AG94" s="1">
        <v>90</v>
      </c>
      <c r="AH94" s="1">
        <f t="shared" si="19"/>
        <v>50400</v>
      </c>
      <c r="AI94" s="1">
        <f t="shared" si="20"/>
        <v>50400</v>
      </c>
    </row>
    <row r="95" spans="9:35" x14ac:dyDescent="0.15">
      <c r="I95" s="1">
        <v>91</v>
      </c>
      <c r="J95" s="1" t="str">
        <f t="shared" si="14"/>
        <v/>
      </c>
      <c r="K95" s="1" t="str">
        <f t="shared" si="15"/>
        <v/>
      </c>
      <c r="L95" s="1" t="str">
        <f t="shared" si="16"/>
        <v/>
      </c>
      <c r="M95" s="1" t="str">
        <f t="shared" si="17"/>
        <v/>
      </c>
      <c r="N95" s="1">
        <f t="shared" si="18"/>
        <v>2325</v>
      </c>
      <c r="AG95" s="1">
        <v>91</v>
      </c>
      <c r="AH95" s="1">
        <f t="shared" si="19"/>
        <v>50400</v>
      </c>
      <c r="AI95" s="1">
        <f t="shared" si="20"/>
        <v>50400</v>
      </c>
    </row>
    <row r="96" spans="9:35" x14ac:dyDescent="0.15">
      <c r="I96" s="1">
        <v>92</v>
      </c>
      <c r="J96" s="1" t="str">
        <f t="shared" si="14"/>
        <v/>
      </c>
      <c r="K96" s="1" t="str">
        <f t="shared" si="15"/>
        <v/>
      </c>
      <c r="L96" s="1" t="str">
        <f t="shared" si="16"/>
        <v/>
      </c>
      <c r="M96" s="1" t="str">
        <f t="shared" si="17"/>
        <v/>
      </c>
      <c r="N96" s="1">
        <f t="shared" si="18"/>
        <v>2350</v>
      </c>
      <c r="AG96" s="1">
        <v>92</v>
      </c>
      <c r="AH96" s="1">
        <f t="shared" si="19"/>
        <v>50400</v>
      </c>
      <c r="AI96" s="1">
        <f t="shared" si="20"/>
        <v>50400</v>
      </c>
    </row>
    <row r="97" spans="9:35" x14ac:dyDescent="0.15">
      <c r="I97" s="1">
        <v>93</v>
      </c>
      <c r="J97" s="1" t="str">
        <f t="shared" si="14"/>
        <v/>
      </c>
      <c r="K97" s="1" t="str">
        <f t="shared" si="15"/>
        <v/>
      </c>
      <c r="L97" s="1" t="str">
        <f t="shared" si="16"/>
        <v/>
      </c>
      <c r="M97" s="1" t="str">
        <f t="shared" si="17"/>
        <v/>
      </c>
      <c r="N97" s="1">
        <f t="shared" si="18"/>
        <v>2375</v>
      </c>
      <c r="AG97" s="1">
        <v>93</v>
      </c>
      <c r="AH97" s="1">
        <f t="shared" si="19"/>
        <v>50400</v>
      </c>
      <c r="AI97" s="1">
        <f t="shared" si="20"/>
        <v>50400</v>
      </c>
    </row>
    <row r="98" spans="9:35" x14ac:dyDescent="0.15">
      <c r="I98" s="1">
        <v>94</v>
      </c>
      <c r="J98" s="1" t="str">
        <f t="shared" si="14"/>
        <v/>
      </c>
      <c r="K98" s="1" t="str">
        <f t="shared" si="15"/>
        <v/>
      </c>
      <c r="L98" s="1" t="str">
        <f t="shared" si="16"/>
        <v/>
      </c>
      <c r="M98" s="1" t="str">
        <f t="shared" si="17"/>
        <v/>
      </c>
      <c r="N98" s="1">
        <f t="shared" si="18"/>
        <v>2400</v>
      </c>
      <c r="AG98" s="1">
        <v>94</v>
      </c>
      <c r="AH98" s="1">
        <f t="shared" si="19"/>
        <v>50400</v>
      </c>
      <c r="AI98" s="1">
        <f t="shared" si="20"/>
        <v>50400</v>
      </c>
    </row>
    <row r="99" spans="9:35" x14ac:dyDescent="0.15">
      <c r="I99" s="1">
        <v>95</v>
      </c>
      <c r="J99" s="1" t="str">
        <f t="shared" si="14"/>
        <v/>
      </c>
      <c r="K99" s="1" t="str">
        <f t="shared" si="15"/>
        <v/>
      </c>
      <c r="L99" s="1" t="str">
        <f t="shared" si="16"/>
        <v/>
      </c>
      <c r="M99" s="1" t="str">
        <f t="shared" si="17"/>
        <v/>
      </c>
      <c r="N99" s="1">
        <f t="shared" si="18"/>
        <v>2425</v>
      </c>
      <c r="AG99" s="1">
        <v>95</v>
      </c>
      <c r="AH99" s="1">
        <f t="shared" si="19"/>
        <v>50400</v>
      </c>
      <c r="AI99" s="1">
        <f t="shared" si="20"/>
        <v>50400</v>
      </c>
    </row>
    <row r="100" spans="9:35" x14ac:dyDescent="0.15">
      <c r="I100" s="1">
        <v>96</v>
      </c>
      <c r="J100" s="1" t="str">
        <f t="shared" si="14"/>
        <v/>
      </c>
      <c r="K100" s="1" t="str">
        <f t="shared" si="15"/>
        <v/>
      </c>
      <c r="L100" s="1" t="str">
        <f t="shared" si="16"/>
        <v/>
      </c>
      <c r="M100" s="1" t="str">
        <f t="shared" si="17"/>
        <v/>
      </c>
      <c r="N100" s="1">
        <f t="shared" si="18"/>
        <v>2450</v>
      </c>
      <c r="AG100" s="1">
        <v>96</v>
      </c>
      <c r="AH100" s="1">
        <f t="shared" si="19"/>
        <v>50400</v>
      </c>
      <c r="AI100" s="1">
        <f t="shared" si="20"/>
        <v>50400</v>
      </c>
    </row>
    <row r="101" spans="9:35" x14ac:dyDescent="0.15">
      <c r="I101" s="1">
        <v>97</v>
      </c>
      <c r="J101" s="1" t="str">
        <f t="shared" ref="J101:J114" si="21">IF($I101&lt;=C$27,C$28+C$29*$I101,"")</f>
        <v/>
      </c>
      <c r="K101" s="1" t="str">
        <f t="shared" ref="K101:K114" si="22">IF($I101&lt;=D$27,D$28+D$29*$I101,"")</f>
        <v/>
      </c>
      <c r="L101" s="1" t="str">
        <f t="shared" ref="L101:L114" si="23">IF($I101&lt;=E$27,E$28+E$29*$I101,"")</f>
        <v/>
      </c>
      <c r="M101" s="1" t="str">
        <f t="shared" ref="M101:M114" si="24">IF($I101&lt;=F$27,F$28+F$29*$I101,"")</f>
        <v/>
      </c>
      <c r="N101" s="1">
        <f t="shared" ref="N101:N114" si="25">IF($I101&lt;=G$27,G$28+G$29*$I101,"")</f>
        <v>2475</v>
      </c>
      <c r="AG101" s="1">
        <v>97</v>
      </c>
      <c r="AH101" s="1">
        <f t="shared" si="19"/>
        <v>50400</v>
      </c>
      <c r="AI101" s="1">
        <f t="shared" si="20"/>
        <v>50400</v>
      </c>
    </row>
    <row r="102" spans="9:35" x14ac:dyDescent="0.15">
      <c r="I102" s="1">
        <v>98</v>
      </c>
      <c r="J102" s="1" t="str">
        <f t="shared" si="21"/>
        <v/>
      </c>
      <c r="K102" s="1" t="str">
        <f t="shared" si="22"/>
        <v/>
      </c>
      <c r="L102" s="1" t="str">
        <f t="shared" si="23"/>
        <v/>
      </c>
      <c r="M102" s="1" t="str">
        <f t="shared" si="24"/>
        <v/>
      </c>
      <c r="N102" s="1">
        <f t="shared" si="25"/>
        <v>2500</v>
      </c>
      <c r="AG102" s="1">
        <v>98</v>
      </c>
      <c r="AH102" s="1">
        <f t="shared" si="19"/>
        <v>50400</v>
      </c>
      <c r="AI102" s="1">
        <f t="shared" si="20"/>
        <v>50400</v>
      </c>
    </row>
    <row r="103" spans="9:35" x14ac:dyDescent="0.15">
      <c r="I103" s="1">
        <v>99</v>
      </c>
      <c r="J103" s="1" t="str">
        <f t="shared" si="21"/>
        <v/>
      </c>
      <c r="K103" s="1" t="str">
        <f t="shared" si="22"/>
        <v/>
      </c>
      <c r="L103" s="1" t="str">
        <f t="shared" si="23"/>
        <v/>
      </c>
      <c r="M103" s="1" t="str">
        <f t="shared" si="24"/>
        <v/>
      </c>
      <c r="N103" s="1">
        <f t="shared" si="25"/>
        <v>2525</v>
      </c>
      <c r="AG103" s="1">
        <v>99</v>
      </c>
      <c r="AH103" s="1">
        <f t="shared" si="19"/>
        <v>50400</v>
      </c>
      <c r="AI103" s="1">
        <f t="shared" si="20"/>
        <v>50400</v>
      </c>
    </row>
    <row r="104" spans="9:35" x14ac:dyDescent="0.15">
      <c r="I104" s="1">
        <v>100</v>
      </c>
      <c r="J104" s="1" t="str">
        <f t="shared" si="21"/>
        <v/>
      </c>
      <c r="K104" s="1" t="str">
        <f t="shared" si="22"/>
        <v/>
      </c>
      <c r="L104" s="1" t="str">
        <f t="shared" si="23"/>
        <v/>
      </c>
      <c r="M104" s="1" t="str">
        <f t="shared" si="24"/>
        <v/>
      </c>
      <c r="N104" s="1">
        <f t="shared" si="25"/>
        <v>2550</v>
      </c>
      <c r="AG104" s="1">
        <v>100</v>
      </c>
      <c r="AH104" s="1">
        <f t="shared" si="19"/>
        <v>50400</v>
      </c>
      <c r="AI104" s="1">
        <f t="shared" si="20"/>
        <v>50400</v>
      </c>
    </row>
    <row r="105" spans="9:35" x14ac:dyDescent="0.15">
      <c r="I105" s="1">
        <v>101</v>
      </c>
      <c r="J105" s="1" t="str">
        <f t="shared" si="21"/>
        <v/>
      </c>
      <c r="K105" s="1" t="str">
        <f t="shared" si="22"/>
        <v/>
      </c>
      <c r="L105" s="1" t="str">
        <f t="shared" si="23"/>
        <v/>
      </c>
      <c r="M105" s="1" t="str">
        <f t="shared" si="24"/>
        <v/>
      </c>
      <c r="N105" s="1">
        <f t="shared" si="25"/>
        <v>2575</v>
      </c>
      <c r="AG105" s="1">
        <v>101</v>
      </c>
      <c r="AH105" s="1">
        <f t="shared" si="19"/>
        <v>50400</v>
      </c>
      <c r="AI105" s="1">
        <f t="shared" si="20"/>
        <v>50400</v>
      </c>
    </row>
    <row r="106" spans="9:35" x14ac:dyDescent="0.15">
      <c r="I106" s="1">
        <v>102</v>
      </c>
      <c r="J106" s="1" t="str">
        <f t="shared" si="21"/>
        <v/>
      </c>
      <c r="K106" s="1" t="str">
        <f t="shared" si="22"/>
        <v/>
      </c>
      <c r="L106" s="1" t="str">
        <f t="shared" si="23"/>
        <v/>
      </c>
      <c r="M106" s="1" t="str">
        <f t="shared" si="24"/>
        <v/>
      </c>
      <c r="N106" s="1">
        <f t="shared" si="25"/>
        <v>2600</v>
      </c>
      <c r="AG106" s="1">
        <v>102</v>
      </c>
      <c r="AH106" s="1">
        <f t="shared" si="19"/>
        <v>50400</v>
      </c>
      <c r="AI106" s="1">
        <f t="shared" si="20"/>
        <v>50400</v>
      </c>
    </row>
    <row r="107" spans="9:35" x14ac:dyDescent="0.15">
      <c r="I107" s="1">
        <v>103</v>
      </c>
      <c r="J107" s="1" t="str">
        <f t="shared" si="21"/>
        <v/>
      </c>
      <c r="K107" s="1" t="str">
        <f t="shared" si="22"/>
        <v/>
      </c>
      <c r="L107" s="1" t="str">
        <f t="shared" si="23"/>
        <v/>
      </c>
      <c r="M107" s="1" t="str">
        <f t="shared" si="24"/>
        <v/>
      </c>
      <c r="N107" s="1">
        <f t="shared" si="25"/>
        <v>2625</v>
      </c>
      <c r="AG107" s="1">
        <v>103</v>
      </c>
      <c r="AH107" s="1">
        <f t="shared" si="19"/>
        <v>50400</v>
      </c>
      <c r="AI107" s="1">
        <f t="shared" si="20"/>
        <v>50400</v>
      </c>
    </row>
    <row r="108" spans="9:35" x14ac:dyDescent="0.15">
      <c r="I108" s="1">
        <v>104</v>
      </c>
      <c r="J108" s="1" t="str">
        <f t="shared" si="21"/>
        <v/>
      </c>
      <c r="K108" s="1" t="str">
        <f t="shared" si="22"/>
        <v/>
      </c>
      <c r="L108" s="1" t="str">
        <f t="shared" si="23"/>
        <v/>
      </c>
      <c r="M108" s="1" t="str">
        <f t="shared" si="24"/>
        <v/>
      </c>
      <c r="N108" s="1">
        <f t="shared" si="25"/>
        <v>2650</v>
      </c>
      <c r="AG108" s="1">
        <v>104</v>
      </c>
      <c r="AH108" s="1">
        <f t="shared" si="19"/>
        <v>50400</v>
      </c>
      <c r="AI108" s="1">
        <f t="shared" si="20"/>
        <v>50400</v>
      </c>
    </row>
    <row r="109" spans="9:35" x14ac:dyDescent="0.15">
      <c r="I109" s="1">
        <v>105</v>
      </c>
      <c r="J109" s="1" t="str">
        <f t="shared" si="21"/>
        <v/>
      </c>
      <c r="K109" s="1" t="str">
        <f t="shared" si="22"/>
        <v/>
      </c>
      <c r="L109" s="1" t="str">
        <f t="shared" si="23"/>
        <v/>
      </c>
      <c r="M109" s="1" t="str">
        <f t="shared" si="24"/>
        <v/>
      </c>
      <c r="N109" s="1">
        <f t="shared" si="25"/>
        <v>2675</v>
      </c>
      <c r="AG109" s="1">
        <v>105</v>
      </c>
      <c r="AH109" s="1">
        <f t="shared" si="19"/>
        <v>50400</v>
      </c>
      <c r="AI109" s="1">
        <f t="shared" si="20"/>
        <v>50400</v>
      </c>
    </row>
    <row r="110" spans="9:35" x14ac:dyDescent="0.15">
      <c r="I110" s="1">
        <v>106</v>
      </c>
      <c r="J110" s="1" t="str">
        <f t="shared" si="21"/>
        <v/>
      </c>
      <c r="K110" s="1" t="str">
        <f t="shared" si="22"/>
        <v/>
      </c>
      <c r="L110" s="1" t="str">
        <f t="shared" si="23"/>
        <v/>
      </c>
      <c r="M110" s="1" t="str">
        <f t="shared" si="24"/>
        <v/>
      </c>
      <c r="N110" s="1">
        <f t="shared" si="25"/>
        <v>2700</v>
      </c>
      <c r="AG110" s="1">
        <v>106</v>
      </c>
      <c r="AH110" s="1">
        <f t="shared" si="19"/>
        <v>50400</v>
      </c>
      <c r="AI110" s="1">
        <f t="shared" si="20"/>
        <v>50400</v>
      </c>
    </row>
    <row r="111" spans="9:35" x14ac:dyDescent="0.15">
      <c r="I111" s="1">
        <v>107</v>
      </c>
      <c r="J111" s="1" t="str">
        <f t="shared" si="21"/>
        <v/>
      </c>
      <c r="K111" s="1" t="str">
        <f t="shared" si="22"/>
        <v/>
      </c>
      <c r="L111" s="1" t="str">
        <f t="shared" si="23"/>
        <v/>
      </c>
      <c r="M111" s="1" t="str">
        <f t="shared" si="24"/>
        <v/>
      </c>
      <c r="N111" s="1">
        <f t="shared" si="25"/>
        <v>2725</v>
      </c>
      <c r="AG111" s="1">
        <v>107</v>
      </c>
      <c r="AH111" s="1">
        <f t="shared" si="19"/>
        <v>50400</v>
      </c>
      <c r="AI111" s="1">
        <f t="shared" si="20"/>
        <v>50400</v>
      </c>
    </row>
    <row r="112" spans="9:35" x14ac:dyDescent="0.15">
      <c r="I112" s="1">
        <v>108</v>
      </c>
      <c r="J112" s="1" t="str">
        <f t="shared" si="21"/>
        <v/>
      </c>
      <c r="K112" s="1" t="str">
        <f t="shared" si="22"/>
        <v/>
      </c>
      <c r="L112" s="1" t="str">
        <f t="shared" si="23"/>
        <v/>
      </c>
      <c r="M112" s="1" t="str">
        <f t="shared" si="24"/>
        <v/>
      </c>
      <c r="N112" s="1">
        <f t="shared" si="25"/>
        <v>2750</v>
      </c>
      <c r="AG112" s="1">
        <v>108</v>
      </c>
      <c r="AH112" s="1">
        <f t="shared" si="19"/>
        <v>50400</v>
      </c>
      <c r="AI112" s="1">
        <f t="shared" si="20"/>
        <v>50400</v>
      </c>
    </row>
    <row r="113" spans="9:35" x14ac:dyDescent="0.15">
      <c r="I113" s="1">
        <v>109</v>
      </c>
      <c r="J113" s="1" t="str">
        <f t="shared" si="21"/>
        <v/>
      </c>
      <c r="K113" s="1" t="str">
        <f t="shared" si="22"/>
        <v/>
      </c>
      <c r="L113" s="1" t="str">
        <f t="shared" si="23"/>
        <v/>
      </c>
      <c r="M113" s="1" t="str">
        <f t="shared" si="24"/>
        <v/>
      </c>
      <c r="N113" s="1">
        <f t="shared" si="25"/>
        <v>2775</v>
      </c>
      <c r="AG113" s="1">
        <v>109</v>
      </c>
      <c r="AH113" s="1">
        <f t="shared" si="19"/>
        <v>50400</v>
      </c>
      <c r="AI113" s="1">
        <f t="shared" si="20"/>
        <v>50400</v>
      </c>
    </row>
    <row r="114" spans="9:35" x14ac:dyDescent="0.15">
      <c r="I114" s="1">
        <v>110</v>
      </c>
      <c r="J114" s="1" t="str">
        <f t="shared" si="21"/>
        <v/>
      </c>
      <c r="K114" s="1" t="str">
        <f t="shared" si="22"/>
        <v/>
      </c>
      <c r="L114" s="1" t="str">
        <f t="shared" si="23"/>
        <v/>
      </c>
      <c r="M114" s="1" t="str">
        <f t="shared" si="24"/>
        <v/>
      </c>
      <c r="N114" s="1">
        <f t="shared" si="25"/>
        <v>2800</v>
      </c>
      <c r="AG114" s="1">
        <v>110</v>
      </c>
      <c r="AH114" s="1">
        <f t="shared" si="19"/>
        <v>50400</v>
      </c>
      <c r="AI114" s="1">
        <f t="shared" si="20"/>
        <v>50400</v>
      </c>
    </row>
  </sheetData>
  <mergeCells count="3">
    <mergeCell ref="J3:N3"/>
    <mergeCell ref="V4:Y4"/>
    <mergeCell ref="Z4:AC4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节奏总纲</vt:lpstr>
      <vt:lpstr>其他调用</vt:lpstr>
      <vt:lpstr>洗练相关资料</vt:lpstr>
      <vt:lpstr>节奏预期</vt:lpstr>
      <vt:lpstr>阵法升星</vt:lpstr>
      <vt:lpstr>阵旗升级</vt:lpstr>
      <vt:lpstr>精英野怪</vt:lpstr>
      <vt:lpstr>投放验证</vt:lpstr>
      <vt:lpstr>阵法实力</vt:lpstr>
      <vt:lpstr>效用汇总</vt:lpstr>
      <vt:lpstr>属性计算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2023-04-20T10:26:44Z</dcterms:modified>
</cp:coreProperties>
</file>